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rkiv/Downloads/pensionval-markiv/excel/"/>
    </mc:Choice>
  </mc:AlternateContent>
  <xr:revisionPtr revIDLastSave="0" documentId="13_ncr:1_{4E282E8F-F381-7C4D-B915-F0626720B054}" xr6:coauthVersionLast="47" xr6:coauthVersionMax="47" xr10:uidLastSave="{00000000-0000-0000-0000-000000000000}"/>
  <bookViews>
    <workbookView xWindow="0" yWindow="500" windowWidth="38400" windowHeight="19620" xr2:uid="{00000000-000D-0000-FFFF-FFFF00000000}"/>
  </bookViews>
  <sheets>
    <sheet name="Assumptions" sheetId="1" r:id="rId1"/>
    <sheet name="Members" sheetId="2" r:id="rId2"/>
    <sheet name="Mortality" sheetId="3" r:id="rId3"/>
    <sheet name="Valuation" sheetId="4" r:id="rId4"/>
    <sheet name="Summary" sheetId="5" r:id="rId5"/>
    <sheet name="Valid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4" i="5"/>
  <c r="M1001" i="4"/>
  <c r="F1001" i="4"/>
  <c r="E1001" i="4"/>
  <c r="D1001" i="4"/>
  <c r="C1001" i="4"/>
  <c r="G1001" i="4" s="1"/>
  <c r="B1001" i="4"/>
  <c r="A1001" i="4"/>
  <c r="M1000" i="4"/>
  <c r="F1000" i="4"/>
  <c r="E1000" i="4"/>
  <c r="D1000" i="4"/>
  <c r="C1000" i="4"/>
  <c r="G1000" i="4" s="1"/>
  <c r="B1000" i="4"/>
  <c r="A1000" i="4"/>
  <c r="M999" i="4"/>
  <c r="F999" i="4"/>
  <c r="E999" i="4"/>
  <c r="D999" i="4"/>
  <c r="C999" i="4"/>
  <c r="G999" i="4" s="1"/>
  <c r="B999" i="4"/>
  <c r="A999" i="4"/>
  <c r="M998" i="4"/>
  <c r="F998" i="4"/>
  <c r="E998" i="4"/>
  <c r="D998" i="4"/>
  <c r="C998" i="4"/>
  <c r="G998" i="4" s="1"/>
  <c r="B998" i="4"/>
  <c r="A998" i="4"/>
  <c r="M997" i="4"/>
  <c r="F997" i="4"/>
  <c r="E997" i="4"/>
  <c r="D997" i="4"/>
  <c r="C997" i="4"/>
  <c r="G997" i="4" s="1"/>
  <c r="B997" i="4"/>
  <c r="A997" i="4"/>
  <c r="M996" i="4"/>
  <c r="F996" i="4"/>
  <c r="E996" i="4"/>
  <c r="D996" i="4"/>
  <c r="C996" i="4"/>
  <c r="G996" i="4" s="1"/>
  <c r="B996" i="4"/>
  <c r="A996" i="4"/>
  <c r="M995" i="4"/>
  <c r="F995" i="4"/>
  <c r="E995" i="4"/>
  <c r="D995" i="4"/>
  <c r="C995" i="4"/>
  <c r="G995" i="4" s="1"/>
  <c r="B995" i="4"/>
  <c r="A995" i="4"/>
  <c r="M994" i="4"/>
  <c r="F994" i="4"/>
  <c r="E994" i="4"/>
  <c r="D994" i="4"/>
  <c r="C994" i="4"/>
  <c r="G994" i="4" s="1"/>
  <c r="B994" i="4"/>
  <c r="A994" i="4"/>
  <c r="M993" i="4"/>
  <c r="F993" i="4"/>
  <c r="E993" i="4"/>
  <c r="D993" i="4"/>
  <c r="C993" i="4"/>
  <c r="G993" i="4" s="1"/>
  <c r="B993" i="4"/>
  <c r="A993" i="4"/>
  <c r="M992" i="4"/>
  <c r="F992" i="4"/>
  <c r="E992" i="4"/>
  <c r="D992" i="4"/>
  <c r="C992" i="4"/>
  <c r="G992" i="4" s="1"/>
  <c r="B992" i="4"/>
  <c r="A992" i="4"/>
  <c r="M991" i="4"/>
  <c r="F991" i="4"/>
  <c r="E991" i="4"/>
  <c r="D991" i="4"/>
  <c r="C991" i="4"/>
  <c r="G991" i="4" s="1"/>
  <c r="B991" i="4"/>
  <c r="A991" i="4"/>
  <c r="M990" i="4"/>
  <c r="F990" i="4"/>
  <c r="E990" i="4"/>
  <c r="D990" i="4"/>
  <c r="C990" i="4"/>
  <c r="G990" i="4" s="1"/>
  <c r="B990" i="4"/>
  <c r="A990" i="4"/>
  <c r="M989" i="4"/>
  <c r="F989" i="4"/>
  <c r="E989" i="4"/>
  <c r="D989" i="4"/>
  <c r="C989" i="4"/>
  <c r="G989" i="4" s="1"/>
  <c r="B989" i="4"/>
  <c r="A989" i="4"/>
  <c r="M988" i="4"/>
  <c r="F988" i="4"/>
  <c r="E988" i="4"/>
  <c r="D988" i="4"/>
  <c r="C988" i="4"/>
  <c r="G988" i="4" s="1"/>
  <c r="B988" i="4"/>
  <c r="A988" i="4"/>
  <c r="M987" i="4"/>
  <c r="F987" i="4"/>
  <c r="E987" i="4"/>
  <c r="D987" i="4"/>
  <c r="C987" i="4"/>
  <c r="G987" i="4" s="1"/>
  <c r="B987" i="4"/>
  <c r="A987" i="4"/>
  <c r="M986" i="4"/>
  <c r="F986" i="4"/>
  <c r="E986" i="4"/>
  <c r="D986" i="4"/>
  <c r="C986" i="4"/>
  <c r="G986" i="4" s="1"/>
  <c r="B986" i="4"/>
  <c r="A986" i="4"/>
  <c r="M985" i="4"/>
  <c r="F985" i="4"/>
  <c r="E985" i="4"/>
  <c r="D985" i="4"/>
  <c r="C985" i="4"/>
  <c r="G985" i="4" s="1"/>
  <c r="B985" i="4"/>
  <c r="A985" i="4"/>
  <c r="M984" i="4"/>
  <c r="F984" i="4"/>
  <c r="E984" i="4"/>
  <c r="D984" i="4"/>
  <c r="C984" i="4"/>
  <c r="G984" i="4" s="1"/>
  <c r="B984" i="4"/>
  <c r="A984" i="4"/>
  <c r="M983" i="4"/>
  <c r="F983" i="4"/>
  <c r="E983" i="4"/>
  <c r="D983" i="4"/>
  <c r="C983" i="4"/>
  <c r="G983" i="4" s="1"/>
  <c r="B983" i="4"/>
  <c r="A983" i="4"/>
  <c r="M982" i="4"/>
  <c r="F982" i="4"/>
  <c r="E982" i="4"/>
  <c r="D982" i="4"/>
  <c r="C982" i="4"/>
  <c r="G982" i="4" s="1"/>
  <c r="B982" i="4"/>
  <c r="A982" i="4"/>
  <c r="M981" i="4"/>
  <c r="F981" i="4"/>
  <c r="E981" i="4"/>
  <c r="D981" i="4"/>
  <c r="C981" i="4"/>
  <c r="G981" i="4" s="1"/>
  <c r="B981" i="4"/>
  <c r="A981" i="4"/>
  <c r="M980" i="4"/>
  <c r="F980" i="4"/>
  <c r="E980" i="4"/>
  <c r="D980" i="4"/>
  <c r="C980" i="4"/>
  <c r="G980" i="4" s="1"/>
  <c r="B980" i="4"/>
  <c r="A980" i="4"/>
  <c r="M979" i="4"/>
  <c r="F979" i="4"/>
  <c r="E979" i="4"/>
  <c r="D979" i="4"/>
  <c r="C979" i="4"/>
  <c r="G979" i="4" s="1"/>
  <c r="B979" i="4"/>
  <c r="A979" i="4"/>
  <c r="M978" i="4"/>
  <c r="F978" i="4"/>
  <c r="E978" i="4"/>
  <c r="D978" i="4"/>
  <c r="C978" i="4"/>
  <c r="G978" i="4" s="1"/>
  <c r="B978" i="4"/>
  <c r="A978" i="4"/>
  <c r="M977" i="4"/>
  <c r="F977" i="4"/>
  <c r="E977" i="4"/>
  <c r="D977" i="4"/>
  <c r="C977" i="4"/>
  <c r="G977" i="4" s="1"/>
  <c r="B977" i="4"/>
  <c r="A977" i="4"/>
  <c r="M976" i="4"/>
  <c r="F976" i="4"/>
  <c r="E976" i="4"/>
  <c r="D976" i="4"/>
  <c r="C976" i="4"/>
  <c r="G976" i="4" s="1"/>
  <c r="B976" i="4"/>
  <c r="A976" i="4"/>
  <c r="M975" i="4"/>
  <c r="F975" i="4"/>
  <c r="E975" i="4"/>
  <c r="D975" i="4"/>
  <c r="C975" i="4"/>
  <c r="G975" i="4" s="1"/>
  <c r="B975" i="4"/>
  <c r="A975" i="4"/>
  <c r="M974" i="4"/>
  <c r="F974" i="4"/>
  <c r="E974" i="4"/>
  <c r="D974" i="4"/>
  <c r="C974" i="4"/>
  <c r="G974" i="4" s="1"/>
  <c r="B974" i="4"/>
  <c r="A974" i="4"/>
  <c r="M973" i="4"/>
  <c r="F973" i="4"/>
  <c r="E973" i="4"/>
  <c r="D973" i="4"/>
  <c r="C973" i="4"/>
  <c r="G973" i="4" s="1"/>
  <c r="B973" i="4"/>
  <c r="A973" i="4"/>
  <c r="M972" i="4"/>
  <c r="F972" i="4"/>
  <c r="E972" i="4"/>
  <c r="D972" i="4"/>
  <c r="C972" i="4"/>
  <c r="G972" i="4" s="1"/>
  <c r="B972" i="4"/>
  <c r="A972" i="4"/>
  <c r="M971" i="4"/>
  <c r="F971" i="4"/>
  <c r="E971" i="4"/>
  <c r="D971" i="4"/>
  <c r="C971" i="4"/>
  <c r="G971" i="4" s="1"/>
  <c r="B971" i="4"/>
  <c r="A971" i="4"/>
  <c r="M970" i="4"/>
  <c r="F970" i="4"/>
  <c r="E970" i="4"/>
  <c r="D970" i="4"/>
  <c r="C970" i="4"/>
  <c r="G970" i="4" s="1"/>
  <c r="B970" i="4"/>
  <c r="A970" i="4"/>
  <c r="M969" i="4"/>
  <c r="F969" i="4"/>
  <c r="E969" i="4"/>
  <c r="D969" i="4"/>
  <c r="C969" i="4"/>
  <c r="G969" i="4" s="1"/>
  <c r="B969" i="4"/>
  <c r="A969" i="4"/>
  <c r="M968" i="4"/>
  <c r="F968" i="4"/>
  <c r="E968" i="4"/>
  <c r="D968" i="4"/>
  <c r="C968" i="4"/>
  <c r="G968" i="4" s="1"/>
  <c r="B968" i="4"/>
  <c r="A968" i="4"/>
  <c r="M967" i="4"/>
  <c r="F967" i="4"/>
  <c r="E967" i="4"/>
  <c r="D967" i="4"/>
  <c r="C967" i="4"/>
  <c r="G967" i="4" s="1"/>
  <c r="B967" i="4"/>
  <c r="A967" i="4"/>
  <c r="M966" i="4"/>
  <c r="F966" i="4"/>
  <c r="E966" i="4"/>
  <c r="D966" i="4"/>
  <c r="C966" i="4"/>
  <c r="G966" i="4" s="1"/>
  <c r="B966" i="4"/>
  <c r="A966" i="4"/>
  <c r="M965" i="4"/>
  <c r="F965" i="4"/>
  <c r="E965" i="4"/>
  <c r="D965" i="4"/>
  <c r="C965" i="4"/>
  <c r="G965" i="4" s="1"/>
  <c r="B965" i="4"/>
  <c r="A965" i="4"/>
  <c r="M964" i="4"/>
  <c r="F964" i="4"/>
  <c r="E964" i="4"/>
  <c r="D964" i="4"/>
  <c r="C964" i="4"/>
  <c r="G964" i="4" s="1"/>
  <c r="B964" i="4"/>
  <c r="A964" i="4"/>
  <c r="M963" i="4"/>
  <c r="F963" i="4"/>
  <c r="E963" i="4"/>
  <c r="D963" i="4"/>
  <c r="C963" i="4"/>
  <c r="G963" i="4" s="1"/>
  <c r="B963" i="4"/>
  <c r="A963" i="4"/>
  <c r="M962" i="4"/>
  <c r="F962" i="4"/>
  <c r="E962" i="4"/>
  <c r="D962" i="4"/>
  <c r="C962" i="4"/>
  <c r="G962" i="4" s="1"/>
  <c r="B962" i="4"/>
  <c r="A962" i="4"/>
  <c r="M961" i="4"/>
  <c r="F961" i="4"/>
  <c r="E961" i="4"/>
  <c r="D961" i="4"/>
  <c r="C961" i="4"/>
  <c r="G961" i="4" s="1"/>
  <c r="B961" i="4"/>
  <c r="A961" i="4"/>
  <c r="M960" i="4"/>
  <c r="F960" i="4"/>
  <c r="E960" i="4"/>
  <c r="D960" i="4"/>
  <c r="C960" i="4"/>
  <c r="G960" i="4" s="1"/>
  <c r="B960" i="4"/>
  <c r="A960" i="4"/>
  <c r="M959" i="4"/>
  <c r="F959" i="4"/>
  <c r="E959" i="4"/>
  <c r="D959" i="4"/>
  <c r="C959" i="4"/>
  <c r="G959" i="4" s="1"/>
  <c r="B959" i="4"/>
  <c r="A959" i="4"/>
  <c r="M958" i="4"/>
  <c r="F958" i="4"/>
  <c r="E958" i="4"/>
  <c r="D958" i="4"/>
  <c r="C958" i="4"/>
  <c r="G958" i="4" s="1"/>
  <c r="B958" i="4"/>
  <c r="A958" i="4"/>
  <c r="M957" i="4"/>
  <c r="F957" i="4"/>
  <c r="E957" i="4"/>
  <c r="D957" i="4"/>
  <c r="C957" i="4"/>
  <c r="G957" i="4" s="1"/>
  <c r="B957" i="4"/>
  <c r="A957" i="4"/>
  <c r="M956" i="4"/>
  <c r="F956" i="4"/>
  <c r="E956" i="4"/>
  <c r="D956" i="4"/>
  <c r="C956" i="4"/>
  <c r="G956" i="4" s="1"/>
  <c r="B956" i="4"/>
  <c r="A956" i="4"/>
  <c r="M955" i="4"/>
  <c r="F955" i="4"/>
  <c r="E955" i="4"/>
  <c r="D955" i="4"/>
  <c r="C955" i="4"/>
  <c r="G955" i="4" s="1"/>
  <c r="B955" i="4"/>
  <c r="A955" i="4"/>
  <c r="M954" i="4"/>
  <c r="F954" i="4"/>
  <c r="E954" i="4"/>
  <c r="D954" i="4"/>
  <c r="C954" i="4"/>
  <c r="G954" i="4" s="1"/>
  <c r="B954" i="4"/>
  <c r="A954" i="4"/>
  <c r="M953" i="4"/>
  <c r="F953" i="4"/>
  <c r="E953" i="4"/>
  <c r="D953" i="4"/>
  <c r="C953" i="4"/>
  <c r="G953" i="4" s="1"/>
  <c r="B953" i="4"/>
  <c r="A953" i="4"/>
  <c r="M952" i="4"/>
  <c r="F952" i="4"/>
  <c r="E952" i="4"/>
  <c r="D952" i="4"/>
  <c r="C952" i="4"/>
  <c r="G952" i="4" s="1"/>
  <c r="B952" i="4"/>
  <c r="A952" i="4"/>
  <c r="M951" i="4"/>
  <c r="F951" i="4"/>
  <c r="E951" i="4"/>
  <c r="D951" i="4"/>
  <c r="C951" i="4"/>
  <c r="G951" i="4" s="1"/>
  <c r="B951" i="4"/>
  <c r="A951" i="4"/>
  <c r="M950" i="4"/>
  <c r="F950" i="4"/>
  <c r="E950" i="4"/>
  <c r="D950" i="4"/>
  <c r="C950" i="4"/>
  <c r="G950" i="4" s="1"/>
  <c r="B950" i="4"/>
  <c r="A950" i="4"/>
  <c r="M949" i="4"/>
  <c r="F949" i="4"/>
  <c r="E949" i="4"/>
  <c r="D949" i="4"/>
  <c r="C949" i="4"/>
  <c r="G949" i="4" s="1"/>
  <c r="B949" i="4"/>
  <c r="A949" i="4"/>
  <c r="M948" i="4"/>
  <c r="F948" i="4"/>
  <c r="E948" i="4"/>
  <c r="D948" i="4"/>
  <c r="C948" i="4"/>
  <c r="G948" i="4" s="1"/>
  <c r="B948" i="4"/>
  <c r="A948" i="4"/>
  <c r="M947" i="4"/>
  <c r="F947" i="4"/>
  <c r="E947" i="4"/>
  <c r="D947" i="4"/>
  <c r="C947" i="4"/>
  <c r="G947" i="4" s="1"/>
  <c r="B947" i="4"/>
  <c r="A947" i="4"/>
  <c r="M946" i="4"/>
  <c r="F946" i="4"/>
  <c r="E946" i="4"/>
  <c r="D946" i="4"/>
  <c r="C946" i="4"/>
  <c r="G946" i="4" s="1"/>
  <c r="B946" i="4"/>
  <c r="A946" i="4"/>
  <c r="M945" i="4"/>
  <c r="F945" i="4"/>
  <c r="E945" i="4"/>
  <c r="D945" i="4"/>
  <c r="C945" i="4"/>
  <c r="G945" i="4" s="1"/>
  <c r="B945" i="4"/>
  <c r="A945" i="4"/>
  <c r="M944" i="4"/>
  <c r="F944" i="4"/>
  <c r="E944" i="4"/>
  <c r="D944" i="4"/>
  <c r="C944" i="4"/>
  <c r="G944" i="4" s="1"/>
  <c r="B944" i="4"/>
  <c r="A944" i="4"/>
  <c r="M943" i="4"/>
  <c r="F943" i="4"/>
  <c r="E943" i="4"/>
  <c r="D943" i="4"/>
  <c r="C943" i="4"/>
  <c r="G943" i="4" s="1"/>
  <c r="B943" i="4"/>
  <c r="A943" i="4"/>
  <c r="M942" i="4"/>
  <c r="F942" i="4"/>
  <c r="E942" i="4"/>
  <c r="D942" i="4"/>
  <c r="C942" i="4"/>
  <c r="G942" i="4" s="1"/>
  <c r="B942" i="4"/>
  <c r="A942" i="4"/>
  <c r="M941" i="4"/>
  <c r="F941" i="4"/>
  <c r="E941" i="4"/>
  <c r="D941" i="4"/>
  <c r="C941" i="4"/>
  <c r="G941" i="4" s="1"/>
  <c r="B941" i="4"/>
  <c r="A941" i="4"/>
  <c r="M940" i="4"/>
  <c r="F940" i="4"/>
  <c r="E940" i="4"/>
  <c r="D940" i="4"/>
  <c r="C940" i="4"/>
  <c r="G940" i="4" s="1"/>
  <c r="B940" i="4"/>
  <c r="A940" i="4"/>
  <c r="M939" i="4"/>
  <c r="F939" i="4"/>
  <c r="E939" i="4"/>
  <c r="D939" i="4"/>
  <c r="C939" i="4"/>
  <c r="G939" i="4" s="1"/>
  <c r="B939" i="4"/>
  <c r="A939" i="4"/>
  <c r="M938" i="4"/>
  <c r="F938" i="4"/>
  <c r="E938" i="4"/>
  <c r="D938" i="4"/>
  <c r="C938" i="4"/>
  <c r="G938" i="4" s="1"/>
  <c r="B938" i="4"/>
  <c r="A938" i="4"/>
  <c r="M937" i="4"/>
  <c r="F937" i="4"/>
  <c r="E937" i="4"/>
  <c r="D937" i="4"/>
  <c r="C937" i="4"/>
  <c r="G937" i="4" s="1"/>
  <c r="B937" i="4"/>
  <c r="A937" i="4"/>
  <c r="M936" i="4"/>
  <c r="F936" i="4"/>
  <c r="E936" i="4"/>
  <c r="D936" i="4"/>
  <c r="C936" i="4"/>
  <c r="G936" i="4" s="1"/>
  <c r="B936" i="4"/>
  <c r="A936" i="4"/>
  <c r="M935" i="4"/>
  <c r="F935" i="4"/>
  <c r="E935" i="4"/>
  <c r="D935" i="4"/>
  <c r="C935" i="4"/>
  <c r="G935" i="4" s="1"/>
  <c r="B935" i="4"/>
  <c r="A935" i="4"/>
  <c r="M934" i="4"/>
  <c r="F934" i="4"/>
  <c r="E934" i="4"/>
  <c r="D934" i="4"/>
  <c r="C934" i="4"/>
  <c r="G934" i="4" s="1"/>
  <c r="B934" i="4"/>
  <c r="A934" i="4"/>
  <c r="M933" i="4"/>
  <c r="F933" i="4"/>
  <c r="E933" i="4"/>
  <c r="D933" i="4"/>
  <c r="C933" i="4"/>
  <c r="G933" i="4" s="1"/>
  <c r="B933" i="4"/>
  <c r="A933" i="4"/>
  <c r="M932" i="4"/>
  <c r="F932" i="4"/>
  <c r="E932" i="4"/>
  <c r="D932" i="4"/>
  <c r="C932" i="4"/>
  <c r="G932" i="4" s="1"/>
  <c r="B932" i="4"/>
  <c r="A932" i="4"/>
  <c r="M931" i="4"/>
  <c r="F931" i="4"/>
  <c r="E931" i="4"/>
  <c r="D931" i="4"/>
  <c r="C931" i="4"/>
  <c r="G931" i="4" s="1"/>
  <c r="B931" i="4"/>
  <c r="A931" i="4"/>
  <c r="M930" i="4"/>
  <c r="F930" i="4"/>
  <c r="E930" i="4"/>
  <c r="D930" i="4"/>
  <c r="C930" i="4"/>
  <c r="G930" i="4" s="1"/>
  <c r="B930" i="4"/>
  <c r="A930" i="4"/>
  <c r="M929" i="4"/>
  <c r="F929" i="4"/>
  <c r="E929" i="4"/>
  <c r="D929" i="4"/>
  <c r="C929" i="4"/>
  <c r="G929" i="4" s="1"/>
  <c r="B929" i="4"/>
  <c r="A929" i="4"/>
  <c r="M928" i="4"/>
  <c r="F928" i="4"/>
  <c r="E928" i="4"/>
  <c r="D928" i="4"/>
  <c r="C928" i="4"/>
  <c r="G928" i="4" s="1"/>
  <c r="B928" i="4"/>
  <c r="A928" i="4"/>
  <c r="M927" i="4"/>
  <c r="F927" i="4"/>
  <c r="E927" i="4"/>
  <c r="D927" i="4"/>
  <c r="C927" i="4"/>
  <c r="G927" i="4" s="1"/>
  <c r="B927" i="4"/>
  <c r="A927" i="4"/>
  <c r="M926" i="4"/>
  <c r="F926" i="4"/>
  <c r="E926" i="4"/>
  <c r="D926" i="4"/>
  <c r="C926" i="4"/>
  <c r="G926" i="4" s="1"/>
  <c r="B926" i="4"/>
  <c r="A926" i="4"/>
  <c r="M925" i="4"/>
  <c r="F925" i="4"/>
  <c r="E925" i="4"/>
  <c r="D925" i="4"/>
  <c r="C925" i="4"/>
  <c r="G925" i="4" s="1"/>
  <c r="B925" i="4"/>
  <c r="A925" i="4"/>
  <c r="M924" i="4"/>
  <c r="F924" i="4"/>
  <c r="E924" i="4"/>
  <c r="D924" i="4"/>
  <c r="C924" i="4"/>
  <c r="G924" i="4" s="1"/>
  <c r="B924" i="4"/>
  <c r="A924" i="4"/>
  <c r="M923" i="4"/>
  <c r="F923" i="4"/>
  <c r="E923" i="4"/>
  <c r="D923" i="4"/>
  <c r="C923" i="4"/>
  <c r="G923" i="4" s="1"/>
  <c r="B923" i="4"/>
  <c r="A923" i="4"/>
  <c r="M922" i="4"/>
  <c r="F922" i="4"/>
  <c r="E922" i="4"/>
  <c r="D922" i="4"/>
  <c r="C922" i="4"/>
  <c r="G922" i="4" s="1"/>
  <c r="B922" i="4"/>
  <c r="A922" i="4"/>
  <c r="M921" i="4"/>
  <c r="F921" i="4"/>
  <c r="E921" i="4"/>
  <c r="D921" i="4"/>
  <c r="C921" i="4"/>
  <c r="G921" i="4" s="1"/>
  <c r="B921" i="4"/>
  <c r="A921" i="4"/>
  <c r="M920" i="4"/>
  <c r="F920" i="4"/>
  <c r="E920" i="4"/>
  <c r="D920" i="4"/>
  <c r="C920" i="4"/>
  <c r="G920" i="4" s="1"/>
  <c r="B920" i="4"/>
  <c r="A920" i="4"/>
  <c r="M919" i="4"/>
  <c r="F919" i="4"/>
  <c r="E919" i="4"/>
  <c r="D919" i="4"/>
  <c r="C919" i="4"/>
  <c r="G919" i="4" s="1"/>
  <c r="B919" i="4"/>
  <c r="A919" i="4"/>
  <c r="M918" i="4"/>
  <c r="F918" i="4"/>
  <c r="E918" i="4"/>
  <c r="D918" i="4"/>
  <c r="C918" i="4"/>
  <c r="G918" i="4" s="1"/>
  <c r="B918" i="4"/>
  <c r="A918" i="4"/>
  <c r="M917" i="4"/>
  <c r="F917" i="4"/>
  <c r="E917" i="4"/>
  <c r="D917" i="4"/>
  <c r="C917" i="4"/>
  <c r="G917" i="4" s="1"/>
  <c r="B917" i="4"/>
  <c r="A917" i="4"/>
  <c r="M916" i="4"/>
  <c r="F916" i="4"/>
  <c r="E916" i="4"/>
  <c r="D916" i="4"/>
  <c r="C916" i="4"/>
  <c r="G916" i="4" s="1"/>
  <c r="B916" i="4"/>
  <c r="A916" i="4"/>
  <c r="M915" i="4"/>
  <c r="F915" i="4"/>
  <c r="E915" i="4"/>
  <c r="D915" i="4"/>
  <c r="C915" i="4"/>
  <c r="G915" i="4" s="1"/>
  <c r="B915" i="4"/>
  <c r="A915" i="4"/>
  <c r="M914" i="4"/>
  <c r="F914" i="4"/>
  <c r="E914" i="4"/>
  <c r="D914" i="4"/>
  <c r="C914" i="4"/>
  <c r="G914" i="4" s="1"/>
  <c r="B914" i="4"/>
  <c r="A914" i="4"/>
  <c r="M913" i="4"/>
  <c r="F913" i="4"/>
  <c r="E913" i="4"/>
  <c r="D913" i="4"/>
  <c r="C913" i="4"/>
  <c r="G913" i="4" s="1"/>
  <c r="B913" i="4"/>
  <c r="A913" i="4"/>
  <c r="M912" i="4"/>
  <c r="F912" i="4"/>
  <c r="E912" i="4"/>
  <c r="D912" i="4"/>
  <c r="C912" i="4"/>
  <c r="G912" i="4" s="1"/>
  <c r="B912" i="4"/>
  <c r="A912" i="4"/>
  <c r="M911" i="4"/>
  <c r="F911" i="4"/>
  <c r="E911" i="4"/>
  <c r="D911" i="4"/>
  <c r="C911" i="4"/>
  <c r="G911" i="4" s="1"/>
  <c r="B911" i="4"/>
  <c r="A911" i="4"/>
  <c r="M910" i="4"/>
  <c r="F910" i="4"/>
  <c r="E910" i="4"/>
  <c r="D910" i="4"/>
  <c r="C910" i="4"/>
  <c r="G910" i="4" s="1"/>
  <c r="B910" i="4"/>
  <c r="A910" i="4"/>
  <c r="M909" i="4"/>
  <c r="F909" i="4"/>
  <c r="E909" i="4"/>
  <c r="D909" i="4"/>
  <c r="C909" i="4"/>
  <c r="G909" i="4" s="1"/>
  <c r="B909" i="4"/>
  <c r="A909" i="4"/>
  <c r="M908" i="4"/>
  <c r="F908" i="4"/>
  <c r="E908" i="4"/>
  <c r="D908" i="4"/>
  <c r="C908" i="4"/>
  <c r="G908" i="4" s="1"/>
  <c r="B908" i="4"/>
  <c r="A908" i="4"/>
  <c r="M907" i="4"/>
  <c r="F907" i="4"/>
  <c r="E907" i="4"/>
  <c r="D907" i="4"/>
  <c r="C907" i="4"/>
  <c r="G907" i="4" s="1"/>
  <c r="B907" i="4"/>
  <c r="A907" i="4"/>
  <c r="M906" i="4"/>
  <c r="F906" i="4"/>
  <c r="E906" i="4"/>
  <c r="D906" i="4"/>
  <c r="C906" i="4"/>
  <c r="G906" i="4" s="1"/>
  <c r="B906" i="4"/>
  <c r="A906" i="4"/>
  <c r="M905" i="4"/>
  <c r="F905" i="4"/>
  <c r="E905" i="4"/>
  <c r="D905" i="4"/>
  <c r="C905" i="4"/>
  <c r="G905" i="4" s="1"/>
  <c r="B905" i="4"/>
  <c r="A905" i="4"/>
  <c r="M904" i="4"/>
  <c r="F904" i="4"/>
  <c r="E904" i="4"/>
  <c r="D904" i="4"/>
  <c r="C904" i="4"/>
  <c r="G904" i="4" s="1"/>
  <c r="B904" i="4"/>
  <c r="A904" i="4"/>
  <c r="M903" i="4"/>
  <c r="F903" i="4"/>
  <c r="E903" i="4"/>
  <c r="D903" i="4"/>
  <c r="C903" i="4"/>
  <c r="G903" i="4" s="1"/>
  <c r="B903" i="4"/>
  <c r="A903" i="4"/>
  <c r="M902" i="4"/>
  <c r="F902" i="4"/>
  <c r="E902" i="4"/>
  <c r="D902" i="4"/>
  <c r="C902" i="4"/>
  <c r="G902" i="4" s="1"/>
  <c r="B902" i="4"/>
  <c r="A902" i="4"/>
  <c r="M901" i="4"/>
  <c r="F901" i="4"/>
  <c r="E901" i="4"/>
  <c r="D901" i="4"/>
  <c r="C901" i="4"/>
  <c r="G901" i="4" s="1"/>
  <c r="B901" i="4"/>
  <c r="A901" i="4"/>
  <c r="M900" i="4"/>
  <c r="F900" i="4"/>
  <c r="E900" i="4"/>
  <c r="D900" i="4"/>
  <c r="C900" i="4"/>
  <c r="G900" i="4" s="1"/>
  <c r="B900" i="4"/>
  <c r="A900" i="4"/>
  <c r="M899" i="4"/>
  <c r="F899" i="4"/>
  <c r="E899" i="4"/>
  <c r="D899" i="4"/>
  <c r="C899" i="4"/>
  <c r="G899" i="4" s="1"/>
  <c r="B899" i="4"/>
  <c r="A899" i="4"/>
  <c r="M898" i="4"/>
  <c r="F898" i="4"/>
  <c r="E898" i="4"/>
  <c r="D898" i="4"/>
  <c r="C898" i="4"/>
  <c r="G898" i="4" s="1"/>
  <c r="B898" i="4"/>
  <c r="A898" i="4"/>
  <c r="M897" i="4"/>
  <c r="F897" i="4"/>
  <c r="E897" i="4"/>
  <c r="D897" i="4"/>
  <c r="C897" i="4"/>
  <c r="G897" i="4" s="1"/>
  <c r="B897" i="4"/>
  <c r="A897" i="4"/>
  <c r="M896" i="4"/>
  <c r="F896" i="4"/>
  <c r="E896" i="4"/>
  <c r="D896" i="4"/>
  <c r="C896" i="4"/>
  <c r="G896" i="4" s="1"/>
  <c r="B896" i="4"/>
  <c r="A896" i="4"/>
  <c r="M895" i="4"/>
  <c r="F895" i="4"/>
  <c r="E895" i="4"/>
  <c r="D895" i="4"/>
  <c r="C895" i="4"/>
  <c r="G895" i="4" s="1"/>
  <c r="B895" i="4"/>
  <c r="A895" i="4"/>
  <c r="M894" i="4"/>
  <c r="F894" i="4"/>
  <c r="E894" i="4"/>
  <c r="D894" i="4"/>
  <c r="C894" i="4"/>
  <c r="G894" i="4" s="1"/>
  <c r="B894" i="4"/>
  <c r="A894" i="4"/>
  <c r="M893" i="4"/>
  <c r="F893" i="4"/>
  <c r="E893" i="4"/>
  <c r="D893" i="4"/>
  <c r="C893" i="4"/>
  <c r="G893" i="4" s="1"/>
  <c r="B893" i="4"/>
  <c r="A893" i="4"/>
  <c r="M892" i="4"/>
  <c r="F892" i="4"/>
  <c r="E892" i="4"/>
  <c r="D892" i="4"/>
  <c r="C892" i="4"/>
  <c r="G892" i="4" s="1"/>
  <c r="B892" i="4"/>
  <c r="A892" i="4"/>
  <c r="M891" i="4"/>
  <c r="F891" i="4"/>
  <c r="E891" i="4"/>
  <c r="D891" i="4"/>
  <c r="C891" i="4"/>
  <c r="G891" i="4" s="1"/>
  <c r="B891" i="4"/>
  <c r="A891" i="4"/>
  <c r="M890" i="4"/>
  <c r="F890" i="4"/>
  <c r="E890" i="4"/>
  <c r="D890" i="4"/>
  <c r="C890" i="4"/>
  <c r="G890" i="4" s="1"/>
  <c r="B890" i="4"/>
  <c r="A890" i="4"/>
  <c r="M889" i="4"/>
  <c r="F889" i="4"/>
  <c r="E889" i="4"/>
  <c r="D889" i="4"/>
  <c r="C889" i="4"/>
  <c r="G889" i="4" s="1"/>
  <c r="B889" i="4"/>
  <c r="A889" i="4"/>
  <c r="M888" i="4"/>
  <c r="F888" i="4"/>
  <c r="E888" i="4"/>
  <c r="D888" i="4"/>
  <c r="C888" i="4"/>
  <c r="G888" i="4" s="1"/>
  <c r="B888" i="4"/>
  <c r="A888" i="4"/>
  <c r="M887" i="4"/>
  <c r="F887" i="4"/>
  <c r="E887" i="4"/>
  <c r="D887" i="4"/>
  <c r="C887" i="4"/>
  <c r="G887" i="4" s="1"/>
  <c r="B887" i="4"/>
  <c r="A887" i="4"/>
  <c r="M886" i="4"/>
  <c r="F886" i="4"/>
  <c r="E886" i="4"/>
  <c r="D886" i="4"/>
  <c r="C886" i="4"/>
  <c r="G886" i="4" s="1"/>
  <c r="B886" i="4"/>
  <c r="A886" i="4"/>
  <c r="M885" i="4"/>
  <c r="F885" i="4"/>
  <c r="E885" i="4"/>
  <c r="D885" i="4"/>
  <c r="C885" i="4"/>
  <c r="G885" i="4" s="1"/>
  <c r="B885" i="4"/>
  <c r="A885" i="4"/>
  <c r="M884" i="4"/>
  <c r="F884" i="4"/>
  <c r="E884" i="4"/>
  <c r="D884" i="4"/>
  <c r="C884" i="4"/>
  <c r="G884" i="4" s="1"/>
  <c r="B884" i="4"/>
  <c r="A884" i="4"/>
  <c r="M883" i="4"/>
  <c r="F883" i="4"/>
  <c r="E883" i="4"/>
  <c r="D883" i="4"/>
  <c r="C883" i="4"/>
  <c r="G883" i="4" s="1"/>
  <c r="B883" i="4"/>
  <c r="A883" i="4"/>
  <c r="M882" i="4"/>
  <c r="F882" i="4"/>
  <c r="E882" i="4"/>
  <c r="D882" i="4"/>
  <c r="C882" i="4"/>
  <c r="G882" i="4" s="1"/>
  <c r="B882" i="4"/>
  <c r="A882" i="4"/>
  <c r="M881" i="4"/>
  <c r="F881" i="4"/>
  <c r="E881" i="4"/>
  <c r="D881" i="4"/>
  <c r="C881" i="4"/>
  <c r="G881" i="4" s="1"/>
  <c r="B881" i="4"/>
  <c r="A881" i="4"/>
  <c r="M880" i="4"/>
  <c r="F880" i="4"/>
  <c r="E880" i="4"/>
  <c r="D880" i="4"/>
  <c r="C880" i="4"/>
  <c r="G880" i="4" s="1"/>
  <c r="B880" i="4"/>
  <c r="A880" i="4"/>
  <c r="M879" i="4"/>
  <c r="F879" i="4"/>
  <c r="E879" i="4"/>
  <c r="D879" i="4"/>
  <c r="C879" i="4"/>
  <c r="G879" i="4" s="1"/>
  <c r="B879" i="4"/>
  <c r="A879" i="4"/>
  <c r="M878" i="4"/>
  <c r="F878" i="4"/>
  <c r="E878" i="4"/>
  <c r="D878" i="4"/>
  <c r="C878" i="4"/>
  <c r="G878" i="4" s="1"/>
  <c r="B878" i="4"/>
  <c r="A878" i="4"/>
  <c r="M877" i="4"/>
  <c r="F877" i="4"/>
  <c r="E877" i="4"/>
  <c r="D877" i="4"/>
  <c r="C877" i="4"/>
  <c r="G877" i="4" s="1"/>
  <c r="B877" i="4"/>
  <c r="A877" i="4"/>
  <c r="M876" i="4"/>
  <c r="F876" i="4"/>
  <c r="E876" i="4"/>
  <c r="D876" i="4"/>
  <c r="C876" i="4"/>
  <c r="G876" i="4" s="1"/>
  <c r="B876" i="4"/>
  <c r="A876" i="4"/>
  <c r="M875" i="4"/>
  <c r="F875" i="4"/>
  <c r="E875" i="4"/>
  <c r="D875" i="4"/>
  <c r="C875" i="4"/>
  <c r="G875" i="4" s="1"/>
  <c r="B875" i="4"/>
  <c r="A875" i="4"/>
  <c r="M874" i="4"/>
  <c r="F874" i="4"/>
  <c r="E874" i="4"/>
  <c r="D874" i="4"/>
  <c r="C874" i="4"/>
  <c r="G874" i="4" s="1"/>
  <c r="B874" i="4"/>
  <c r="A874" i="4"/>
  <c r="M873" i="4"/>
  <c r="F873" i="4"/>
  <c r="E873" i="4"/>
  <c r="D873" i="4"/>
  <c r="C873" i="4"/>
  <c r="G873" i="4" s="1"/>
  <c r="B873" i="4"/>
  <c r="A873" i="4"/>
  <c r="M872" i="4"/>
  <c r="F872" i="4"/>
  <c r="E872" i="4"/>
  <c r="D872" i="4"/>
  <c r="C872" i="4"/>
  <c r="G872" i="4" s="1"/>
  <c r="B872" i="4"/>
  <c r="A872" i="4"/>
  <c r="M871" i="4"/>
  <c r="F871" i="4"/>
  <c r="E871" i="4"/>
  <c r="D871" i="4"/>
  <c r="C871" i="4"/>
  <c r="G871" i="4" s="1"/>
  <c r="B871" i="4"/>
  <c r="A871" i="4"/>
  <c r="M870" i="4"/>
  <c r="F870" i="4"/>
  <c r="E870" i="4"/>
  <c r="D870" i="4"/>
  <c r="C870" i="4"/>
  <c r="G870" i="4" s="1"/>
  <c r="B870" i="4"/>
  <c r="A870" i="4"/>
  <c r="M869" i="4"/>
  <c r="F869" i="4"/>
  <c r="E869" i="4"/>
  <c r="D869" i="4"/>
  <c r="C869" i="4"/>
  <c r="G869" i="4" s="1"/>
  <c r="B869" i="4"/>
  <c r="A869" i="4"/>
  <c r="M868" i="4"/>
  <c r="F868" i="4"/>
  <c r="E868" i="4"/>
  <c r="D868" i="4"/>
  <c r="C868" i="4"/>
  <c r="G868" i="4" s="1"/>
  <c r="B868" i="4"/>
  <c r="A868" i="4"/>
  <c r="M867" i="4"/>
  <c r="F867" i="4"/>
  <c r="E867" i="4"/>
  <c r="D867" i="4"/>
  <c r="C867" i="4"/>
  <c r="G867" i="4" s="1"/>
  <c r="B867" i="4"/>
  <c r="A867" i="4"/>
  <c r="M866" i="4"/>
  <c r="F866" i="4"/>
  <c r="E866" i="4"/>
  <c r="D866" i="4"/>
  <c r="C866" i="4"/>
  <c r="G866" i="4" s="1"/>
  <c r="B866" i="4"/>
  <c r="A866" i="4"/>
  <c r="M865" i="4"/>
  <c r="F865" i="4"/>
  <c r="E865" i="4"/>
  <c r="D865" i="4"/>
  <c r="C865" i="4"/>
  <c r="G865" i="4" s="1"/>
  <c r="B865" i="4"/>
  <c r="A865" i="4"/>
  <c r="M864" i="4"/>
  <c r="F864" i="4"/>
  <c r="E864" i="4"/>
  <c r="D864" i="4"/>
  <c r="C864" i="4"/>
  <c r="G864" i="4" s="1"/>
  <c r="B864" i="4"/>
  <c r="A864" i="4"/>
  <c r="M863" i="4"/>
  <c r="F863" i="4"/>
  <c r="E863" i="4"/>
  <c r="D863" i="4"/>
  <c r="C863" i="4"/>
  <c r="G863" i="4" s="1"/>
  <c r="B863" i="4"/>
  <c r="A863" i="4"/>
  <c r="M862" i="4"/>
  <c r="F862" i="4"/>
  <c r="E862" i="4"/>
  <c r="D862" i="4"/>
  <c r="C862" i="4"/>
  <c r="G862" i="4" s="1"/>
  <c r="B862" i="4"/>
  <c r="A862" i="4"/>
  <c r="M861" i="4"/>
  <c r="F861" i="4"/>
  <c r="E861" i="4"/>
  <c r="D861" i="4"/>
  <c r="C861" i="4"/>
  <c r="G861" i="4" s="1"/>
  <c r="B861" i="4"/>
  <c r="A861" i="4"/>
  <c r="M860" i="4"/>
  <c r="F860" i="4"/>
  <c r="E860" i="4"/>
  <c r="D860" i="4"/>
  <c r="C860" i="4"/>
  <c r="G860" i="4" s="1"/>
  <c r="B860" i="4"/>
  <c r="A860" i="4"/>
  <c r="M859" i="4"/>
  <c r="F859" i="4"/>
  <c r="E859" i="4"/>
  <c r="D859" i="4"/>
  <c r="C859" i="4"/>
  <c r="G859" i="4" s="1"/>
  <c r="B859" i="4"/>
  <c r="A859" i="4"/>
  <c r="M858" i="4"/>
  <c r="F858" i="4"/>
  <c r="E858" i="4"/>
  <c r="D858" i="4"/>
  <c r="C858" i="4"/>
  <c r="G858" i="4" s="1"/>
  <c r="B858" i="4"/>
  <c r="A858" i="4"/>
  <c r="M857" i="4"/>
  <c r="F857" i="4"/>
  <c r="E857" i="4"/>
  <c r="D857" i="4"/>
  <c r="C857" i="4"/>
  <c r="G857" i="4" s="1"/>
  <c r="B857" i="4"/>
  <c r="A857" i="4"/>
  <c r="M856" i="4"/>
  <c r="F856" i="4"/>
  <c r="E856" i="4"/>
  <c r="D856" i="4"/>
  <c r="C856" i="4"/>
  <c r="G856" i="4" s="1"/>
  <c r="B856" i="4"/>
  <c r="A856" i="4"/>
  <c r="M855" i="4"/>
  <c r="F855" i="4"/>
  <c r="E855" i="4"/>
  <c r="D855" i="4"/>
  <c r="C855" i="4"/>
  <c r="G855" i="4" s="1"/>
  <c r="B855" i="4"/>
  <c r="A855" i="4"/>
  <c r="M854" i="4"/>
  <c r="F854" i="4"/>
  <c r="E854" i="4"/>
  <c r="D854" i="4"/>
  <c r="C854" i="4"/>
  <c r="G854" i="4" s="1"/>
  <c r="B854" i="4"/>
  <c r="A854" i="4"/>
  <c r="M853" i="4"/>
  <c r="F853" i="4"/>
  <c r="E853" i="4"/>
  <c r="D853" i="4"/>
  <c r="C853" i="4"/>
  <c r="G853" i="4" s="1"/>
  <c r="B853" i="4"/>
  <c r="A853" i="4"/>
  <c r="M852" i="4"/>
  <c r="F852" i="4"/>
  <c r="E852" i="4"/>
  <c r="D852" i="4"/>
  <c r="C852" i="4"/>
  <c r="G852" i="4" s="1"/>
  <c r="B852" i="4"/>
  <c r="A852" i="4"/>
  <c r="M851" i="4"/>
  <c r="F851" i="4"/>
  <c r="E851" i="4"/>
  <c r="D851" i="4"/>
  <c r="C851" i="4"/>
  <c r="G851" i="4" s="1"/>
  <c r="B851" i="4"/>
  <c r="A851" i="4"/>
  <c r="M850" i="4"/>
  <c r="F850" i="4"/>
  <c r="E850" i="4"/>
  <c r="D850" i="4"/>
  <c r="C850" i="4"/>
  <c r="G850" i="4" s="1"/>
  <c r="B850" i="4"/>
  <c r="A850" i="4"/>
  <c r="M849" i="4"/>
  <c r="F849" i="4"/>
  <c r="E849" i="4"/>
  <c r="D849" i="4"/>
  <c r="C849" i="4"/>
  <c r="G849" i="4" s="1"/>
  <c r="B849" i="4"/>
  <c r="A849" i="4"/>
  <c r="M848" i="4"/>
  <c r="F848" i="4"/>
  <c r="E848" i="4"/>
  <c r="D848" i="4"/>
  <c r="C848" i="4"/>
  <c r="G848" i="4" s="1"/>
  <c r="B848" i="4"/>
  <c r="A848" i="4"/>
  <c r="M847" i="4"/>
  <c r="F847" i="4"/>
  <c r="E847" i="4"/>
  <c r="D847" i="4"/>
  <c r="C847" i="4"/>
  <c r="G847" i="4" s="1"/>
  <c r="B847" i="4"/>
  <c r="A847" i="4"/>
  <c r="M846" i="4"/>
  <c r="F846" i="4"/>
  <c r="E846" i="4"/>
  <c r="D846" i="4"/>
  <c r="C846" i="4"/>
  <c r="G846" i="4" s="1"/>
  <c r="B846" i="4"/>
  <c r="A846" i="4"/>
  <c r="M845" i="4"/>
  <c r="F845" i="4"/>
  <c r="E845" i="4"/>
  <c r="D845" i="4"/>
  <c r="C845" i="4"/>
  <c r="G845" i="4" s="1"/>
  <c r="B845" i="4"/>
  <c r="A845" i="4"/>
  <c r="M844" i="4"/>
  <c r="F844" i="4"/>
  <c r="E844" i="4"/>
  <c r="D844" i="4"/>
  <c r="C844" i="4"/>
  <c r="G844" i="4" s="1"/>
  <c r="B844" i="4"/>
  <c r="A844" i="4"/>
  <c r="M843" i="4"/>
  <c r="F843" i="4"/>
  <c r="E843" i="4"/>
  <c r="D843" i="4"/>
  <c r="C843" i="4"/>
  <c r="G843" i="4" s="1"/>
  <c r="B843" i="4"/>
  <c r="A843" i="4"/>
  <c r="M842" i="4"/>
  <c r="F842" i="4"/>
  <c r="E842" i="4"/>
  <c r="D842" i="4"/>
  <c r="C842" i="4"/>
  <c r="G842" i="4" s="1"/>
  <c r="B842" i="4"/>
  <c r="A842" i="4"/>
  <c r="M841" i="4"/>
  <c r="F841" i="4"/>
  <c r="E841" i="4"/>
  <c r="D841" i="4"/>
  <c r="C841" i="4"/>
  <c r="G841" i="4" s="1"/>
  <c r="B841" i="4"/>
  <c r="A841" i="4"/>
  <c r="M840" i="4"/>
  <c r="F840" i="4"/>
  <c r="E840" i="4"/>
  <c r="D840" i="4"/>
  <c r="C840" i="4"/>
  <c r="G840" i="4" s="1"/>
  <c r="B840" i="4"/>
  <c r="A840" i="4"/>
  <c r="M839" i="4"/>
  <c r="F839" i="4"/>
  <c r="E839" i="4"/>
  <c r="D839" i="4"/>
  <c r="C839" i="4"/>
  <c r="G839" i="4" s="1"/>
  <c r="B839" i="4"/>
  <c r="A839" i="4"/>
  <c r="M838" i="4"/>
  <c r="F838" i="4"/>
  <c r="E838" i="4"/>
  <c r="D838" i="4"/>
  <c r="C838" i="4"/>
  <c r="G838" i="4" s="1"/>
  <c r="B838" i="4"/>
  <c r="A838" i="4"/>
  <c r="M837" i="4"/>
  <c r="F837" i="4"/>
  <c r="E837" i="4"/>
  <c r="D837" i="4"/>
  <c r="C837" i="4"/>
  <c r="G837" i="4" s="1"/>
  <c r="B837" i="4"/>
  <c r="A837" i="4"/>
  <c r="M836" i="4"/>
  <c r="F836" i="4"/>
  <c r="E836" i="4"/>
  <c r="D836" i="4"/>
  <c r="C836" i="4"/>
  <c r="G836" i="4" s="1"/>
  <c r="B836" i="4"/>
  <c r="A836" i="4"/>
  <c r="M835" i="4"/>
  <c r="F835" i="4"/>
  <c r="E835" i="4"/>
  <c r="D835" i="4"/>
  <c r="C835" i="4"/>
  <c r="G835" i="4" s="1"/>
  <c r="B835" i="4"/>
  <c r="A835" i="4"/>
  <c r="M834" i="4"/>
  <c r="F834" i="4"/>
  <c r="E834" i="4"/>
  <c r="D834" i="4"/>
  <c r="C834" i="4"/>
  <c r="G834" i="4" s="1"/>
  <c r="B834" i="4"/>
  <c r="A834" i="4"/>
  <c r="M833" i="4"/>
  <c r="F833" i="4"/>
  <c r="E833" i="4"/>
  <c r="D833" i="4"/>
  <c r="C833" i="4"/>
  <c r="G833" i="4" s="1"/>
  <c r="B833" i="4"/>
  <c r="A833" i="4"/>
  <c r="M832" i="4"/>
  <c r="F832" i="4"/>
  <c r="E832" i="4"/>
  <c r="D832" i="4"/>
  <c r="C832" i="4"/>
  <c r="G832" i="4" s="1"/>
  <c r="B832" i="4"/>
  <c r="A832" i="4"/>
  <c r="M831" i="4"/>
  <c r="F831" i="4"/>
  <c r="E831" i="4"/>
  <c r="D831" i="4"/>
  <c r="C831" i="4"/>
  <c r="G831" i="4" s="1"/>
  <c r="B831" i="4"/>
  <c r="A831" i="4"/>
  <c r="M830" i="4"/>
  <c r="F830" i="4"/>
  <c r="E830" i="4"/>
  <c r="D830" i="4"/>
  <c r="C830" i="4"/>
  <c r="G830" i="4" s="1"/>
  <c r="B830" i="4"/>
  <c r="A830" i="4"/>
  <c r="M829" i="4"/>
  <c r="F829" i="4"/>
  <c r="E829" i="4"/>
  <c r="D829" i="4"/>
  <c r="C829" i="4"/>
  <c r="G829" i="4" s="1"/>
  <c r="B829" i="4"/>
  <c r="A829" i="4"/>
  <c r="M828" i="4"/>
  <c r="F828" i="4"/>
  <c r="E828" i="4"/>
  <c r="D828" i="4"/>
  <c r="C828" i="4"/>
  <c r="G828" i="4" s="1"/>
  <c r="B828" i="4"/>
  <c r="A828" i="4"/>
  <c r="M827" i="4"/>
  <c r="F827" i="4"/>
  <c r="E827" i="4"/>
  <c r="D827" i="4"/>
  <c r="C827" i="4"/>
  <c r="G827" i="4" s="1"/>
  <c r="B827" i="4"/>
  <c r="A827" i="4"/>
  <c r="M826" i="4"/>
  <c r="F826" i="4"/>
  <c r="E826" i="4"/>
  <c r="D826" i="4"/>
  <c r="C826" i="4"/>
  <c r="G826" i="4" s="1"/>
  <c r="B826" i="4"/>
  <c r="A826" i="4"/>
  <c r="M825" i="4"/>
  <c r="F825" i="4"/>
  <c r="E825" i="4"/>
  <c r="D825" i="4"/>
  <c r="C825" i="4"/>
  <c r="G825" i="4" s="1"/>
  <c r="B825" i="4"/>
  <c r="A825" i="4"/>
  <c r="M824" i="4"/>
  <c r="F824" i="4"/>
  <c r="E824" i="4"/>
  <c r="D824" i="4"/>
  <c r="C824" i="4"/>
  <c r="G824" i="4" s="1"/>
  <c r="B824" i="4"/>
  <c r="A824" i="4"/>
  <c r="M823" i="4"/>
  <c r="F823" i="4"/>
  <c r="E823" i="4"/>
  <c r="D823" i="4"/>
  <c r="C823" i="4"/>
  <c r="G823" i="4" s="1"/>
  <c r="B823" i="4"/>
  <c r="A823" i="4"/>
  <c r="M822" i="4"/>
  <c r="F822" i="4"/>
  <c r="E822" i="4"/>
  <c r="D822" i="4"/>
  <c r="C822" i="4"/>
  <c r="G822" i="4" s="1"/>
  <c r="B822" i="4"/>
  <c r="A822" i="4"/>
  <c r="M821" i="4"/>
  <c r="F821" i="4"/>
  <c r="E821" i="4"/>
  <c r="D821" i="4"/>
  <c r="C821" i="4"/>
  <c r="G821" i="4" s="1"/>
  <c r="B821" i="4"/>
  <c r="A821" i="4"/>
  <c r="M820" i="4"/>
  <c r="F820" i="4"/>
  <c r="E820" i="4"/>
  <c r="D820" i="4"/>
  <c r="C820" i="4"/>
  <c r="G820" i="4" s="1"/>
  <c r="B820" i="4"/>
  <c r="A820" i="4"/>
  <c r="M819" i="4"/>
  <c r="F819" i="4"/>
  <c r="E819" i="4"/>
  <c r="D819" i="4"/>
  <c r="C819" i="4"/>
  <c r="G819" i="4" s="1"/>
  <c r="B819" i="4"/>
  <c r="A819" i="4"/>
  <c r="M818" i="4"/>
  <c r="F818" i="4"/>
  <c r="E818" i="4"/>
  <c r="D818" i="4"/>
  <c r="C818" i="4"/>
  <c r="G818" i="4" s="1"/>
  <c r="B818" i="4"/>
  <c r="A818" i="4"/>
  <c r="M817" i="4"/>
  <c r="F817" i="4"/>
  <c r="E817" i="4"/>
  <c r="D817" i="4"/>
  <c r="C817" i="4"/>
  <c r="G817" i="4" s="1"/>
  <c r="B817" i="4"/>
  <c r="A817" i="4"/>
  <c r="M816" i="4"/>
  <c r="F816" i="4"/>
  <c r="E816" i="4"/>
  <c r="D816" i="4"/>
  <c r="C816" i="4"/>
  <c r="G816" i="4" s="1"/>
  <c r="B816" i="4"/>
  <c r="A816" i="4"/>
  <c r="M815" i="4"/>
  <c r="F815" i="4"/>
  <c r="E815" i="4"/>
  <c r="D815" i="4"/>
  <c r="C815" i="4"/>
  <c r="G815" i="4" s="1"/>
  <c r="B815" i="4"/>
  <c r="A815" i="4"/>
  <c r="M814" i="4"/>
  <c r="F814" i="4"/>
  <c r="E814" i="4"/>
  <c r="D814" i="4"/>
  <c r="C814" i="4"/>
  <c r="G814" i="4" s="1"/>
  <c r="B814" i="4"/>
  <c r="A814" i="4"/>
  <c r="M813" i="4"/>
  <c r="F813" i="4"/>
  <c r="E813" i="4"/>
  <c r="D813" i="4"/>
  <c r="C813" i="4"/>
  <c r="G813" i="4" s="1"/>
  <c r="B813" i="4"/>
  <c r="A813" i="4"/>
  <c r="M812" i="4"/>
  <c r="F812" i="4"/>
  <c r="E812" i="4"/>
  <c r="D812" i="4"/>
  <c r="C812" i="4"/>
  <c r="G812" i="4" s="1"/>
  <c r="B812" i="4"/>
  <c r="A812" i="4"/>
  <c r="M811" i="4"/>
  <c r="F811" i="4"/>
  <c r="E811" i="4"/>
  <c r="D811" i="4"/>
  <c r="C811" i="4"/>
  <c r="G811" i="4" s="1"/>
  <c r="B811" i="4"/>
  <c r="A811" i="4"/>
  <c r="M810" i="4"/>
  <c r="F810" i="4"/>
  <c r="E810" i="4"/>
  <c r="D810" i="4"/>
  <c r="C810" i="4"/>
  <c r="G810" i="4" s="1"/>
  <c r="B810" i="4"/>
  <c r="A810" i="4"/>
  <c r="M809" i="4"/>
  <c r="F809" i="4"/>
  <c r="E809" i="4"/>
  <c r="D809" i="4"/>
  <c r="C809" i="4"/>
  <c r="G809" i="4" s="1"/>
  <c r="B809" i="4"/>
  <c r="A809" i="4"/>
  <c r="M808" i="4"/>
  <c r="F808" i="4"/>
  <c r="E808" i="4"/>
  <c r="D808" i="4"/>
  <c r="C808" i="4"/>
  <c r="G808" i="4" s="1"/>
  <c r="B808" i="4"/>
  <c r="A808" i="4"/>
  <c r="M807" i="4"/>
  <c r="F807" i="4"/>
  <c r="E807" i="4"/>
  <c r="D807" i="4"/>
  <c r="C807" i="4"/>
  <c r="G807" i="4" s="1"/>
  <c r="B807" i="4"/>
  <c r="A807" i="4"/>
  <c r="M806" i="4"/>
  <c r="F806" i="4"/>
  <c r="E806" i="4"/>
  <c r="D806" i="4"/>
  <c r="C806" i="4"/>
  <c r="G806" i="4" s="1"/>
  <c r="B806" i="4"/>
  <c r="A806" i="4"/>
  <c r="M805" i="4"/>
  <c r="F805" i="4"/>
  <c r="E805" i="4"/>
  <c r="D805" i="4"/>
  <c r="C805" i="4"/>
  <c r="G805" i="4" s="1"/>
  <c r="B805" i="4"/>
  <c r="A805" i="4"/>
  <c r="M804" i="4"/>
  <c r="F804" i="4"/>
  <c r="E804" i="4"/>
  <c r="D804" i="4"/>
  <c r="C804" i="4"/>
  <c r="G804" i="4" s="1"/>
  <c r="B804" i="4"/>
  <c r="A804" i="4"/>
  <c r="M803" i="4"/>
  <c r="F803" i="4"/>
  <c r="E803" i="4"/>
  <c r="D803" i="4"/>
  <c r="C803" i="4"/>
  <c r="G803" i="4" s="1"/>
  <c r="B803" i="4"/>
  <c r="A803" i="4"/>
  <c r="M802" i="4"/>
  <c r="F802" i="4"/>
  <c r="E802" i="4"/>
  <c r="D802" i="4"/>
  <c r="C802" i="4"/>
  <c r="G802" i="4" s="1"/>
  <c r="B802" i="4"/>
  <c r="A802" i="4"/>
  <c r="M801" i="4"/>
  <c r="F801" i="4"/>
  <c r="E801" i="4"/>
  <c r="D801" i="4"/>
  <c r="C801" i="4"/>
  <c r="G801" i="4" s="1"/>
  <c r="B801" i="4"/>
  <c r="A801" i="4"/>
  <c r="M800" i="4"/>
  <c r="F800" i="4"/>
  <c r="E800" i="4"/>
  <c r="D800" i="4"/>
  <c r="C800" i="4"/>
  <c r="G800" i="4" s="1"/>
  <c r="B800" i="4"/>
  <c r="A800" i="4"/>
  <c r="M799" i="4"/>
  <c r="F799" i="4"/>
  <c r="E799" i="4"/>
  <c r="D799" i="4"/>
  <c r="C799" i="4"/>
  <c r="G799" i="4" s="1"/>
  <c r="B799" i="4"/>
  <c r="A799" i="4"/>
  <c r="M798" i="4"/>
  <c r="F798" i="4"/>
  <c r="E798" i="4"/>
  <c r="D798" i="4"/>
  <c r="C798" i="4"/>
  <c r="G798" i="4" s="1"/>
  <c r="B798" i="4"/>
  <c r="A798" i="4"/>
  <c r="M797" i="4"/>
  <c r="F797" i="4"/>
  <c r="E797" i="4"/>
  <c r="D797" i="4"/>
  <c r="C797" i="4"/>
  <c r="G797" i="4" s="1"/>
  <c r="B797" i="4"/>
  <c r="A797" i="4"/>
  <c r="M796" i="4"/>
  <c r="F796" i="4"/>
  <c r="E796" i="4"/>
  <c r="D796" i="4"/>
  <c r="C796" i="4"/>
  <c r="G796" i="4" s="1"/>
  <c r="B796" i="4"/>
  <c r="A796" i="4"/>
  <c r="M795" i="4"/>
  <c r="F795" i="4"/>
  <c r="E795" i="4"/>
  <c r="D795" i="4"/>
  <c r="C795" i="4"/>
  <c r="G795" i="4" s="1"/>
  <c r="B795" i="4"/>
  <c r="A795" i="4"/>
  <c r="M794" i="4"/>
  <c r="F794" i="4"/>
  <c r="E794" i="4"/>
  <c r="D794" i="4"/>
  <c r="C794" i="4"/>
  <c r="G794" i="4" s="1"/>
  <c r="B794" i="4"/>
  <c r="A794" i="4"/>
  <c r="M793" i="4"/>
  <c r="F793" i="4"/>
  <c r="E793" i="4"/>
  <c r="D793" i="4"/>
  <c r="C793" i="4"/>
  <c r="G793" i="4" s="1"/>
  <c r="B793" i="4"/>
  <c r="A793" i="4"/>
  <c r="M792" i="4"/>
  <c r="F792" i="4"/>
  <c r="E792" i="4"/>
  <c r="D792" i="4"/>
  <c r="C792" i="4"/>
  <c r="G792" i="4" s="1"/>
  <c r="B792" i="4"/>
  <c r="A792" i="4"/>
  <c r="M791" i="4"/>
  <c r="F791" i="4"/>
  <c r="E791" i="4"/>
  <c r="D791" i="4"/>
  <c r="C791" i="4"/>
  <c r="G791" i="4" s="1"/>
  <c r="B791" i="4"/>
  <c r="A791" i="4"/>
  <c r="M790" i="4"/>
  <c r="F790" i="4"/>
  <c r="E790" i="4"/>
  <c r="D790" i="4"/>
  <c r="C790" i="4"/>
  <c r="G790" i="4" s="1"/>
  <c r="B790" i="4"/>
  <c r="A790" i="4"/>
  <c r="M789" i="4"/>
  <c r="F789" i="4"/>
  <c r="E789" i="4"/>
  <c r="D789" i="4"/>
  <c r="C789" i="4"/>
  <c r="G789" i="4" s="1"/>
  <c r="B789" i="4"/>
  <c r="A789" i="4"/>
  <c r="M788" i="4"/>
  <c r="F788" i="4"/>
  <c r="E788" i="4"/>
  <c r="D788" i="4"/>
  <c r="C788" i="4"/>
  <c r="G788" i="4" s="1"/>
  <c r="B788" i="4"/>
  <c r="A788" i="4"/>
  <c r="M787" i="4"/>
  <c r="F787" i="4"/>
  <c r="E787" i="4"/>
  <c r="D787" i="4"/>
  <c r="C787" i="4"/>
  <c r="G787" i="4" s="1"/>
  <c r="B787" i="4"/>
  <c r="A787" i="4"/>
  <c r="M786" i="4"/>
  <c r="F786" i="4"/>
  <c r="E786" i="4"/>
  <c r="D786" i="4"/>
  <c r="C786" i="4"/>
  <c r="G786" i="4" s="1"/>
  <c r="B786" i="4"/>
  <c r="A786" i="4"/>
  <c r="M785" i="4"/>
  <c r="F785" i="4"/>
  <c r="E785" i="4"/>
  <c r="D785" i="4"/>
  <c r="C785" i="4"/>
  <c r="G785" i="4" s="1"/>
  <c r="B785" i="4"/>
  <c r="A785" i="4"/>
  <c r="M784" i="4"/>
  <c r="F784" i="4"/>
  <c r="E784" i="4"/>
  <c r="D784" i="4"/>
  <c r="C784" i="4"/>
  <c r="G784" i="4" s="1"/>
  <c r="B784" i="4"/>
  <c r="A784" i="4"/>
  <c r="M783" i="4"/>
  <c r="F783" i="4"/>
  <c r="E783" i="4"/>
  <c r="D783" i="4"/>
  <c r="C783" i="4"/>
  <c r="G783" i="4" s="1"/>
  <c r="B783" i="4"/>
  <c r="A783" i="4"/>
  <c r="M782" i="4"/>
  <c r="F782" i="4"/>
  <c r="E782" i="4"/>
  <c r="D782" i="4"/>
  <c r="C782" i="4"/>
  <c r="G782" i="4" s="1"/>
  <c r="B782" i="4"/>
  <c r="A782" i="4"/>
  <c r="M781" i="4"/>
  <c r="F781" i="4"/>
  <c r="E781" i="4"/>
  <c r="D781" i="4"/>
  <c r="C781" i="4"/>
  <c r="G781" i="4" s="1"/>
  <c r="B781" i="4"/>
  <c r="A781" i="4"/>
  <c r="M780" i="4"/>
  <c r="F780" i="4"/>
  <c r="E780" i="4"/>
  <c r="D780" i="4"/>
  <c r="C780" i="4"/>
  <c r="G780" i="4" s="1"/>
  <c r="B780" i="4"/>
  <c r="A780" i="4"/>
  <c r="M779" i="4"/>
  <c r="F779" i="4"/>
  <c r="E779" i="4"/>
  <c r="D779" i="4"/>
  <c r="C779" i="4"/>
  <c r="G779" i="4" s="1"/>
  <c r="B779" i="4"/>
  <c r="A779" i="4"/>
  <c r="M778" i="4"/>
  <c r="F778" i="4"/>
  <c r="E778" i="4"/>
  <c r="D778" i="4"/>
  <c r="C778" i="4"/>
  <c r="G778" i="4" s="1"/>
  <c r="B778" i="4"/>
  <c r="A778" i="4"/>
  <c r="M777" i="4"/>
  <c r="F777" i="4"/>
  <c r="E777" i="4"/>
  <c r="D777" i="4"/>
  <c r="C777" i="4"/>
  <c r="G777" i="4" s="1"/>
  <c r="B777" i="4"/>
  <c r="A777" i="4"/>
  <c r="M776" i="4"/>
  <c r="F776" i="4"/>
  <c r="E776" i="4"/>
  <c r="D776" i="4"/>
  <c r="C776" i="4"/>
  <c r="G776" i="4" s="1"/>
  <c r="B776" i="4"/>
  <c r="A776" i="4"/>
  <c r="M775" i="4"/>
  <c r="F775" i="4"/>
  <c r="E775" i="4"/>
  <c r="D775" i="4"/>
  <c r="C775" i="4"/>
  <c r="G775" i="4" s="1"/>
  <c r="B775" i="4"/>
  <c r="A775" i="4"/>
  <c r="M774" i="4"/>
  <c r="F774" i="4"/>
  <c r="E774" i="4"/>
  <c r="D774" i="4"/>
  <c r="C774" i="4"/>
  <c r="G774" i="4" s="1"/>
  <c r="B774" i="4"/>
  <c r="A774" i="4"/>
  <c r="M773" i="4"/>
  <c r="F773" i="4"/>
  <c r="E773" i="4"/>
  <c r="D773" i="4"/>
  <c r="C773" i="4"/>
  <c r="G773" i="4" s="1"/>
  <c r="B773" i="4"/>
  <c r="A773" i="4"/>
  <c r="M772" i="4"/>
  <c r="F772" i="4"/>
  <c r="E772" i="4"/>
  <c r="D772" i="4"/>
  <c r="C772" i="4"/>
  <c r="G772" i="4" s="1"/>
  <c r="B772" i="4"/>
  <c r="A772" i="4"/>
  <c r="M771" i="4"/>
  <c r="F771" i="4"/>
  <c r="E771" i="4"/>
  <c r="D771" i="4"/>
  <c r="C771" i="4"/>
  <c r="G771" i="4" s="1"/>
  <c r="B771" i="4"/>
  <c r="A771" i="4"/>
  <c r="M770" i="4"/>
  <c r="F770" i="4"/>
  <c r="E770" i="4"/>
  <c r="D770" i="4"/>
  <c r="C770" i="4"/>
  <c r="G770" i="4" s="1"/>
  <c r="B770" i="4"/>
  <c r="A770" i="4"/>
  <c r="M769" i="4"/>
  <c r="F769" i="4"/>
  <c r="E769" i="4"/>
  <c r="D769" i="4"/>
  <c r="C769" i="4"/>
  <c r="G769" i="4" s="1"/>
  <c r="B769" i="4"/>
  <c r="A769" i="4"/>
  <c r="M768" i="4"/>
  <c r="F768" i="4"/>
  <c r="E768" i="4"/>
  <c r="D768" i="4"/>
  <c r="C768" i="4"/>
  <c r="G768" i="4" s="1"/>
  <c r="B768" i="4"/>
  <c r="A768" i="4"/>
  <c r="M767" i="4"/>
  <c r="F767" i="4"/>
  <c r="E767" i="4"/>
  <c r="D767" i="4"/>
  <c r="C767" i="4"/>
  <c r="G767" i="4" s="1"/>
  <c r="B767" i="4"/>
  <c r="A767" i="4"/>
  <c r="M766" i="4"/>
  <c r="F766" i="4"/>
  <c r="E766" i="4"/>
  <c r="D766" i="4"/>
  <c r="C766" i="4"/>
  <c r="G766" i="4" s="1"/>
  <c r="B766" i="4"/>
  <c r="A766" i="4"/>
  <c r="M765" i="4"/>
  <c r="F765" i="4"/>
  <c r="E765" i="4"/>
  <c r="D765" i="4"/>
  <c r="C765" i="4"/>
  <c r="G765" i="4" s="1"/>
  <c r="B765" i="4"/>
  <c r="A765" i="4"/>
  <c r="M764" i="4"/>
  <c r="F764" i="4"/>
  <c r="E764" i="4"/>
  <c r="D764" i="4"/>
  <c r="C764" i="4"/>
  <c r="G764" i="4" s="1"/>
  <c r="B764" i="4"/>
  <c r="A764" i="4"/>
  <c r="M763" i="4"/>
  <c r="F763" i="4"/>
  <c r="E763" i="4"/>
  <c r="D763" i="4"/>
  <c r="C763" i="4"/>
  <c r="G763" i="4" s="1"/>
  <c r="B763" i="4"/>
  <c r="A763" i="4"/>
  <c r="M762" i="4"/>
  <c r="F762" i="4"/>
  <c r="E762" i="4"/>
  <c r="D762" i="4"/>
  <c r="C762" i="4"/>
  <c r="G762" i="4" s="1"/>
  <c r="B762" i="4"/>
  <c r="A762" i="4"/>
  <c r="M761" i="4"/>
  <c r="F761" i="4"/>
  <c r="E761" i="4"/>
  <c r="D761" i="4"/>
  <c r="C761" i="4"/>
  <c r="G761" i="4" s="1"/>
  <c r="B761" i="4"/>
  <c r="A761" i="4"/>
  <c r="M760" i="4"/>
  <c r="F760" i="4"/>
  <c r="E760" i="4"/>
  <c r="D760" i="4"/>
  <c r="C760" i="4"/>
  <c r="G760" i="4" s="1"/>
  <c r="B760" i="4"/>
  <c r="A760" i="4"/>
  <c r="M759" i="4"/>
  <c r="F759" i="4"/>
  <c r="E759" i="4"/>
  <c r="D759" i="4"/>
  <c r="C759" i="4"/>
  <c r="G759" i="4" s="1"/>
  <c r="B759" i="4"/>
  <c r="A759" i="4"/>
  <c r="M758" i="4"/>
  <c r="F758" i="4"/>
  <c r="E758" i="4"/>
  <c r="D758" i="4"/>
  <c r="C758" i="4"/>
  <c r="G758" i="4" s="1"/>
  <c r="B758" i="4"/>
  <c r="A758" i="4"/>
  <c r="M757" i="4"/>
  <c r="F757" i="4"/>
  <c r="E757" i="4"/>
  <c r="D757" i="4"/>
  <c r="C757" i="4"/>
  <c r="G757" i="4" s="1"/>
  <c r="B757" i="4"/>
  <c r="A757" i="4"/>
  <c r="M756" i="4"/>
  <c r="F756" i="4"/>
  <c r="E756" i="4"/>
  <c r="D756" i="4"/>
  <c r="C756" i="4"/>
  <c r="G756" i="4" s="1"/>
  <c r="B756" i="4"/>
  <c r="A756" i="4"/>
  <c r="M755" i="4"/>
  <c r="F755" i="4"/>
  <c r="E755" i="4"/>
  <c r="D755" i="4"/>
  <c r="C755" i="4"/>
  <c r="G755" i="4" s="1"/>
  <c r="B755" i="4"/>
  <c r="A755" i="4"/>
  <c r="M754" i="4"/>
  <c r="F754" i="4"/>
  <c r="E754" i="4"/>
  <c r="D754" i="4"/>
  <c r="C754" i="4"/>
  <c r="G754" i="4" s="1"/>
  <c r="B754" i="4"/>
  <c r="A754" i="4"/>
  <c r="M753" i="4"/>
  <c r="F753" i="4"/>
  <c r="E753" i="4"/>
  <c r="D753" i="4"/>
  <c r="C753" i="4"/>
  <c r="G753" i="4" s="1"/>
  <c r="B753" i="4"/>
  <c r="A753" i="4"/>
  <c r="M752" i="4"/>
  <c r="F752" i="4"/>
  <c r="E752" i="4"/>
  <c r="D752" i="4"/>
  <c r="C752" i="4"/>
  <c r="G752" i="4" s="1"/>
  <c r="B752" i="4"/>
  <c r="A752" i="4"/>
  <c r="M751" i="4"/>
  <c r="F751" i="4"/>
  <c r="E751" i="4"/>
  <c r="D751" i="4"/>
  <c r="C751" i="4"/>
  <c r="G751" i="4" s="1"/>
  <c r="B751" i="4"/>
  <c r="A751" i="4"/>
  <c r="M750" i="4"/>
  <c r="F750" i="4"/>
  <c r="E750" i="4"/>
  <c r="D750" i="4"/>
  <c r="C750" i="4"/>
  <c r="G750" i="4" s="1"/>
  <c r="B750" i="4"/>
  <c r="A750" i="4"/>
  <c r="M749" i="4"/>
  <c r="F749" i="4"/>
  <c r="E749" i="4"/>
  <c r="D749" i="4"/>
  <c r="C749" i="4"/>
  <c r="G749" i="4" s="1"/>
  <c r="B749" i="4"/>
  <c r="A749" i="4"/>
  <c r="M748" i="4"/>
  <c r="F748" i="4"/>
  <c r="E748" i="4"/>
  <c r="D748" i="4"/>
  <c r="C748" i="4"/>
  <c r="G748" i="4" s="1"/>
  <c r="B748" i="4"/>
  <c r="A748" i="4"/>
  <c r="M747" i="4"/>
  <c r="F747" i="4"/>
  <c r="E747" i="4"/>
  <c r="D747" i="4"/>
  <c r="C747" i="4"/>
  <c r="G747" i="4" s="1"/>
  <c r="B747" i="4"/>
  <c r="A747" i="4"/>
  <c r="N746" i="4"/>
  <c r="M746" i="4"/>
  <c r="F746" i="4"/>
  <c r="E746" i="4"/>
  <c r="D746" i="4"/>
  <c r="C746" i="4"/>
  <c r="G746" i="4" s="1"/>
  <c r="B746" i="4"/>
  <c r="A746" i="4"/>
  <c r="M745" i="4"/>
  <c r="F745" i="4"/>
  <c r="E745" i="4"/>
  <c r="D745" i="4"/>
  <c r="C745" i="4"/>
  <c r="G745" i="4" s="1"/>
  <c r="B745" i="4"/>
  <c r="A745" i="4"/>
  <c r="M744" i="4"/>
  <c r="F744" i="4"/>
  <c r="E744" i="4"/>
  <c r="D744" i="4"/>
  <c r="C744" i="4"/>
  <c r="G744" i="4" s="1"/>
  <c r="B744" i="4"/>
  <c r="A744" i="4"/>
  <c r="M743" i="4"/>
  <c r="F743" i="4"/>
  <c r="E743" i="4"/>
  <c r="D743" i="4"/>
  <c r="C743" i="4"/>
  <c r="G743" i="4" s="1"/>
  <c r="B743" i="4"/>
  <c r="A743" i="4"/>
  <c r="M742" i="4"/>
  <c r="F742" i="4"/>
  <c r="E742" i="4"/>
  <c r="D742" i="4"/>
  <c r="C742" i="4"/>
  <c r="G742" i="4" s="1"/>
  <c r="B742" i="4"/>
  <c r="A742" i="4"/>
  <c r="M741" i="4"/>
  <c r="F741" i="4"/>
  <c r="E741" i="4"/>
  <c r="D741" i="4"/>
  <c r="C741" i="4"/>
  <c r="G741" i="4" s="1"/>
  <c r="B741" i="4"/>
  <c r="A741" i="4"/>
  <c r="M740" i="4"/>
  <c r="F740" i="4"/>
  <c r="E740" i="4"/>
  <c r="D740" i="4"/>
  <c r="C740" i="4"/>
  <c r="G740" i="4" s="1"/>
  <c r="B740" i="4"/>
  <c r="A740" i="4"/>
  <c r="M739" i="4"/>
  <c r="F739" i="4"/>
  <c r="E739" i="4"/>
  <c r="D739" i="4"/>
  <c r="C739" i="4"/>
  <c r="G739" i="4" s="1"/>
  <c r="B739" i="4"/>
  <c r="A739" i="4"/>
  <c r="M738" i="4"/>
  <c r="F738" i="4"/>
  <c r="E738" i="4"/>
  <c r="D738" i="4"/>
  <c r="C738" i="4"/>
  <c r="G738" i="4" s="1"/>
  <c r="B738" i="4"/>
  <c r="A738" i="4"/>
  <c r="M737" i="4"/>
  <c r="F737" i="4"/>
  <c r="E737" i="4"/>
  <c r="D737" i="4"/>
  <c r="C737" i="4"/>
  <c r="G737" i="4" s="1"/>
  <c r="B737" i="4"/>
  <c r="A737" i="4"/>
  <c r="M736" i="4"/>
  <c r="F736" i="4"/>
  <c r="E736" i="4"/>
  <c r="D736" i="4"/>
  <c r="C736" i="4"/>
  <c r="G736" i="4" s="1"/>
  <c r="B736" i="4"/>
  <c r="A736" i="4"/>
  <c r="M735" i="4"/>
  <c r="F735" i="4"/>
  <c r="E735" i="4"/>
  <c r="D735" i="4"/>
  <c r="C735" i="4"/>
  <c r="G735" i="4" s="1"/>
  <c r="B735" i="4"/>
  <c r="A735" i="4"/>
  <c r="M734" i="4"/>
  <c r="F734" i="4"/>
  <c r="E734" i="4"/>
  <c r="D734" i="4"/>
  <c r="C734" i="4"/>
  <c r="G734" i="4" s="1"/>
  <c r="B734" i="4"/>
  <c r="A734" i="4"/>
  <c r="M733" i="4"/>
  <c r="F733" i="4"/>
  <c r="E733" i="4"/>
  <c r="D733" i="4"/>
  <c r="C733" i="4"/>
  <c r="G733" i="4" s="1"/>
  <c r="B733" i="4"/>
  <c r="A733" i="4"/>
  <c r="M732" i="4"/>
  <c r="F732" i="4"/>
  <c r="E732" i="4"/>
  <c r="D732" i="4"/>
  <c r="C732" i="4"/>
  <c r="G732" i="4" s="1"/>
  <c r="B732" i="4"/>
  <c r="A732" i="4"/>
  <c r="M731" i="4"/>
  <c r="F731" i="4"/>
  <c r="E731" i="4"/>
  <c r="D731" i="4"/>
  <c r="C731" i="4"/>
  <c r="G731" i="4" s="1"/>
  <c r="B731" i="4"/>
  <c r="A731" i="4"/>
  <c r="M730" i="4"/>
  <c r="F730" i="4"/>
  <c r="E730" i="4"/>
  <c r="D730" i="4"/>
  <c r="C730" i="4"/>
  <c r="G730" i="4" s="1"/>
  <c r="B730" i="4"/>
  <c r="A730" i="4"/>
  <c r="M729" i="4"/>
  <c r="F729" i="4"/>
  <c r="E729" i="4"/>
  <c r="D729" i="4"/>
  <c r="C729" i="4"/>
  <c r="G729" i="4" s="1"/>
  <c r="B729" i="4"/>
  <c r="A729" i="4"/>
  <c r="M728" i="4"/>
  <c r="F728" i="4"/>
  <c r="E728" i="4"/>
  <c r="D728" i="4"/>
  <c r="C728" i="4"/>
  <c r="G728" i="4" s="1"/>
  <c r="B728" i="4"/>
  <c r="A728" i="4"/>
  <c r="M727" i="4"/>
  <c r="F727" i="4"/>
  <c r="E727" i="4"/>
  <c r="D727" i="4"/>
  <c r="C727" i="4"/>
  <c r="G727" i="4" s="1"/>
  <c r="B727" i="4"/>
  <c r="A727" i="4"/>
  <c r="M726" i="4"/>
  <c r="F726" i="4"/>
  <c r="E726" i="4"/>
  <c r="D726" i="4"/>
  <c r="C726" i="4"/>
  <c r="G726" i="4" s="1"/>
  <c r="B726" i="4"/>
  <c r="A726" i="4"/>
  <c r="M725" i="4"/>
  <c r="F725" i="4"/>
  <c r="E725" i="4"/>
  <c r="D725" i="4"/>
  <c r="C725" i="4"/>
  <c r="G725" i="4" s="1"/>
  <c r="B725" i="4"/>
  <c r="A725" i="4"/>
  <c r="M724" i="4"/>
  <c r="F724" i="4"/>
  <c r="E724" i="4"/>
  <c r="D724" i="4"/>
  <c r="C724" i="4"/>
  <c r="G724" i="4" s="1"/>
  <c r="B724" i="4"/>
  <c r="A724" i="4"/>
  <c r="M723" i="4"/>
  <c r="F723" i="4"/>
  <c r="E723" i="4"/>
  <c r="D723" i="4"/>
  <c r="C723" i="4"/>
  <c r="G723" i="4" s="1"/>
  <c r="B723" i="4"/>
  <c r="A723" i="4"/>
  <c r="M722" i="4"/>
  <c r="F722" i="4"/>
  <c r="E722" i="4"/>
  <c r="D722" i="4"/>
  <c r="C722" i="4"/>
  <c r="G722" i="4" s="1"/>
  <c r="B722" i="4"/>
  <c r="A722" i="4"/>
  <c r="M721" i="4"/>
  <c r="F721" i="4"/>
  <c r="E721" i="4"/>
  <c r="D721" i="4"/>
  <c r="C721" i="4"/>
  <c r="G721" i="4" s="1"/>
  <c r="B721" i="4"/>
  <c r="A721" i="4"/>
  <c r="M720" i="4"/>
  <c r="F720" i="4"/>
  <c r="E720" i="4"/>
  <c r="D720" i="4"/>
  <c r="C720" i="4"/>
  <c r="G720" i="4" s="1"/>
  <c r="B720" i="4"/>
  <c r="A720" i="4"/>
  <c r="M719" i="4"/>
  <c r="F719" i="4"/>
  <c r="E719" i="4"/>
  <c r="D719" i="4"/>
  <c r="C719" i="4"/>
  <c r="G719" i="4" s="1"/>
  <c r="B719" i="4"/>
  <c r="A719" i="4"/>
  <c r="M718" i="4"/>
  <c r="F718" i="4"/>
  <c r="E718" i="4"/>
  <c r="D718" i="4"/>
  <c r="C718" i="4"/>
  <c r="G718" i="4" s="1"/>
  <c r="B718" i="4"/>
  <c r="A718" i="4"/>
  <c r="M717" i="4"/>
  <c r="F717" i="4"/>
  <c r="E717" i="4"/>
  <c r="D717" i="4"/>
  <c r="C717" i="4"/>
  <c r="G717" i="4" s="1"/>
  <c r="B717" i="4"/>
  <c r="A717" i="4"/>
  <c r="M716" i="4"/>
  <c r="F716" i="4"/>
  <c r="E716" i="4"/>
  <c r="D716" i="4"/>
  <c r="C716" i="4"/>
  <c r="G716" i="4" s="1"/>
  <c r="B716" i="4"/>
  <c r="A716" i="4"/>
  <c r="M715" i="4"/>
  <c r="F715" i="4"/>
  <c r="E715" i="4"/>
  <c r="D715" i="4"/>
  <c r="C715" i="4"/>
  <c r="G715" i="4" s="1"/>
  <c r="B715" i="4"/>
  <c r="A715" i="4"/>
  <c r="M714" i="4"/>
  <c r="F714" i="4"/>
  <c r="E714" i="4"/>
  <c r="D714" i="4"/>
  <c r="C714" i="4"/>
  <c r="G714" i="4" s="1"/>
  <c r="B714" i="4"/>
  <c r="A714" i="4"/>
  <c r="M713" i="4"/>
  <c r="F713" i="4"/>
  <c r="E713" i="4"/>
  <c r="D713" i="4"/>
  <c r="C713" i="4"/>
  <c r="G713" i="4" s="1"/>
  <c r="B713" i="4"/>
  <c r="A713" i="4"/>
  <c r="M712" i="4"/>
  <c r="F712" i="4"/>
  <c r="E712" i="4"/>
  <c r="D712" i="4"/>
  <c r="C712" i="4"/>
  <c r="G712" i="4" s="1"/>
  <c r="B712" i="4"/>
  <c r="A712" i="4"/>
  <c r="M711" i="4"/>
  <c r="F711" i="4"/>
  <c r="E711" i="4"/>
  <c r="D711" i="4"/>
  <c r="C711" i="4"/>
  <c r="G711" i="4" s="1"/>
  <c r="B711" i="4"/>
  <c r="A711" i="4"/>
  <c r="M710" i="4"/>
  <c r="F710" i="4"/>
  <c r="E710" i="4"/>
  <c r="D710" i="4"/>
  <c r="C710" i="4"/>
  <c r="G710" i="4" s="1"/>
  <c r="B710" i="4"/>
  <c r="A710" i="4"/>
  <c r="M709" i="4"/>
  <c r="F709" i="4"/>
  <c r="E709" i="4"/>
  <c r="D709" i="4"/>
  <c r="C709" i="4"/>
  <c r="G709" i="4" s="1"/>
  <c r="B709" i="4"/>
  <c r="A709" i="4"/>
  <c r="M708" i="4"/>
  <c r="F708" i="4"/>
  <c r="E708" i="4"/>
  <c r="D708" i="4"/>
  <c r="C708" i="4"/>
  <c r="G708" i="4" s="1"/>
  <c r="B708" i="4"/>
  <c r="A708" i="4"/>
  <c r="M707" i="4"/>
  <c r="F707" i="4"/>
  <c r="E707" i="4"/>
  <c r="D707" i="4"/>
  <c r="C707" i="4"/>
  <c r="G707" i="4" s="1"/>
  <c r="B707" i="4"/>
  <c r="A707" i="4"/>
  <c r="M706" i="4"/>
  <c r="F706" i="4"/>
  <c r="E706" i="4"/>
  <c r="D706" i="4"/>
  <c r="C706" i="4"/>
  <c r="G706" i="4" s="1"/>
  <c r="B706" i="4"/>
  <c r="A706" i="4"/>
  <c r="M705" i="4"/>
  <c r="F705" i="4"/>
  <c r="E705" i="4"/>
  <c r="D705" i="4"/>
  <c r="C705" i="4"/>
  <c r="G705" i="4" s="1"/>
  <c r="B705" i="4"/>
  <c r="A705" i="4"/>
  <c r="M704" i="4"/>
  <c r="F704" i="4"/>
  <c r="E704" i="4"/>
  <c r="D704" i="4"/>
  <c r="C704" i="4"/>
  <c r="G704" i="4" s="1"/>
  <c r="B704" i="4"/>
  <c r="A704" i="4"/>
  <c r="M703" i="4"/>
  <c r="F703" i="4"/>
  <c r="E703" i="4"/>
  <c r="D703" i="4"/>
  <c r="C703" i="4"/>
  <c r="G703" i="4" s="1"/>
  <c r="B703" i="4"/>
  <c r="A703" i="4"/>
  <c r="M702" i="4"/>
  <c r="F702" i="4"/>
  <c r="E702" i="4"/>
  <c r="D702" i="4"/>
  <c r="C702" i="4"/>
  <c r="G702" i="4" s="1"/>
  <c r="B702" i="4"/>
  <c r="A702" i="4"/>
  <c r="M701" i="4"/>
  <c r="F701" i="4"/>
  <c r="E701" i="4"/>
  <c r="D701" i="4"/>
  <c r="C701" i="4"/>
  <c r="G701" i="4" s="1"/>
  <c r="B701" i="4"/>
  <c r="A701" i="4"/>
  <c r="M700" i="4"/>
  <c r="F700" i="4"/>
  <c r="E700" i="4"/>
  <c r="D700" i="4"/>
  <c r="C700" i="4"/>
  <c r="G700" i="4" s="1"/>
  <c r="B700" i="4"/>
  <c r="A700" i="4"/>
  <c r="M699" i="4"/>
  <c r="F699" i="4"/>
  <c r="E699" i="4"/>
  <c r="D699" i="4"/>
  <c r="C699" i="4"/>
  <c r="G699" i="4" s="1"/>
  <c r="B699" i="4"/>
  <c r="A699" i="4"/>
  <c r="M698" i="4"/>
  <c r="F698" i="4"/>
  <c r="E698" i="4"/>
  <c r="D698" i="4"/>
  <c r="C698" i="4"/>
  <c r="G698" i="4" s="1"/>
  <c r="B698" i="4"/>
  <c r="A698" i="4"/>
  <c r="M697" i="4"/>
  <c r="F697" i="4"/>
  <c r="E697" i="4"/>
  <c r="D697" i="4"/>
  <c r="C697" i="4"/>
  <c r="G697" i="4" s="1"/>
  <c r="B697" i="4"/>
  <c r="A697" i="4"/>
  <c r="M696" i="4"/>
  <c r="F696" i="4"/>
  <c r="E696" i="4"/>
  <c r="D696" i="4"/>
  <c r="C696" i="4"/>
  <c r="G696" i="4" s="1"/>
  <c r="B696" i="4"/>
  <c r="A696" i="4"/>
  <c r="M695" i="4"/>
  <c r="F695" i="4"/>
  <c r="E695" i="4"/>
  <c r="D695" i="4"/>
  <c r="C695" i="4"/>
  <c r="G695" i="4" s="1"/>
  <c r="B695" i="4"/>
  <c r="A695" i="4"/>
  <c r="M694" i="4"/>
  <c r="F694" i="4"/>
  <c r="E694" i="4"/>
  <c r="D694" i="4"/>
  <c r="C694" i="4"/>
  <c r="G694" i="4" s="1"/>
  <c r="B694" i="4"/>
  <c r="A694" i="4"/>
  <c r="M693" i="4"/>
  <c r="F693" i="4"/>
  <c r="E693" i="4"/>
  <c r="D693" i="4"/>
  <c r="C693" i="4"/>
  <c r="G693" i="4" s="1"/>
  <c r="B693" i="4"/>
  <c r="A693" i="4"/>
  <c r="M692" i="4"/>
  <c r="F692" i="4"/>
  <c r="E692" i="4"/>
  <c r="D692" i="4"/>
  <c r="C692" i="4"/>
  <c r="G692" i="4" s="1"/>
  <c r="B692" i="4"/>
  <c r="A692" i="4"/>
  <c r="M691" i="4"/>
  <c r="F691" i="4"/>
  <c r="E691" i="4"/>
  <c r="D691" i="4"/>
  <c r="C691" i="4"/>
  <c r="G691" i="4" s="1"/>
  <c r="B691" i="4"/>
  <c r="A691" i="4"/>
  <c r="M690" i="4"/>
  <c r="F690" i="4"/>
  <c r="E690" i="4"/>
  <c r="D690" i="4"/>
  <c r="C690" i="4"/>
  <c r="G690" i="4" s="1"/>
  <c r="B690" i="4"/>
  <c r="A690" i="4"/>
  <c r="M689" i="4"/>
  <c r="F689" i="4"/>
  <c r="E689" i="4"/>
  <c r="D689" i="4"/>
  <c r="C689" i="4"/>
  <c r="G689" i="4" s="1"/>
  <c r="B689" i="4"/>
  <c r="A689" i="4"/>
  <c r="M688" i="4"/>
  <c r="F688" i="4"/>
  <c r="E688" i="4"/>
  <c r="D688" i="4"/>
  <c r="C688" i="4"/>
  <c r="G688" i="4" s="1"/>
  <c r="B688" i="4"/>
  <c r="A688" i="4"/>
  <c r="M687" i="4"/>
  <c r="F687" i="4"/>
  <c r="E687" i="4"/>
  <c r="D687" i="4"/>
  <c r="C687" i="4"/>
  <c r="G687" i="4" s="1"/>
  <c r="B687" i="4"/>
  <c r="A687" i="4"/>
  <c r="M686" i="4"/>
  <c r="F686" i="4"/>
  <c r="E686" i="4"/>
  <c r="D686" i="4"/>
  <c r="C686" i="4"/>
  <c r="G686" i="4" s="1"/>
  <c r="B686" i="4"/>
  <c r="A686" i="4"/>
  <c r="M685" i="4"/>
  <c r="F685" i="4"/>
  <c r="E685" i="4"/>
  <c r="D685" i="4"/>
  <c r="C685" i="4"/>
  <c r="G685" i="4" s="1"/>
  <c r="B685" i="4"/>
  <c r="A685" i="4"/>
  <c r="M684" i="4"/>
  <c r="F684" i="4"/>
  <c r="E684" i="4"/>
  <c r="D684" i="4"/>
  <c r="C684" i="4"/>
  <c r="G684" i="4" s="1"/>
  <c r="B684" i="4"/>
  <c r="A684" i="4"/>
  <c r="M683" i="4"/>
  <c r="F683" i="4"/>
  <c r="E683" i="4"/>
  <c r="D683" i="4"/>
  <c r="C683" i="4"/>
  <c r="G683" i="4" s="1"/>
  <c r="B683" i="4"/>
  <c r="A683" i="4"/>
  <c r="M682" i="4"/>
  <c r="F682" i="4"/>
  <c r="E682" i="4"/>
  <c r="D682" i="4"/>
  <c r="C682" i="4"/>
  <c r="G682" i="4" s="1"/>
  <c r="B682" i="4"/>
  <c r="A682" i="4"/>
  <c r="M681" i="4"/>
  <c r="F681" i="4"/>
  <c r="E681" i="4"/>
  <c r="D681" i="4"/>
  <c r="C681" i="4"/>
  <c r="G681" i="4" s="1"/>
  <c r="B681" i="4"/>
  <c r="A681" i="4"/>
  <c r="M680" i="4"/>
  <c r="F680" i="4"/>
  <c r="E680" i="4"/>
  <c r="D680" i="4"/>
  <c r="C680" i="4"/>
  <c r="G680" i="4" s="1"/>
  <c r="B680" i="4"/>
  <c r="A680" i="4"/>
  <c r="M679" i="4"/>
  <c r="F679" i="4"/>
  <c r="E679" i="4"/>
  <c r="D679" i="4"/>
  <c r="C679" i="4"/>
  <c r="G679" i="4" s="1"/>
  <c r="B679" i="4"/>
  <c r="A679" i="4"/>
  <c r="M678" i="4"/>
  <c r="F678" i="4"/>
  <c r="E678" i="4"/>
  <c r="D678" i="4"/>
  <c r="C678" i="4"/>
  <c r="G678" i="4" s="1"/>
  <c r="B678" i="4"/>
  <c r="A678" i="4"/>
  <c r="M677" i="4"/>
  <c r="F677" i="4"/>
  <c r="E677" i="4"/>
  <c r="D677" i="4"/>
  <c r="C677" i="4"/>
  <c r="G677" i="4" s="1"/>
  <c r="B677" i="4"/>
  <c r="A677" i="4"/>
  <c r="M676" i="4"/>
  <c r="F676" i="4"/>
  <c r="E676" i="4"/>
  <c r="D676" i="4"/>
  <c r="C676" i="4"/>
  <c r="G676" i="4" s="1"/>
  <c r="B676" i="4"/>
  <c r="A676" i="4"/>
  <c r="M675" i="4"/>
  <c r="F675" i="4"/>
  <c r="E675" i="4"/>
  <c r="D675" i="4"/>
  <c r="C675" i="4"/>
  <c r="G675" i="4" s="1"/>
  <c r="B675" i="4"/>
  <c r="A675" i="4"/>
  <c r="M674" i="4"/>
  <c r="F674" i="4"/>
  <c r="E674" i="4"/>
  <c r="D674" i="4"/>
  <c r="C674" i="4"/>
  <c r="G674" i="4" s="1"/>
  <c r="B674" i="4"/>
  <c r="A674" i="4"/>
  <c r="M673" i="4"/>
  <c r="F673" i="4"/>
  <c r="E673" i="4"/>
  <c r="D673" i="4"/>
  <c r="C673" i="4"/>
  <c r="G673" i="4" s="1"/>
  <c r="B673" i="4"/>
  <c r="A673" i="4"/>
  <c r="M672" i="4"/>
  <c r="F672" i="4"/>
  <c r="E672" i="4"/>
  <c r="D672" i="4"/>
  <c r="C672" i="4"/>
  <c r="G672" i="4" s="1"/>
  <c r="B672" i="4"/>
  <c r="A672" i="4"/>
  <c r="M671" i="4"/>
  <c r="F671" i="4"/>
  <c r="E671" i="4"/>
  <c r="D671" i="4"/>
  <c r="C671" i="4"/>
  <c r="G671" i="4" s="1"/>
  <c r="B671" i="4"/>
  <c r="A671" i="4"/>
  <c r="M670" i="4"/>
  <c r="F670" i="4"/>
  <c r="E670" i="4"/>
  <c r="D670" i="4"/>
  <c r="C670" i="4"/>
  <c r="G670" i="4" s="1"/>
  <c r="B670" i="4"/>
  <c r="A670" i="4"/>
  <c r="M669" i="4"/>
  <c r="F669" i="4"/>
  <c r="E669" i="4"/>
  <c r="D669" i="4"/>
  <c r="C669" i="4"/>
  <c r="G669" i="4" s="1"/>
  <c r="B669" i="4"/>
  <c r="A669" i="4"/>
  <c r="M668" i="4"/>
  <c r="F668" i="4"/>
  <c r="E668" i="4"/>
  <c r="D668" i="4"/>
  <c r="C668" i="4"/>
  <c r="G668" i="4" s="1"/>
  <c r="B668" i="4"/>
  <c r="A668" i="4"/>
  <c r="M667" i="4"/>
  <c r="F667" i="4"/>
  <c r="E667" i="4"/>
  <c r="D667" i="4"/>
  <c r="C667" i="4"/>
  <c r="G667" i="4" s="1"/>
  <c r="B667" i="4"/>
  <c r="A667" i="4"/>
  <c r="M666" i="4"/>
  <c r="F666" i="4"/>
  <c r="E666" i="4"/>
  <c r="D666" i="4"/>
  <c r="C666" i="4"/>
  <c r="G666" i="4" s="1"/>
  <c r="B666" i="4"/>
  <c r="A666" i="4"/>
  <c r="M665" i="4"/>
  <c r="F665" i="4"/>
  <c r="E665" i="4"/>
  <c r="D665" i="4"/>
  <c r="C665" i="4"/>
  <c r="G665" i="4" s="1"/>
  <c r="B665" i="4"/>
  <c r="A665" i="4"/>
  <c r="M664" i="4"/>
  <c r="F664" i="4"/>
  <c r="E664" i="4"/>
  <c r="D664" i="4"/>
  <c r="C664" i="4"/>
  <c r="G664" i="4" s="1"/>
  <c r="B664" i="4"/>
  <c r="A664" i="4"/>
  <c r="M663" i="4"/>
  <c r="F663" i="4"/>
  <c r="E663" i="4"/>
  <c r="D663" i="4"/>
  <c r="C663" i="4"/>
  <c r="G663" i="4" s="1"/>
  <c r="B663" i="4"/>
  <c r="A663" i="4"/>
  <c r="M662" i="4"/>
  <c r="F662" i="4"/>
  <c r="E662" i="4"/>
  <c r="D662" i="4"/>
  <c r="C662" i="4"/>
  <c r="G662" i="4" s="1"/>
  <c r="B662" i="4"/>
  <c r="A662" i="4"/>
  <c r="M661" i="4"/>
  <c r="F661" i="4"/>
  <c r="E661" i="4"/>
  <c r="D661" i="4"/>
  <c r="C661" i="4"/>
  <c r="G661" i="4" s="1"/>
  <c r="B661" i="4"/>
  <c r="A661" i="4"/>
  <c r="M660" i="4"/>
  <c r="F660" i="4"/>
  <c r="E660" i="4"/>
  <c r="D660" i="4"/>
  <c r="C660" i="4"/>
  <c r="G660" i="4" s="1"/>
  <c r="B660" i="4"/>
  <c r="A660" i="4"/>
  <c r="M659" i="4"/>
  <c r="F659" i="4"/>
  <c r="E659" i="4"/>
  <c r="D659" i="4"/>
  <c r="C659" i="4"/>
  <c r="G659" i="4" s="1"/>
  <c r="B659" i="4"/>
  <c r="A659" i="4"/>
  <c r="M658" i="4"/>
  <c r="F658" i="4"/>
  <c r="E658" i="4"/>
  <c r="D658" i="4"/>
  <c r="C658" i="4"/>
  <c r="G658" i="4" s="1"/>
  <c r="B658" i="4"/>
  <c r="A658" i="4"/>
  <c r="M657" i="4"/>
  <c r="F657" i="4"/>
  <c r="E657" i="4"/>
  <c r="D657" i="4"/>
  <c r="C657" i="4"/>
  <c r="G657" i="4" s="1"/>
  <c r="B657" i="4"/>
  <c r="A657" i="4"/>
  <c r="M656" i="4"/>
  <c r="F656" i="4"/>
  <c r="E656" i="4"/>
  <c r="D656" i="4"/>
  <c r="C656" i="4"/>
  <c r="G656" i="4" s="1"/>
  <c r="B656" i="4"/>
  <c r="A656" i="4"/>
  <c r="M655" i="4"/>
  <c r="F655" i="4"/>
  <c r="E655" i="4"/>
  <c r="D655" i="4"/>
  <c r="C655" i="4"/>
  <c r="G655" i="4" s="1"/>
  <c r="B655" i="4"/>
  <c r="A655" i="4"/>
  <c r="M654" i="4"/>
  <c r="F654" i="4"/>
  <c r="E654" i="4"/>
  <c r="D654" i="4"/>
  <c r="C654" i="4"/>
  <c r="G654" i="4" s="1"/>
  <c r="B654" i="4"/>
  <c r="A654" i="4"/>
  <c r="M653" i="4"/>
  <c r="F653" i="4"/>
  <c r="E653" i="4"/>
  <c r="D653" i="4"/>
  <c r="C653" i="4"/>
  <c r="G653" i="4" s="1"/>
  <c r="B653" i="4"/>
  <c r="A653" i="4"/>
  <c r="M652" i="4"/>
  <c r="F652" i="4"/>
  <c r="E652" i="4"/>
  <c r="D652" i="4"/>
  <c r="C652" i="4"/>
  <c r="G652" i="4" s="1"/>
  <c r="B652" i="4"/>
  <c r="A652" i="4"/>
  <c r="M651" i="4"/>
  <c r="F651" i="4"/>
  <c r="E651" i="4"/>
  <c r="D651" i="4"/>
  <c r="C651" i="4"/>
  <c r="G651" i="4" s="1"/>
  <c r="B651" i="4"/>
  <c r="A651" i="4"/>
  <c r="M650" i="4"/>
  <c r="F650" i="4"/>
  <c r="E650" i="4"/>
  <c r="D650" i="4"/>
  <c r="C650" i="4"/>
  <c r="G650" i="4" s="1"/>
  <c r="B650" i="4"/>
  <c r="A650" i="4"/>
  <c r="M649" i="4"/>
  <c r="F649" i="4"/>
  <c r="E649" i="4"/>
  <c r="D649" i="4"/>
  <c r="C649" i="4"/>
  <c r="G649" i="4" s="1"/>
  <c r="B649" i="4"/>
  <c r="A649" i="4"/>
  <c r="M648" i="4"/>
  <c r="F648" i="4"/>
  <c r="E648" i="4"/>
  <c r="D648" i="4"/>
  <c r="C648" i="4"/>
  <c r="G648" i="4" s="1"/>
  <c r="B648" i="4"/>
  <c r="A648" i="4"/>
  <c r="M647" i="4"/>
  <c r="F647" i="4"/>
  <c r="E647" i="4"/>
  <c r="D647" i="4"/>
  <c r="C647" i="4"/>
  <c r="G647" i="4" s="1"/>
  <c r="B647" i="4"/>
  <c r="A647" i="4"/>
  <c r="M646" i="4"/>
  <c r="F646" i="4"/>
  <c r="E646" i="4"/>
  <c r="D646" i="4"/>
  <c r="C646" i="4"/>
  <c r="G646" i="4" s="1"/>
  <c r="B646" i="4"/>
  <c r="A646" i="4"/>
  <c r="M645" i="4"/>
  <c r="F645" i="4"/>
  <c r="E645" i="4"/>
  <c r="D645" i="4"/>
  <c r="C645" i="4"/>
  <c r="G645" i="4" s="1"/>
  <c r="B645" i="4"/>
  <c r="A645" i="4"/>
  <c r="M644" i="4"/>
  <c r="F644" i="4"/>
  <c r="E644" i="4"/>
  <c r="D644" i="4"/>
  <c r="C644" i="4"/>
  <c r="G644" i="4" s="1"/>
  <c r="B644" i="4"/>
  <c r="A644" i="4"/>
  <c r="M643" i="4"/>
  <c r="F643" i="4"/>
  <c r="E643" i="4"/>
  <c r="D643" i="4"/>
  <c r="C643" i="4"/>
  <c r="G643" i="4" s="1"/>
  <c r="B643" i="4"/>
  <c r="A643" i="4"/>
  <c r="M642" i="4"/>
  <c r="F642" i="4"/>
  <c r="E642" i="4"/>
  <c r="D642" i="4"/>
  <c r="C642" i="4"/>
  <c r="G642" i="4" s="1"/>
  <c r="B642" i="4"/>
  <c r="A642" i="4"/>
  <c r="M641" i="4"/>
  <c r="F641" i="4"/>
  <c r="E641" i="4"/>
  <c r="D641" i="4"/>
  <c r="C641" i="4"/>
  <c r="G641" i="4" s="1"/>
  <c r="B641" i="4"/>
  <c r="A641" i="4"/>
  <c r="M640" i="4"/>
  <c r="F640" i="4"/>
  <c r="E640" i="4"/>
  <c r="D640" i="4"/>
  <c r="C640" i="4"/>
  <c r="G640" i="4" s="1"/>
  <c r="B640" i="4"/>
  <c r="A640" i="4"/>
  <c r="M639" i="4"/>
  <c r="F639" i="4"/>
  <c r="E639" i="4"/>
  <c r="D639" i="4"/>
  <c r="C639" i="4"/>
  <c r="G639" i="4" s="1"/>
  <c r="B639" i="4"/>
  <c r="A639" i="4"/>
  <c r="M638" i="4"/>
  <c r="F638" i="4"/>
  <c r="E638" i="4"/>
  <c r="D638" i="4"/>
  <c r="C638" i="4"/>
  <c r="G638" i="4" s="1"/>
  <c r="B638" i="4"/>
  <c r="A638" i="4"/>
  <c r="M637" i="4"/>
  <c r="F637" i="4"/>
  <c r="E637" i="4"/>
  <c r="D637" i="4"/>
  <c r="C637" i="4"/>
  <c r="G637" i="4" s="1"/>
  <c r="B637" i="4"/>
  <c r="A637" i="4"/>
  <c r="M636" i="4"/>
  <c r="F636" i="4"/>
  <c r="E636" i="4"/>
  <c r="D636" i="4"/>
  <c r="C636" i="4"/>
  <c r="G636" i="4" s="1"/>
  <c r="B636" i="4"/>
  <c r="A636" i="4"/>
  <c r="M635" i="4"/>
  <c r="F635" i="4"/>
  <c r="E635" i="4"/>
  <c r="D635" i="4"/>
  <c r="C635" i="4"/>
  <c r="G635" i="4" s="1"/>
  <c r="B635" i="4"/>
  <c r="A635" i="4"/>
  <c r="M634" i="4"/>
  <c r="F634" i="4"/>
  <c r="E634" i="4"/>
  <c r="D634" i="4"/>
  <c r="C634" i="4"/>
  <c r="G634" i="4" s="1"/>
  <c r="B634" i="4"/>
  <c r="A634" i="4"/>
  <c r="M633" i="4"/>
  <c r="F633" i="4"/>
  <c r="E633" i="4"/>
  <c r="D633" i="4"/>
  <c r="C633" i="4"/>
  <c r="G633" i="4" s="1"/>
  <c r="B633" i="4"/>
  <c r="A633" i="4"/>
  <c r="M632" i="4"/>
  <c r="F632" i="4"/>
  <c r="E632" i="4"/>
  <c r="D632" i="4"/>
  <c r="C632" i="4"/>
  <c r="G632" i="4" s="1"/>
  <c r="B632" i="4"/>
  <c r="A632" i="4"/>
  <c r="M631" i="4"/>
  <c r="F631" i="4"/>
  <c r="E631" i="4"/>
  <c r="D631" i="4"/>
  <c r="C631" i="4"/>
  <c r="G631" i="4" s="1"/>
  <c r="B631" i="4"/>
  <c r="A631" i="4"/>
  <c r="M630" i="4"/>
  <c r="F630" i="4"/>
  <c r="E630" i="4"/>
  <c r="D630" i="4"/>
  <c r="C630" i="4"/>
  <c r="G630" i="4" s="1"/>
  <c r="B630" i="4"/>
  <c r="A630" i="4"/>
  <c r="M629" i="4"/>
  <c r="F629" i="4"/>
  <c r="E629" i="4"/>
  <c r="D629" i="4"/>
  <c r="C629" i="4"/>
  <c r="G629" i="4" s="1"/>
  <c r="B629" i="4"/>
  <c r="A629" i="4"/>
  <c r="M628" i="4"/>
  <c r="F628" i="4"/>
  <c r="E628" i="4"/>
  <c r="D628" i="4"/>
  <c r="C628" i="4"/>
  <c r="G628" i="4" s="1"/>
  <c r="B628" i="4"/>
  <c r="A628" i="4"/>
  <c r="M627" i="4"/>
  <c r="F627" i="4"/>
  <c r="E627" i="4"/>
  <c r="D627" i="4"/>
  <c r="C627" i="4"/>
  <c r="G627" i="4" s="1"/>
  <c r="B627" i="4"/>
  <c r="A627" i="4"/>
  <c r="M626" i="4"/>
  <c r="F626" i="4"/>
  <c r="E626" i="4"/>
  <c r="D626" i="4"/>
  <c r="C626" i="4"/>
  <c r="G626" i="4" s="1"/>
  <c r="B626" i="4"/>
  <c r="A626" i="4"/>
  <c r="M625" i="4"/>
  <c r="F625" i="4"/>
  <c r="E625" i="4"/>
  <c r="D625" i="4"/>
  <c r="C625" i="4"/>
  <c r="G625" i="4" s="1"/>
  <c r="B625" i="4"/>
  <c r="A625" i="4"/>
  <c r="M624" i="4"/>
  <c r="F624" i="4"/>
  <c r="E624" i="4"/>
  <c r="D624" i="4"/>
  <c r="C624" i="4"/>
  <c r="G624" i="4" s="1"/>
  <c r="B624" i="4"/>
  <c r="A624" i="4"/>
  <c r="M623" i="4"/>
  <c r="F623" i="4"/>
  <c r="E623" i="4"/>
  <c r="D623" i="4"/>
  <c r="C623" i="4"/>
  <c r="G623" i="4" s="1"/>
  <c r="B623" i="4"/>
  <c r="A623" i="4"/>
  <c r="M622" i="4"/>
  <c r="F622" i="4"/>
  <c r="E622" i="4"/>
  <c r="D622" i="4"/>
  <c r="C622" i="4"/>
  <c r="G622" i="4" s="1"/>
  <c r="B622" i="4"/>
  <c r="A622" i="4"/>
  <c r="M621" i="4"/>
  <c r="F621" i="4"/>
  <c r="E621" i="4"/>
  <c r="D621" i="4"/>
  <c r="C621" i="4"/>
  <c r="G621" i="4" s="1"/>
  <c r="B621" i="4"/>
  <c r="A621" i="4"/>
  <c r="M620" i="4"/>
  <c r="F620" i="4"/>
  <c r="E620" i="4"/>
  <c r="D620" i="4"/>
  <c r="C620" i="4"/>
  <c r="G620" i="4" s="1"/>
  <c r="B620" i="4"/>
  <c r="A620" i="4"/>
  <c r="M619" i="4"/>
  <c r="F619" i="4"/>
  <c r="E619" i="4"/>
  <c r="D619" i="4"/>
  <c r="C619" i="4"/>
  <c r="G619" i="4" s="1"/>
  <c r="B619" i="4"/>
  <c r="A619" i="4"/>
  <c r="M618" i="4"/>
  <c r="F618" i="4"/>
  <c r="E618" i="4"/>
  <c r="D618" i="4"/>
  <c r="C618" i="4"/>
  <c r="G618" i="4" s="1"/>
  <c r="B618" i="4"/>
  <c r="A618" i="4"/>
  <c r="M617" i="4"/>
  <c r="F617" i="4"/>
  <c r="E617" i="4"/>
  <c r="D617" i="4"/>
  <c r="C617" i="4"/>
  <c r="G617" i="4" s="1"/>
  <c r="N617" i="4" s="1"/>
  <c r="B617" i="4"/>
  <c r="A617" i="4"/>
  <c r="M616" i="4"/>
  <c r="F616" i="4"/>
  <c r="E616" i="4"/>
  <c r="D616" i="4"/>
  <c r="C616" i="4"/>
  <c r="G616" i="4" s="1"/>
  <c r="B616" i="4"/>
  <c r="A616" i="4"/>
  <c r="M615" i="4"/>
  <c r="F615" i="4"/>
  <c r="E615" i="4"/>
  <c r="D615" i="4"/>
  <c r="C615" i="4"/>
  <c r="G615" i="4" s="1"/>
  <c r="B615" i="4"/>
  <c r="A615" i="4"/>
  <c r="M614" i="4"/>
  <c r="F614" i="4"/>
  <c r="E614" i="4"/>
  <c r="D614" i="4"/>
  <c r="C614" i="4"/>
  <c r="G614" i="4" s="1"/>
  <c r="B614" i="4"/>
  <c r="A614" i="4"/>
  <c r="M613" i="4"/>
  <c r="F613" i="4"/>
  <c r="E613" i="4"/>
  <c r="D613" i="4"/>
  <c r="C613" i="4"/>
  <c r="G613" i="4" s="1"/>
  <c r="B613" i="4"/>
  <c r="A613" i="4"/>
  <c r="M612" i="4"/>
  <c r="F612" i="4"/>
  <c r="E612" i="4"/>
  <c r="D612" i="4"/>
  <c r="C612" i="4"/>
  <c r="G612" i="4" s="1"/>
  <c r="B612" i="4"/>
  <c r="A612" i="4"/>
  <c r="M611" i="4"/>
  <c r="F611" i="4"/>
  <c r="E611" i="4"/>
  <c r="D611" i="4"/>
  <c r="C611" i="4"/>
  <c r="G611" i="4" s="1"/>
  <c r="B611" i="4"/>
  <c r="A611" i="4"/>
  <c r="M610" i="4"/>
  <c r="F610" i="4"/>
  <c r="E610" i="4"/>
  <c r="D610" i="4"/>
  <c r="C610" i="4"/>
  <c r="G610" i="4" s="1"/>
  <c r="B610" i="4"/>
  <c r="A610" i="4"/>
  <c r="M609" i="4"/>
  <c r="F609" i="4"/>
  <c r="E609" i="4"/>
  <c r="D609" i="4"/>
  <c r="C609" i="4"/>
  <c r="G609" i="4" s="1"/>
  <c r="B609" i="4"/>
  <c r="A609" i="4"/>
  <c r="M608" i="4"/>
  <c r="F608" i="4"/>
  <c r="E608" i="4"/>
  <c r="D608" i="4"/>
  <c r="C608" i="4"/>
  <c r="G608" i="4" s="1"/>
  <c r="B608" i="4"/>
  <c r="A608" i="4"/>
  <c r="M607" i="4"/>
  <c r="F607" i="4"/>
  <c r="E607" i="4"/>
  <c r="D607" i="4"/>
  <c r="C607" i="4"/>
  <c r="G607" i="4" s="1"/>
  <c r="B607" i="4"/>
  <c r="A607" i="4"/>
  <c r="M606" i="4"/>
  <c r="F606" i="4"/>
  <c r="E606" i="4"/>
  <c r="D606" i="4"/>
  <c r="C606" i="4"/>
  <c r="G606" i="4" s="1"/>
  <c r="B606" i="4"/>
  <c r="A606" i="4"/>
  <c r="M605" i="4"/>
  <c r="F605" i="4"/>
  <c r="E605" i="4"/>
  <c r="D605" i="4"/>
  <c r="C605" i="4"/>
  <c r="G605" i="4" s="1"/>
  <c r="B605" i="4"/>
  <c r="A605" i="4"/>
  <c r="M604" i="4"/>
  <c r="F604" i="4"/>
  <c r="E604" i="4"/>
  <c r="D604" i="4"/>
  <c r="C604" i="4"/>
  <c r="G604" i="4" s="1"/>
  <c r="B604" i="4"/>
  <c r="A604" i="4"/>
  <c r="M603" i="4"/>
  <c r="F603" i="4"/>
  <c r="E603" i="4"/>
  <c r="D603" i="4"/>
  <c r="C603" i="4"/>
  <c r="G603" i="4" s="1"/>
  <c r="B603" i="4"/>
  <c r="A603" i="4"/>
  <c r="M602" i="4"/>
  <c r="F602" i="4"/>
  <c r="E602" i="4"/>
  <c r="D602" i="4"/>
  <c r="C602" i="4"/>
  <c r="G602" i="4" s="1"/>
  <c r="B602" i="4"/>
  <c r="A602" i="4"/>
  <c r="M601" i="4"/>
  <c r="F601" i="4"/>
  <c r="E601" i="4"/>
  <c r="D601" i="4"/>
  <c r="C601" i="4"/>
  <c r="G601" i="4" s="1"/>
  <c r="B601" i="4"/>
  <c r="A601" i="4"/>
  <c r="M600" i="4"/>
  <c r="F600" i="4"/>
  <c r="E600" i="4"/>
  <c r="D600" i="4"/>
  <c r="C600" i="4"/>
  <c r="G600" i="4" s="1"/>
  <c r="B600" i="4"/>
  <c r="A600" i="4"/>
  <c r="M599" i="4"/>
  <c r="F599" i="4"/>
  <c r="E599" i="4"/>
  <c r="D599" i="4"/>
  <c r="C599" i="4"/>
  <c r="G599" i="4" s="1"/>
  <c r="B599" i="4"/>
  <c r="A599" i="4"/>
  <c r="M598" i="4"/>
  <c r="F598" i="4"/>
  <c r="E598" i="4"/>
  <c r="D598" i="4"/>
  <c r="C598" i="4"/>
  <c r="G598" i="4" s="1"/>
  <c r="B598" i="4"/>
  <c r="A598" i="4"/>
  <c r="M597" i="4"/>
  <c r="F597" i="4"/>
  <c r="E597" i="4"/>
  <c r="D597" i="4"/>
  <c r="C597" i="4"/>
  <c r="G597" i="4" s="1"/>
  <c r="B597" i="4"/>
  <c r="A597" i="4"/>
  <c r="M596" i="4"/>
  <c r="F596" i="4"/>
  <c r="E596" i="4"/>
  <c r="D596" i="4"/>
  <c r="C596" i="4"/>
  <c r="G596" i="4" s="1"/>
  <c r="B596" i="4"/>
  <c r="A596" i="4"/>
  <c r="M595" i="4"/>
  <c r="F595" i="4"/>
  <c r="E595" i="4"/>
  <c r="D595" i="4"/>
  <c r="C595" i="4"/>
  <c r="G595" i="4" s="1"/>
  <c r="B595" i="4"/>
  <c r="A595" i="4"/>
  <c r="M594" i="4"/>
  <c r="F594" i="4"/>
  <c r="E594" i="4"/>
  <c r="D594" i="4"/>
  <c r="C594" i="4"/>
  <c r="G594" i="4" s="1"/>
  <c r="B594" i="4"/>
  <c r="A594" i="4"/>
  <c r="M593" i="4"/>
  <c r="F593" i="4"/>
  <c r="E593" i="4"/>
  <c r="D593" i="4"/>
  <c r="C593" i="4"/>
  <c r="G593" i="4" s="1"/>
  <c r="B593" i="4"/>
  <c r="A593" i="4"/>
  <c r="M592" i="4"/>
  <c r="F592" i="4"/>
  <c r="E592" i="4"/>
  <c r="D592" i="4"/>
  <c r="C592" i="4"/>
  <c r="G592" i="4" s="1"/>
  <c r="B592" i="4"/>
  <c r="A592" i="4"/>
  <c r="M591" i="4"/>
  <c r="F591" i="4"/>
  <c r="E591" i="4"/>
  <c r="D591" i="4"/>
  <c r="C591" i="4"/>
  <c r="G591" i="4" s="1"/>
  <c r="B591" i="4"/>
  <c r="A591" i="4"/>
  <c r="M590" i="4"/>
  <c r="F590" i="4"/>
  <c r="E590" i="4"/>
  <c r="D590" i="4"/>
  <c r="C590" i="4"/>
  <c r="G590" i="4" s="1"/>
  <c r="B590" i="4"/>
  <c r="A590" i="4"/>
  <c r="M589" i="4"/>
  <c r="F589" i="4"/>
  <c r="E589" i="4"/>
  <c r="D589" i="4"/>
  <c r="C589" i="4"/>
  <c r="G589" i="4" s="1"/>
  <c r="B589" i="4"/>
  <c r="A589" i="4"/>
  <c r="M588" i="4"/>
  <c r="F588" i="4"/>
  <c r="E588" i="4"/>
  <c r="D588" i="4"/>
  <c r="C588" i="4"/>
  <c r="G588" i="4" s="1"/>
  <c r="B588" i="4"/>
  <c r="A588" i="4"/>
  <c r="M587" i="4"/>
  <c r="F587" i="4"/>
  <c r="E587" i="4"/>
  <c r="D587" i="4"/>
  <c r="C587" i="4"/>
  <c r="G587" i="4" s="1"/>
  <c r="B587" i="4"/>
  <c r="A587" i="4"/>
  <c r="M586" i="4"/>
  <c r="F586" i="4"/>
  <c r="E586" i="4"/>
  <c r="D586" i="4"/>
  <c r="C586" i="4"/>
  <c r="G586" i="4" s="1"/>
  <c r="B586" i="4"/>
  <c r="A586" i="4"/>
  <c r="M585" i="4"/>
  <c r="F585" i="4"/>
  <c r="E585" i="4"/>
  <c r="D585" i="4"/>
  <c r="C585" i="4"/>
  <c r="G585" i="4" s="1"/>
  <c r="B585" i="4"/>
  <c r="A585" i="4"/>
  <c r="M584" i="4"/>
  <c r="F584" i="4"/>
  <c r="E584" i="4"/>
  <c r="D584" i="4"/>
  <c r="C584" i="4"/>
  <c r="G584" i="4" s="1"/>
  <c r="B584" i="4"/>
  <c r="A584" i="4"/>
  <c r="M583" i="4"/>
  <c r="F583" i="4"/>
  <c r="E583" i="4"/>
  <c r="D583" i="4"/>
  <c r="C583" i="4"/>
  <c r="G583" i="4" s="1"/>
  <c r="B583" i="4"/>
  <c r="A583" i="4"/>
  <c r="M582" i="4"/>
  <c r="F582" i="4"/>
  <c r="E582" i="4"/>
  <c r="D582" i="4"/>
  <c r="C582" i="4"/>
  <c r="G582" i="4" s="1"/>
  <c r="B582" i="4"/>
  <c r="A582" i="4"/>
  <c r="M581" i="4"/>
  <c r="F581" i="4"/>
  <c r="E581" i="4"/>
  <c r="D581" i="4"/>
  <c r="C581" i="4"/>
  <c r="G581" i="4" s="1"/>
  <c r="B581" i="4"/>
  <c r="A581" i="4"/>
  <c r="M580" i="4"/>
  <c r="F580" i="4"/>
  <c r="E580" i="4"/>
  <c r="D580" i="4"/>
  <c r="C580" i="4"/>
  <c r="G580" i="4" s="1"/>
  <c r="B580" i="4"/>
  <c r="A580" i="4"/>
  <c r="M579" i="4"/>
  <c r="F579" i="4"/>
  <c r="E579" i="4"/>
  <c r="D579" i="4"/>
  <c r="C579" i="4"/>
  <c r="G579" i="4" s="1"/>
  <c r="B579" i="4"/>
  <c r="A579" i="4"/>
  <c r="M578" i="4"/>
  <c r="F578" i="4"/>
  <c r="E578" i="4"/>
  <c r="D578" i="4"/>
  <c r="C578" i="4"/>
  <c r="G578" i="4" s="1"/>
  <c r="B578" i="4"/>
  <c r="A578" i="4"/>
  <c r="M577" i="4"/>
  <c r="F577" i="4"/>
  <c r="E577" i="4"/>
  <c r="D577" i="4"/>
  <c r="C577" i="4"/>
  <c r="G577" i="4" s="1"/>
  <c r="B577" i="4"/>
  <c r="A577" i="4"/>
  <c r="M576" i="4"/>
  <c r="F576" i="4"/>
  <c r="E576" i="4"/>
  <c r="D576" i="4"/>
  <c r="C576" i="4"/>
  <c r="G576" i="4" s="1"/>
  <c r="B576" i="4"/>
  <c r="A576" i="4"/>
  <c r="M575" i="4"/>
  <c r="F575" i="4"/>
  <c r="E575" i="4"/>
  <c r="D575" i="4"/>
  <c r="C575" i="4"/>
  <c r="G575" i="4" s="1"/>
  <c r="B575" i="4"/>
  <c r="A575" i="4"/>
  <c r="M574" i="4"/>
  <c r="F574" i="4"/>
  <c r="E574" i="4"/>
  <c r="D574" i="4"/>
  <c r="C574" i="4"/>
  <c r="G574" i="4" s="1"/>
  <c r="B574" i="4"/>
  <c r="A574" i="4"/>
  <c r="M573" i="4"/>
  <c r="F573" i="4"/>
  <c r="E573" i="4"/>
  <c r="D573" i="4"/>
  <c r="C573" i="4"/>
  <c r="G573" i="4" s="1"/>
  <c r="B573" i="4"/>
  <c r="A573" i="4"/>
  <c r="M572" i="4"/>
  <c r="F572" i="4"/>
  <c r="E572" i="4"/>
  <c r="D572" i="4"/>
  <c r="C572" i="4"/>
  <c r="G572" i="4" s="1"/>
  <c r="B572" i="4"/>
  <c r="A572" i="4"/>
  <c r="M571" i="4"/>
  <c r="F571" i="4"/>
  <c r="E571" i="4"/>
  <c r="D571" i="4"/>
  <c r="C571" i="4"/>
  <c r="G571" i="4" s="1"/>
  <c r="B571" i="4"/>
  <c r="A571" i="4"/>
  <c r="M570" i="4"/>
  <c r="F570" i="4"/>
  <c r="E570" i="4"/>
  <c r="D570" i="4"/>
  <c r="C570" i="4"/>
  <c r="G570" i="4" s="1"/>
  <c r="B570" i="4"/>
  <c r="A570" i="4"/>
  <c r="M569" i="4"/>
  <c r="F569" i="4"/>
  <c r="E569" i="4"/>
  <c r="D569" i="4"/>
  <c r="C569" i="4"/>
  <c r="G569" i="4" s="1"/>
  <c r="B569" i="4"/>
  <c r="A569" i="4"/>
  <c r="M568" i="4"/>
  <c r="F568" i="4"/>
  <c r="E568" i="4"/>
  <c r="D568" i="4"/>
  <c r="C568" i="4"/>
  <c r="G568" i="4" s="1"/>
  <c r="B568" i="4"/>
  <c r="A568" i="4"/>
  <c r="M567" i="4"/>
  <c r="F567" i="4"/>
  <c r="E567" i="4"/>
  <c r="D567" i="4"/>
  <c r="C567" i="4"/>
  <c r="G567" i="4" s="1"/>
  <c r="B567" i="4"/>
  <c r="A567" i="4"/>
  <c r="M566" i="4"/>
  <c r="F566" i="4"/>
  <c r="E566" i="4"/>
  <c r="D566" i="4"/>
  <c r="C566" i="4"/>
  <c r="G566" i="4" s="1"/>
  <c r="B566" i="4"/>
  <c r="A566" i="4"/>
  <c r="M565" i="4"/>
  <c r="F565" i="4"/>
  <c r="E565" i="4"/>
  <c r="D565" i="4"/>
  <c r="C565" i="4"/>
  <c r="G565" i="4" s="1"/>
  <c r="B565" i="4"/>
  <c r="A565" i="4"/>
  <c r="M564" i="4"/>
  <c r="F564" i="4"/>
  <c r="E564" i="4"/>
  <c r="D564" i="4"/>
  <c r="C564" i="4"/>
  <c r="G564" i="4" s="1"/>
  <c r="B564" i="4"/>
  <c r="A564" i="4"/>
  <c r="M563" i="4"/>
  <c r="F563" i="4"/>
  <c r="E563" i="4"/>
  <c r="D563" i="4"/>
  <c r="C563" i="4"/>
  <c r="G563" i="4" s="1"/>
  <c r="B563" i="4"/>
  <c r="A563" i="4"/>
  <c r="M562" i="4"/>
  <c r="F562" i="4"/>
  <c r="E562" i="4"/>
  <c r="D562" i="4"/>
  <c r="C562" i="4"/>
  <c r="G562" i="4" s="1"/>
  <c r="B562" i="4"/>
  <c r="A562" i="4"/>
  <c r="M561" i="4"/>
  <c r="F561" i="4"/>
  <c r="E561" i="4"/>
  <c r="D561" i="4"/>
  <c r="C561" i="4"/>
  <c r="G561" i="4" s="1"/>
  <c r="B561" i="4"/>
  <c r="A561" i="4"/>
  <c r="M560" i="4"/>
  <c r="F560" i="4"/>
  <c r="E560" i="4"/>
  <c r="D560" i="4"/>
  <c r="C560" i="4"/>
  <c r="G560" i="4" s="1"/>
  <c r="B560" i="4"/>
  <c r="A560" i="4"/>
  <c r="M559" i="4"/>
  <c r="F559" i="4"/>
  <c r="E559" i="4"/>
  <c r="D559" i="4"/>
  <c r="C559" i="4"/>
  <c r="G559" i="4" s="1"/>
  <c r="B559" i="4"/>
  <c r="A559" i="4"/>
  <c r="M558" i="4"/>
  <c r="F558" i="4"/>
  <c r="E558" i="4"/>
  <c r="D558" i="4"/>
  <c r="C558" i="4"/>
  <c r="G558" i="4" s="1"/>
  <c r="B558" i="4"/>
  <c r="A558" i="4"/>
  <c r="M557" i="4"/>
  <c r="F557" i="4"/>
  <c r="E557" i="4"/>
  <c r="D557" i="4"/>
  <c r="C557" i="4"/>
  <c r="G557" i="4" s="1"/>
  <c r="B557" i="4"/>
  <c r="A557" i="4"/>
  <c r="M556" i="4"/>
  <c r="F556" i="4"/>
  <c r="E556" i="4"/>
  <c r="D556" i="4"/>
  <c r="C556" i="4"/>
  <c r="G556" i="4" s="1"/>
  <c r="B556" i="4"/>
  <c r="A556" i="4"/>
  <c r="M555" i="4"/>
  <c r="F555" i="4"/>
  <c r="E555" i="4"/>
  <c r="D555" i="4"/>
  <c r="C555" i="4"/>
  <c r="G555" i="4" s="1"/>
  <c r="B555" i="4"/>
  <c r="A555" i="4"/>
  <c r="M554" i="4"/>
  <c r="F554" i="4"/>
  <c r="E554" i="4"/>
  <c r="D554" i="4"/>
  <c r="C554" i="4"/>
  <c r="G554" i="4" s="1"/>
  <c r="B554" i="4"/>
  <c r="A554" i="4"/>
  <c r="M553" i="4"/>
  <c r="F553" i="4"/>
  <c r="E553" i="4"/>
  <c r="D553" i="4"/>
  <c r="C553" i="4"/>
  <c r="G553" i="4" s="1"/>
  <c r="B553" i="4"/>
  <c r="A553" i="4"/>
  <c r="M552" i="4"/>
  <c r="F552" i="4"/>
  <c r="E552" i="4"/>
  <c r="D552" i="4"/>
  <c r="C552" i="4"/>
  <c r="G552" i="4" s="1"/>
  <c r="B552" i="4"/>
  <c r="A552" i="4"/>
  <c r="M551" i="4"/>
  <c r="F551" i="4"/>
  <c r="E551" i="4"/>
  <c r="D551" i="4"/>
  <c r="C551" i="4"/>
  <c r="G551" i="4" s="1"/>
  <c r="B551" i="4"/>
  <c r="A551" i="4"/>
  <c r="M550" i="4"/>
  <c r="F550" i="4"/>
  <c r="E550" i="4"/>
  <c r="D550" i="4"/>
  <c r="C550" i="4"/>
  <c r="G550" i="4" s="1"/>
  <c r="B550" i="4"/>
  <c r="A550" i="4"/>
  <c r="M549" i="4"/>
  <c r="F549" i="4"/>
  <c r="E549" i="4"/>
  <c r="D549" i="4"/>
  <c r="C549" i="4"/>
  <c r="G549" i="4" s="1"/>
  <c r="B549" i="4"/>
  <c r="A549" i="4"/>
  <c r="M548" i="4"/>
  <c r="F548" i="4"/>
  <c r="E548" i="4"/>
  <c r="D548" i="4"/>
  <c r="C548" i="4"/>
  <c r="G548" i="4" s="1"/>
  <c r="B548" i="4"/>
  <c r="A548" i="4"/>
  <c r="M547" i="4"/>
  <c r="F547" i="4"/>
  <c r="E547" i="4"/>
  <c r="D547" i="4"/>
  <c r="C547" i="4"/>
  <c r="G547" i="4" s="1"/>
  <c r="B547" i="4"/>
  <c r="A547" i="4"/>
  <c r="M546" i="4"/>
  <c r="F546" i="4"/>
  <c r="E546" i="4"/>
  <c r="D546" i="4"/>
  <c r="C546" i="4"/>
  <c r="G546" i="4" s="1"/>
  <c r="B546" i="4"/>
  <c r="A546" i="4"/>
  <c r="M545" i="4"/>
  <c r="F545" i="4"/>
  <c r="E545" i="4"/>
  <c r="D545" i="4"/>
  <c r="C545" i="4"/>
  <c r="G545" i="4" s="1"/>
  <c r="B545" i="4"/>
  <c r="A545" i="4"/>
  <c r="M544" i="4"/>
  <c r="F544" i="4"/>
  <c r="E544" i="4"/>
  <c r="D544" i="4"/>
  <c r="C544" i="4"/>
  <c r="G544" i="4" s="1"/>
  <c r="B544" i="4"/>
  <c r="A544" i="4"/>
  <c r="M543" i="4"/>
  <c r="F543" i="4"/>
  <c r="E543" i="4"/>
  <c r="D543" i="4"/>
  <c r="C543" i="4"/>
  <c r="G543" i="4" s="1"/>
  <c r="B543" i="4"/>
  <c r="A543" i="4"/>
  <c r="M542" i="4"/>
  <c r="F542" i="4"/>
  <c r="E542" i="4"/>
  <c r="D542" i="4"/>
  <c r="C542" i="4"/>
  <c r="G542" i="4" s="1"/>
  <c r="B542" i="4"/>
  <c r="A542" i="4"/>
  <c r="M541" i="4"/>
  <c r="F541" i="4"/>
  <c r="E541" i="4"/>
  <c r="D541" i="4"/>
  <c r="C541" i="4"/>
  <c r="G541" i="4" s="1"/>
  <c r="B541" i="4"/>
  <c r="A541" i="4"/>
  <c r="M540" i="4"/>
  <c r="F540" i="4"/>
  <c r="E540" i="4"/>
  <c r="D540" i="4"/>
  <c r="C540" i="4"/>
  <c r="G540" i="4" s="1"/>
  <c r="B540" i="4"/>
  <c r="A540" i="4"/>
  <c r="M539" i="4"/>
  <c r="F539" i="4"/>
  <c r="E539" i="4"/>
  <c r="D539" i="4"/>
  <c r="C539" i="4"/>
  <c r="G539" i="4" s="1"/>
  <c r="B539" i="4"/>
  <c r="A539" i="4"/>
  <c r="M538" i="4"/>
  <c r="F538" i="4"/>
  <c r="E538" i="4"/>
  <c r="D538" i="4"/>
  <c r="C538" i="4"/>
  <c r="G538" i="4" s="1"/>
  <c r="B538" i="4"/>
  <c r="A538" i="4"/>
  <c r="M537" i="4"/>
  <c r="F537" i="4"/>
  <c r="E537" i="4"/>
  <c r="D537" i="4"/>
  <c r="C537" i="4"/>
  <c r="G537" i="4" s="1"/>
  <c r="B537" i="4"/>
  <c r="A537" i="4"/>
  <c r="M536" i="4"/>
  <c r="F536" i="4"/>
  <c r="E536" i="4"/>
  <c r="D536" i="4"/>
  <c r="C536" i="4"/>
  <c r="G536" i="4" s="1"/>
  <c r="B536" i="4"/>
  <c r="A536" i="4"/>
  <c r="M535" i="4"/>
  <c r="F535" i="4"/>
  <c r="E535" i="4"/>
  <c r="D535" i="4"/>
  <c r="C535" i="4"/>
  <c r="G535" i="4" s="1"/>
  <c r="B535" i="4"/>
  <c r="A535" i="4"/>
  <c r="M534" i="4"/>
  <c r="F534" i="4"/>
  <c r="E534" i="4"/>
  <c r="D534" i="4"/>
  <c r="C534" i="4"/>
  <c r="G534" i="4" s="1"/>
  <c r="B534" i="4"/>
  <c r="A534" i="4"/>
  <c r="M533" i="4"/>
  <c r="F533" i="4"/>
  <c r="E533" i="4"/>
  <c r="D533" i="4"/>
  <c r="C533" i="4"/>
  <c r="G533" i="4" s="1"/>
  <c r="B533" i="4"/>
  <c r="A533" i="4"/>
  <c r="M532" i="4"/>
  <c r="F532" i="4"/>
  <c r="E532" i="4"/>
  <c r="D532" i="4"/>
  <c r="C532" i="4"/>
  <c r="G532" i="4" s="1"/>
  <c r="B532" i="4"/>
  <c r="A532" i="4"/>
  <c r="M531" i="4"/>
  <c r="F531" i="4"/>
  <c r="E531" i="4"/>
  <c r="D531" i="4"/>
  <c r="C531" i="4"/>
  <c r="G531" i="4" s="1"/>
  <c r="B531" i="4"/>
  <c r="A531" i="4"/>
  <c r="M530" i="4"/>
  <c r="F530" i="4"/>
  <c r="E530" i="4"/>
  <c r="D530" i="4"/>
  <c r="C530" i="4"/>
  <c r="G530" i="4" s="1"/>
  <c r="B530" i="4"/>
  <c r="A530" i="4"/>
  <c r="M529" i="4"/>
  <c r="F529" i="4"/>
  <c r="E529" i="4"/>
  <c r="D529" i="4"/>
  <c r="C529" i="4"/>
  <c r="G529" i="4" s="1"/>
  <c r="B529" i="4"/>
  <c r="A529" i="4"/>
  <c r="M528" i="4"/>
  <c r="F528" i="4"/>
  <c r="E528" i="4"/>
  <c r="D528" i="4"/>
  <c r="C528" i="4"/>
  <c r="G528" i="4" s="1"/>
  <c r="B528" i="4"/>
  <c r="A528" i="4"/>
  <c r="M527" i="4"/>
  <c r="F527" i="4"/>
  <c r="E527" i="4"/>
  <c r="D527" i="4"/>
  <c r="C527" i="4"/>
  <c r="G527" i="4" s="1"/>
  <c r="B527" i="4"/>
  <c r="A527" i="4"/>
  <c r="M526" i="4"/>
  <c r="F526" i="4"/>
  <c r="E526" i="4"/>
  <c r="D526" i="4"/>
  <c r="C526" i="4"/>
  <c r="G526" i="4" s="1"/>
  <c r="B526" i="4"/>
  <c r="A526" i="4"/>
  <c r="M525" i="4"/>
  <c r="F525" i="4"/>
  <c r="E525" i="4"/>
  <c r="D525" i="4"/>
  <c r="C525" i="4"/>
  <c r="G525" i="4" s="1"/>
  <c r="B525" i="4"/>
  <c r="A525" i="4"/>
  <c r="M524" i="4"/>
  <c r="F524" i="4"/>
  <c r="E524" i="4"/>
  <c r="D524" i="4"/>
  <c r="C524" i="4"/>
  <c r="G524" i="4" s="1"/>
  <c r="B524" i="4"/>
  <c r="A524" i="4"/>
  <c r="M523" i="4"/>
  <c r="F523" i="4"/>
  <c r="E523" i="4"/>
  <c r="D523" i="4"/>
  <c r="C523" i="4"/>
  <c r="G523" i="4" s="1"/>
  <c r="B523" i="4"/>
  <c r="A523" i="4"/>
  <c r="M522" i="4"/>
  <c r="F522" i="4"/>
  <c r="E522" i="4"/>
  <c r="D522" i="4"/>
  <c r="C522" i="4"/>
  <c r="G522" i="4" s="1"/>
  <c r="B522" i="4"/>
  <c r="A522" i="4"/>
  <c r="M521" i="4"/>
  <c r="F521" i="4"/>
  <c r="E521" i="4"/>
  <c r="D521" i="4"/>
  <c r="C521" i="4"/>
  <c r="G521" i="4" s="1"/>
  <c r="B521" i="4"/>
  <c r="A521" i="4"/>
  <c r="M520" i="4"/>
  <c r="F520" i="4"/>
  <c r="E520" i="4"/>
  <c r="D520" i="4"/>
  <c r="C520" i="4"/>
  <c r="G520" i="4" s="1"/>
  <c r="B520" i="4"/>
  <c r="A520" i="4"/>
  <c r="M519" i="4"/>
  <c r="F519" i="4"/>
  <c r="E519" i="4"/>
  <c r="D519" i="4"/>
  <c r="C519" i="4"/>
  <c r="G519" i="4" s="1"/>
  <c r="B519" i="4"/>
  <c r="A519" i="4"/>
  <c r="M518" i="4"/>
  <c r="F518" i="4"/>
  <c r="E518" i="4"/>
  <c r="D518" i="4"/>
  <c r="C518" i="4"/>
  <c r="G518" i="4" s="1"/>
  <c r="B518" i="4"/>
  <c r="A518" i="4"/>
  <c r="M517" i="4"/>
  <c r="F517" i="4"/>
  <c r="E517" i="4"/>
  <c r="D517" i="4"/>
  <c r="C517" i="4"/>
  <c r="G517" i="4" s="1"/>
  <c r="B517" i="4"/>
  <c r="A517" i="4"/>
  <c r="M516" i="4"/>
  <c r="F516" i="4"/>
  <c r="E516" i="4"/>
  <c r="D516" i="4"/>
  <c r="C516" i="4"/>
  <c r="G516" i="4" s="1"/>
  <c r="B516" i="4"/>
  <c r="A516" i="4"/>
  <c r="M515" i="4"/>
  <c r="F515" i="4"/>
  <c r="E515" i="4"/>
  <c r="D515" i="4"/>
  <c r="C515" i="4"/>
  <c r="G515" i="4" s="1"/>
  <c r="B515" i="4"/>
  <c r="A515" i="4"/>
  <c r="M514" i="4"/>
  <c r="F514" i="4"/>
  <c r="E514" i="4"/>
  <c r="D514" i="4"/>
  <c r="C514" i="4"/>
  <c r="G514" i="4" s="1"/>
  <c r="B514" i="4"/>
  <c r="A514" i="4"/>
  <c r="M513" i="4"/>
  <c r="F513" i="4"/>
  <c r="E513" i="4"/>
  <c r="D513" i="4"/>
  <c r="C513" i="4"/>
  <c r="G513" i="4" s="1"/>
  <c r="B513" i="4"/>
  <c r="A513" i="4"/>
  <c r="M512" i="4"/>
  <c r="F512" i="4"/>
  <c r="E512" i="4"/>
  <c r="D512" i="4"/>
  <c r="C512" i="4"/>
  <c r="G512" i="4" s="1"/>
  <c r="B512" i="4"/>
  <c r="A512" i="4"/>
  <c r="M511" i="4"/>
  <c r="F511" i="4"/>
  <c r="E511" i="4"/>
  <c r="D511" i="4"/>
  <c r="C511" i="4"/>
  <c r="G511" i="4" s="1"/>
  <c r="B511" i="4"/>
  <c r="A511" i="4"/>
  <c r="M510" i="4"/>
  <c r="F510" i="4"/>
  <c r="E510" i="4"/>
  <c r="D510" i="4"/>
  <c r="C510" i="4"/>
  <c r="G510" i="4" s="1"/>
  <c r="B510" i="4"/>
  <c r="A510" i="4"/>
  <c r="M509" i="4"/>
  <c r="F509" i="4"/>
  <c r="E509" i="4"/>
  <c r="D509" i="4"/>
  <c r="C509" i="4"/>
  <c r="G509" i="4" s="1"/>
  <c r="B509" i="4"/>
  <c r="A509" i="4"/>
  <c r="M508" i="4"/>
  <c r="F508" i="4"/>
  <c r="E508" i="4"/>
  <c r="D508" i="4"/>
  <c r="C508" i="4"/>
  <c r="G508" i="4" s="1"/>
  <c r="B508" i="4"/>
  <c r="A508" i="4"/>
  <c r="M507" i="4"/>
  <c r="F507" i="4"/>
  <c r="E507" i="4"/>
  <c r="D507" i="4"/>
  <c r="C507" i="4"/>
  <c r="G507" i="4" s="1"/>
  <c r="B507" i="4"/>
  <c r="A507" i="4"/>
  <c r="M506" i="4"/>
  <c r="F506" i="4"/>
  <c r="E506" i="4"/>
  <c r="D506" i="4"/>
  <c r="C506" i="4"/>
  <c r="G506" i="4" s="1"/>
  <c r="B506" i="4"/>
  <c r="A506" i="4"/>
  <c r="M505" i="4"/>
  <c r="F505" i="4"/>
  <c r="E505" i="4"/>
  <c r="D505" i="4"/>
  <c r="C505" i="4"/>
  <c r="G505" i="4" s="1"/>
  <c r="B505" i="4"/>
  <c r="A505" i="4"/>
  <c r="M504" i="4"/>
  <c r="F504" i="4"/>
  <c r="E504" i="4"/>
  <c r="D504" i="4"/>
  <c r="C504" i="4"/>
  <c r="G504" i="4" s="1"/>
  <c r="B504" i="4"/>
  <c r="A504" i="4"/>
  <c r="M503" i="4"/>
  <c r="F503" i="4"/>
  <c r="E503" i="4"/>
  <c r="D503" i="4"/>
  <c r="C503" i="4"/>
  <c r="G503" i="4" s="1"/>
  <c r="B503" i="4"/>
  <c r="A503" i="4"/>
  <c r="M502" i="4"/>
  <c r="F502" i="4"/>
  <c r="E502" i="4"/>
  <c r="D502" i="4"/>
  <c r="C502" i="4"/>
  <c r="G502" i="4" s="1"/>
  <c r="B502" i="4"/>
  <c r="A502" i="4"/>
  <c r="M501" i="4"/>
  <c r="F501" i="4"/>
  <c r="E501" i="4"/>
  <c r="D501" i="4"/>
  <c r="C501" i="4"/>
  <c r="G501" i="4" s="1"/>
  <c r="B501" i="4"/>
  <c r="A501" i="4"/>
  <c r="M500" i="4"/>
  <c r="F500" i="4"/>
  <c r="E500" i="4"/>
  <c r="D500" i="4"/>
  <c r="C500" i="4"/>
  <c r="G500" i="4" s="1"/>
  <c r="B500" i="4"/>
  <c r="A500" i="4"/>
  <c r="M499" i="4"/>
  <c r="F499" i="4"/>
  <c r="E499" i="4"/>
  <c r="D499" i="4"/>
  <c r="C499" i="4"/>
  <c r="G499" i="4" s="1"/>
  <c r="B499" i="4"/>
  <c r="A499" i="4"/>
  <c r="M498" i="4"/>
  <c r="F498" i="4"/>
  <c r="E498" i="4"/>
  <c r="D498" i="4"/>
  <c r="C498" i="4"/>
  <c r="G498" i="4" s="1"/>
  <c r="B498" i="4"/>
  <c r="A498" i="4"/>
  <c r="M497" i="4"/>
  <c r="F497" i="4"/>
  <c r="E497" i="4"/>
  <c r="D497" i="4"/>
  <c r="C497" i="4"/>
  <c r="G497" i="4" s="1"/>
  <c r="B497" i="4"/>
  <c r="A497" i="4"/>
  <c r="M496" i="4"/>
  <c r="F496" i="4"/>
  <c r="E496" i="4"/>
  <c r="D496" i="4"/>
  <c r="C496" i="4"/>
  <c r="G496" i="4" s="1"/>
  <c r="B496" i="4"/>
  <c r="A496" i="4"/>
  <c r="M495" i="4"/>
  <c r="F495" i="4"/>
  <c r="E495" i="4"/>
  <c r="D495" i="4"/>
  <c r="C495" i="4"/>
  <c r="G495" i="4" s="1"/>
  <c r="B495" i="4"/>
  <c r="A495" i="4"/>
  <c r="M494" i="4"/>
  <c r="F494" i="4"/>
  <c r="E494" i="4"/>
  <c r="D494" i="4"/>
  <c r="C494" i="4"/>
  <c r="G494" i="4" s="1"/>
  <c r="B494" i="4"/>
  <c r="A494" i="4"/>
  <c r="M493" i="4"/>
  <c r="F493" i="4"/>
  <c r="E493" i="4"/>
  <c r="D493" i="4"/>
  <c r="C493" i="4"/>
  <c r="G493" i="4" s="1"/>
  <c r="B493" i="4"/>
  <c r="A493" i="4"/>
  <c r="M492" i="4"/>
  <c r="F492" i="4"/>
  <c r="E492" i="4"/>
  <c r="D492" i="4"/>
  <c r="C492" i="4"/>
  <c r="G492" i="4" s="1"/>
  <c r="B492" i="4"/>
  <c r="A492" i="4"/>
  <c r="M491" i="4"/>
  <c r="F491" i="4"/>
  <c r="E491" i="4"/>
  <c r="D491" i="4"/>
  <c r="C491" i="4"/>
  <c r="G491" i="4" s="1"/>
  <c r="B491" i="4"/>
  <c r="A491" i="4"/>
  <c r="M490" i="4"/>
  <c r="F490" i="4"/>
  <c r="E490" i="4"/>
  <c r="D490" i="4"/>
  <c r="C490" i="4"/>
  <c r="G490" i="4" s="1"/>
  <c r="B490" i="4"/>
  <c r="A490" i="4"/>
  <c r="M489" i="4"/>
  <c r="F489" i="4"/>
  <c r="E489" i="4"/>
  <c r="D489" i="4"/>
  <c r="C489" i="4"/>
  <c r="G489" i="4" s="1"/>
  <c r="B489" i="4"/>
  <c r="A489" i="4"/>
  <c r="N488" i="4"/>
  <c r="M488" i="4"/>
  <c r="K488" i="4"/>
  <c r="J488" i="4"/>
  <c r="O488" i="4" s="1"/>
  <c r="I488" i="4"/>
  <c r="F488" i="4"/>
  <c r="E488" i="4"/>
  <c r="D488" i="4"/>
  <c r="C488" i="4"/>
  <c r="G488" i="4" s="1"/>
  <c r="B488" i="4"/>
  <c r="H488" i="4" s="1"/>
  <c r="A488" i="4"/>
  <c r="M487" i="4"/>
  <c r="F487" i="4"/>
  <c r="E487" i="4"/>
  <c r="D487" i="4"/>
  <c r="C487" i="4"/>
  <c r="G487" i="4" s="1"/>
  <c r="B487" i="4"/>
  <c r="A487" i="4"/>
  <c r="M486" i="4"/>
  <c r="F486" i="4"/>
  <c r="E486" i="4"/>
  <c r="D486" i="4"/>
  <c r="C486" i="4"/>
  <c r="G486" i="4" s="1"/>
  <c r="B486" i="4"/>
  <c r="A486" i="4"/>
  <c r="M485" i="4"/>
  <c r="F485" i="4"/>
  <c r="E485" i="4"/>
  <c r="D485" i="4"/>
  <c r="C485" i="4"/>
  <c r="G485" i="4" s="1"/>
  <c r="B485" i="4"/>
  <c r="A485" i="4"/>
  <c r="M484" i="4"/>
  <c r="F484" i="4"/>
  <c r="E484" i="4"/>
  <c r="D484" i="4"/>
  <c r="C484" i="4"/>
  <c r="G484" i="4" s="1"/>
  <c r="B484" i="4"/>
  <c r="A484" i="4"/>
  <c r="M483" i="4"/>
  <c r="F483" i="4"/>
  <c r="E483" i="4"/>
  <c r="D483" i="4"/>
  <c r="C483" i="4"/>
  <c r="G483" i="4" s="1"/>
  <c r="B483" i="4"/>
  <c r="A483" i="4"/>
  <c r="M482" i="4"/>
  <c r="F482" i="4"/>
  <c r="E482" i="4"/>
  <c r="D482" i="4"/>
  <c r="C482" i="4"/>
  <c r="G482" i="4" s="1"/>
  <c r="B482" i="4"/>
  <c r="A482" i="4"/>
  <c r="M481" i="4"/>
  <c r="F481" i="4"/>
  <c r="E481" i="4"/>
  <c r="D481" i="4"/>
  <c r="C481" i="4"/>
  <c r="G481" i="4" s="1"/>
  <c r="B481" i="4"/>
  <c r="A481" i="4"/>
  <c r="M480" i="4"/>
  <c r="F480" i="4"/>
  <c r="E480" i="4"/>
  <c r="D480" i="4"/>
  <c r="C480" i="4"/>
  <c r="G480" i="4" s="1"/>
  <c r="B480" i="4"/>
  <c r="A480" i="4"/>
  <c r="M479" i="4"/>
  <c r="F479" i="4"/>
  <c r="E479" i="4"/>
  <c r="D479" i="4"/>
  <c r="C479" i="4"/>
  <c r="G479" i="4" s="1"/>
  <c r="B479" i="4"/>
  <c r="A479" i="4"/>
  <c r="M478" i="4"/>
  <c r="F478" i="4"/>
  <c r="E478" i="4"/>
  <c r="D478" i="4"/>
  <c r="C478" i="4"/>
  <c r="G478" i="4" s="1"/>
  <c r="B478" i="4"/>
  <c r="A478" i="4"/>
  <c r="M477" i="4"/>
  <c r="F477" i="4"/>
  <c r="E477" i="4"/>
  <c r="D477" i="4"/>
  <c r="C477" i="4"/>
  <c r="G477" i="4" s="1"/>
  <c r="B477" i="4"/>
  <c r="A477" i="4"/>
  <c r="M476" i="4"/>
  <c r="F476" i="4"/>
  <c r="E476" i="4"/>
  <c r="D476" i="4"/>
  <c r="C476" i="4"/>
  <c r="G476" i="4" s="1"/>
  <c r="B476" i="4"/>
  <c r="A476" i="4"/>
  <c r="M475" i="4"/>
  <c r="F475" i="4"/>
  <c r="E475" i="4"/>
  <c r="D475" i="4"/>
  <c r="C475" i="4"/>
  <c r="G475" i="4" s="1"/>
  <c r="B475" i="4"/>
  <c r="A475" i="4"/>
  <c r="M474" i="4"/>
  <c r="F474" i="4"/>
  <c r="E474" i="4"/>
  <c r="D474" i="4"/>
  <c r="C474" i="4"/>
  <c r="G474" i="4" s="1"/>
  <c r="B474" i="4"/>
  <c r="A474" i="4"/>
  <c r="M473" i="4"/>
  <c r="F473" i="4"/>
  <c r="E473" i="4"/>
  <c r="D473" i="4"/>
  <c r="C473" i="4"/>
  <c r="G473" i="4" s="1"/>
  <c r="B473" i="4"/>
  <c r="A473" i="4"/>
  <c r="M472" i="4"/>
  <c r="F472" i="4"/>
  <c r="E472" i="4"/>
  <c r="D472" i="4"/>
  <c r="C472" i="4"/>
  <c r="G472" i="4" s="1"/>
  <c r="B472" i="4"/>
  <c r="A472" i="4"/>
  <c r="M471" i="4"/>
  <c r="F471" i="4"/>
  <c r="E471" i="4"/>
  <c r="D471" i="4"/>
  <c r="C471" i="4"/>
  <c r="G471" i="4" s="1"/>
  <c r="B471" i="4"/>
  <c r="A471" i="4"/>
  <c r="M470" i="4"/>
  <c r="F470" i="4"/>
  <c r="E470" i="4"/>
  <c r="D470" i="4"/>
  <c r="C470" i="4"/>
  <c r="G470" i="4" s="1"/>
  <c r="B470" i="4"/>
  <c r="A470" i="4"/>
  <c r="M469" i="4"/>
  <c r="F469" i="4"/>
  <c r="E469" i="4"/>
  <c r="D469" i="4"/>
  <c r="C469" i="4"/>
  <c r="G469" i="4" s="1"/>
  <c r="B469" i="4"/>
  <c r="A469" i="4"/>
  <c r="M468" i="4"/>
  <c r="F468" i="4"/>
  <c r="E468" i="4"/>
  <c r="D468" i="4"/>
  <c r="C468" i="4"/>
  <c r="G468" i="4" s="1"/>
  <c r="B468" i="4"/>
  <c r="A468" i="4"/>
  <c r="M467" i="4"/>
  <c r="F467" i="4"/>
  <c r="E467" i="4"/>
  <c r="D467" i="4"/>
  <c r="C467" i="4"/>
  <c r="G467" i="4" s="1"/>
  <c r="B467" i="4"/>
  <c r="A467" i="4"/>
  <c r="M466" i="4"/>
  <c r="F466" i="4"/>
  <c r="E466" i="4"/>
  <c r="D466" i="4"/>
  <c r="C466" i="4"/>
  <c r="G466" i="4" s="1"/>
  <c r="B466" i="4"/>
  <c r="A466" i="4"/>
  <c r="M465" i="4"/>
  <c r="F465" i="4"/>
  <c r="E465" i="4"/>
  <c r="D465" i="4"/>
  <c r="C465" i="4"/>
  <c r="G465" i="4" s="1"/>
  <c r="B465" i="4"/>
  <c r="A465" i="4"/>
  <c r="M464" i="4"/>
  <c r="F464" i="4"/>
  <c r="E464" i="4"/>
  <c r="D464" i="4"/>
  <c r="C464" i="4"/>
  <c r="G464" i="4" s="1"/>
  <c r="B464" i="4"/>
  <c r="A464" i="4"/>
  <c r="M463" i="4"/>
  <c r="F463" i="4"/>
  <c r="E463" i="4"/>
  <c r="D463" i="4"/>
  <c r="C463" i="4"/>
  <c r="G463" i="4" s="1"/>
  <c r="B463" i="4"/>
  <c r="A463" i="4"/>
  <c r="M462" i="4"/>
  <c r="F462" i="4"/>
  <c r="E462" i="4"/>
  <c r="D462" i="4"/>
  <c r="C462" i="4"/>
  <c r="G462" i="4" s="1"/>
  <c r="B462" i="4"/>
  <c r="A462" i="4"/>
  <c r="M461" i="4"/>
  <c r="F461" i="4"/>
  <c r="E461" i="4"/>
  <c r="D461" i="4"/>
  <c r="C461" i="4"/>
  <c r="G461" i="4" s="1"/>
  <c r="B461" i="4"/>
  <c r="A461" i="4"/>
  <c r="M460" i="4"/>
  <c r="F460" i="4"/>
  <c r="E460" i="4"/>
  <c r="D460" i="4"/>
  <c r="C460" i="4"/>
  <c r="G460" i="4" s="1"/>
  <c r="B460" i="4"/>
  <c r="A460" i="4"/>
  <c r="M459" i="4"/>
  <c r="F459" i="4"/>
  <c r="E459" i="4"/>
  <c r="D459" i="4"/>
  <c r="C459" i="4"/>
  <c r="G459" i="4" s="1"/>
  <c r="B459" i="4"/>
  <c r="A459" i="4"/>
  <c r="M458" i="4"/>
  <c r="F458" i="4"/>
  <c r="E458" i="4"/>
  <c r="D458" i="4"/>
  <c r="C458" i="4"/>
  <c r="G458" i="4" s="1"/>
  <c r="B458" i="4"/>
  <c r="A458" i="4"/>
  <c r="M457" i="4"/>
  <c r="F457" i="4"/>
  <c r="E457" i="4"/>
  <c r="D457" i="4"/>
  <c r="C457" i="4"/>
  <c r="G457" i="4" s="1"/>
  <c r="B457" i="4"/>
  <c r="A457" i="4"/>
  <c r="M456" i="4"/>
  <c r="F456" i="4"/>
  <c r="E456" i="4"/>
  <c r="D456" i="4"/>
  <c r="C456" i="4"/>
  <c r="G456" i="4" s="1"/>
  <c r="B456" i="4"/>
  <c r="A456" i="4"/>
  <c r="M455" i="4"/>
  <c r="F455" i="4"/>
  <c r="E455" i="4"/>
  <c r="D455" i="4"/>
  <c r="C455" i="4"/>
  <c r="G455" i="4" s="1"/>
  <c r="B455" i="4"/>
  <c r="A455" i="4"/>
  <c r="M454" i="4"/>
  <c r="F454" i="4"/>
  <c r="E454" i="4"/>
  <c r="D454" i="4"/>
  <c r="C454" i="4"/>
  <c r="G454" i="4" s="1"/>
  <c r="B454" i="4"/>
  <c r="A454" i="4"/>
  <c r="M453" i="4"/>
  <c r="F453" i="4"/>
  <c r="E453" i="4"/>
  <c r="D453" i="4"/>
  <c r="C453" i="4"/>
  <c r="G453" i="4" s="1"/>
  <c r="B453" i="4"/>
  <c r="A453" i="4"/>
  <c r="M452" i="4"/>
  <c r="F452" i="4"/>
  <c r="E452" i="4"/>
  <c r="D452" i="4"/>
  <c r="C452" i="4"/>
  <c r="G452" i="4" s="1"/>
  <c r="B452" i="4"/>
  <c r="A452" i="4"/>
  <c r="M451" i="4"/>
  <c r="F451" i="4"/>
  <c r="E451" i="4"/>
  <c r="D451" i="4"/>
  <c r="C451" i="4"/>
  <c r="G451" i="4" s="1"/>
  <c r="B451" i="4"/>
  <c r="A451" i="4"/>
  <c r="M450" i="4"/>
  <c r="F450" i="4"/>
  <c r="E450" i="4"/>
  <c r="D450" i="4"/>
  <c r="C450" i="4"/>
  <c r="G450" i="4" s="1"/>
  <c r="B450" i="4"/>
  <c r="A450" i="4"/>
  <c r="M449" i="4"/>
  <c r="F449" i="4"/>
  <c r="E449" i="4"/>
  <c r="D449" i="4"/>
  <c r="C449" i="4"/>
  <c r="G449" i="4" s="1"/>
  <c r="B449" i="4"/>
  <c r="A449" i="4"/>
  <c r="M448" i="4"/>
  <c r="F448" i="4"/>
  <c r="E448" i="4"/>
  <c r="D448" i="4"/>
  <c r="C448" i="4"/>
  <c r="G448" i="4" s="1"/>
  <c r="B448" i="4"/>
  <c r="A448" i="4"/>
  <c r="M447" i="4"/>
  <c r="F447" i="4"/>
  <c r="E447" i="4"/>
  <c r="D447" i="4"/>
  <c r="C447" i="4"/>
  <c r="G447" i="4" s="1"/>
  <c r="B447" i="4"/>
  <c r="A447" i="4"/>
  <c r="M446" i="4"/>
  <c r="F446" i="4"/>
  <c r="E446" i="4"/>
  <c r="D446" i="4"/>
  <c r="C446" i="4"/>
  <c r="G446" i="4" s="1"/>
  <c r="B446" i="4"/>
  <c r="A446" i="4"/>
  <c r="M445" i="4"/>
  <c r="F445" i="4"/>
  <c r="E445" i="4"/>
  <c r="D445" i="4"/>
  <c r="C445" i="4"/>
  <c r="G445" i="4" s="1"/>
  <c r="B445" i="4"/>
  <c r="A445" i="4"/>
  <c r="M444" i="4"/>
  <c r="F444" i="4"/>
  <c r="E444" i="4"/>
  <c r="D444" i="4"/>
  <c r="C444" i="4"/>
  <c r="G444" i="4" s="1"/>
  <c r="B444" i="4"/>
  <c r="A444" i="4"/>
  <c r="M443" i="4"/>
  <c r="F443" i="4"/>
  <c r="E443" i="4"/>
  <c r="D443" i="4"/>
  <c r="C443" i="4"/>
  <c r="G443" i="4" s="1"/>
  <c r="B443" i="4"/>
  <c r="A443" i="4"/>
  <c r="M442" i="4"/>
  <c r="F442" i="4"/>
  <c r="E442" i="4"/>
  <c r="D442" i="4"/>
  <c r="C442" i="4"/>
  <c r="G442" i="4" s="1"/>
  <c r="B442" i="4"/>
  <c r="A442" i="4"/>
  <c r="M441" i="4"/>
  <c r="F441" i="4"/>
  <c r="E441" i="4"/>
  <c r="D441" i="4"/>
  <c r="C441" i="4"/>
  <c r="G441" i="4" s="1"/>
  <c r="B441" i="4"/>
  <c r="A441" i="4"/>
  <c r="M440" i="4"/>
  <c r="F440" i="4"/>
  <c r="E440" i="4"/>
  <c r="D440" i="4"/>
  <c r="C440" i="4"/>
  <c r="G440" i="4" s="1"/>
  <c r="B440" i="4"/>
  <c r="A440" i="4"/>
  <c r="M439" i="4"/>
  <c r="F439" i="4"/>
  <c r="E439" i="4"/>
  <c r="D439" i="4"/>
  <c r="C439" i="4"/>
  <c r="G439" i="4" s="1"/>
  <c r="B439" i="4"/>
  <c r="A439" i="4"/>
  <c r="M438" i="4"/>
  <c r="F438" i="4"/>
  <c r="E438" i="4"/>
  <c r="D438" i="4"/>
  <c r="C438" i="4"/>
  <c r="G438" i="4" s="1"/>
  <c r="B438" i="4"/>
  <c r="A438" i="4"/>
  <c r="M437" i="4"/>
  <c r="F437" i="4"/>
  <c r="E437" i="4"/>
  <c r="D437" i="4"/>
  <c r="C437" i="4"/>
  <c r="G437" i="4" s="1"/>
  <c r="B437" i="4"/>
  <c r="A437" i="4"/>
  <c r="M436" i="4"/>
  <c r="F436" i="4"/>
  <c r="E436" i="4"/>
  <c r="D436" i="4"/>
  <c r="C436" i="4"/>
  <c r="G436" i="4" s="1"/>
  <c r="B436" i="4"/>
  <c r="A436" i="4"/>
  <c r="M435" i="4"/>
  <c r="F435" i="4"/>
  <c r="E435" i="4"/>
  <c r="D435" i="4"/>
  <c r="C435" i="4"/>
  <c r="G435" i="4" s="1"/>
  <c r="B435" i="4"/>
  <c r="A435" i="4"/>
  <c r="M434" i="4"/>
  <c r="F434" i="4"/>
  <c r="E434" i="4"/>
  <c r="D434" i="4"/>
  <c r="C434" i="4"/>
  <c r="G434" i="4" s="1"/>
  <c r="B434" i="4"/>
  <c r="A434" i="4"/>
  <c r="M433" i="4"/>
  <c r="F433" i="4"/>
  <c r="E433" i="4"/>
  <c r="D433" i="4"/>
  <c r="C433" i="4"/>
  <c r="G433" i="4" s="1"/>
  <c r="B433" i="4"/>
  <c r="A433" i="4"/>
  <c r="M432" i="4"/>
  <c r="F432" i="4"/>
  <c r="E432" i="4"/>
  <c r="D432" i="4"/>
  <c r="C432" i="4"/>
  <c r="G432" i="4" s="1"/>
  <c r="B432" i="4"/>
  <c r="A432" i="4"/>
  <c r="M431" i="4"/>
  <c r="F431" i="4"/>
  <c r="E431" i="4"/>
  <c r="D431" i="4"/>
  <c r="C431" i="4"/>
  <c r="G431" i="4" s="1"/>
  <c r="B431" i="4"/>
  <c r="A431" i="4"/>
  <c r="M430" i="4"/>
  <c r="F430" i="4"/>
  <c r="E430" i="4"/>
  <c r="D430" i="4"/>
  <c r="C430" i="4"/>
  <c r="G430" i="4" s="1"/>
  <c r="B430" i="4"/>
  <c r="A430" i="4"/>
  <c r="M429" i="4"/>
  <c r="F429" i="4"/>
  <c r="E429" i="4"/>
  <c r="D429" i="4"/>
  <c r="C429" i="4"/>
  <c r="G429" i="4" s="1"/>
  <c r="B429" i="4"/>
  <c r="A429" i="4"/>
  <c r="M428" i="4"/>
  <c r="F428" i="4"/>
  <c r="E428" i="4"/>
  <c r="D428" i="4"/>
  <c r="C428" i="4"/>
  <c r="G428" i="4" s="1"/>
  <c r="B428" i="4"/>
  <c r="A428" i="4"/>
  <c r="M427" i="4"/>
  <c r="F427" i="4"/>
  <c r="E427" i="4"/>
  <c r="D427" i="4"/>
  <c r="C427" i="4"/>
  <c r="G427" i="4" s="1"/>
  <c r="B427" i="4"/>
  <c r="A427" i="4"/>
  <c r="M426" i="4"/>
  <c r="F426" i="4"/>
  <c r="E426" i="4"/>
  <c r="D426" i="4"/>
  <c r="C426" i="4"/>
  <c r="G426" i="4" s="1"/>
  <c r="B426" i="4"/>
  <c r="A426" i="4"/>
  <c r="M425" i="4"/>
  <c r="F425" i="4"/>
  <c r="E425" i="4"/>
  <c r="D425" i="4"/>
  <c r="C425" i="4"/>
  <c r="G425" i="4" s="1"/>
  <c r="B425" i="4"/>
  <c r="A425" i="4"/>
  <c r="M424" i="4"/>
  <c r="F424" i="4"/>
  <c r="E424" i="4"/>
  <c r="D424" i="4"/>
  <c r="C424" i="4"/>
  <c r="G424" i="4" s="1"/>
  <c r="B424" i="4"/>
  <c r="A424" i="4"/>
  <c r="M423" i="4"/>
  <c r="F423" i="4"/>
  <c r="E423" i="4"/>
  <c r="D423" i="4"/>
  <c r="C423" i="4"/>
  <c r="G423" i="4" s="1"/>
  <c r="B423" i="4"/>
  <c r="A423" i="4"/>
  <c r="M422" i="4"/>
  <c r="F422" i="4"/>
  <c r="E422" i="4"/>
  <c r="D422" i="4"/>
  <c r="C422" i="4"/>
  <c r="G422" i="4" s="1"/>
  <c r="B422" i="4"/>
  <c r="A422" i="4"/>
  <c r="M421" i="4"/>
  <c r="F421" i="4"/>
  <c r="E421" i="4"/>
  <c r="D421" i="4"/>
  <c r="C421" i="4"/>
  <c r="G421" i="4" s="1"/>
  <c r="B421" i="4"/>
  <c r="A421" i="4"/>
  <c r="M420" i="4"/>
  <c r="F420" i="4"/>
  <c r="E420" i="4"/>
  <c r="D420" i="4"/>
  <c r="C420" i="4"/>
  <c r="G420" i="4" s="1"/>
  <c r="B420" i="4"/>
  <c r="A420" i="4"/>
  <c r="M419" i="4"/>
  <c r="F419" i="4"/>
  <c r="E419" i="4"/>
  <c r="D419" i="4"/>
  <c r="C419" i="4"/>
  <c r="G419" i="4" s="1"/>
  <c r="B419" i="4"/>
  <c r="A419" i="4"/>
  <c r="M418" i="4"/>
  <c r="F418" i="4"/>
  <c r="E418" i="4"/>
  <c r="D418" i="4"/>
  <c r="C418" i="4"/>
  <c r="G418" i="4" s="1"/>
  <c r="B418" i="4"/>
  <c r="A418" i="4"/>
  <c r="M417" i="4"/>
  <c r="F417" i="4"/>
  <c r="E417" i="4"/>
  <c r="D417" i="4"/>
  <c r="C417" i="4"/>
  <c r="G417" i="4" s="1"/>
  <c r="B417" i="4"/>
  <c r="A417" i="4"/>
  <c r="M416" i="4"/>
  <c r="F416" i="4"/>
  <c r="E416" i="4"/>
  <c r="D416" i="4"/>
  <c r="C416" i="4"/>
  <c r="G416" i="4" s="1"/>
  <c r="B416" i="4"/>
  <c r="A416" i="4"/>
  <c r="M415" i="4"/>
  <c r="F415" i="4"/>
  <c r="E415" i="4"/>
  <c r="D415" i="4"/>
  <c r="C415" i="4"/>
  <c r="G415" i="4" s="1"/>
  <c r="B415" i="4"/>
  <c r="A415" i="4"/>
  <c r="M414" i="4"/>
  <c r="F414" i="4"/>
  <c r="E414" i="4"/>
  <c r="D414" i="4"/>
  <c r="C414" i="4"/>
  <c r="G414" i="4" s="1"/>
  <c r="B414" i="4"/>
  <c r="A414" i="4"/>
  <c r="M413" i="4"/>
  <c r="F413" i="4"/>
  <c r="E413" i="4"/>
  <c r="D413" i="4"/>
  <c r="C413" i="4"/>
  <c r="G413" i="4" s="1"/>
  <c r="B413" i="4"/>
  <c r="A413" i="4"/>
  <c r="M412" i="4"/>
  <c r="F412" i="4"/>
  <c r="E412" i="4"/>
  <c r="D412" i="4"/>
  <c r="C412" i="4"/>
  <c r="G412" i="4" s="1"/>
  <c r="B412" i="4"/>
  <c r="A412" i="4"/>
  <c r="M411" i="4"/>
  <c r="F411" i="4"/>
  <c r="E411" i="4"/>
  <c r="D411" i="4"/>
  <c r="C411" i="4"/>
  <c r="G411" i="4" s="1"/>
  <c r="B411" i="4"/>
  <c r="A411" i="4"/>
  <c r="M410" i="4"/>
  <c r="F410" i="4"/>
  <c r="E410" i="4"/>
  <c r="D410" i="4"/>
  <c r="C410" i="4"/>
  <c r="G410" i="4" s="1"/>
  <c r="B410" i="4"/>
  <c r="A410" i="4"/>
  <c r="M409" i="4"/>
  <c r="F409" i="4"/>
  <c r="E409" i="4"/>
  <c r="D409" i="4"/>
  <c r="C409" i="4"/>
  <c r="G409" i="4" s="1"/>
  <c r="B409" i="4"/>
  <c r="A409" i="4"/>
  <c r="M408" i="4"/>
  <c r="F408" i="4"/>
  <c r="E408" i="4"/>
  <c r="D408" i="4"/>
  <c r="C408" i="4"/>
  <c r="G408" i="4" s="1"/>
  <c r="B408" i="4"/>
  <c r="A408" i="4"/>
  <c r="M407" i="4"/>
  <c r="F407" i="4"/>
  <c r="E407" i="4"/>
  <c r="D407" i="4"/>
  <c r="C407" i="4"/>
  <c r="G407" i="4" s="1"/>
  <c r="B407" i="4"/>
  <c r="A407" i="4"/>
  <c r="M406" i="4"/>
  <c r="F406" i="4"/>
  <c r="E406" i="4"/>
  <c r="D406" i="4"/>
  <c r="C406" i="4"/>
  <c r="G406" i="4" s="1"/>
  <c r="B406" i="4"/>
  <c r="A406" i="4"/>
  <c r="M405" i="4"/>
  <c r="F405" i="4"/>
  <c r="E405" i="4"/>
  <c r="D405" i="4"/>
  <c r="C405" i="4"/>
  <c r="G405" i="4" s="1"/>
  <c r="B405" i="4"/>
  <c r="A405" i="4"/>
  <c r="M404" i="4"/>
  <c r="F404" i="4"/>
  <c r="E404" i="4"/>
  <c r="D404" i="4"/>
  <c r="C404" i="4"/>
  <c r="G404" i="4" s="1"/>
  <c r="B404" i="4"/>
  <c r="A404" i="4"/>
  <c r="M403" i="4"/>
  <c r="F403" i="4"/>
  <c r="E403" i="4"/>
  <c r="D403" i="4"/>
  <c r="C403" i="4"/>
  <c r="G403" i="4" s="1"/>
  <c r="B403" i="4"/>
  <c r="A403" i="4"/>
  <c r="M402" i="4"/>
  <c r="F402" i="4"/>
  <c r="E402" i="4"/>
  <c r="D402" i="4"/>
  <c r="C402" i="4"/>
  <c r="G402" i="4" s="1"/>
  <c r="B402" i="4"/>
  <c r="A402" i="4"/>
  <c r="M401" i="4"/>
  <c r="F401" i="4"/>
  <c r="E401" i="4"/>
  <c r="D401" i="4"/>
  <c r="C401" i="4"/>
  <c r="G401" i="4" s="1"/>
  <c r="B401" i="4"/>
  <c r="A401" i="4"/>
  <c r="M400" i="4"/>
  <c r="F400" i="4"/>
  <c r="E400" i="4"/>
  <c r="D400" i="4"/>
  <c r="C400" i="4"/>
  <c r="G400" i="4" s="1"/>
  <c r="B400" i="4"/>
  <c r="A400" i="4"/>
  <c r="M399" i="4"/>
  <c r="F399" i="4"/>
  <c r="E399" i="4"/>
  <c r="D399" i="4"/>
  <c r="C399" i="4"/>
  <c r="G399" i="4" s="1"/>
  <c r="B399" i="4"/>
  <c r="A399" i="4"/>
  <c r="M398" i="4"/>
  <c r="F398" i="4"/>
  <c r="E398" i="4"/>
  <c r="D398" i="4"/>
  <c r="C398" i="4"/>
  <c r="G398" i="4" s="1"/>
  <c r="B398" i="4"/>
  <c r="A398" i="4"/>
  <c r="M397" i="4"/>
  <c r="F397" i="4"/>
  <c r="E397" i="4"/>
  <c r="D397" i="4"/>
  <c r="C397" i="4"/>
  <c r="G397" i="4" s="1"/>
  <c r="B397" i="4"/>
  <c r="A397" i="4"/>
  <c r="M396" i="4"/>
  <c r="F396" i="4"/>
  <c r="E396" i="4"/>
  <c r="D396" i="4"/>
  <c r="C396" i="4"/>
  <c r="G396" i="4" s="1"/>
  <c r="B396" i="4"/>
  <c r="A396" i="4"/>
  <c r="M395" i="4"/>
  <c r="F395" i="4"/>
  <c r="E395" i="4"/>
  <c r="D395" i="4"/>
  <c r="C395" i="4"/>
  <c r="G395" i="4" s="1"/>
  <c r="B395" i="4"/>
  <c r="A395" i="4"/>
  <c r="M394" i="4"/>
  <c r="F394" i="4"/>
  <c r="E394" i="4"/>
  <c r="D394" i="4"/>
  <c r="C394" i="4"/>
  <c r="G394" i="4" s="1"/>
  <c r="B394" i="4"/>
  <c r="A394" i="4"/>
  <c r="M393" i="4"/>
  <c r="F393" i="4"/>
  <c r="E393" i="4"/>
  <c r="D393" i="4"/>
  <c r="C393" i="4"/>
  <c r="G393" i="4" s="1"/>
  <c r="B393" i="4"/>
  <c r="A393" i="4"/>
  <c r="M392" i="4"/>
  <c r="F392" i="4"/>
  <c r="E392" i="4"/>
  <c r="D392" i="4"/>
  <c r="C392" i="4"/>
  <c r="G392" i="4" s="1"/>
  <c r="B392" i="4"/>
  <c r="A392" i="4"/>
  <c r="M391" i="4"/>
  <c r="F391" i="4"/>
  <c r="E391" i="4"/>
  <c r="D391" i="4"/>
  <c r="C391" i="4"/>
  <c r="G391" i="4" s="1"/>
  <c r="B391" i="4"/>
  <c r="A391" i="4"/>
  <c r="M390" i="4"/>
  <c r="F390" i="4"/>
  <c r="E390" i="4"/>
  <c r="D390" i="4"/>
  <c r="C390" i="4"/>
  <c r="G390" i="4" s="1"/>
  <c r="B390" i="4"/>
  <c r="A390" i="4"/>
  <c r="M389" i="4"/>
  <c r="F389" i="4"/>
  <c r="E389" i="4"/>
  <c r="D389" i="4"/>
  <c r="C389" i="4"/>
  <c r="G389" i="4" s="1"/>
  <c r="B389" i="4"/>
  <c r="A389" i="4"/>
  <c r="M388" i="4"/>
  <c r="F388" i="4"/>
  <c r="E388" i="4"/>
  <c r="D388" i="4"/>
  <c r="C388" i="4"/>
  <c r="G388" i="4" s="1"/>
  <c r="B388" i="4"/>
  <c r="A388" i="4"/>
  <c r="M387" i="4"/>
  <c r="F387" i="4"/>
  <c r="E387" i="4"/>
  <c r="D387" i="4"/>
  <c r="C387" i="4"/>
  <c r="G387" i="4" s="1"/>
  <c r="B387" i="4"/>
  <c r="A387" i="4"/>
  <c r="M386" i="4"/>
  <c r="F386" i="4"/>
  <c r="E386" i="4"/>
  <c r="D386" i="4"/>
  <c r="C386" i="4"/>
  <c r="G386" i="4" s="1"/>
  <c r="B386" i="4"/>
  <c r="A386" i="4"/>
  <c r="M385" i="4"/>
  <c r="F385" i="4"/>
  <c r="E385" i="4"/>
  <c r="D385" i="4"/>
  <c r="C385" i="4"/>
  <c r="G385" i="4" s="1"/>
  <c r="B385" i="4"/>
  <c r="A385" i="4"/>
  <c r="M384" i="4"/>
  <c r="F384" i="4"/>
  <c r="E384" i="4"/>
  <c r="D384" i="4"/>
  <c r="C384" i="4"/>
  <c r="G384" i="4" s="1"/>
  <c r="B384" i="4"/>
  <c r="A384" i="4"/>
  <c r="M383" i="4"/>
  <c r="F383" i="4"/>
  <c r="E383" i="4"/>
  <c r="D383" i="4"/>
  <c r="C383" i="4"/>
  <c r="G383" i="4" s="1"/>
  <c r="B383" i="4"/>
  <c r="A383" i="4"/>
  <c r="M382" i="4"/>
  <c r="F382" i="4"/>
  <c r="E382" i="4"/>
  <c r="D382" i="4"/>
  <c r="C382" i="4"/>
  <c r="G382" i="4" s="1"/>
  <c r="B382" i="4"/>
  <c r="A382" i="4"/>
  <c r="M381" i="4"/>
  <c r="F381" i="4"/>
  <c r="E381" i="4"/>
  <c r="D381" i="4"/>
  <c r="C381" i="4"/>
  <c r="G381" i="4" s="1"/>
  <c r="B381" i="4"/>
  <c r="A381" i="4"/>
  <c r="M380" i="4"/>
  <c r="F380" i="4"/>
  <c r="E380" i="4"/>
  <c r="D380" i="4"/>
  <c r="C380" i="4"/>
  <c r="G380" i="4" s="1"/>
  <c r="B380" i="4"/>
  <c r="A380" i="4"/>
  <c r="M379" i="4"/>
  <c r="F379" i="4"/>
  <c r="E379" i="4"/>
  <c r="D379" i="4"/>
  <c r="C379" i="4"/>
  <c r="G379" i="4" s="1"/>
  <c r="B379" i="4"/>
  <c r="A379" i="4"/>
  <c r="M378" i="4"/>
  <c r="F378" i="4"/>
  <c r="E378" i="4"/>
  <c r="D378" i="4"/>
  <c r="C378" i="4"/>
  <c r="G378" i="4" s="1"/>
  <c r="B378" i="4"/>
  <c r="A378" i="4"/>
  <c r="M377" i="4"/>
  <c r="F377" i="4"/>
  <c r="E377" i="4"/>
  <c r="D377" i="4"/>
  <c r="C377" i="4"/>
  <c r="G377" i="4" s="1"/>
  <c r="B377" i="4"/>
  <c r="A377" i="4"/>
  <c r="M376" i="4"/>
  <c r="F376" i="4"/>
  <c r="E376" i="4"/>
  <c r="D376" i="4"/>
  <c r="C376" i="4"/>
  <c r="G376" i="4" s="1"/>
  <c r="B376" i="4"/>
  <c r="A376" i="4"/>
  <c r="M375" i="4"/>
  <c r="F375" i="4"/>
  <c r="E375" i="4"/>
  <c r="D375" i="4"/>
  <c r="C375" i="4"/>
  <c r="G375" i="4" s="1"/>
  <c r="B375" i="4"/>
  <c r="A375" i="4"/>
  <c r="M374" i="4"/>
  <c r="F374" i="4"/>
  <c r="E374" i="4"/>
  <c r="D374" i="4"/>
  <c r="C374" i="4"/>
  <c r="G374" i="4" s="1"/>
  <c r="B374" i="4"/>
  <c r="A374" i="4"/>
  <c r="M373" i="4"/>
  <c r="F373" i="4"/>
  <c r="E373" i="4"/>
  <c r="D373" i="4"/>
  <c r="C373" i="4"/>
  <c r="G373" i="4" s="1"/>
  <c r="B373" i="4"/>
  <c r="A373" i="4"/>
  <c r="M372" i="4"/>
  <c r="F372" i="4"/>
  <c r="E372" i="4"/>
  <c r="D372" i="4"/>
  <c r="C372" i="4"/>
  <c r="G372" i="4" s="1"/>
  <c r="B372" i="4"/>
  <c r="A372" i="4"/>
  <c r="M371" i="4"/>
  <c r="F371" i="4"/>
  <c r="E371" i="4"/>
  <c r="D371" i="4"/>
  <c r="C371" i="4"/>
  <c r="G371" i="4" s="1"/>
  <c r="B371" i="4"/>
  <c r="A371" i="4"/>
  <c r="M370" i="4"/>
  <c r="F370" i="4"/>
  <c r="E370" i="4"/>
  <c r="D370" i="4"/>
  <c r="C370" i="4"/>
  <c r="G370" i="4" s="1"/>
  <c r="B370" i="4"/>
  <c r="A370" i="4"/>
  <c r="M369" i="4"/>
  <c r="F369" i="4"/>
  <c r="E369" i="4"/>
  <c r="D369" i="4"/>
  <c r="C369" i="4"/>
  <c r="G369" i="4" s="1"/>
  <c r="B369" i="4"/>
  <c r="A369" i="4"/>
  <c r="M368" i="4"/>
  <c r="F368" i="4"/>
  <c r="E368" i="4"/>
  <c r="D368" i="4"/>
  <c r="C368" i="4"/>
  <c r="G368" i="4" s="1"/>
  <c r="B368" i="4"/>
  <c r="A368" i="4"/>
  <c r="M367" i="4"/>
  <c r="F367" i="4"/>
  <c r="E367" i="4"/>
  <c r="D367" i="4"/>
  <c r="C367" i="4"/>
  <c r="G367" i="4" s="1"/>
  <c r="B367" i="4"/>
  <c r="A367" i="4"/>
  <c r="M366" i="4"/>
  <c r="F366" i="4"/>
  <c r="E366" i="4"/>
  <c r="D366" i="4"/>
  <c r="C366" i="4"/>
  <c r="G366" i="4" s="1"/>
  <c r="B366" i="4"/>
  <c r="A366" i="4"/>
  <c r="M365" i="4"/>
  <c r="F365" i="4"/>
  <c r="E365" i="4"/>
  <c r="D365" i="4"/>
  <c r="C365" i="4"/>
  <c r="G365" i="4" s="1"/>
  <c r="B365" i="4"/>
  <c r="A365" i="4"/>
  <c r="M364" i="4"/>
  <c r="F364" i="4"/>
  <c r="E364" i="4"/>
  <c r="D364" i="4"/>
  <c r="C364" i="4"/>
  <c r="G364" i="4" s="1"/>
  <c r="B364" i="4"/>
  <c r="A364" i="4"/>
  <c r="M363" i="4"/>
  <c r="F363" i="4"/>
  <c r="E363" i="4"/>
  <c r="D363" i="4"/>
  <c r="C363" i="4"/>
  <c r="G363" i="4" s="1"/>
  <c r="B363" i="4"/>
  <c r="A363" i="4"/>
  <c r="M362" i="4"/>
  <c r="F362" i="4"/>
  <c r="E362" i="4"/>
  <c r="D362" i="4"/>
  <c r="C362" i="4"/>
  <c r="G362" i="4" s="1"/>
  <c r="B362" i="4"/>
  <c r="A362" i="4"/>
  <c r="M361" i="4"/>
  <c r="F361" i="4"/>
  <c r="E361" i="4"/>
  <c r="D361" i="4"/>
  <c r="C361" i="4"/>
  <c r="G361" i="4" s="1"/>
  <c r="B361" i="4"/>
  <c r="A361" i="4"/>
  <c r="M360" i="4"/>
  <c r="F360" i="4"/>
  <c r="E360" i="4"/>
  <c r="D360" i="4"/>
  <c r="C360" i="4"/>
  <c r="G360" i="4" s="1"/>
  <c r="B360" i="4"/>
  <c r="A360" i="4"/>
  <c r="M359" i="4"/>
  <c r="G359" i="4"/>
  <c r="F359" i="4"/>
  <c r="E359" i="4"/>
  <c r="D359" i="4"/>
  <c r="C359" i="4"/>
  <c r="B359" i="4"/>
  <c r="A359" i="4"/>
  <c r="M358" i="4"/>
  <c r="F358" i="4"/>
  <c r="E358" i="4"/>
  <c r="D358" i="4"/>
  <c r="C358" i="4"/>
  <c r="G358" i="4" s="1"/>
  <c r="B358" i="4"/>
  <c r="A358" i="4"/>
  <c r="M357" i="4"/>
  <c r="F357" i="4"/>
  <c r="E357" i="4"/>
  <c r="D357" i="4"/>
  <c r="C357" i="4"/>
  <c r="G357" i="4" s="1"/>
  <c r="B357" i="4"/>
  <c r="A357" i="4"/>
  <c r="M356" i="4"/>
  <c r="F356" i="4"/>
  <c r="E356" i="4"/>
  <c r="D356" i="4"/>
  <c r="C356" i="4"/>
  <c r="G356" i="4" s="1"/>
  <c r="B356" i="4"/>
  <c r="A356" i="4"/>
  <c r="M355" i="4"/>
  <c r="F355" i="4"/>
  <c r="E355" i="4"/>
  <c r="D355" i="4"/>
  <c r="C355" i="4"/>
  <c r="G355" i="4" s="1"/>
  <c r="B355" i="4"/>
  <c r="A355" i="4"/>
  <c r="M354" i="4"/>
  <c r="F354" i="4"/>
  <c r="E354" i="4"/>
  <c r="D354" i="4"/>
  <c r="C354" i="4"/>
  <c r="G354" i="4" s="1"/>
  <c r="B354" i="4"/>
  <c r="A354" i="4"/>
  <c r="M353" i="4"/>
  <c r="F353" i="4"/>
  <c r="E353" i="4"/>
  <c r="D353" i="4"/>
  <c r="C353" i="4"/>
  <c r="G353" i="4" s="1"/>
  <c r="B353" i="4"/>
  <c r="A353" i="4"/>
  <c r="M352" i="4"/>
  <c r="F352" i="4"/>
  <c r="E352" i="4"/>
  <c r="D352" i="4"/>
  <c r="C352" i="4"/>
  <c r="G352" i="4" s="1"/>
  <c r="B352" i="4"/>
  <c r="A352" i="4"/>
  <c r="M351" i="4"/>
  <c r="F351" i="4"/>
  <c r="E351" i="4"/>
  <c r="D351" i="4"/>
  <c r="C351" i="4"/>
  <c r="G351" i="4" s="1"/>
  <c r="B351" i="4"/>
  <c r="A351" i="4"/>
  <c r="M350" i="4"/>
  <c r="F350" i="4"/>
  <c r="E350" i="4"/>
  <c r="D350" i="4"/>
  <c r="C350" i="4"/>
  <c r="G350" i="4" s="1"/>
  <c r="B350" i="4"/>
  <c r="A350" i="4"/>
  <c r="M349" i="4"/>
  <c r="F349" i="4"/>
  <c r="E349" i="4"/>
  <c r="D349" i="4"/>
  <c r="C349" i="4"/>
  <c r="G349" i="4" s="1"/>
  <c r="B349" i="4"/>
  <c r="A349" i="4"/>
  <c r="M348" i="4"/>
  <c r="F348" i="4"/>
  <c r="E348" i="4"/>
  <c r="D348" i="4"/>
  <c r="C348" i="4"/>
  <c r="G348" i="4" s="1"/>
  <c r="B348" i="4"/>
  <c r="A348" i="4"/>
  <c r="M347" i="4"/>
  <c r="F347" i="4"/>
  <c r="E347" i="4"/>
  <c r="D347" i="4"/>
  <c r="C347" i="4"/>
  <c r="G347" i="4" s="1"/>
  <c r="B347" i="4"/>
  <c r="A347" i="4"/>
  <c r="M346" i="4"/>
  <c r="F346" i="4"/>
  <c r="E346" i="4"/>
  <c r="D346" i="4"/>
  <c r="C346" i="4"/>
  <c r="G346" i="4" s="1"/>
  <c r="B346" i="4"/>
  <c r="A346" i="4"/>
  <c r="M345" i="4"/>
  <c r="F345" i="4"/>
  <c r="E345" i="4"/>
  <c r="D345" i="4"/>
  <c r="C345" i="4"/>
  <c r="G345" i="4" s="1"/>
  <c r="B345" i="4"/>
  <c r="A345" i="4"/>
  <c r="M344" i="4"/>
  <c r="F344" i="4"/>
  <c r="E344" i="4"/>
  <c r="D344" i="4"/>
  <c r="C344" i="4"/>
  <c r="G344" i="4" s="1"/>
  <c r="B344" i="4"/>
  <c r="A344" i="4"/>
  <c r="M343" i="4"/>
  <c r="F343" i="4"/>
  <c r="E343" i="4"/>
  <c r="D343" i="4"/>
  <c r="C343" i="4"/>
  <c r="G343" i="4" s="1"/>
  <c r="B343" i="4"/>
  <c r="A343" i="4"/>
  <c r="M342" i="4"/>
  <c r="F342" i="4"/>
  <c r="E342" i="4"/>
  <c r="D342" i="4"/>
  <c r="C342" i="4"/>
  <c r="G342" i="4" s="1"/>
  <c r="B342" i="4"/>
  <c r="A342" i="4"/>
  <c r="M341" i="4"/>
  <c r="F341" i="4"/>
  <c r="E341" i="4"/>
  <c r="D341" i="4"/>
  <c r="C341" i="4"/>
  <c r="G341" i="4" s="1"/>
  <c r="B341" i="4"/>
  <c r="A341" i="4"/>
  <c r="M340" i="4"/>
  <c r="F340" i="4"/>
  <c r="E340" i="4"/>
  <c r="D340" i="4"/>
  <c r="C340" i="4"/>
  <c r="G340" i="4" s="1"/>
  <c r="B340" i="4"/>
  <c r="A340" i="4"/>
  <c r="M339" i="4"/>
  <c r="F339" i="4"/>
  <c r="E339" i="4"/>
  <c r="D339" i="4"/>
  <c r="C339" i="4"/>
  <c r="G339" i="4" s="1"/>
  <c r="B339" i="4"/>
  <c r="A339" i="4"/>
  <c r="M338" i="4"/>
  <c r="F338" i="4"/>
  <c r="E338" i="4"/>
  <c r="D338" i="4"/>
  <c r="C338" i="4"/>
  <c r="G338" i="4" s="1"/>
  <c r="B338" i="4"/>
  <c r="A338" i="4"/>
  <c r="M337" i="4"/>
  <c r="F337" i="4"/>
  <c r="E337" i="4"/>
  <c r="D337" i="4"/>
  <c r="C337" i="4"/>
  <c r="G337" i="4" s="1"/>
  <c r="B337" i="4"/>
  <c r="A337" i="4"/>
  <c r="M336" i="4"/>
  <c r="F336" i="4"/>
  <c r="E336" i="4"/>
  <c r="D336" i="4"/>
  <c r="C336" i="4"/>
  <c r="G336" i="4" s="1"/>
  <c r="B336" i="4"/>
  <c r="A336" i="4"/>
  <c r="M335" i="4"/>
  <c r="F335" i="4"/>
  <c r="E335" i="4"/>
  <c r="D335" i="4"/>
  <c r="C335" i="4"/>
  <c r="G335" i="4" s="1"/>
  <c r="B335" i="4"/>
  <c r="A335" i="4"/>
  <c r="M334" i="4"/>
  <c r="F334" i="4"/>
  <c r="E334" i="4"/>
  <c r="D334" i="4"/>
  <c r="C334" i="4"/>
  <c r="G334" i="4" s="1"/>
  <c r="B334" i="4"/>
  <c r="A334" i="4"/>
  <c r="M333" i="4"/>
  <c r="F333" i="4"/>
  <c r="E333" i="4"/>
  <c r="D333" i="4"/>
  <c r="C333" i="4"/>
  <c r="G333" i="4" s="1"/>
  <c r="B333" i="4"/>
  <c r="A333" i="4"/>
  <c r="M332" i="4"/>
  <c r="F332" i="4"/>
  <c r="E332" i="4"/>
  <c r="D332" i="4"/>
  <c r="C332" i="4"/>
  <c r="G332" i="4" s="1"/>
  <c r="B332" i="4"/>
  <c r="A332" i="4"/>
  <c r="M331" i="4"/>
  <c r="F331" i="4"/>
  <c r="E331" i="4"/>
  <c r="D331" i="4"/>
  <c r="C331" i="4"/>
  <c r="G331" i="4" s="1"/>
  <c r="B331" i="4"/>
  <c r="A331" i="4"/>
  <c r="M330" i="4"/>
  <c r="F330" i="4"/>
  <c r="E330" i="4"/>
  <c r="D330" i="4"/>
  <c r="C330" i="4"/>
  <c r="G330" i="4" s="1"/>
  <c r="B330" i="4"/>
  <c r="A330" i="4"/>
  <c r="M329" i="4"/>
  <c r="F329" i="4"/>
  <c r="E329" i="4"/>
  <c r="D329" i="4"/>
  <c r="C329" i="4"/>
  <c r="G329" i="4" s="1"/>
  <c r="B329" i="4"/>
  <c r="A329" i="4"/>
  <c r="M328" i="4"/>
  <c r="F328" i="4"/>
  <c r="E328" i="4"/>
  <c r="D328" i="4"/>
  <c r="C328" i="4"/>
  <c r="G328" i="4" s="1"/>
  <c r="B328" i="4"/>
  <c r="A328" i="4"/>
  <c r="M327" i="4"/>
  <c r="F327" i="4"/>
  <c r="E327" i="4"/>
  <c r="D327" i="4"/>
  <c r="C327" i="4"/>
  <c r="G327" i="4" s="1"/>
  <c r="B327" i="4"/>
  <c r="A327" i="4"/>
  <c r="M326" i="4"/>
  <c r="F326" i="4"/>
  <c r="E326" i="4"/>
  <c r="D326" i="4"/>
  <c r="C326" i="4"/>
  <c r="G326" i="4" s="1"/>
  <c r="B326" i="4"/>
  <c r="A326" i="4"/>
  <c r="M325" i="4"/>
  <c r="F325" i="4"/>
  <c r="E325" i="4"/>
  <c r="D325" i="4"/>
  <c r="C325" i="4"/>
  <c r="G325" i="4" s="1"/>
  <c r="B325" i="4"/>
  <c r="A325" i="4"/>
  <c r="M324" i="4"/>
  <c r="F324" i="4"/>
  <c r="E324" i="4"/>
  <c r="D324" i="4"/>
  <c r="C324" i="4"/>
  <c r="G324" i="4" s="1"/>
  <c r="B324" i="4"/>
  <c r="A324" i="4"/>
  <c r="M323" i="4"/>
  <c r="F323" i="4"/>
  <c r="E323" i="4"/>
  <c r="D323" i="4"/>
  <c r="C323" i="4"/>
  <c r="G323" i="4" s="1"/>
  <c r="B323" i="4"/>
  <c r="A323" i="4"/>
  <c r="M322" i="4"/>
  <c r="F322" i="4"/>
  <c r="E322" i="4"/>
  <c r="D322" i="4"/>
  <c r="C322" i="4"/>
  <c r="G322" i="4" s="1"/>
  <c r="B322" i="4"/>
  <c r="A322" i="4"/>
  <c r="M321" i="4"/>
  <c r="F321" i="4"/>
  <c r="E321" i="4"/>
  <c r="D321" i="4"/>
  <c r="C321" i="4"/>
  <c r="G321" i="4" s="1"/>
  <c r="B321" i="4"/>
  <c r="A321" i="4"/>
  <c r="M320" i="4"/>
  <c r="F320" i="4"/>
  <c r="E320" i="4"/>
  <c r="D320" i="4"/>
  <c r="C320" i="4"/>
  <c r="G320" i="4" s="1"/>
  <c r="B320" i="4"/>
  <c r="A320" i="4"/>
  <c r="M319" i="4"/>
  <c r="F319" i="4"/>
  <c r="E319" i="4"/>
  <c r="D319" i="4"/>
  <c r="C319" i="4"/>
  <c r="G319" i="4" s="1"/>
  <c r="B319" i="4"/>
  <c r="A319" i="4"/>
  <c r="M318" i="4"/>
  <c r="F318" i="4"/>
  <c r="E318" i="4"/>
  <c r="D318" i="4"/>
  <c r="C318" i="4"/>
  <c r="G318" i="4" s="1"/>
  <c r="B318" i="4"/>
  <c r="A318" i="4"/>
  <c r="M317" i="4"/>
  <c r="F317" i="4"/>
  <c r="E317" i="4"/>
  <c r="D317" i="4"/>
  <c r="C317" i="4"/>
  <c r="G317" i="4" s="1"/>
  <c r="B317" i="4"/>
  <c r="A317" i="4"/>
  <c r="M316" i="4"/>
  <c r="F316" i="4"/>
  <c r="E316" i="4"/>
  <c r="D316" i="4"/>
  <c r="C316" i="4"/>
  <c r="G316" i="4" s="1"/>
  <c r="B316" i="4"/>
  <c r="A316" i="4"/>
  <c r="M315" i="4"/>
  <c r="F315" i="4"/>
  <c r="E315" i="4"/>
  <c r="D315" i="4"/>
  <c r="C315" i="4"/>
  <c r="G315" i="4" s="1"/>
  <c r="B315" i="4"/>
  <c r="A315" i="4"/>
  <c r="M314" i="4"/>
  <c r="F314" i="4"/>
  <c r="E314" i="4"/>
  <c r="D314" i="4"/>
  <c r="C314" i="4"/>
  <c r="G314" i="4" s="1"/>
  <c r="B314" i="4"/>
  <c r="A314" i="4"/>
  <c r="M313" i="4"/>
  <c r="F313" i="4"/>
  <c r="E313" i="4"/>
  <c r="D313" i="4"/>
  <c r="C313" i="4"/>
  <c r="G313" i="4" s="1"/>
  <c r="B313" i="4"/>
  <c r="A313" i="4"/>
  <c r="M312" i="4"/>
  <c r="F312" i="4"/>
  <c r="E312" i="4"/>
  <c r="D312" i="4"/>
  <c r="C312" i="4"/>
  <c r="G312" i="4" s="1"/>
  <c r="B312" i="4"/>
  <c r="A312" i="4"/>
  <c r="M311" i="4"/>
  <c r="F311" i="4"/>
  <c r="E311" i="4"/>
  <c r="D311" i="4"/>
  <c r="C311" i="4"/>
  <c r="G311" i="4" s="1"/>
  <c r="B311" i="4"/>
  <c r="A311" i="4"/>
  <c r="M310" i="4"/>
  <c r="F310" i="4"/>
  <c r="E310" i="4"/>
  <c r="D310" i="4"/>
  <c r="C310" i="4"/>
  <c r="G310" i="4" s="1"/>
  <c r="B310" i="4"/>
  <c r="A310" i="4"/>
  <c r="M309" i="4"/>
  <c r="F309" i="4"/>
  <c r="E309" i="4"/>
  <c r="D309" i="4"/>
  <c r="C309" i="4"/>
  <c r="G309" i="4" s="1"/>
  <c r="B309" i="4"/>
  <c r="A309" i="4"/>
  <c r="M308" i="4"/>
  <c r="F308" i="4"/>
  <c r="E308" i="4"/>
  <c r="D308" i="4"/>
  <c r="C308" i="4"/>
  <c r="G308" i="4" s="1"/>
  <c r="B308" i="4"/>
  <c r="A308" i="4"/>
  <c r="M307" i="4"/>
  <c r="F307" i="4"/>
  <c r="E307" i="4"/>
  <c r="D307" i="4"/>
  <c r="C307" i="4"/>
  <c r="G307" i="4" s="1"/>
  <c r="B307" i="4"/>
  <c r="A307" i="4"/>
  <c r="M306" i="4"/>
  <c r="F306" i="4"/>
  <c r="E306" i="4"/>
  <c r="D306" i="4"/>
  <c r="C306" i="4"/>
  <c r="G306" i="4" s="1"/>
  <c r="B306" i="4"/>
  <c r="A306" i="4"/>
  <c r="M305" i="4"/>
  <c r="F305" i="4"/>
  <c r="E305" i="4"/>
  <c r="D305" i="4"/>
  <c r="C305" i="4"/>
  <c r="G305" i="4" s="1"/>
  <c r="B305" i="4"/>
  <c r="A305" i="4"/>
  <c r="M304" i="4"/>
  <c r="F304" i="4"/>
  <c r="E304" i="4"/>
  <c r="D304" i="4"/>
  <c r="C304" i="4"/>
  <c r="G304" i="4" s="1"/>
  <c r="B304" i="4"/>
  <c r="A304" i="4"/>
  <c r="M303" i="4"/>
  <c r="F303" i="4"/>
  <c r="E303" i="4"/>
  <c r="D303" i="4"/>
  <c r="C303" i="4"/>
  <c r="G303" i="4" s="1"/>
  <c r="B303" i="4"/>
  <c r="A303" i="4"/>
  <c r="M302" i="4"/>
  <c r="F302" i="4"/>
  <c r="E302" i="4"/>
  <c r="D302" i="4"/>
  <c r="C302" i="4"/>
  <c r="G302" i="4" s="1"/>
  <c r="B302" i="4"/>
  <c r="A302" i="4"/>
  <c r="M301" i="4"/>
  <c r="F301" i="4"/>
  <c r="E301" i="4"/>
  <c r="D301" i="4"/>
  <c r="C301" i="4"/>
  <c r="G301" i="4" s="1"/>
  <c r="B301" i="4"/>
  <c r="A301" i="4"/>
  <c r="M300" i="4"/>
  <c r="F300" i="4"/>
  <c r="E300" i="4"/>
  <c r="D300" i="4"/>
  <c r="C300" i="4"/>
  <c r="G300" i="4" s="1"/>
  <c r="B300" i="4"/>
  <c r="A300" i="4"/>
  <c r="M299" i="4"/>
  <c r="F299" i="4"/>
  <c r="E299" i="4"/>
  <c r="D299" i="4"/>
  <c r="C299" i="4"/>
  <c r="G299" i="4" s="1"/>
  <c r="B299" i="4"/>
  <c r="A299" i="4"/>
  <c r="M298" i="4"/>
  <c r="F298" i="4"/>
  <c r="E298" i="4"/>
  <c r="D298" i="4"/>
  <c r="C298" i="4"/>
  <c r="G298" i="4" s="1"/>
  <c r="B298" i="4"/>
  <c r="A298" i="4"/>
  <c r="M297" i="4"/>
  <c r="F297" i="4"/>
  <c r="E297" i="4"/>
  <c r="D297" i="4"/>
  <c r="C297" i="4"/>
  <c r="G297" i="4" s="1"/>
  <c r="B297" i="4"/>
  <c r="A297" i="4"/>
  <c r="M296" i="4"/>
  <c r="F296" i="4"/>
  <c r="E296" i="4"/>
  <c r="D296" i="4"/>
  <c r="C296" i="4"/>
  <c r="G296" i="4" s="1"/>
  <c r="B296" i="4"/>
  <c r="A296" i="4"/>
  <c r="M295" i="4"/>
  <c r="F295" i="4"/>
  <c r="E295" i="4"/>
  <c r="D295" i="4"/>
  <c r="C295" i="4"/>
  <c r="G295" i="4" s="1"/>
  <c r="B295" i="4"/>
  <c r="A295" i="4"/>
  <c r="M294" i="4"/>
  <c r="F294" i="4"/>
  <c r="E294" i="4"/>
  <c r="D294" i="4"/>
  <c r="C294" i="4"/>
  <c r="G294" i="4" s="1"/>
  <c r="B294" i="4"/>
  <c r="A294" i="4"/>
  <c r="M293" i="4"/>
  <c r="F293" i="4"/>
  <c r="E293" i="4"/>
  <c r="D293" i="4"/>
  <c r="C293" i="4"/>
  <c r="G293" i="4" s="1"/>
  <c r="B293" i="4"/>
  <c r="A293" i="4"/>
  <c r="M292" i="4"/>
  <c r="F292" i="4"/>
  <c r="E292" i="4"/>
  <c r="D292" i="4"/>
  <c r="C292" i="4"/>
  <c r="G292" i="4" s="1"/>
  <c r="B292" i="4"/>
  <c r="A292" i="4"/>
  <c r="M291" i="4"/>
  <c r="F291" i="4"/>
  <c r="E291" i="4"/>
  <c r="D291" i="4"/>
  <c r="C291" i="4"/>
  <c r="G291" i="4" s="1"/>
  <c r="B291" i="4"/>
  <c r="A291" i="4"/>
  <c r="M290" i="4"/>
  <c r="F290" i="4"/>
  <c r="E290" i="4"/>
  <c r="D290" i="4"/>
  <c r="C290" i="4"/>
  <c r="G290" i="4" s="1"/>
  <c r="B290" i="4"/>
  <c r="A290" i="4"/>
  <c r="M289" i="4"/>
  <c r="F289" i="4"/>
  <c r="E289" i="4"/>
  <c r="D289" i="4"/>
  <c r="C289" i="4"/>
  <c r="G289" i="4" s="1"/>
  <c r="B289" i="4"/>
  <c r="A289" i="4"/>
  <c r="M288" i="4"/>
  <c r="F288" i="4"/>
  <c r="E288" i="4"/>
  <c r="D288" i="4"/>
  <c r="C288" i="4"/>
  <c r="G288" i="4" s="1"/>
  <c r="B288" i="4"/>
  <c r="A288" i="4"/>
  <c r="M287" i="4"/>
  <c r="F287" i="4"/>
  <c r="E287" i="4"/>
  <c r="D287" i="4"/>
  <c r="C287" i="4"/>
  <c r="G287" i="4" s="1"/>
  <c r="B287" i="4"/>
  <c r="A287" i="4"/>
  <c r="M286" i="4"/>
  <c r="F286" i="4"/>
  <c r="E286" i="4"/>
  <c r="D286" i="4"/>
  <c r="C286" i="4"/>
  <c r="G286" i="4" s="1"/>
  <c r="B286" i="4"/>
  <c r="A286" i="4"/>
  <c r="M285" i="4"/>
  <c r="F285" i="4"/>
  <c r="E285" i="4"/>
  <c r="D285" i="4"/>
  <c r="C285" i="4"/>
  <c r="G285" i="4" s="1"/>
  <c r="B285" i="4"/>
  <c r="A285" i="4"/>
  <c r="M284" i="4"/>
  <c r="F284" i="4"/>
  <c r="E284" i="4"/>
  <c r="D284" i="4"/>
  <c r="C284" i="4"/>
  <c r="G284" i="4" s="1"/>
  <c r="B284" i="4"/>
  <c r="A284" i="4"/>
  <c r="M283" i="4"/>
  <c r="F283" i="4"/>
  <c r="E283" i="4"/>
  <c r="D283" i="4"/>
  <c r="C283" i="4"/>
  <c r="G283" i="4" s="1"/>
  <c r="B283" i="4"/>
  <c r="A283" i="4"/>
  <c r="M282" i="4"/>
  <c r="F282" i="4"/>
  <c r="E282" i="4"/>
  <c r="D282" i="4"/>
  <c r="C282" i="4"/>
  <c r="G282" i="4" s="1"/>
  <c r="B282" i="4"/>
  <c r="A282" i="4"/>
  <c r="M281" i="4"/>
  <c r="F281" i="4"/>
  <c r="E281" i="4"/>
  <c r="D281" i="4"/>
  <c r="C281" i="4"/>
  <c r="G281" i="4" s="1"/>
  <c r="B281" i="4"/>
  <c r="A281" i="4"/>
  <c r="M280" i="4"/>
  <c r="F280" i="4"/>
  <c r="E280" i="4"/>
  <c r="D280" i="4"/>
  <c r="C280" i="4"/>
  <c r="G280" i="4" s="1"/>
  <c r="B280" i="4"/>
  <c r="A280" i="4"/>
  <c r="M279" i="4"/>
  <c r="F279" i="4"/>
  <c r="E279" i="4"/>
  <c r="D279" i="4"/>
  <c r="C279" i="4"/>
  <c r="G279" i="4" s="1"/>
  <c r="B279" i="4"/>
  <c r="A279" i="4"/>
  <c r="M278" i="4"/>
  <c r="F278" i="4"/>
  <c r="E278" i="4"/>
  <c r="D278" i="4"/>
  <c r="C278" i="4"/>
  <c r="G278" i="4" s="1"/>
  <c r="B278" i="4"/>
  <c r="A278" i="4"/>
  <c r="M277" i="4"/>
  <c r="F277" i="4"/>
  <c r="E277" i="4"/>
  <c r="D277" i="4"/>
  <c r="C277" i="4"/>
  <c r="G277" i="4" s="1"/>
  <c r="B277" i="4"/>
  <c r="A277" i="4"/>
  <c r="M276" i="4"/>
  <c r="F276" i="4"/>
  <c r="E276" i="4"/>
  <c r="D276" i="4"/>
  <c r="C276" i="4"/>
  <c r="G276" i="4" s="1"/>
  <c r="B276" i="4"/>
  <c r="A276" i="4"/>
  <c r="M275" i="4"/>
  <c r="F275" i="4"/>
  <c r="E275" i="4"/>
  <c r="D275" i="4"/>
  <c r="C275" i="4"/>
  <c r="G275" i="4" s="1"/>
  <c r="B275" i="4"/>
  <c r="A275" i="4"/>
  <c r="M274" i="4"/>
  <c r="F274" i="4"/>
  <c r="E274" i="4"/>
  <c r="D274" i="4"/>
  <c r="C274" i="4"/>
  <c r="G274" i="4" s="1"/>
  <c r="B274" i="4"/>
  <c r="A274" i="4"/>
  <c r="M273" i="4"/>
  <c r="F273" i="4"/>
  <c r="E273" i="4"/>
  <c r="D273" i="4"/>
  <c r="C273" i="4"/>
  <c r="G273" i="4" s="1"/>
  <c r="B273" i="4"/>
  <c r="A273" i="4"/>
  <c r="M272" i="4"/>
  <c r="F272" i="4"/>
  <c r="E272" i="4"/>
  <c r="D272" i="4"/>
  <c r="C272" i="4"/>
  <c r="G272" i="4" s="1"/>
  <c r="B272" i="4"/>
  <c r="A272" i="4"/>
  <c r="M271" i="4"/>
  <c r="F271" i="4"/>
  <c r="E271" i="4"/>
  <c r="D271" i="4"/>
  <c r="C271" i="4"/>
  <c r="G271" i="4" s="1"/>
  <c r="B271" i="4"/>
  <c r="A271" i="4"/>
  <c r="M270" i="4"/>
  <c r="F270" i="4"/>
  <c r="E270" i="4"/>
  <c r="D270" i="4"/>
  <c r="C270" i="4"/>
  <c r="G270" i="4" s="1"/>
  <c r="B270" i="4"/>
  <c r="A270" i="4"/>
  <c r="M269" i="4"/>
  <c r="F269" i="4"/>
  <c r="E269" i="4"/>
  <c r="D269" i="4"/>
  <c r="C269" i="4"/>
  <c r="G269" i="4" s="1"/>
  <c r="B269" i="4"/>
  <c r="A269" i="4"/>
  <c r="M268" i="4"/>
  <c r="F268" i="4"/>
  <c r="E268" i="4"/>
  <c r="D268" i="4"/>
  <c r="C268" i="4"/>
  <c r="G268" i="4" s="1"/>
  <c r="B268" i="4"/>
  <c r="A268" i="4"/>
  <c r="M267" i="4"/>
  <c r="F267" i="4"/>
  <c r="E267" i="4"/>
  <c r="D267" i="4"/>
  <c r="C267" i="4"/>
  <c r="G267" i="4" s="1"/>
  <c r="B267" i="4"/>
  <c r="A267" i="4"/>
  <c r="M266" i="4"/>
  <c r="F266" i="4"/>
  <c r="E266" i="4"/>
  <c r="D266" i="4"/>
  <c r="C266" i="4"/>
  <c r="G266" i="4" s="1"/>
  <c r="B266" i="4"/>
  <c r="A266" i="4"/>
  <c r="M265" i="4"/>
  <c r="F265" i="4"/>
  <c r="E265" i="4"/>
  <c r="D265" i="4"/>
  <c r="C265" i="4"/>
  <c r="G265" i="4" s="1"/>
  <c r="B265" i="4"/>
  <c r="A265" i="4"/>
  <c r="M264" i="4"/>
  <c r="F264" i="4"/>
  <c r="E264" i="4"/>
  <c r="D264" i="4"/>
  <c r="C264" i="4"/>
  <c r="G264" i="4" s="1"/>
  <c r="B264" i="4"/>
  <c r="A264" i="4"/>
  <c r="M263" i="4"/>
  <c r="F263" i="4"/>
  <c r="E263" i="4"/>
  <c r="D263" i="4"/>
  <c r="C263" i="4"/>
  <c r="G263" i="4" s="1"/>
  <c r="B263" i="4"/>
  <c r="A263" i="4"/>
  <c r="M262" i="4"/>
  <c r="F262" i="4"/>
  <c r="E262" i="4"/>
  <c r="D262" i="4"/>
  <c r="C262" i="4"/>
  <c r="G262" i="4" s="1"/>
  <c r="B262" i="4"/>
  <c r="A262" i="4"/>
  <c r="M261" i="4"/>
  <c r="F261" i="4"/>
  <c r="E261" i="4"/>
  <c r="D261" i="4"/>
  <c r="C261" i="4"/>
  <c r="G261" i="4" s="1"/>
  <c r="B261" i="4"/>
  <c r="A261" i="4"/>
  <c r="M260" i="4"/>
  <c r="F260" i="4"/>
  <c r="E260" i="4"/>
  <c r="D260" i="4"/>
  <c r="C260" i="4"/>
  <c r="G260" i="4" s="1"/>
  <c r="B260" i="4"/>
  <c r="A260" i="4"/>
  <c r="M259" i="4"/>
  <c r="F259" i="4"/>
  <c r="E259" i="4"/>
  <c r="D259" i="4"/>
  <c r="C259" i="4"/>
  <c r="G259" i="4" s="1"/>
  <c r="B259" i="4"/>
  <c r="A259" i="4"/>
  <c r="M258" i="4"/>
  <c r="F258" i="4"/>
  <c r="E258" i="4"/>
  <c r="D258" i="4"/>
  <c r="C258" i="4"/>
  <c r="G258" i="4" s="1"/>
  <c r="B258" i="4"/>
  <c r="A258" i="4"/>
  <c r="M257" i="4"/>
  <c r="F257" i="4"/>
  <c r="E257" i="4"/>
  <c r="D257" i="4"/>
  <c r="C257" i="4"/>
  <c r="G257" i="4" s="1"/>
  <c r="B257" i="4"/>
  <c r="A257" i="4"/>
  <c r="M256" i="4"/>
  <c r="F256" i="4"/>
  <c r="E256" i="4"/>
  <c r="D256" i="4"/>
  <c r="C256" i="4"/>
  <c r="G256" i="4" s="1"/>
  <c r="B256" i="4"/>
  <c r="A256" i="4"/>
  <c r="M255" i="4"/>
  <c r="F255" i="4"/>
  <c r="E255" i="4"/>
  <c r="D255" i="4"/>
  <c r="C255" i="4"/>
  <c r="G255" i="4" s="1"/>
  <c r="B255" i="4"/>
  <c r="A255" i="4"/>
  <c r="M254" i="4"/>
  <c r="F254" i="4"/>
  <c r="E254" i="4"/>
  <c r="D254" i="4"/>
  <c r="C254" i="4"/>
  <c r="G254" i="4" s="1"/>
  <c r="B254" i="4"/>
  <c r="A254" i="4"/>
  <c r="M253" i="4"/>
  <c r="F253" i="4"/>
  <c r="E253" i="4"/>
  <c r="D253" i="4"/>
  <c r="C253" i="4"/>
  <c r="G253" i="4" s="1"/>
  <c r="B253" i="4"/>
  <c r="A253" i="4"/>
  <c r="M252" i="4"/>
  <c r="F252" i="4"/>
  <c r="E252" i="4"/>
  <c r="D252" i="4"/>
  <c r="C252" i="4"/>
  <c r="G252" i="4" s="1"/>
  <c r="B252" i="4"/>
  <c r="A252" i="4"/>
  <c r="M251" i="4"/>
  <c r="F251" i="4"/>
  <c r="E251" i="4"/>
  <c r="D251" i="4"/>
  <c r="C251" i="4"/>
  <c r="G251" i="4" s="1"/>
  <c r="B251" i="4"/>
  <c r="A251" i="4"/>
  <c r="M250" i="4"/>
  <c r="F250" i="4"/>
  <c r="E250" i="4"/>
  <c r="D250" i="4"/>
  <c r="C250" i="4"/>
  <c r="G250" i="4" s="1"/>
  <c r="B250" i="4"/>
  <c r="A250" i="4"/>
  <c r="M249" i="4"/>
  <c r="F249" i="4"/>
  <c r="E249" i="4"/>
  <c r="D249" i="4"/>
  <c r="C249" i="4"/>
  <c r="G249" i="4" s="1"/>
  <c r="B249" i="4"/>
  <c r="A249" i="4"/>
  <c r="M248" i="4"/>
  <c r="F248" i="4"/>
  <c r="E248" i="4"/>
  <c r="D248" i="4"/>
  <c r="C248" i="4"/>
  <c r="G248" i="4" s="1"/>
  <c r="B248" i="4"/>
  <c r="A248" i="4"/>
  <c r="M247" i="4"/>
  <c r="F247" i="4"/>
  <c r="E247" i="4"/>
  <c r="D247" i="4"/>
  <c r="C247" i="4"/>
  <c r="G247" i="4" s="1"/>
  <c r="B247" i="4"/>
  <c r="A247" i="4"/>
  <c r="M246" i="4"/>
  <c r="F246" i="4"/>
  <c r="E246" i="4"/>
  <c r="D246" i="4"/>
  <c r="C246" i="4"/>
  <c r="G246" i="4" s="1"/>
  <c r="B246" i="4"/>
  <c r="A246" i="4"/>
  <c r="M245" i="4"/>
  <c r="F245" i="4"/>
  <c r="E245" i="4"/>
  <c r="D245" i="4"/>
  <c r="C245" i="4"/>
  <c r="G245" i="4" s="1"/>
  <c r="B245" i="4"/>
  <c r="A245" i="4"/>
  <c r="M244" i="4"/>
  <c r="F244" i="4"/>
  <c r="E244" i="4"/>
  <c r="D244" i="4"/>
  <c r="C244" i="4"/>
  <c r="G244" i="4" s="1"/>
  <c r="B244" i="4"/>
  <c r="A244" i="4"/>
  <c r="M243" i="4"/>
  <c r="F243" i="4"/>
  <c r="E243" i="4"/>
  <c r="D243" i="4"/>
  <c r="C243" i="4"/>
  <c r="G243" i="4" s="1"/>
  <c r="B243" i="4"/>
  <c r="A243" i="4"/>
  <c r="M242" i="4"/>
  <c r="F242" i="4"/>
  <c r="E242" i="4"/>
  <c r="D242" i="4"/>
  <c r="C242" i="4"/>
  <c r="G242" i="4" s="1"/>
  <c r="B242" i="4"/>
  <c r="A242" i="4"/>
  <c r="M241" i="4"/>
  <c r="F241" i="4"/>
  <c r="E241" i="4"/>
  <c r="D241" i="4"/>
  <c r="C241" i="4"/>
  <c r="G241" i="4" s="1"/>
  <c r="B241" i="4"/>
  <c r="A241" i="4"/>
  <c r="M240" i="4"/>
  <c r="F240" i="4"/>
  <c r="E240" i="4"/>
  <c r="D240" i="4"/>
  <c r="C240" i="4"/>
  <c r="G240" i="4" s="1"/>
  <c r="B240" i="4"/>
  <c r="A240" i="4"/>
  <c r="M239" i="4"/>
  <c r="F239" i="4"/>
  <c r="E239" i="4"/>
  <c r="D239" i="4"/>
  <c r="C239" i="4"/>
  <c r="G239" i="4" s="1"/>
  <c r="B239" i="4"/>
  <c r="A239" i="4"/>
  <c r="M238" i="4"/>
  <c r="F238" i="4"/>
  <c r="E238" i="4"/>
  <c r="D238" i="4"/>
  <c r="C238" i="4"/>
  <c r="G238" i="4" s="1"/>
  <c r="B238" i="4"/>
  <c r="A238" i="4"/>
  <c r="M237" i="4"/>
  <c r="F237" i="4"/>
  <c r="E237" i="4"/>
  <c r="D237" i="4"/>
  <c r="C237" i="4"/>
  <c r="G237" i="4" s="1"/>
  <c r="B237" i="4"/>
  <c r="A237" i="4"/>
  <c r="M236" i="4"/>
  <c r="F236" i="4"/>
  <c r="E236" i="4"/>
  <c r="D236" i="4"/>
  <c r="C236" i="4"/>
  <c r="G236" i="4" s="1"/>
  <c r="B236" i="4"/>
  <c r="A236" i="4"/>
  <c r="M235" i="4"/>
  <c r="F235" i="4"/>
  <c r="E235" i="4"/>
  <c r="D235" i="4"/>
  <c r="C235" i="4"/>
  <c r="G235" i="4" s="1"/>
  <c r="B235" i="4"/>
  <c r="A235" i="4"/>
  <c r="M234" i="4"/>
  <c r="F234" i="4"/>
  <c r="E234" i="4"/>
  <c r="D234" i="4"/>
  <c r="C234" i="4"/>
  <c r="G234" i="4" s="1"/>
  <c r="B234" i="4"/>
  <c r="A234" i="4"/>
  <c r="M233" i="4"/>
  <c r="F233" i="4"/>
  <c r="E233" i="4"/>
  <c r="D233" i="4"/>
  <c r="C233" i="4"/>
  <c r="G233" i="4" s="1"/>
  <c r="B233" i="4"/>
  <c r="A233" i="4"/>
  <c r="M232" i="4"/>
  <c r="F232" i="4"/>
  <c r="E232" i="4"/>
  <c r="D232" i="4"/>
  <c r="C232" i="4"/>
  <c r="G232" i="4" s="1"/>
  <c r="B232" i="4"/>
  <c r="A232" i="4"/>
  <c r="M231" i="4"/>
  <c r="F231" i="4"/>
  <c r="E231" i="4"/>
  <c r="D231" i="4"/>
  <c r="C231" i="4"/>
  <c r="G231" i="4" s="1"/>
  <c r="B231" i="4"/>
  <c r="A231" i="4"/>
  <c r="M230" i="4"/>
  <c r="F230" i="4"/>
  <c r="E230" i="4"/>
  <c r="D230" i="4"/>
  <c r="C230" i="4"/>
  <c r="G230" i="4" s="1"/>
  <c r="B230" i="4"/>
  <c r="A230" i="4"/>
  <c r="M229" i="4"/>
  <c r="F229" i="4"/>
  <c r="E229" i="4"/>
  <c r="D229" i="4"/>
  <c r="C229" i="4"/>
  <c r="G229" i="4" s="1"/>
  <c r="B229" i="4"/>
  <c r="A229" i="4"/>
  <c r="M228" i="4"/>
  <c r="F228" i="4"/>
  <c r="E228" i="4"/>
  <c r="D228" i="4"/>
  <c r="C228" i="4"/>
  <c r="G228" i="4" s="1"/>
  <c r="B228" i="4"/>
  <c r="A228" i="4"/>
  <c r="M227" i="4"/>
  <c r="F227" i="4"/>
  <c r="E227" i="4"/>
  <c r="D227" i="4"/>
  <c r="C227" i="4"/>
  <c r="G227" i="4" s="1"/>
  <c r="B227" i="4"/>
  <c r="A227" i="4"/>
  <c r="M226" i="4"/>
  <c r="F226" i="4"/>
  <c r="E226" i="4"/>
  <c r="D226" i="4"/>
  <c r="C226" i="4"/>
  <c r="G226" i="4" s="1"/>
  <c r="B226" i="4"/>
  <c r="A226" i="4"/>
  <c r="M225" i="4"/>
  <c r="F225" i="4"/>
  <c r="E225" i="4"/>
  <c r="D225" i="4"/>
  <c r="C225" i="4"/>
  <c r="G225" i="4" s="1"/>
  <c r="B225" i="4"/>
  <c r="A225" i="4"/>
  <c r="M224" i="4"/>
  <c r="F224" i="4"/>
  <c r="E224" i="4"/>
  <c r="D224" i="4"/>
  <c r="C224" i="4"/>
  <c r="G224" i="4" s="1"/>
  <c r="B224" i="4"/>
  <c r="A224" i="4"/>
  <c r="M223" i="4"/>
  <c r="F223" i="4"/>
  <c r="E223" i="4"/>
  <c r="D223" i="4"/>
  <c r="C223" i="4"/>
  <c r="G223" i="4" s="1"/>
  <c r="B223" i="4"/>
  <c r="A223" i="4"/>
  <c r="M222" i="4"/>
  <c r="F222" i="4"/>
  <c r="E222" i="4"/>
  <c r="D222" i="4"/>
  <c r="C222" i="4"/>
  <c r="G222" i="4" s="1"/>
  <c r="B222" i="4"/>
  <c r="A222" i="4"/>
  <c r="M221" i="4"/>
  <c r="F221" i="4"/>
  <c r="E221" i="4"/>
  <c r="D221" i="4"/>
  <c r="C221" i="4"/>
  <c r="G221" i="4" s="1"/>
  <c r="B221" i="4"/>
  <c r="A221" i="4"/>
  <c r="M220" i="4"/>
  <c r="F220" i="4"/>
  <c r="E220" i="4"/>
  <c r="D220" i="4"/>
  <c r="C220" i="4"/>
  <c r="G220" i="4" s="1"/>
  <c r="B220" i="4"/>
  <c r="A220" i="4"/>
  <c r="M219" i="4"/>
  <c r="F219" i="4"/>
  <c r="E219" i="4"/>
  <c r="D219" i="4"/>
  <c r="C219" i="4"/>
  <c r="G219" i="4" s="1"/>
  <c r="B219" i="4"/>
  <c r="A219" i="4"/>
  <c r="M218" i="4"/>
  <c r="F218" i="4"/>
  <c r="E218" i="4"/>
  <c r="D218" i="4"/>
  <c r="C218" i="4"/>
  <c r="G218" i="4" s="1"/>
  <c r="B218" i="4"/>
  <c r="A218" i="4"/>
  <c r="M217" i="4"/>
  <c r="F217" i="4"/>
  <c r="E217" i="4"/>
  <c r="D217" i="4"/>
  <c r="C217" i="4"/>
  <c r="G217" i="4" s="1"/>
  <c r="B217" i="4"/>
  <c r="A217" i="4"/>
  <c r="M216" i="4"/>
  <c r="F216" i="4"/>
  <c r="E216" i="4"/>
  <c r="D216" i="4"/>
  <c r="C216" i="4"/>
  <c r="G216" i="4" s="1"/>
  <c r="B216" i="4"/>
  <c r="A216" i="4"/>
  <c r="M215" i="4"/>
  <c r="F215" i="4"/>
  <c r="E215" i="4"/>
  <c r="D215" i="4"/>
  <c r="C215" i="4"/>
  <c r="G215" i="4" s="1"/>
  <c r="B215" i="4"/>
  <c r="A215" i="4"/>
  <c r="M214" i="4"/>
  <c r="F214" i="4"/>
  <c r="E214" i="4"/>
  <c r="D214" i="4"/>
  <c r="C214" i="4"/>
  <c r="G214" i="4" s="1"/>
  <c r="B214" i="4"/>
  <c r="A214" i="4"/>
  <c r="M213" i="4"/>
  <c r="F213" i="4"/>
  <c r="E213" i="4"/>
  <c r="D213" i="4"/>
  <c r="C213" i="4"/>
  <c r="G213" i="4" s="1"/>
  <c r="B213" i="4"/>
  <c r="A213" i="4"/>
  <c r="M212" i="4"/>
  <c r="F212" i="4"/>
  <c r="E212" i="4"/>
  <c r="D212" i="4"/>
  <c r="C212" i="4"/>
  <c r="G212" i="4" s="1"/>
  <c r="B212" i="4"/>
  <c r="A212" i="4"/>
  <c r="M211" i="4"/>
  <c r="F211" i="4"/>
  <c r="E211" i="4"/>
  <c r="D211" i="4"/>
  <c r="C211" i="4"/>
  <c r="G211" i="4" s="1"/>
  <c r="B211" i="4"/>
  <c r="A211" i="4"/>
  <c r="M210" i="4"/>
  <c r="F210" i="4"/>
  <c r="E210" i="4"/>
  <c r="D210" i="4"/>
  <c r="C210" i="4"/>
  <c r="G210" i="4" s="1"/>
  <c r="B210" i="4"/>
  <c r="A210" i="4"/>
  <c r="M209" i="4"/>
  <c r="F209" i="4"/>
  <c r="E209" i="4"/>
  <c r="D209" i="4"/>
  <c r="C209" i="4"/>
  <c r="G209" i="4" s="1"/>
  <c r="B209" i="4"/>
  <c r="A209" i="4"/>
  <c r="M208" i="4"/>
  <c r="F208" i="4"/>
  <c r="E208" i="4"/>
  <c r="D208" i="4"/>
  <c r="C208" i="4"/>
  <c r="G208" i="4" s="1"/>
  <c r="B208" i="4"/>
  <c r="A208" i="4"/>
  <c r="M207" i="4"/>
  <c r="F207" i="4"/>
  <c r="E207" i="4"/>
  <c r="D207" i="4"/>
  <c r="C207" i="4"/>
  <c r="G207" i="4" s="1"/>
  <c r="B207" i="4"/>
  <c r="A207" i="4"/>
  <c r="M206" i="4"/>
  <c r="F206" i="4"/>
  <c r="E206" i="4"/>
  <c r="D206" i="4"/>
  <c r="C206" i="4"/>
  <c r="G206" i="4" s="1"/>
  <c r="B206" i="4"/>
  <c r="A206" i="4"/>
  <c r="M205" i="4"/>
  <c r="F205" i="4"/>
  <c r="E205" i="4"/>
  <c r="D205" i="4"/>
  <c r="C205" i="4"/>
  <c r="G205" i="4" s="1"/>
  <c r="B205" i="4"/>
  <c r="A205" i="4"/>
  <c r="M204" i="4"/>
  <c r="F204" i="4"/>
  <c r="E204" i="4"/>
  <c r="D204" i="4"/>
  <c r="C204" i="4"/>
  <c r="G204" i="4" s="1"/>
  <c r="B204" i="4"/>
  <c r="A204" i="4"/>
  <c r="M203" i="4"/>
  <c r="F203" i="4"/>
  <c r="E203" i="4"/>
  <c r="D203" i="4"/>
  <c r="C203" i="4"/>
  <c r="G203" i="4" s="1"/>
  <c r="B203" i="4"/>
  <c r="A203" i="4"/>
  <c r="M202" i="4"/>
  <c r="F202" i="4"/>
  <c r="E202" i="4"/>
  <c r="D202" i="4"/>
  <c r="C202" i="4"/>
  <c r="G202" i="4" s="1"/>
  <c r="B202" i="4"/>
  <c r="A202" i="4"/>
  <c r="M201" i="4"/>
  <c r="F201" i="4"/>
  <c r="E201" i="4"/>
  <c r="D201" i="4"/>
  <c r="C201" i="4"/>
  <c r="G201" i="4" s="1"/>
  <c r="B201" i="4"/>
  <c r="A201" i="4"/>
  <c r="M200" i="4"/>
  <c r="F200" i="4"/>
  <c r="E200" i="4"/>
  <c r="D200" i="4"/>
  <c r="C200" i="4"/>
  <c r="G200" i="4" s="1"/>
  <c r="B200" i="4"/>
  <c r="A200" i="4"/>
  <c r="M199" i="4"/>
  <c r="F199" i="4"/>
  <c r="E199" i="4"/>
  <c r="D199" i="4"/>
  <c r="C199" i="4"/>
  <c r="G199" i="4" s="1"/>
  <c r="B199" i="4"/>
  <c r="A199" i="4"/>
  <c r="M198" i="4"/>
  <c r="F198" i="4"/>
  <c r="E198" i="4"/>
  <c r="D198" i="4"/>
  <c r="C198" i="4"/>
  <c r="G198" i="4" s="1"/>
  <c r="B198" i="4"/>
  <c r="A198" i="4"/>
  <c r="M197" i="4"/>
  <c r="F197" i="4"/>
  <c r="E197" i="4"/>
  <c r="D197" i="4"/>
  <c r="C197" i="4"/>
  <c r="G197" i="4" s="1"/>
  <c r="B197" i="4"/>
  <c r="A197" i="4"/>
  <c r="M196" i="4"/>
  <c r="F196" i="4"/>
  <c r="E196" i="4"/>
  <c r="D196" i="4"/>
  <c r="C196" i="4"/>
  <c r="G196" i="4" s="1"/>
  <c r="B196" i="4"/>
  <c r="A196" i="4"/>
  <c r="M195" i="4"/>
  <c r="F195" i="4"/>
  <c r="E195" i="4"/>
  <c r="D195" i="4"/>
  <c r="C195" i="4"/>
  <c r="G195" i="4" s="1"/>
  <c r="B195" i="4"/>
  <c r="A195" i="4"/>
  <c r="M194" i="4"/>
  <c r="F194" i="4"/>
  <c r="E194" i="4"/>
  <c r="D194" i="4"/>
  <c r="C194" i="4"/>
  <c r="G194" i="4" s="1"/>
  <c r="B194" i="4"/>
  <c r="A194" i="4"/>
  <c r="M193" i="4"/>
  <c r="F193" i="4"/>
  <c r="E193" i="4"/>
  <c r="D193" i="4"/>
  <c r="C193" i="4"/>
  <c r="G193" i="4" s="1"/>
  <c r="B193" i="4"/>
  <c r="A193" i="4"/>
  <c r="M192" i="4"/>
  <c r="F192" i="4"/>
  <c r="E192" i="4"/>
  <c r="D192" i="4"/>
  <c r="C192" i="4"/>
  <c r="G192" i="4" s="1"/>
  <c r="B192" i="4"/>
  <c r="A192" i="4"/>
  <c r="M191" i="4"/>
  <c r="F191" i="4"/>
  <c r="E191" i="4"/>
  <c r="D191" i="4"/>
  <c r="C191" i="4"/>
  <c r="G191" i="4" s="1"/>
  <c r="B191" i="4"/>
  <c r="A191" i="4"/>
  <c r="M190" i="4"/>
  <c r="F190" i="4"/>
  <c r="E190" i="4"/>
  <c r="D190" i="4"/>
  <c r="C190" i="4"/>
  <c r="G190" i="4" s="1"/>
  <c r="B190" i="4"/>
  <c r="A190" i="4"/>
  <c r="M189" i="4"/>
  <c r="F189" i="4"/>
  <c r="E189" i="4"/>
  <c r="D189" i="4"/>
  <c r="C189" i="4"/>
  <c r="G189" i="4" s="1"/>
  <c r="B189" i="4"/>
  <c r="A189" i="4"/>
  <c r="M188" i="4"/>
  <c r="F188" i="4"/>
  <c r="E188" i="4"/>
  <c r="D188" i="4"/>
  <c r="C188" i="4"/>
  <c r="G188" i="4" s="1"/>
  <c r="B188" i="4"/>
  <c r="A188" i="4"/>
  <c r="M187" i="4"/>
  <c r="F187" i="4"/>
  <c r="E187" i="4"/>
  <c r="D187" i="4"/>
  <c r="C187" i="4"/>
  <c r="G187" i="4" s="1"/>
  <c r="B187" i="4"/>
  <c r="A187" i="4"/>
  <c r="M186" i="4"/>
  <c r="F186" i="4"/>
  <c r="E186" i="4"/>
  <c r="D186" i="4"/>
  <c r="C186" i="4"/>
  <c r="G186" i="4" s="1"/>
  <c r="B186" i="4"/>
  <c r="A186" i="4"/>
  <c r="M185" i="4"/>
  <c r="F185" i="4"/>
  <c r="E185" i="4"/>
  <c r="D185" i="4"/>
  <c r="C185" i="4"/>
  <c r="G185" i="4" s="1"/>
  <c r="B185" i="4"/>
  <c r="A185" i="4"/>
  <c r="M184" i="4"/>
  <c r="F184" i="4"/>
  <c r="E184" i="4"/>
  <c r="D184" i="4"/>
  <c r="C184" i="4"/>
  <c r="G184" i="4" s="1"/>
  <c r="B184" i="4"/>
  <c r="A184" i="4"/>
  <c r="M183" i="4"/>
  <c r="F183" i="4"/>
  <c r="E183" i="4"/>
  <c r="D183" i="4"/>
  <c r="C183" i="4"/>
  <c r="G183" i="4" s="1"/>
  <c r="B183" i="4"/>
  <c r="A183" i="4"/>
  <c r="M182" i="4"/>
  <c r="F182" i="4"/>
  <c r="E182" i="4"/>
  <c r="D182" i="4"/>
  <c r="C182" i="4"/>
  <c r="G182" i="4" s="1"/>
  <c r="B182" i="4"/>
  <c r="A182" i="4"/>
  <c r="M181" i="4"/>
  <c r="F181" i="4"/>
  <c r="E181" i="4"/>
  <c r="D181" i="4"/>
  <c r="C181" i="4"/>
  <c r="G181" i="4" s="1"/>
  <c r="B181" i="4"/>
  <c r="A181" i="4"/>
  <c r="M180" i="4"/>
  <c r="F180" i="4"/>
  <c r="E180" i="4"/>
  <c r="D180" i="4"/>
  <c r="C180" i="4"/>
  <c r="G180" i="4" s="1"/>
  <c r="B180" i="4"/>
  <c r="A180" i="4"/>
  <c r="M179" i="4"/>
  <c r="F179" i="4"/>
  <c r="E179" i="4"/>
  <c r="D179" i="4"/>
  <c r="C179" i="4"/>
  <c r="G179" i="4" s="1"/>
  <c r="B179" i="4"/>
  <c r="A179" i="4"/>
  <c r="M178" i="4"/>
  <c r="F178" i="4"/>
  <c r="E178" i="4"/>
  <c r="D178" i="4"/>
  <c r="C178" i="4"/>
  <c r="G178" i="4" s="1"/>
  <c r="B178" i="4"/>
  <c r="A178" i="4"/>
  <c r="M177" i="4"/>
  <c r="F177" i="4"/>
  <c r="E177" i="4"/>
  <c r="D177" i="4"/>
  <c r="C177" i="4"/>
  <c r="G177" i="4" s="1"/>
  <c r="B177" i="4"/>
  <c r="A177" i="4"/>
  <c r="M176" i="4"/>
  <c r="F176" i="4"/>
  <c r="E176" i="4"/>
  <c r="D176" i="4"/>
  <c r="C176" i="4"/>
  <c r="G176" i="4" s="1"/>
  <c r="B176" i="4"/>
  <c r="A176" i="4"/>
  <c r="M175" i="4"/>
  <c r="F175" i="4"/>
  <c r="E175" i="4"/>
  <c r="D175" i="4"/>
  <c r="C175" i="4"/>
  <c r="G175" i="4" s="1"/>
  <c r="B175" i="4"/>
  <c r="A175" i="4"/>
  <c r="M174" i="4"/>
  <c r="F174" i="4"/>
  <c r="E174" i="4"/>
  <c r="D174" i="4"/>
  <c r="C174" i="4"/>
  <c r="G174" i="4" s="1"/>
  <c r="B174" i="4"/>
  <c r="A174" i="4"/>
  <c r="M173" i="4"/>
  <c r="F173" i="4"/>
  <c r="E173" i="4"/>
  <c r="D173" i="4"/>
  <c r="C173" i="4"/>
  <c r="G173" i="4" s="1"/>
  <c r="B173" i="4"/>
  <c r="A173" i="4"/>
  <c r="M172" i="4"/>
  <c r="F172" i="4"/>
  <c r="E172" i="4"/>
  <c r="D172" i="4"/>
  <c r="C172" i="4"/>
  <c r="G172" i="4" s="1"/>
  <c r="B172" i="4"/>
  <c r="A172" i="4"/>
  <c r="M171" i="4"/>
  <c r="F171" i="4"/>
  <c r="E171" i="4"/>
  <c r="D171" i="4"/>
  <c r="C171" i="4"/>
  <c r="G171" i="4" s="1"/>
  <c r="B171" i="4"/>
  <c r="A171" i="4"/>
  <c r="M170" i="4"/>
  <c r="F170" i="4"/>
  <c r="E170" i="4"/>
  <c r="D170" i="4"/>
  <c r="C170" i="4"/>
  <c r="G170" i="4" s="1"/>
  <c r="B170" i="4"/>
  <c r="A170" i="4"/>
  <c r="M169" i="4"/>
  <c r="F169" i="4"/>
  <c r="E169" i="4"/>
  <c r="D169" i="4"/>
  <c r="C169" i="4"/>
  <c r="G169" i="4" s="1"/>
  <c r="B169" i="4"/>
  <c r="A169" i="4"/>
  <c r="M168" i="4"/>
  <c r="F168" i="4"/>
  <c r="E168" i="4"/>
  <c r="D168" i="4"/>
  <c r="C168" i="4"/>
  <c r="G168" i="4" s="1"/>
  <c r="B168" i="4"/>
  <c r="A168" i="4"/>
  <c r="M167" i="4"/>
  <c r="F167" i="4"/>
  <c r="E167" i="4"/>
  <c r="D167" i="4"/>
  <c r="C167" i="4"/>
  <c r="G167" i="4" s="1"/>
  <c r="B167" i="4"/>
  <c r="A167" i="4"/>
  <c r="M166" i="4"/>
  <c r="F166" i="4"/>
  <c r="E166" i="4"/>
  <c r="D166" i="4"/>
  <c r="C166" i="4"/>
  <c r="G166" i="4" s="1"/>
  <c r="B166" i="4"/>
  <c r="A166" i="4"/>
  <c r="M165" i="4"/>
  <c r="F165" i="4"/>
  <c r="E165" i="4"/>
  <c r="D165" i="4"/>
  <c r="C165" i="4"/>
  <c r="G165" i="4" s="1"/>
  <c r="B165" i="4"/>
  <c r="A165" i="4"/>
  <c r="M164" i="4"/>
  <c r="F164" i="4"/>
  <c r="E164" i="4"/>
  <c r="D164" i="4"/>
  <c r="C164" i="4"/>
  <c r="G164" i="4" s="1"/>
  <c r="B164" i="4"/>
  <c r="A164" i="4"/>
  <c r="M163" i="4"/>
  <c r="F163" i="4"/>
  <c r="E163" i="4"/>
  <c r="D163" i="4"/>
  <c r="C163" i="4"/>
  <c r="G163" i="4" s="1"/>
  <c r="B163" i="4"/>
  <c r="A163" i="4"/>
  <c r="M162" i="4"/>
  <c r="F162" i="4"/>
  <c r="E162" i="4"/>
  <c r="D162" i="4"/>
  <c r="C162" i="4"/>
  <c r="G162" i="4" s="1"/>
  <c r="B162" i="4"/>
  <c r="A162" i="4"/>
  <c r="M161" i="4"/>
  <c r="F161" i="4"/>
  <c r="E161" i="4"/>
  <c r="D161" i="4"/>
  <c r="C161" i="4"/>
  <c r="G161" i="4" s="1"/>
  <c r="B161" i="4"/>
  <c r="A161" i="4"/>
  <c r="M160" i="4"/>
  <c r="F160" i="4"/>
  <c r="E160" i="4"/>
  <c r="D160" i="4"/>
  <c r="C160" i="4"/>
  <c r="G160" i="4" s="1"/>
  <c r="B160" i="4"/>
  <c r="A160" i="4"/>
  <c r="M159" i="4"/>
  <c r="F159" i="4"/>
  <c r="E159" i="4"/>
  <c r="D159" i="4"/>
  <c r="C159" i="4"/>
  <c r="G159" i="4" s="1"/>
  <c r="B159" i="4"/>
  <c r="A159" i="4"/>
  <c r="M158" i="4"/>
  <c r="F158" i="4"/>
  <c r="E158" i="4"/>
  <c r="D158" i="4"/>
  <c r="C158" i="4"/>
  <c r="G158" i="4" s="1"/>
  <c r="B158" i="4"/>
  <c r="A158" i="4"/>
  <c r="M157" i="4"/>
  <c r="F157" i="4"/>
  <c r="E157" i="4"/>
  <c r="D157" i="4"/>
  <c r="C157" i="4"/>
  <c r="G157" i="4" s="1"/>
  <c r="B157" i="4"/>
  <c r="A157" i="4"/>
  <c r="M156" i="4"/>
  <c r="F156" i="4"/>
  <c r="E156" i="4"/>
  <c r="D156" i="4"/>
  <c r="C156" i="4"/>
  <c r="G156" i="4" s="1"/>
  <c r="B156" i="4"/>
  <c r="A156" i="4"/>
  <c r="M155" i="4"/>
  <c r="F155" i="4"/>
  <c r="E155" i="4"/>
  <c r="D155" i="4"/>
  <c r="C155" i="4"/>
  <c r="G155" i="4" s="1"/>
  <c r="B155" i="4"/>
  <c r="A155" i="4"/>
  <c r="M154" i="4"/>
  <c r="F154" i="4"/>
  <c r="E154" i="4"/>
  <c r="D154" i="4"/>
  <c r="C154" i="4"/>
  <c r="G154" i="4" s="1"/>
  <c r="B154" i="4"/>
  <c r="A154" i="4"/>
  <c r="M153" i="4"/>
  <c r="F153" i="4"/>
  <c r="E153" i="4"/>
  <c r="D153" i="4"/>
  <c r="C153" i="4"/>
  <c r="G153" i="4" s="1"/>
  <c r="B153" i="4"/>
  <c r="A153" i="4"/>
  <c r="M152" i="4"/>
  <c r="F152" i="4"/>
  <c r="E152" i="4"/>
  <c r="D152" i="4"/>
  <c r="C152" i="4"/>
  <c r="G152" i="4" s="1"/>
  <c r="B152" i="4"/>
  <c r="A152" i="4"/>
  <c r="M151" i="4"/>
  <c r="F151" i="4"/>
  <c r="E151" i="4"/>
  <c r="D151" i="4"/>
  <c r="C151" i="4"/>
  <c r="G151" i="4" s="1"/>
  <c r="B151" i="4"/>
  <c r="A151" i="4"/>
  <c r="M150" i="4"/>
  <c r="F150" i="4"/>
  <c r="E150" i="4"/>
  <c r="D150" i="4"/>
  <c r="C150" i="4"/>
  <c r="G150" i="4" s="1"/>
  <c r="B150" i="4"/>
  <c r="A150" i="4"/>
  <c r="M149" i="4"/>
  <c r="F149" i="4"/>
  <c r="E149" i="4"/>
  <c r="D149" i="4"/>
  <c r="C149" i="4"/>
  <c r="G149" i="4" s="1"/>
  <c r="B149" i="4"/>
  <c r="A149" i="4"/>
  <c r="M148" i="4"/>
  <c r="F148" i="4"/>
  <c r="E148" i="4"/>
  <c r="D148" i="4"/>
  <c r="C148" i="4"/>
  <c r="G148" i="4" s="1"/>
  <c r="B148" i="4"/>
  <c r="A148" i="4"/>
  <c r="M147" i="4"/>
  <c r="F147" i="4"/>
  <c r="E147" i="4"/>
  <c r="D147" i="4"/>
  <c r="C147" i="4"/>
  <c r="G147" i="4" s="1"/>
  <c r="B147" i="4"/>
  <c r="A147" i="4"/>
  <c r="M146" i="4"/>
  <c r="F146" i="4"/>
  <c r="E146" i="4"/>
  <c r="D146" i="4"/>
  <c r="C146" i="4"/>
  <c r="G146" i="4" s="1"/>
  <c r="B146" i="4"/>
  <c r="A146" i="4"/>
  <c r="M145" i="4"/>
  <c r="F145" i="4"/>
  <c r="E145" i="4"/>
  <c r="D145" i="4"/>
  <c r="C145" i="4"/>
  <c r="G145" i="4" s="1"/>
  <c r="B145" i="4"/>
  <c r="A145" i="4"/>
  <c r="M144" i="4"/>
  <c r="F144" i="4"/>
  <c r="E144" i="4"/>
  <c r="D144" i="4"/>
  <c r="C144" i="4"/>
  <c r="G144" i="4" s="1"/>
  <c r="B144" i="4"/>
  <c r="A144" i="4"/>
  <c r="M143" i="4"/>
  <c r="F143" i="4"/>
  <c r="E143" i="4"/>
  <c r="D143" i="4"/>
  <c r="C143" i="4"/>
  <c r="G143" i="4" s="1"/>
  <c r="B143" i="4"/>
  <c r="A143" i="4"/>
  <c r="M142" i="4"/>
  <c r="F142" i="4"/>
  <c r="E142" i="4"/>
  <c r="D142" i="4"/>
  <c r="C142" i="4"/>
  <c r="G142" i="4" s="1"/>
  <c r="B142" i="4"/>
  <c r="A142" i="4"/>
  <c r="M141" i="4"/>
  <c r="F141" i="4"/>
  <c r="E141" i="4"/>
  <c r="D141" i="4"/>
  <c r="C141" i="4"/>
  <c r="G141" i="4" s="1"/>
  <c r="B141" i="4"/>
  <c r="A141" i="4"/>
  <c r="M140" i="4"/>
  <c r="F140" i="4"/>
  <c r="E140" i="4"/>
  <c r="D140" i="4"/>
  <c r="C140" i="4"/>
  <c r="G140" i="4" s="1"/>
  <c r="B140" i="4"/>
  <c r="A140" i="4"/>
  <c r="M139" i="4"/>
  <c r="F139" i="4"/>
  <c r="E139" i="4"/>
  <c r="D139" i="4"/>
  <c r="C139" i="4"/>
  <c r="G139" i="4" s="1"/>
  <c r="B139" i="4"/>
  <c r="A139" i="4"/>
  <c r="M138" i="4"/>
  <c r="F138" i="4"/>
  <c r="E138" i="4"/>
  <c r="D138" i="4"/>
  <c r="C138" i="4"/>
  <c r="G138" i="4" s="1"/>
  <c r="B138" i="4"/>
  <c r="A138" i="4"/>
  <c r="M137" i="4"/>
  <c r="F137" i="4"/>
  <c r="E137" i="4"/>
  <c r="D137" i="4"/>
  <c r="C137" i="4"/>
  <c r="G137" i="4" s="1"/>
  <c r="B137" i="4"/>
  <c r="A137" i="4"/>
  <c r="M136" i="4"/>
  <c r="F136" i="4"/>
  <c r="E136" i="4"/>
  <c r="D136" i="4"/>
  <c r="C136" i="4"/>
  <c r="G136" i="4" s="1"/>
  <c r="N136" i="4" s="1"/>
  <c r="B136" i="4"/>
  <c r="A136" i="4"/>
  <c r="M135" i="4"/>
  <c r="F135" i="4"/>
  <c r="E135" i="4"/>
  <c r="D135" i="4"/>
  <c r="C135" i="4"/>
  <c r="G135" i="4" s="1"/>
  <c r="B135" i="4"/>
  <c r="A135" i="4"/>
  <c r="M134" i="4"/>
  <c r="F134" i="4"/>
  <c r="E134" i="4"/>
  <c r="D134" i="4"/>
  <c r="C134" i="4"/>
  <c r="G134" i="4" s="1"/>
  <c r="B134" i="4"/>
  <c r="A134" i="4"/>
  <c r="M133" i="4"/>
  <c r="F133" i="4"/>
  <c r="E133" i="4"/>
  <c r="D133" i="4"/>
  <c r="C133" i="4"/>
  <c r="G133" i="4" s="1"/>
  <c r="B133" i="4"/>
  <c r="A133" i="4"/>
  <c r="M132" i="4"/>
  <c r="F132" i="4"/>
  <c r="E132" i="4"/>
  <c r="D132" i="4"/>
  <c r="C132" i="4"/>
  <c r="G132" i="4" s="1"/>
  <c r="B132" i="4"/>
  <c r="A132" i="4"/>
  <c r="M131" i="4"/>
  <c r="F131" i="4"/>
  <c r="E131" i="4"/>
  <c r="D131" i="4"/>
  <c r="C131" i="4"/>
  <c r="G131" i="4" s="1"/>
  <c r="B131" i="4"/>
  <c r="A131" i="4"/>
  <c r="M130" i="4"/>
  <c r="F130" i="4"/>
  <c r="E130" i="4"/>
  <c r="D130" i="4"/>
  <c r="C130" i="4"/>
  <c r="G130" i="4" s="1"/>
  <c r="B130" i="4"/>
  <c r="A130" i="4"/>
  <c r="M129" i="4"/>
  <c r="F129" i="4"/>
  <c r="E129" i="4"/>
  <c r="D129" i="4"/>
  <c r="C129" i="4"/>
  <c r="G129" i="4" s="1"/>
  <c r="B129" i="4"/>
  <c r="A129" i="4"/>
  <c r="M128" i="4"/>
  <c r="F128" i="4"/>
  <c r="E128" i="4"/>
  <c r="D128" i="4"/>
  <c r="C128" i="4"/>
  <c r="G128" i="4" s="1"/>
  <c r="B128" i="4"/>
  <c r="A128" i="4"/>
  <c r="M127" i="4"/>
  <c r="F127" i="4"/>
  <c r="E127" i="4"/>
  <c r="D127" i="4"/>
  <c r="C127" i="4"/>
  <c r="G127" i="4" s="1"/>
  <c r="B127" i="4"/>
  <c r="A127" i="4"/>
  <c r="M126" i="4"/>
  <c r="F126" i="4"/>
  <c r="E126" i="4"/>
  <c r="D126" i="4"/>
  <c r="C126" i="4"/>
  <c r="G126" i="4" s="1"/>
  <c r="B126" i="4"/>
  <c r="A126" i="4"/>
  <c r="M125" i="4"/>
  <c r="F125" i="4"/>
  <c r="E125" i="4"/>
  <c r="D125" i="4"/>
  <c r="C125" i="4"/>
  <c r="G125" i="4" s="1"/>
  <c r="B125" i="4"/>
  <c r="A125" i="4"/>
  <c r="M124" i="4"/>
  <c r="F124" i="4"/>
  <c r="E124" i="4"/>
  <c r="D124" i="4"/>
  <c r="C124" i="4"/>
  <c r="G124" i="4" s="1"/>
  <c r="B124" i="4"/>
  <c r="A124" i="4"/>
  <c r="M123" i="4"/>
  <c r="F123" i="4"/>
  <c r="E123" i="4"/>
  <c r="D123" i="4"/>
  <c r="C123" i="4"/>
  <c r="G123" i="4" s="1"/>
  <c r="B123" i="4"/>
  <c r="A123" i="4"/>
  <c r="M122" i="4"/>
  <c r="F122" i="4"/>
  <c r="E122" i="4"/>
  <c r="D122" i="4"/>
  <c r="C122" i="4"/>
  <c r="G122" i="4" s="1"/>
  <c r="B122" i="4"/>
  <c r="A122" i="4"/>
  <c r="M121" i="4"/>
  <c r="F121" i="4"/>
  <c r="E121" i="4"/>
  <c r="D121" i="4"/>
  <c r="C121" i="4"/>
  <c r="G121" i="4" s="1"/>
  <c r="B121" i="4"/>
  <c r="A121" i="4"/>
  <c r="M120" i="4"/>
  <c r="F120" i="4"/>
  <c r="E120" i="4"/>
  <c r="D120" i="4"/>
  <c r="C120" i="4"/>
  <c r="G120" i="4" s="1"/>
  <c r="B120" i="4"/>
  <c r="A120" i="4"/>
  <c r="M119" i="4"/>
  <c r="F119" i="4"/>
  <c r="E119" i="4"/>
  <c r="D119" i="4"/>
  <c r="C119" i="4"/>
  <c r="G119" i="4" s="1"/>
  <c r="B119" i="4"/>
  <c r="A119" i="4"/>
  <c r="M118" i="4"/>
  <c r="F118" i="4"/>
  <c r="E118" i="4"/>
  <c r="D118" i="4"/>
  <c r="C118" i="4"/>
  <c r="G118" i="4" s="1"/>
  <c r="B118" i="4"/>
  <c r="A118" i="4"/>
  <c r="M117" i="4"/>
  <c r="F117" i="4"/>
  <c r="E117" i="4"/>
  <c r="D117" i="4"/>
  <c r="C117" i="4"/>
  <c r="G117" i="4" s="1"/>
  <c r="B117" i="4"/>
  <c r="A117" i="4"/>
  <c r="M116" i="4"/>
  <c r="F116" i="4"/>
  <c r="E116" i="4"/>
  <c r="D116" i="4"/>
  <c r="C116" i="4"/>
  <c r="G116" i="4" s="1"/>
  <c r="B116" i="4"/>
  <c r="A116" i="4"/>
  <c r="M115" i="4"/>
  <c r="F115" i="4"/>
  <c r="E115" i="4"/>
  <c r="D115" i="4"/>
  <c r="C115" i="4"/>
  <c r="G115" i="4" s="1"/>
  <c r="B115" i="4"/>
  <c r="A115" i="4"/>
  <c r="M114" i="4"/>
  <c r="F114" i="4"/>
  <c r="E114" i="4"/>
  <c r="D114" i="4"/>
  <c r="C114" i="4"/>
  <c r="G114" i="4" s="1"/>
  <c r="B114" i="4"/>
  <c r="A114" i="4"/>
  <c r="M113" i="4"/>
  <c r="G113" i="4"/>
  <c r="F113" i="4"/>
  <c r="E113" i="4"/>
  <c r="D113" i="4"/>
  <c r="C113" i="4"/>
  <c r="B113" i="4"/>
  <c r="A113" i="4"/>
  <c r="M112" i="4"/>
  <c r="F112" i="4"/>
  <c r="E112" i="4"/>
  <c r="D112" i="4"/>
  <c r="C112" i="4"/>
  <c r="G112" i="4" s="1"/>
  <c r="B112" i="4"/>
  <c r="A112" i="4"/>
  <c r="M111" i="4"/>
  <c r="F111" i="4"/>
  <c r="E111" i="4"/>
  <c r="D111" i="4"/>
  <c r="C111" i="4"/>
  <c r="G111" i="4" s="1"/>
  <c r="B111" i="4"/>
  <c r="A111" i="4"/>
  <c r="M110" i="4"/>
  <c r="F110" i="4"/>
  <c r="E110" i="4"/>
  <c r="D110" i="4"/>
  <c r="C110" i="4"/>
  <c r="G110" i="4" s="1"/>
  <c r="B110" i="4"/>
  <c r="A110" i="4"/>
  <c r="M109" i="4"/>
  <c r="F109" i="4"/>
  <c r="E109" i="4"/>
  <c r="D109" i="4"/>
  <c r="C109" i="4"/>
  <c r="G109" i="4" s="1"/>
  <c r="B109" i="4"/>
  <c r="A109" i="4"/>
  <c r="M108" i="4"/>
  <c r="F108" i="4"/>
  <c r="E108" i="4"/>
  <c r="D108" i="4"/>
  <c r="C108" i="4"/>
  <c r="G108" i="4" s="1"/>
  <c r="B108" i="4"/>
  <c r="A108" i="4"/>
  <c r="M107" i="4"/>
  <c r="F107" i="4"/>
  <c r="E107" i="4"/>
  <c r="D107" i="4"/>
  <c r="C107" i="4"/>
  <c r="G107" i="4" s="1"/>
  <c r="B107" i="4"/>
  <c r="A107" i="4"/>
  <c r="M106" i="4"/>
  <c r="F106" i="4"/>
  <c r="E106" i="4"/>
  <c r="D106" i="4"/>
  <c r="C106" i="4"/>
  <c r="G106" i="4" s="1"/>
  <c r="B106" i="4"/>
  <c r="A106" i="4"/>
  <c r="M105" i="4"/>
  <c r="F105" i="4"/>
  <c r="E105" i="4"/>
  <c r="D105" i="4"/>
  <c r="C105" i="4"/>
  <c r="G105" i="4" s="1"/>
  <c r="B105" i="4"/>
  <c r="A105" i="4"/>
  <c r="M104" i="4"/>
  <c r="F104" i="4"/>
  <c r="E104" i="4"/>
  <c r="D104" i="4"/>
  <c r="C104" i="4"/>
  <c r="G104" i="4" s="1"/>
  <c r="B104" i="4"/>
  <c r="A104" i="4"/>
  <c r="M103" i="4"/>
  <c r="F103" i="4"/>
  <c r="E103" i="4"/>
  <c r="D103" i="4"/>
  <c r="C103" i="4"/>
  <c r="G103" i="4" s="1"/>
  <c r="B103" i="4"/>
  <c r="A103" i="4"/>
  <c r="M102" i="4"/>
  <c r="F102" i="4"/>
  <c r="E102" i="4"/>
  <c r="D102" i="4"/>
  <c r="C102" i="4"/>
  <c r="G102" i="4" s="1"/>
  <c r="B102" i="4"/>
  <c r="A102" i="4"/>
  <c r="N101" i="4"/>
  <c r="M101" i="4"/>
  <c r="K101" i="4"/>
  <c r="F101" i="4"/>
  <c r="J101" i="4" s="1"/>
  <c r="E101" i="4"/>
  <c r="H101" i="4" s="1"/>
  <c r="D101" i="4"/>
  <c r="I101" i="4" s="1"/>
  <c r="C101" i="4"/>
  <c r="B101" i="4"/>
  <c r="A101" i="4"/>
  <c r="M100" i="4"/>
  <c r="F100" i="4"/>
  <c r="E100" i="4"/>
  <c r="D100" i="4"/>
  <c r="C100" i="4"/>
  <c r="G100" i="4" s="1"/>
  <c r="B100" i="4"/>
  <c r="A100" i="4"/>
  <c r="M99" i="4"/>
  <c r="F99" i="4"/>
  <c r="E99" i="4"/>
  <c r="D99" i="4"/>
  <c r="C99" i="4"/>
  <c r="G99" i="4" s="1"/>
  <c r="B99" i="4"/>
  <c r="A99" i="4"/>
  <c r="M98" i="4"/>
  <c r="F98" i="4"/>
  <c r="E98" i="4"/>
  <c r="D98" i="4"/>
  <c r="C98" i="4"/>
  <c r="G98" i="4" s="1"/>
  <c r="B98" i="4"/>
  <c r="A98" i="4"/>
  <c r="M97" i="4"/>
  <c r="F97" i="4"/>
  <c r="E97" i="4"/>
  <c r="D97" i="4"/>
  <c r="C97" i="4"/>
  <c r="G97" i="4" s="1"/>
  <c r="B97" i="4"/>
  <c r="A97" i="4"/>
  <c r="M96" i="4"/>
  <c r="F96" i="4"/>
  <c r="E96" i="4"/>
  <c r="D96" i="4"/>
  <c r="C96" i="4"/>
  <c r="G96" i="4" s="1"/>
  <c r="B96" i="4"/>
  <c r="A96" i="4"/>
  <c r="M95" i="4"/>
  <c r="F95" i="4"/>
  <c r="E95" i="4"/>
  <c r="D95" i="4"/>
  <c r="C95" i="4"/>
  <c r="G95" i="4" s="1"/>
  <c r="B95" i="4"/>
  <c r="A95" i="4"/>
  <c r="M94" i="4"/>
  <c r="F94" i="4"/>
  <c r="E94" i="4"/>
  <c r="D94" i="4"/>
  <c r="C94" i="4"/>
  <c r="G94" i="4" s="1"/>
  <c r="B94" i="4"/>
  <c r="A94" i="4"/>
  <c r="M93" i="4"/>
  <c r="F93" i="4"/>
  <c r="E93" i="4"/>
  <c r="D93" i="4"/>
  <c r="C93" i="4"/>
  <c r="G93" i="4" s="1"/>
  <c r="B93" i="4"/>
  <c r="A93" i="4"/>
  <c r="M92" i="4"/>
  <c r="F92" i="4"/>
  <c r="E92" i="4"/>
  <c r="D92" i="4"/>
  <c r="C92" i="4"/>
  <c r="G92" i="4" s="1"/>
  <c r="B92" i="4"/>
  <c r="A92" i="4"/>
  <c r="M91" i="4"/>
  <c r="F91" i="4"/>
  <c r="E91" i="4"/>
  <c r="D91" i="4"/>
  <c r="C91" i="4"/>
  <c r="G91" i="4" s="1"/>
  <c r="B91" i="4"/>
  <c r="A91" i="4"/>
  <c r="M90" i="4"/>
  <c r="F90" i="4"/>
  <c r="E90" i="4"/>
  <c r="D90" i="4"/>
  <c r="C90" i="4"/>
  <c r="G90" i="4" s="1"/>
  <c r="B90" i="4"/>
  <c r="A90" i="4"/>
  <c r="M89" i="4"/>
  <c r="F89" i="4"/>
  <c r="E89" i="4"/>
  <c r="D89" i="4"/>
  <c r="C89" i="4"/>
  <c r="G89" i="4" s="1"/>
  <c r="B89" i="4"/>
  <c r="A89" i="4"/>
  <c r="M88" i="4"/>
  <c r="F88" i="4"/>
  <c r="E88" i="4"/>
  <c r="D88" i="4"/>
  <c r="C88" i="4"/>
  <c r="G88" i="4" s="1"/>
  <c r="B88" i="4"/>
  <c r="A88" i="4"/>
  <c r="M87" i="4"/>
  <c r="F87" i="4"/>
  <c r="E87" i="4"/>
  <c r="D87" i="4"/>
  <c r="C87" i="4"/>
  <c r="G87" i="4" s="1"/>
  <c r="B87" i="4"/>
  <c r="A87" i="4"/>
  <c r="M86" i="4"/>
  <c r="F86" i="4"/>
  <c r="E86" i="4"/>
  <c r="D86" i="4"/>
  <c r="C86" i="4"/>
  <c r="G86" i="4" s="1"/>
  <c r="B86" i="4"/>
  <c r="A86" i="4"/>
  <c r="M85" i="4"/>
  <c r="F85" i="4"/>
  <c r="E85" i="4"/>
  <c r="D85" i="4"/>
  <c r="C85" i="4"/>
  <c r="G85" i="4" s="1"/>
  <c r="B85" i="4"/>
  <c r="A85" i="4"/>
  <c r="M84" i="4"/>
  <c r="F84" i="4"/>
  <c r="E84" i="4"/>
  <c r="D84" i="4"/>
  <c r="C84" i="4"/>
  <c r="G84" i="4" s="1"/>
  <c r="B84" i="4"/>
  <c r="A84" i="4"/>
  <c r="M83" i="4"/>
  <c r="F83" i="4"/>
  <c r="E83" i="4"/>
  <c r="D83" i="4"/>
  <c r="C83" i="4"/>
  <c r="G83" i="4" s="1"/>
  <c r="B83" i="4"/>
  <c r="A83" i="4"/>
  <c r="M82" i="4"/>
  <c r="F82" i="4"/>
  <c r="E82" i="4"/>
  <c r="D82" i="4"/>
  <c r="C82" i="4"/>
  <c r="G82" i="4" s="1"/>
  <c r="B82" i="4"/>
  <c r="A82" i="4"/>
  <c r="M81" i="4"/>
  <c r="F81" i="4"/>
  <c r="E81" i="4"/>
  <c r="D81" i="4"/>
  <c r="C81" i="4"/>
  <c r="G81" i="4" s="1"/>
  <c r="B81" i="4"/>
  <c r="A81" i="4"/>
  <c r="M80" i="4"/>
  <c r="F80" i="4"/>
  <c r="E80" i="4"/>
  <c r="D80" i="4"/>
  <c r="C80" i="4"/>
  <c r="G80" i="4" s="1"/>
  <c r="B80" i="4"/>
  <c r="A80" i="4"/>
  <c r="M79" i="4"/>
  <c r="F79" i="4"/>
  <c r="E79" i="4"/>
  <c r="D79" i="4"/>
  <c r="C79" i="4"/>
  <c r="G79" i="4" s="1"/>
  <c r="B79" i="4"/>
  <c r="A79" i="4"/>
  <c r="M78" i="4"/>
  <c r="F78" i="4"/>
  <c r="E78" i="4"/>
  <c r="D78" i="4"/>
  <c r="C78" i="4"/>
  <c r="G78" i="4" s="1"/>
  <c r="B78" i="4"/>
  <c r="A78" i="4"/>
  <c r="M77" i="4"/>
  <c r="F77" i="4"/>
  <c r="E77" i="4"/>
  <c r="D77" i="4"/>
  <c r="C77" i="4"/>
  <c r="G77" i="4" s="1"/>
  <c r="B77" i="4"/>
  <c r="A77" i="4"/>
  <c r="M76" i="4"/>
  <c r="F76" i="4"/>
  <c r="E76" i="4"/>
  <c r="D76" i="4"/>
  <c r="C76" i="4"/>
  <c r="G76" i="4" s="1"/>
  <c r="B76" i="4"/>
  <c r="A76" i="4"/>
  <c r="M75" i="4"/>
  <c r="F75" i="4"/>
  <c r="E75" i="4"/>
  <c r="D75" i="4"/>
  <c r="C75" i="4"/>
  <c r="G75" i="4" s="1"/>
  <c r="B75" i="4"/>
  <c r="A75" i="4"/>
  <c r="M74" i="4"/>
  <c r="F74" i="4"/>
  <c r="E74" i="4"/>
  <c r="D74" i="4"/>
  <c r="C74" i="4"/>
  <c r="G74" i="4" s="1"/>
  <c r="B74" i="4"/>
  <c r="A74" i="4"/>
  <c r="M73" i="4"/>
  <c r="F73" i="4"/>
  <c r="E73" i="4"/>
  <c r="D73" i="4"/>
  <c r="C73" i="4"/>
  <c r="G73" i="4" s="1"/>
  <c r="B73" i="4"/>
  <c r="A73" i="4"/>
  <c r="M72" i="4"/>
  <c r="F72" i="4"/>
  <c r="E72" i="4"/>
  <c r="D72" i="4"/>
  <c r="C72" i="4"/>
  <c r="G72" i="4" s="1"/>
  <c r="B72" i="4"/>
  <c r="A72" i="4"/>
  <c r="M71" i="4"/>
  <c r="F71" i="4"/>
  <c r="E71" i="4"/>
  <c r="D71" i="4"/>
  <c r="C71" i="4"/>
  <c r="G71" i="4" s="1"/>
  <c r="B71" i="4"/>
  <c r="A71" i="4"/>
  <c r="M70" i="4"/>
  <c r="F70" i="4"/>
  <c r="E70" i="4"/>
  <c r="D70" i="4"/>
  <c r="C70" i="4"/>
  <c r="G70" i="4" s="1"/>
  <c r="B70" i="4"/>
  <c r="A70" i="4"/>
  <c r="M69" i="4"/>
  <c r="F69" i="4"/>
  <c r="E69" i="4"/>
  <c r="D69" i="4"/>
  <c r="C69" i="4"/>
  <c r="G69" i="4" s="1"/>
  <c r="B69" i="4"/>
  <c r="A69" i="4"/>
  <c r="M68" i="4"/>
  <c r="F68" i="4"/>
  <c r="E68" i="4"/>
  <c r="D68" i="4"/>
  <c r="C68" i="4"/>
  <c r="G68" i="4" s="1"/>
  <c r="B68" i="4"/>
  <c r="A68" i="4"/>
  <c r="M67" i="4"/>
  <c r="F67" i="4"/>
  <c r="E67" i="4"/>
  <c r="D67" i="4"/>
  <c r="C67" i="4"/>
  <c r="G67" i="4" s="1"/>
  <c r="B67" i="4"/>
  <c r="A67" i="4"/>
  <c r="M66" i="4"/>
  <c r="F66" i="4"/>
  <c r="E66" i="4"/>
  <c r="D66" i="4"/>
  <c r="C66" i="4"/>
  <c r="G66" i="4" s="1"/>
  <c r="B66" i="4"/>
  <c r="A66" i="4"/>
  <c r="M65" i="4"/>
  <c r="F65" i="4"/>
  <c r="E65" i="4"/>
  <c r="D65" i="4"/>
  <c r="C65" i="4"/>
  <c r="G65" i="4" s="1"/>
  <c r="B65" i="4"/>
  <c r="A65" i="4"/>
  <c r="M64" i="4"/>
  <c r="F64" i="4"/>
  <c r="E64" i="4"/>
  <c r="D64" i="4"/>
  <c r="C64" i="4"/>
  <c r="G64" i="4" s="1"/>
  <c r="B64" i="4"/>
  <c r="A64" i="4"/>
  <c r="M63" i="4"/>
  <c r="F63" i="4"/>
  <c r="E63" i="4"/>
  <c r="D63" i="4"/>
  <c r="C63" i="4"/>
  <c r="G63" i="4" s="1"/>
  <c r="B63" i="4"/>
  <c r="A63" i="4"/>
  <c r="M62" i="4"/>
  <c r="F62" i="4"/>
  <c r="E62" i="4"/>
  <c r="D62" i="4"/>
  <c r="C62" i="4"/>
  <c r="G62" i="4" s="1"/>
  <c r="B62" i="4"/>
  <c r="A62" i="4"/>
  <c r="M61" i="4"/>
  <c r="F61" i="4"/>
  <c r="E61" i="4"/>
  <c r="D61" i="4"/>
  <c r="C61" i="4"/>
  <c r="G61" i="4" s="1"/>
  <c r="B61" i="4"/>
  <c r="A61" i="4"/>
  <c r="M60" i="4"/>
  <c r="F60" i="4"/>
  <c r="E60" i="4"/>
  <c r="D60" i="4"/>
  <c r="C60" i="4"/>
  <c r="G60" i="4" s="1"/>
  <c r="B60" i="4"/>
  <c r="A60" i="4"/>
  <c r="M59" i="4"/>
  <c r="F59" i="4"/>
  <c r="E59" i="4"/>
  <c r="D59" i="4"/>
  <c r="C59" i="4"/>
  <c r="G59" i="4" s="1"/>
  <c r="B59" i="4"/>
  <c r="A59" i="4"/>
  <c r="M58" i="4"/>
  <c r="F58" i="4"/>
  <c r="E58" i="4"/>
  <c r="D58" i="4"/>
  <c r="C58" i="4"/>
  <c r="G58" i="4" s="1"/>
  <c r="B58" i="4"/>
  <c r="A58" i="4"/>
  <c r="M57" i="4"/>
  <c r="F57" i="4"/>
  <c r="E57" i="4"/>
  <c r="D57" i="4"/>
  <c r="C57" i="4"/>
  <c r="G57" i="4" s="1"/>
  <c r="B57" i="4"/>
  <c r="A57" i="4"/>
  <c r="M56" i="4"/>
  <c r="F56" i="4"/>
  <c r="E56" i="4"/>
  <c r="D56" i="4"/>
  <c r="C56" i="4"/>
  <c r="G56" i="4" s="1"/>
  <c r="B56" i="4"/>
  <c r="A56" i="4"/>
  <c r="M55" i="4"/>
  <c r="F55" i="4"/>
  <c r="E55" i="4"/>
  <c r="D55" i="4"/>
  <c r="C55" i="4"/>
  <c r="G55" i="4" s="1"/>
  <c r="B55" i="4"/>
  <c r="A55" i="4"/>
  <c r="M54" i="4"/>
  <c r="F54" i="4"/>
  <c r="E54" i="4"/>
  <c r="D54" i="4"/>
  <c r="C54" i="4"/>
  <c r="G54" i="4" s="1"/>
  <c r="B54" i="4"/>
  <c r="A54" i="4"/>
  <c r="M53" i="4"/>
  <c r="F53" i="4"/>
  <c r="E53" i="4"/>
  <c r="D53" i="4"/>
  <c r="C53" i="4"/>
  <c r="G53" i="4" s="1"/>
  <c r="B53" i="4"/>
  <c r="A53" i="4"/>
  <c r="M52" i="4"/>
  <c r="F52" i="4"/>
  <c r="E52" i="4"/>
  <c r="D52" i="4"/>
  <c r="C52" i="4"/>
  <c r="G52" i="4" s="1"/>
  <c r="B52" i="4"/>
  <c r="A52" i="4"/>
  <c r="M51" i="4"/>
  <c r="F51" i="4"/>
  <c r="E51" i="4"/>
  <c r="D51" i="4"/>
  <c r="C51" i="4"/>
  <c r="G51" i="4" s="1"/>
  <c r="B51" i="4"/>
  <c r="A51" i="4"/>
  <c r="M50" i="4"/>
  <c r="F50" i="4"/>
  <c r="E50" i="4"/>
  <c r="D50" i="4"/>
  <c r="C50" i="4"/>
  <c r="G50" i="4" s="1"/>
  <c r="B50" i="4"/>
  <c r="A50" i="4"/>
  <c r="M49" i="4"/>
  <c r="F49" i="4"/>
  <c r="E49" i="4"/>
  <c r="D49" i="4"/>
  <c r="C49" i="4"/>
  <c r="G49" i="4" s="1"/>
  <c r="B49" i="4"/>
  <c r="A49" i="4"/>
  <c r="M48" i="4"/>
  <c r="F48" i="4"/>
  <c r="E48" i="4"/>
  <c r="D48" i="4"/>
  <c r="C48" i="4"/>
  <c r="G48" i="4" s="1"/>
  <c r="B48" i="4"/>
  <c r="A48" i="4"/>
  <c r="M47" i="4"/>
  <c r="F47" i="4"/>
  <c r="E47" i="4"/>
  <c r="D47" i="4"/>
  <c r="C47" i="4"/>
  <c r="G47" i="4" s="1"/>
  <c r="B47" i="4"/>
  <c r="A47" i="4"/>
  <c r="M46" i="4"/>
  <c r="F46" i="4"/>
  <c r="E46" i="4"/>
  <c r="D46" i="4"/>
  <c r="C46" i="4"/>
  <c r="G46" i="4" s="1"/>
  <c r="B46" i="4"/>
  <c r="A46" i="4"/>
  <c r="M45" i="4"/>
  <c r="F45" i="4"/>
  <c r="E45" i="4"/>
  <c r="D45" i="4"/>
  <c r="C45" i="4"/>
  <c r="G45" i="4" s="1"/>
  <c r="B45" i="4"/>
  <c r="A45" i="4"/>
  <c r="M44" i="4"/>
  <c r="F44" i="4"/>
  <c r="E44" i="4"/>
  <c r="D44" i="4"/>
  <c r="C44" i="4"/>
  <c r="G44" i="4" s="1"/>
  <c r="B44" i="4"/>
  <c r="A44" i="4"/>
  <c r="M43" i="4"/>
  <c r="F43" i="4"/>
  <c r="E43" i="4"/>
  <c r="D43" i="4"/>
  <c r="C43" i="4"/>
  <c r="G43" i="4" s="1"/>
  <c r="B43" i="4"/>
  <c r="A43" i="4"/>
  <c r="M42" i="4"/>
  <c r="F42" i="4"/>
  <c r="E42" i="4"/>
  <c r="D42" i="4"/>
  <c r="C42" i="4"/>
  <c r="G42" i="4" s="1"/>
  <c r="B42" i="4"/>
  <c r="A42" i="4"/>
  <c r="M41" i="4"/>
  <c r="F41" i="4"/>
  <c r="E41" i="4"/>
  <c r="D41" i="4"/>
  <c r="C41" i="4"/>
  <c r="G41" i="4" s="1"/>
  <c r="B41" i="4"/>
  <c r="A41" i="4"/>
  <c r="M40" i="4"/>
  <c r="F40" i="4"/>
  <c r="E40" i="4"/>
  <c r="D40" i="4"/>
  <c r="C40" i="4"/>
  <c r="G40" i="4" s="1"/>
  <c r="B40" i="4"/>
  <c r="A40" i="4"/>
  <c r="M39" i="4"/>
  <c r="F39" i="4"/>
  <c r="E39" i="4"/>
  <c r="D39" i="4"/>
  <c r="C39" i="4"/>
  <c r="G39" i="4" s="1"/>
  <c r="B39" i="4"/>
  <c r="A39" i="4"/>
  <c r="M38" i="4"/>
  <c r="F38" i="4"/>
  <c r="E38" i="4"/>
  <c r="D38" i="4"/>
  <c r="C38" i="4"/>
  <c r="G38" i="4" s="1"/>
  <c r="B38" i="4"/>
  <c r="A38" i="4"/>
  <c r="M37" i="4"/>
  <c r="F37" i="4"/>
  <c r="E37" i="4"/>
  <c r="D37" i="4"/>
  <c r="C37" i="4"/>
  <c r="G37" i="4" s="1"/>
  <c r="B37" i="4"/>
  <c r="A37" i="4"/>
  <c r="M36" i="4"/>
  <c r="F36" i="4"/>
  <c r="E36" i="4"/>
  <c r="D36" i="4"/>
  <c r="C36" i="4"/>
  <c r="G36" i="4" s="1"/>
  <c r="B36" i="4"/>
  <c r="A36" i="4"/>
  <c r="M35" i="4"/>
  <c r="F35" i="4"/>
  <c r="E35" i="4"/>
  <c r="D35" i="4"/>
  <c r="C35" i="4"/>
  <c r="G35" i="4" s="1"/>
  <c r="B35" i="4"/>
  <c r="A35" i="4"/>
  <c r="M34" i="4"/>
  <c r="F34" i="4"/>
  <c r="E34" i="4"/>
  <c r="D34" i="4"/>
  <c r="C34" i="4"/>
  <c r="G34" i="4" s="1"/>
  <c r="B34" i="4"/>
  <c r="A34" i="4"/>
  <c r="M33" i="4"/>
  <c r="F33" i="4"/>
  <c r="E33" i="4"/>
  <c r="D33" i="4"/>
  <c r="C33" i="4"/>
  <c r="G33" i="4" s="1"/>
  <c r="B33" i="4"/>
  <c r="A33" i="4"/>
  <c r="M32" i="4"/>
  <c r="F32" i="4"/>
  <c r="E32" i="4"/>
  <c r="D32" i="4"/>
  <c r="C32" i="4"/>
  <c r="G32" i="4" s="1"/>
  <c r="B32" i="4"/>
  <c r="A32" i="4"/>
  <c r="M31" i="4"/>
  <c r="F31" i="4"/>
  <c r="E31" i="4"/>
  <c r="D31" i="4"/>
  <c r="C31" i="4"/>
  <c r="G31" i="4" s="1"/>
  <c r="B31" i="4"/>
  <c r="A31" i="4"/>
  <c r="M30" i="4"/>
  <c r="F30" i="4"/>
  <c r="E30" i="4"/>
  <c r="D30" i="4"/>
  <c r="C30" i="4"/>
  <c r="G30" i="4" s="1"/>
  <c r="B30" i="4"/>
  <c r="A30" i="4"/>
  <c r="M29" i="4"/>
  <c r="F29" i="4"/>
  <c r="E29" i="4"/>
  <c r="D29" i="4"/>
  <c r="C29" i="4"/>
  <c r="G29" i="4" s="1"/>
  <c r="B29" i="4"/>
  <c r="A29" i="4"/>
  <c r="M28" i="4"/>
  <c r="F28" i="4"/>
  <c r="E28" i="4"/>
  <c r="D28" i="4"/>
  <c r="C28" i="4"/>
  <c r="G28" i="4" s="1"/>
  <c r="B28" i="4"/>
  <c r="A28" i="4"/>
  <c r="M27" i="4"/>
  <c r="F27" i="4"/>
  <c r="E27" i="4"/>
  <c r="D27" i="4"/>
  <c r="C27" i="4"/>
  <c r="G27" i="4" s="1"/>
  <c r="B27" i="4"/>
  <c r="A27" i="4"/>
  <c r="M26" i="4"/>
  <c r="F26" i="4"/>
  <c r="E26" i="4"/>
  <c r="D26" i="4"/>
  <c r="C26" i="4"/>
  <c r="G26" i="4" s="1"/>
  <c r="B26" i="4"/>
  <c r="A26" i="4"/>
  <c r="M25" i="4"/>
  <c r="F25" i="4"/>
  <c r="E25" i="4"/>
  <c r="D25" i="4"/>
  <c r="C25" i="4"/>
  <c r="G25" i="4" s="1"/>
  <c r="B25" i="4"/>
  <c r="A25" i="4"/>
  <c r="M24" i="4"/>
  <c r="F24" i="4"/>
  <c r="E24" i="4"/>
  <c r="D24" i="4"/>
  <c r="C24" i="4"/>
  <c r="G24" i="4" s="1"/>
  <c r="B24" i="4"/>
  <c r="A24" i="4"/>
  <c r="M23" i="4"/>
  <c r="F23" i="4"/>
  <c r="E23" i="4"/>
  <c r="D23" i="4"/>
  <c r="C23" i="4"/>
  <c r="G23" i="4" s="1"/>
  <c r="B23" i="4"/>
  <c r="A23" i="4"/>
  <c r="M22" i="4"/>
  <c r="F22" i="4"/>
  <c r="E22" i="4"/>
  <c r="D22" i="4"/>
  <c r="C22" i="4"/>
  <c r="G22" i="4" s="1"/>
  <c r="B22" i="4"/>
  <c r="A22" i="4"/>
  <c r="M21" i="4"/>
  <c r="F21" i="4"/>
  <c r="E21" i="4"/>
  <c r="D21" i="4"/>
  <c r="C21" i="4"/>
  <c r="G21" i="4" s="1"/>
  <c r="B21" i="4"/>
  <c r="A21" i="4"/>
  <c r="M20" i="4"/>
  <c r="F20" i="4"/>
  <c r="E20" i="4"/>
  <c r="D20" i="4"/>
  <c r="C20" i="4"/>
  <c r="G20" i="4" s="1"/>
  <c r="B20" i="4"/>
  <c r="A20" i="4"/>
  <c r="M19" i="4"/>
  <c r="F19" i="4"/>
  <c r="E19" i="4"/>
  <c r="D19" i="4"/>
  <c r="C19" i="4"/>
  <c r="G19" i="4" s="1"/>
  <c r="B19" i="4"/>
  <c r="A19" i="4"/>
  <c r="M18" i="4"/>
  <c r="F18" i="4"/>
  <c r="E18" i="4"/>
  <c r="D18" i="4"/>
  <c r="C18" i="4"/>
  <c r="G18" i="4" s="1"/>
  <c r="B18" i="4"/>
  <c r="A18" i="4"/>
  <c r="M17" i="4"/>
  <c r="F17" i="4"/>
  <c r="E17" i="4"/>
  <c r="D17" i="4"/>
  <c r="C17" i="4"/>
  <c r="G17" i="4" s="1"/>
  <c r="B17" i="4"/>
  <c r="A17" i="4"/>
  <c r="M16" i="4"/>
  <c r="F16" i="4"/>
  <c r="E16" i="4"/>
  <c r="D16" i="4"/>
  <c r="C16" i="4"/>
  <c r="G16" i="4" s="1"/>
  <c r="B16" i="4"/>
  <c r="A16" i="4"/>
  <c r="M15" i="4"/>
  <c r="F15" i="4"/>
  <c r="E15" i="4"/>
  <c r="D15" i="4"/>
  <c r="C15" i="4"/>
  <c r="G15" i="4" s="1"/>
  <c r="B15" i="4"/>
  <c r="A15" i="4"/>
  <c r="M14" i="4"/>
  <c r="F14" i="4"/>
  <c r="E14" i="4"/>
  <c r="D14" i="4"/>
  <c r="C14" i="4"/>
  <c r="G14" i="4" s="1"/>
  <c r="B14" i="4"/>
  <c r="A14" i="4"/>
  <c r="M13" i="4"/>
  <c r="F13" i="4"/>
  <c r="E13" i="4"/>
  <c r="D13" i="4"/>
  <c r="C13" i="4"/>
  <c r="G13" i="4" s="1"/>
  <c r="B13" i="4"/>
  <c r="A13" i="4"/>
  <c r="M12" i="4"/>
  <c r="F12" i="4"/>
  <c r="E12" i="4"/>
  <c r="D12" i="4"/>
  <c r="C12" i="4"/>
  <c r="G12" i="4" s="1"/>
  <c r="B12" i="4"/>
  <c r="A12" i="4"/>
  <c r="M11" i="4"/>
  <c r="F11" i="4"/>
  <c r="E11" i="4"/>
  <c r="D11" i="4"/>
  <c r="C11" i="4"/>
  <c r="G11" i="4" s="1"/>
  <c r="B11" i="4"/>
  <c r="A11" i="4"/>
  <c r="M10" i="4"/>
  <c r="F10" i="4"/>
  <c r="E10" i="4"/>
  <c r="D10" i="4"/>
  <c r="C10" i="4"/>
  <c r="G10" i="4" s="1"/>
  <c r="B10" i="4"/>
  <c r="A10" i="4"/>
  <c r="M9" i="4"/>
  <c r="F9" i="4"/>
  <c r="E9" i="4"/>
  <c r="D9" i="4"/>
  <c r="C9" i="4"/>
  <c r="G9" i="4" s="1"/>
  <c r="B9" i="4"/>
  <c r="A9" i="4"/>
  <c r="M8" i="4"/>
  <c r="F8" i="4"/>
  <c r="E8" i="4"/>
  <c r="D8" i="4"/>
  <c r="C8" i="4"/>
  <c r="G8" i="4" s="1"/>
  <c r="B8" i="4"/>
  <c r="A8" i="4"/>
  <c r="M7" i="4"/>
  <c r="F7" i="4"/>
  <c r="E7" i="4"/>
  <c r="D7" i="4"/>
  <c r="C7" i="4"/>
  <c r="G7" i="4" s="1"/>
  <c r="B7" i="4"/>
  <c r="A7" i="4"/>
  <c r="M6" i="4"/>
  <c r="F6" i="4"/>
  <c r="E6" i="4"/>
  <c r="D6" i="4"/>
  <c r="C6" i="4"/>
  <c r="G6" i="4" s="1"/>
  <c r="B6" i="4"/>
  <c r="A6" i="4"/>
  <c r="M5" i="4"/>
  <c r="F5" i="4"/>
  <c r="E5" i="4"/>
  <c r="D5" i="4"/>
  <c r="C5" i="4"/>
  <c r="G5" i="4" s="1"/>
  <c r="B5" i="4"/>
  <c r="A5" i="4"/>
  <c r="M4" i="4"/>
  <c r="F4" i="4"/>
  <c r="E4" i="4"/>
  <c r="D4" i="4"/>
  <c r="C4" i="4"/>
  <c r="G4" i="4" s="1"/>
  <c r="B4" i="4"/>
  <c r="A4" i="4"/>
  <c r="M3" i="4"/>
  <c r="F3" i="4"/>
  <c r="E3" i="4"/>
  <c r="D3" i="4"/>
  <c r="C3" i="4"/>
  <c r="G3" i="4" s="1"/>
  <c r="B3" i="4"/>
  <c r="A3" i="4"/>
  <c r="M2" i="4"/>
  <c r="F2" i="4"/>
  <c r="E2" i="4"/>
  <c r="D2" i="4"/>
  <c r="C2" i="4"/>
  <c r="G2" i="4" s="1"/>
  <c r="B2" i="4"/>
  <c r="A2" i="4"/>
  <c r="C104" i="3"/>
  <c r="D104" i="3" s="1"/>
  <c r="E104" i="3" s="1"/>
  <c r="C103" i="3"/>
  <c r="D103" i="3" s="1"/>
  <c r="E103" i="3" s="1"/>
  <c r="C102" i="3"/>
  <c r="D102" i="3" s="1"/>
  <c r="E102" i="3" s="1"/>
  <c r="C101" i="3"/>
  <c r="D101" i="3" s="1"/>
  <c r="E101" i="3" s="1"/>
  <c r="C100" i="3"/>
  <c r="D100" i="3" s="1"/>
  <c r="E100" i="3" s="1"/>
  <c r="C99" i="3"/>
  <c r="D99" i="3" s="1"/>
  <c r="E99" i="3" s="1"/>
  <c r="C98" i="3"/>
  <c r="D98" i="3" s="1"/>
  <c r="E98" i="3" s="1"/>
  <c r="C97" i="3"/>
  <c r="D97" i="3" s="1"/>
  <c r="E97" i="3" s="1"/>
  <c r="C96" i="3"/>
  <c r="D96" i="3" s="1"/>
  <c r="E96" i="3" s="1"/>
  <c r="C95" i="3"/>
  <c r="D95" i="3" s="1"/>
  <c r="E95" i="3" s="1"/>
  <c r="C94" i="3"/>
  <c r="D94" i="3" s="1"/>
  <c r="E94" i="3" s="1"/>
  <c r="C93" i="3"/>
  <c r="D93" i="3" s="1"/>
  <c r="E93" i="3" s="1"/>
  <c r="C92" i="3"/>
  <c r="D92" i="3" s="1"/>
  <c r="E92" i="3" s="1"/>
  <c r="C91" i="3"/>
  <c r="D91" i="3" s="1"/>
  <c r="E91" i="3" s="1"/>
  <c r="C90" i="3"/>
  <c r="D90" i="3" s="1"/>
  <c r="E90" i="3" s="1"/>
  <c r="C89" i="3"/>
  <c r="D89" i="3" s="1"/>
  <c r="E89" i="3" s="1"/>
  <c r="C88" i="3"/>
  <c r="D88" i="3" s="1"/>
  <c r="E88" i="3" s="1"/>
  <c r="C87" i="3"/>
  <c r="D87" i="3" s="1"/>
  <c r="E87" i="3" s="1"/>
  <c r="C86" i="3"/>
  <c r="D86" i="3" s="1"/>
  <c r="E86" i="3" s="1"/>
  <c r="C85" i="3"/>
  <c r="D85" i="3" s="1"/>
  <c r="E85" i="3" s="1"/>
  <c r="C84" i="3"/>
  <c r="D84" i="3" s="1"/>
  <c r="E84" i="3" s="1"/>
  <c r="C83" i="3"/>
  <c r="D83" i="3" s="1"/>
  <c r="E83" i="3" s="1"/>
  <c r="C82" i="3"/>
  <c r="D82" i="3" s="1"/>
  <c r="E82" i="3" s="1"/>
  <c r="C81" i="3"/>
  <c r="D81" i="3" s="1"/>
  <c r="E81" i="3" s="1"/>
  <c r="C80" i="3"/>
  <c r="D80" i="3" s="1"/>
  <c r="E80" i="3" s="1"/>
  <c r="C79" i="3"/>
  <c r="D79" i="3" s="1"/>
  <c r="E79" i="3" s="1"/>
  <c r="C78" i="3"/>
  <c r="D78" i="3" s="1"/>
  <c r="E78" i="3" s="1"/>
  <c r="C77" i="3"/>
  <c r="D77" i="3" s="1"/>
  <c r="E77" i="3" s="1"/>
  <c r="C76" i="3"/>
  <c r="D76" i="3" s="1"/>
  <c r="E76" i="3" s="1"/>
  <c r="C75" i="3"/>
  <c r="D75" i="3" s="1"/>
  <c r="E75" i="3" s="1"/>
  <c r="C74" i="3"/>
  <c r="D74" i="3" s="1"/>
  <c r="E74" i="3" s="1"/>
  <c r="C73" i="3"/>
  <c r="D73" i="3" s="1"/>
  <c r="E73" i="3" s="1"/>
  <c r="C72" i="3"/>
  <c r="D72" i="3" s="1"/>
  <c r="E72" i="3" s="1"/>
  <c r="C71" i="3"/>
  <c r="D71" i="3" s="1"/>
  <c r="E71" i="3" s="1"/>
  <c r="C70" i="3"/>
  <c r="D70" i="3" s="1"/>
  <c r="E70" i="3" s="1"/>
  <c r="C69" i="3"/>
  <c r="D69" i="3" s="1"/>
  <c r="E69" i="3" s="1"/>
  <c r="C68" i="3"/>
  <c r="D68" i="3" s="1"/>
  <c r="E68" i="3" s="1"/>
  <c r="C67" i="3"/>
  <c r="D67" i="3" s="1"/>
  <c r="E67" i="3" s="1"/>
  <c r="C66" i="3"/>
  <c r="D66" i="3" s="1"/>
  <c r="E66" i="3" s="1"/>
  <c r="C65" i="3"/>
  <c r="D65" i="3" s="1"/>
  <c r="E65" i="3" s="1"/>
  <c r="C64" i="3"/>
  <c r="D64" i="3" s="1"/>
  <c r="E64" i="3" s="1"/>
  <c r="C63" i="3"/>
  <c r="D63" i="3" s="1"/>
  <c r="E63" i="3" s="1"/>
  <c r="C62" i="3"/>
  <c r="D62" i="3" s="1"/>
  <c r="E62" i="3" s="1"/>
  <c r="C61" i="3"/>
  <c r="D61" i="3" s="1"/>
  <c r="E61" i="3" s="1"/>
  <c r="L488" i="4" s="1"/>
  <c r="C60" i="3"/>
  <c r="D60" i="3" s="1"/>
  <c r="E60" i="3" s="1"/>
  <c r="C59" i="3"/>
  <c r="D59" i="3" s="1"/>
  <c r="E59" i="3" s="1"/>
  <c r="C58" i="3"/>
  <c r="D58" i="3" s="1"/>
  <c r="E58" i="3" s="1"/>
  <c r="C57" i="3"/>
  <c r="D57" i="3" s="1"/>
  <c r="C56" i="3"/>
  <c r="D56" i="3" s="1"/>
  <c r="C55" i="3"/>
  <c r="D55" i="3" s="1"/>
  <c r="C54" i="3"/>
  <c r="D54" i="3" s="1"/>
  <c r="C53" i="3"/>
  <c r="D53" i="3" s="1"/>
  <c r="C52" i="3"/>
  <c r="D52" i="3" s="1"/>
  <c r="C51" i="3"/>
  <c r="D51" i="3" s="1"/>
  <c r="C50" i="3"/>
  <c r="D50" i="3" s="1"/>
  <c r="C49" i="3"/>
  <c r="D49" i="3" s="1"/>
  <c r="C48" i="3"/>
  <c r="D48" i="3" s="1"/>
  <c r="C47" i="3"/>
  <c r="D47" i="3" s="1"/>
  <c r="C46" i="3"/>
  <c r="D46" i="3" s="1"/>
  <c r="C45" i="3"/>
  <c r="D45" i="3" s="1"/>
  <c r="C44" i="3"/>
  <c r="D44" i="3" s="1"/>
  <c r="C43" i="3"/>
  <c r="D43" i="3" s="1"/>
  <c r="C42" i="3"/>
  <c r="D42" i="3" s="1"/>
  <c r="C41" i="3"/>
  <c r="D41" i="3" s="1"/>
  <c r="C40" i="3"/>
  <c r="D40" i="3" s="1"/>
  <c r="C39" i="3"/>
  <c r="D39" i="3" s="1"/>
  <c r="C38" i="3"/>
  <c r="D38" i="3" s="1"/>
  <c r="C37" i="3"/>
  <c r="D37" i="3" s="1"/>
  <c r="C36" i="3"/>
  <c r="D36" i="3" s="1"/>
  <c r="C35" i="3"/>
  <c r="D35" i="3" s="1"/>
  <c r="C34" i="3"/>
  <c r="D34" i="3" s="1"/>
  <c r="C33" i="3"/>
  <c r="D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1" i="3"/>
  <c r="D21" i="3" s="1"/>
  <c r="C20" i="3"/>
  <c r="D20" i="3" s="1"/>
  <c r="C19" i="3"/>
  <c r="D19" i="3" s="1"/>
  <c r="C18" i="3"/>
  <c r="D18" i="3" s="1"/>
  <c r="C17" i="3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11" i="3"/>
  <c r="D11" i="3" s="1"/>
  <c r="C10" i="3"/>
  <c r="D10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  <c r="C3" i="3"/>
  <c r="D3" i="3" s="1"/>
  <c r="C2" i="3"/>
  <c r="D2" i="3" s="1"/>
  <c r="N1001" i="4" l="1"/>
  <c r="I1001" i="4"/>
  <c r="J1001" i="4" s="1"/>
  <c r="H1001" i="4"/>
  <c r="N1000" i="4"/>
  <c r="H1000" i="4"/>
  <c r="I1000" i="4"/>
  <c r="J1000" i="4" s="1"/>
  <c r="I999" i="4"/>
  <c r="H999" i="4"/>
  <c r="J999" i="4" s="1"/>
  <c r="N999" i="4"/>
  <c r="N998" i="4"/>
  <c r="I998" i="4"/>
  <c r="H998" i="4"/>
  <c r="J998" i="4" s="1"/>
  <c r="I997" i="4"/>
  <c r="H997" i="4"/>
  <c r="N997" i="4"/>
  <c r="J997" i="4"/>
  <c r="I996" i="4"/>
  <c r="H996" i="4"/>
  <c r="J996" i="4"/>
  <c r="N996" i="4"/>
  <c r="N995" i="4"/>
  <c r="I995" i="4"/>
  <c r="H995" i="4"/>
  <c r="J995" i="4" s="1"/>
  <c r="N994" i="4"/>
  <c r="L994" i="4"/>
  <c r="K994" i="4"/>
  <c r="J994" i="4"/>
  <c r="O994" i="4" s="1"/>
  <c r="I994" i="4"/>
  <c r="H994" i="4"/>
  <c r="H993" i="4"/>
  <c r="I993" i="4"/>
  <c r="J993" i="4"/>
  <c r="N993" i="4"/>
  <c r="N992" i="4"/>
  <c r="L992" i="4"/>
  <c r="K992" i="4"/>
  <c r="J992" i="4"/>
  <c r="O992" i="4" s="1"/>
  <c r="I992" i="4"/>
  <c r="H992" i="4"/>
  <c r="N991" i="4"/>
  <c r="I991" i="4"/>
  <c r="H991" i="4"/>
  <c r="J991" i="4" s="1"/>
  <c r="N990" i="4"/>
  <c r="I990" i="4"/>
  <c r="H990" i="4"/>
  <c r="J990" i="4" s="1"/>
  <c r="I989" i="4"/>
  <c r="H989" i="4"/>
  <c r="J989" i="4" s="1"/>
  <c r="N989" i="4"/>
  <c r="I988" i="4"/>
  <c r="H988" i="4"/>
  <c r="J988" i="4" s="1"/>
  <c r="N988" i="4"/>
  <c r="N987" i="4"/>
  <c r="I987" i="4"/>
  <c r="H987" i="4"/>
  <c r="J987" i="4" s="1"/>
  <c r="N986" i="4"/>
  <c r="I986" i="4"/>
  <c r="H986" i="4"/>
  <c r="J986" i="4" s="1"/>
  <c r="J985" i="4"/>
  <c r="I985" i="4"/>
  <c r="K985" i="4"/>
  <c r="H985" i="4"/>
  <c r="N985" i="4"/>
  <c r="I984" i="4"/>
  <c r="J984" i="4" s="1"/>
  <c r="H984" i="4"/>
  <c r="N984" i="4"/>
  <c r="I983" i="4"/>
  <c r="J983" i="4" s="1"/>
  <c r="H983" i="4"/>
  <c r="N983" i="4"/>
  <c r="N982" i="4"/>
  <c r="L982" i="4"/>
  <c r="K982" i="4"/>
  <c r="J982" i="4"/>
  <c r="O982" i="4" s="1"/>
  <c r="I982" i="4"/>
  <c r="H982" i="4"/>
  <c r="I981" i="4"/>
  <c r="H981" i="4"/>
  <c r="J981" i="4" s="1"/>
  <c r="N981" i="4"/>
  <c r="N980" i="4"/>
  <c r="I980" i="4"/>
  <c r="J980" i="4" s="1"/>
  <c r="H980" i="4"/>
  <c r="J979" i="4"/>
  <c r="I979" i="4"/>
  <c r="H979" i="4"/>
  <c r="K979" i="4"/>
  <c r="L979" i="4"/>
  <c r="N979" i="4"/>
  <c r="N978" i="4"/>
  <c r="L978" i="4"/>
  <c r="K978" i="4"/>
  <c r="J978" i="4"/>
  <c r="O978" i="4" s="1"/>
  <c r="I978" i="4"/>
  <c r="H978" i="4"/>
  <c r="I977" i="4"/>
  <c r="J977" i="4" s="1"/>
  <c r="H977" i="4"/>
  <c r="N977" i="4"/>
  <c r="N976" i="4"/>
  <c r="L976" i="4"/>
  <c r="K976" i="4"/>
  <c r="J976" i="4"/>
  <c r="O976" i="4" s="1"/>
  <c r="I976" i="4"/>
  <c r="H976" i="4"/>
  <c r="J975" i="4"/>
  <c r="I975" i="4"/>
  <c r="H975" i="4"/>
  <c r="K975" i="4"/>
  <c r="L975" i="4"/>
  <c r="N975" i="4"/>
  <c r="N974" i="4"/>
  <c r="L974" i="4"/>
  <c r="K974" i="4"/>
  <c r="J974" i="4"/>
  <c r="O974" i="4" s="1"/>
  <c r="I974" i="4"/>
  <c r="H974" i="4"/>
  <c r="I973" i="4"/>
  <c r="H973" i="4"/>
  <c r="J973" i="4" s="1"/>
  <c r="N973" i="4"/>
  <c r="N972" i="4"/>
  <c r="I972" i="4"/>
  <c r="H972" i="4"/>
  <c r="J972" i="4" s="1"/>
  <c r="I971" i="4"/>
  <c r="J971" i="4" s="1"/>
  <c r="H971" i="4"/>
  <c r="N971" i="4"/>
  <c r="N970" i="4"/>
  <c r="L970" i="4"/>
  <c r="K970" i="4"/>
  <c r="J970" i="4"/>
  <c r="O970" i="4" s="1"/>
  <c r="I970" i="4"/>
  <c r="H970" i="4"/>
  <c r="K969" i="4"/>
  <c r="N969" i="4"/>
  <c r="H969" i="4"/>
  <c r="J969" i="4"/>
  <c r="I969" i="4"/>
  <c r="L969" i="4"/>
  <c r="H968" i="4"/>
  <c r="N968" i="4"/>
  <c r="I968" i="4"/>
  <c r="J968" i="4" s="1"/>
  <c r="N967" i="4"/>
  <c r="K967" i="4"/>
  <c r="J967" i="4"/>
  <c r="I967" i="4"/>
  <c r="H967" i="4"/>
  <c r="N966" i="4"/>
  <c r="I966" i="4"/>
  <c r="H966" i="4"/>
  <c r="J966" i="4" s="1"/>
  <c r="H965" i="4"/>
  <c r="I965" i="4"/>
  <c r="J965" i="4"/>
  <c r="N965" i="4"/>
  <c r="N964" i="4"/>
  <c r="L964" i="4"/>
  <c r="K964" i="4"/>
  <c r="J964" i="4"/>
  <c r="O964" i="4" s="1"/>
  <c r="I964" i="4"/>
  <c r="H964" i="4"/>
  <c r="N963" i="4"/>
  <c r="I963" i="4"/>
  <c r="H963" i="4"/>
  <c r="J963" i="4" s="1"/>
  <c r="N962" i="4"/>
  <c r="L962" i="4"/>
  <c r="K962" i="4"/>
  <c r="J962" i="4"/>
  <c r="O962" i="4" s="1"/>
  <c r="I962" i="4"/>
  <c r="H962" i="4"/>
  <c r="J961" i="4"/>
  <c r="I961" i="4"/>
  <c r="H961" i="4"/>
  <c r="K961" i="4"/>
  <c r="N961" i="4"/>
  <c r="N960" i="4"/>
  <c r="I960" i="4"/>
  <c r="H960" i="4"/>
  <c r="J960" i="4" s="1"/>
  <c r="I959" i="4"/>
  <c r="H959" i="4"/>
  <c r="J959" i="4" s="1"/>
  <c r="O959" i="4" s="1"/>
  <c r="K959" i="4"/>
  <c r="L959" i="4"/>
  <c r="N959" i="4"/>
  <c r="N958" i="4"/>
  <c r="L958" i="4"/>
  <c r="K958" i="4"/>
  <c r="I958" i="4"/>
  <c r="H958" i="4"/>
  <c r="J958" i="4" s="1"/>
  <c r="O958" i="4" s="1"/>
  <c r="I957" i="4"/>
  <c r="J957" i="4" s="1"/>
  <c r="O957" i="4" s="1"/>
  <c r="H957" i="4"/>
  <c r="K957" i="4"/>
  <c r="N957" i="4"/>
  <c r="L957" i="4"/>
  <c r="N956" i="4"/>
  <c r="L956" i="4"/>
  <c r="K956" i="4"/>
  <c r="J956" i="4"/>
  <c r="O956" i="4" s="1"/>
  <c r="I956" i="4"/>
  <c r="H956" i="4"/>
  <c r="I955" i="4"/>
  <c r="H955" i="4"/>
  <c r="J955" i="4" s="1"/>
  <c r="O955" i="4" s="1"/>
  <c r="K955" i="4"/>
  <c r="L955" i="4"/>
  <c r="N955" i="4"/>
  <c r="N954" i="4"/>
  <c r="L954" i="4"/>
  <c r="K954" i="4"/>
  <c r="J954" i="4"/>
  <c r="O954" i="4" s="1"/>
  <c r="I954" i="4"/>
  <c r="H954" i="4"/>
  <c r="K953" i="4"/>
  <c r="L953" i="4"/>
  <c r="H953" i="4"/>
  <c r="J953" i="4"/>
  <c r="O953" i="4" s="1"/>
  <c r="I953" i="4"/>
  <c r="N953" i="4"/>
  <c r="N952" i="4"/>
  <c r="L952" i="4"/>
  <c r="K952" i="4"/>
  <c r="I952" i="4"/>
  <c r="H952" i="4"/>
  <c r="J952" i="4" s="1"/>
  <c r="O952" i="4" s="1"/>
  <c r="J951" i="4"/>
  <c r="I951" i="4"/>
  <c r="H951" i="4"/>
  <c r="K951" i="4"/>
  <c r="L951" i="4"/>
  <c r="N951" i="4"/>
  <c r="N950" i="4"/>
  <c r="L950" i="4"/>
  <c r="K950" i="4"/>
  <c r="I950" i="4"/>
  <c r="H950" i="4"/>
  <c r="J950" i="4" s="1"/>
  <c r="O950" i="4" s="1"/>
  <c r="I949" i="4"/>
  <c r="H949" i="4"/>
  <c r="J949" i="4" s="1"/>
  <c r="O949" i="4" s="1"/>
  <c r="K949" i="4"/>
  <c r="N949" i="4"/>
  <c r="L949" i="4"/>
  <c r="N948" i="4"/>
  <c r="L948" i="4"/>
  <c r="K948" i="4"/>
  <c r="I948" i="4"/>
  <c r="H948" i="4"/>
  <c r="J948" i="4" s="1"/>
  <c r="O948" i="4" s="1"/>
  <c r="I947" i="4"/>
  <c r="J947" i="4" s="1"/>
  <c r="O947" i="4" s="1"/>
  <c r="H947" i="4"/>
  <c r="K947" i="4"/>
  <c r="L947" i="4"/>
  <c r="N947" i="4"/>
  <c r="N946" i="4"/>
  <c r="L946" i="4"/>
  <c r="K946" i="4"/>
  <c r="I946" i="4"/>
  <c r="J946" i="4" s="1"/>
  <c r="O946" i="4" s="1"/>
  <c r="H946" i="4"/>
  <c r="N945" i="4"/>
  <c r="K945" i="4"/>
  <c r="H945" i="4"/>
  <c r="L945" i="4"/>
  <c r="I945" i="4"/>
  <c r="J945" i="4" s="1"/>
  <c r="O945" i="4" s="1"/>
  <c r="N944" i="4"/>
  <c r="L944" i="4"/>
  <c r="K944" i="4"/>
  <c r="I944" i="4"/>
  <c r="H944" i="4"/>
  <c r="J944" i="4" s="1"/>
  <c r="O944" i="4" s="1"/>
  <c r="J943" i="4"/>
  <c r="I943" i="4"/>
  <c r="H943" i="4"/>
  <c r="K943" i="4"/>
  <c r="L943" i="4"/>
  <c r="N943" i="4"/>
  <c r="N942" i="4"/>
  <c r="L942" i="4"/>
  <c r="K942" i="4"/>
  <c r="J942" i="4"/>
  <c r="I942" i="4"/>
  <c r="H942" i="4"/>
  <c r="N941" i="4"/>
  <c r="I941" i="4"/>
  <c r="H941" i="4"/>
  <c r="J941" i="4"/>
  <c r="K941" i="4"/>
  <c r="L941" i="4"/>
  <c r="N940" i="4"/>
  <c r="L940" i="4"/>
  <c r="K940" i="4"/>
  <c r="I940" i="4"/>
  <c r="H940" i="4"/>
  <c r="J940" i="4" s="1"/>
  <c r="O940" i="4" s="1"/>
  <c r="N939" i="4"/>
  <c r="L939" i="4"/>
  <c r="K939" i="4"/>
  <c r="I939" i="4"/>
  <c r="H939" i="4"/>
  <c r="J939" i="4" s="1"/>
  <c r="O939" i="4" s="1"/>
  <c r="I938" i="4"/>
  <c r="H938" i="4"/>
  <c r="J938" i="4" s="1"/>
  <c r="O938" i="4" s="1"/>
  <c r="N938" i="4"/>
  <c r="L938" i="4"/>
  <c r="K938" i="4"/>
  <c r="L937" i="4"/>
  <c r="N937" i="4"/>
  <c r="H937" i="4"/>
  <c r="K937" i="4"/>
  <c r="I937" i="4"/>
  <c r="J937" i="4" s="1"/>
  <c r="O937" i="4" s="1"/>
  <c r="L936" i="4"/>
  <c r="I936" i="4"/>
  <c r="H936" i="4"/>
  <c r="J936" i="4" s="1"/>
  <c r="O936" i="4" s="1"/>
  <c r="N936" i="4"/>
  <c r="K936" i="4"/>
  <c r="N935" i="4"/>
  <c r="L935" i="4"/>
  <c r="K935" i="4"/>
  <c r="I935" i="4"/>
  <c r="H935" i="4"/>
  <c r="J935" i="4" s="1"/>
  <c r="O935" i="4" s="1"/>
  <c r="I934" i="4"/>
  <c r="H934" i="4"/>
  <c r="K934" i="4"/>
  <c r="N934" i="4"/>
  <c r="J934" i="4"/>
  <c r="L934" i="4"/>
  <c r="K933" i="4"/>
  <c r="I933" i="4"/>
  <c r="H933" i="4"/>
  <c r="J933" i="4"/>
  <c r="L933" i="4"/>
  <c r="N933" i="4"/>
  <c r="N932" i="4"/>
  <c r="L932" i="4"/>
  <c r="J932" i="4"/>
  <c r="I932" i="4"/>
  <c r="H932" i="4"/>
  <c r="K932" i="4"/>
  <c r="N931" i="4"/>
  <c r="L931" i="4"/>
  <c r="K931" i="4"/>
  <c r="I931" i="4"/>
  <c r="H931" i="4"/>
  <c r="J931" i="4" s="1"/>
  <c r="O931" i="4" s="1"/>
  <c r="I930" i="4"/>
  <c r="H930" i="4"/>
  <c r="K930" i="4"/>
  <c r="L930" i="4"/>
  <c r="N930" i="4"/>
  <c r="J930" i="4"/>
  <c r="N929" i="4"/>
  <c r="K929" i="4"/>
  <c r="H929" i="4"/>
  <c r="J929" i="4"/>
  <c r="L929" i="4"/>
  <c r="I929" i="4"/>
  <c r="N928" i="4"/>
  <c r="L928" i="4"/>
  <c r="K928" i="4"/>
  <c r="I928" i="4"/>
  <c r="H928" i="4"/>
  <c r="J928" i="4" s="1"/>
  <c r="O928" i="4" s="1"/>
  <c r="N927" i="4"/>
  <c r="L927" i="4"/>
  <c r="K927" i="4"/>
  <c r="I927" i="4"/>
  <c r="H927" i="4"/>
  <c r="J927" i="4" s="1"/>
  <c r="O927" i="4" s="1"/>
  <c r="H926" i="4"/>
  <c r="J926" i="4" s="1"/>
  <c r="O926" i="4" s="1"/>
  <c r="K926" i="4"/>
  <c r="L926" i="4"/>
  <c r="N926" i="4"/>
  <c r="I926" i="4"/>
  <c r="N925" i="4"/>
  <c r="I925" i="4"/>
  <c r="H925" i="4"/>
  <c r="J925" i="4" s="1"/>
  <c r="O925" i="4" s="1"/>
  <c r="K925" i="4"/>
  <c r="L925" i="4"/>
  <c r="N924" i="4"/>
  <c r="L924" i="4"/>
  <c r="K924" i="4"/>
  <c r="I924" i="4"/>
  <c r="H924" i="4"/>
  <c r="J924" i="4" s="1"/>
  <c r="O924" i="4" s="1"/>
  <c r="N923" i="4"/>
  <c r="L923" i="4"/>
  <c r="K923" i="4"/>
  <c r="I923" i="4"/>
  <c r="H923" i="4"/>
  <c r="J923" i="4" s="1"/>
  <c r="O923" i="4" s="1"/>
  <c r="H922" i="4"/>
  <c r="J922" i="4" s="1"/>
  <c r="O922" i="4" s="1"/>
  <c r="L922" i="4"/>
  <c r="N922" i="4"/>
  <c r="I922" i="4"/>
  <c r="K922" i="4"/>
  <c r="L921" i="4"/>
  <c r="K921" i="4"/>
  <c r="I921" i="4"/>
  <c r="J921" i="4" s="1"/>
  <c r="O921" i="4" s="1"/>
  <c r="H921" i="4"/>
  <c r="N921" i="4"/>
  <c r="I920" i="4"/>
  <c r="H920" i="4"/>
  <c r="J920" i="4" s="1"/>
  <c r="O920" i="4" s="1"/>
  <c r="K920" i="4"/>
  <c r="L920" i="4"/>
  <c r="N920" i="4"/>
  <c r="N919" i="4"/>
  <c r="L919" i="4"/>
  <c r="K919" i="4"/>
  <c r="I919" i="4"/>
  <c r="J919" i="4" s="1"/>
  <c r="O919" i="4" s="1"/>
  <c r="H919" i="4"/>
  <c r="I918" i="4"/>
  <c r="J918" i="4" s="1"/>
  <c r="O918" i="4" s="1"/>
  <c r="H918" i="4"/>
  <c r="K918" i="4"/>
  <c r="N918" i="4"/>
  <c r="L918" i="4"/>
  <c r="N917" i="4"/>
  <c r="L917" i="4"/>
  <c r="K917" i="4"/>
  <c r="J917" i="4"/>
  <c r="I917" i="4"/>
  <c r="H917" i="4"/>
  <c r="I916" i="4"/>
  <c r="H916" i="4"/>
  <c r="J916" i="4" s="1"/>
  <c r="O916" i="4" s="1"/>
  <c r="K916" i="4"/>
  <c r="L916" i="4"/>
  <c r="N916" i="4"/>
  <c r="N915" i="4"/>
  <c r="L915" i="4"/>
  <c r="K915" i="4"/>
  <c r="I915" i="4"/>
  <c r="H915" i="4"/>
  <c r="J915" i="4" s="1"/>
  <c r="O915" i="4" s="1"/>
  <c r="I914" i="4"/>
  <c r="J914" i="4" s="1"/>
  <c r="O914" i="4" s="1"/>
  <c r="H914" i="4"/>
  <c r="K914" i="4"/>
  <c r="L914" i="4"/>
  <c r="N914" i="4"/>
  <c r="N913" i="4"/>
  <c r="L913" i="4"/>
  <c r="K913" i="4"/>
  <c r="I913" i="4"/>
  <c r="H913" i="4"/>
  <c r="J913" i="4" s="1"/>
  <c r="O913" i="4" s="1"/>
  <c r="I912" i="4"/>
  <c r="H912" i="4"/>
  <c r="J912" i="4" s="1"/>
  <c r="O912" i="4" s="1"/>
  <c r="K912" i="4"/>
  <c r="L912" i="4"/>
  <c r="N912" i="4"/>
  <c r="N911" i="4"/>
  <c r="L911" i="4"/>
  <c r="K911" i="4"/>
  <c r="J911" i="4"/>
  <c r="I911" i="4"/>
  <c r="H911" i="4"/>
  <c r="I910" i="4"/>
  <c r="J910" i="4" s="1"/>
  <c r="O910" i="4" s="1"/>
  <c r="H910" i="4"/>
  <c r="K910" i="4"/>
  <c r="N910" i="4"/>
  <c r="L910" i="4"/>
  <c r="N909" i="4"/>
  <c r="L909" i="4"/>
  <c r="K909" i="4"/>
  <c r="I909" i="4"/>
  <c r="H909" i="4"/>
  <c r="J909" i="4" s="1"/>
  <c r="O909" i="4" s="1"/>
  <c r="I908" i="4"/>
  <c r="H908" i="4"/>
  <c r="J908" i="4" s="1"/>
  <c r="O908" i="4" s="1"/>
  <c r="K908" i="4"/>
  <c r="L908" i="4"/>
  <c r="N908" i="4"/>
  <c r="N907" i="4"/>
  <c r="L907" i="4"/>
  <c r="K907" i="4"/>
  <c r="I907" i="4"/>
  <c r="H907" i="4"/>
  <c r="J907" i="4" s="1"/>
  <c r="O907" i="4" s="1"/>
  <c r="N906" i="4"/>
  <c r="K906" i="4"/>
  <c r="H906" i="4"/>
  <c r="L906" i="4"/>
  <c r="I906" i="4"/>
  <c r="J906" i="4" s="1"/>
  <c r="O906" i="4" s="1"/>
  <c r="N905" i="4"/>
  <c r="L905" i="4"/>
  <c r="K905" i="4"/>
  <c r="I905" i="4"/>
  <c r="H905" i="4"/>
  <c r="J905" i="4" s="1"/>
  <c r="O905" i="4" s="1"/>
  <c r="I904" i="4"/>
  <c r="H904" i="4"/>
  <c r="J904" i="4" s="1"/>
  <c r="O904" i="4" s="1"/>
  <c r="K904" i="4"/>
  <c r="L904" i="4"/>
  <c r="N904" i="4"/>
  <c r="N903" i="4"/>
  <c r="L903" i="4"/>
  <c r="K903" i="4"/>
  <c r="I903" i="4"/>
  <c r="H903" i="4"/>
  <c r="J903" i="4" s="1"/>
  <c r="O903" i="4" s="1"/>
  <c r="I902" i="4"/>
  <c r="H902" i="4"/>
  <c r="J902" i="4" s="1"/>
  <c r="O902" i="4" s="1"/>
  <c r="K902" i="4"/>
  <c r="N902" i="4"/>
  <c r="L902" i="4"/>
  <c r="N901" i="4"/>
  <c r="L901" i="4"/>
  <c r="K901" i="4"/>
  <c r="I901" i="4"/>
  <c r="H901" i="4"/>
  <c r="J901" i="4" s="1"/>
  <c r="O901" i="4" s="1"/>
  <c r="I900" i="4"/>
  <c r="H900" i="4"/>
  <c r="J900" i="4" s="1"/>
  <c r="O900" i="4" s="1"/>
  <c r="K900" i="4"/>
  <c r="L900" i="4"/>
  <c r="N900" i="4"/>
  <c r="N899" i="4"/>
  <c r="L899" i="4"/>
  <c r="K899" i="4"/>
  <c r="I899" i="4"/>
  <c r="H899" i="4"/>
  <c r="J899" i="4" s="1"/>
  <c r="O899" i="4" s="1"/>
  <c r="I898" i="4"/>
  <c r="H898" i="4"/>
  <c r="J898" i="4" s="1"/>
  <c r="O898" i="4" s="1"/>
  <c r="K898" i="4"/>
  <c r="L898" i="4"/>
  <c r="N898" i="4"/>
  <c r="N897" i="4"/>
  <c r="L897" i="4"/>
  <c r="K897" i="4"/>
  <c r="I897" i="4"/>
  <c r="H897" i="4"/>
  <c r="J897" i="4" s="1"/>
  <c r="O897" i="4" s="1"/>
  <c r="I896" i="4"/>
  <c r="H896" i="4"/>
  <c r="J896" i="4" s="1"/>
  <c r="O896" i="4" s="1"/>
  <c r="K896" i="4"/>
  <c r="L896" i="4"/>
  <c r="N896" i="4"/>
  <c r="N895" i="4"/>
  <c r="L895" i="4"/>
  <c r="K895" i="4"/>
  <c r="I895" i="4"/>
  <c r="J895" i="4" s="1"/>
  <c r="O895" i="4" s="1"/>
  <c r="H895" i="4"/>
  <c r="I894" i="4"/>
  <c r="H894" i="4"/>
  <c r="J894" i="4" s="1"/>
  <c r="O894" i="4" s="1"/>
  <c r="K894" i="4"/>
  <c r="N894" i="4"/>
  <c r="L894" i="4"/>
  <c r="N893" i="4"/>
  <c r="L893" i="4"/>
  <c r="K893" i="4"/>
  <c r="I893" i="4"/>
  <c r="H893" i="4"/>
  <c r="J893" i="4" s="1"/>
  <c r="O893" i="4" s="1"/>
  <c r="J892" i="4"/>
  <c r="I892" i="4"/>
  <c r="H892" i="4"/>
  <c r="K892" i="4"/>
  <c r="L892" i="4"/>
  <c r="N892" i="4"/>
  <c r="N891" i="4"/>
  <c r="L891" i="4"/>
  <c r="K891" i="4"/>
  <c r="J891" i="4"/>
  <c r="O891" i="4" s="1"/>
  <c r="I891" i="4"/>
  <c r="H891" i="4"/>
  <c r="N890" i="4"/>
  <c r="L890" i="4"/>
  <c r="H890" i="4"/>
  <c r="I890" i="4"/>
  <c r="J890" i="4" s="1"/>
  <c r="O890" i="4" s="1"/>
  <c r="K890" i="4"/>
  <c r="K889" i="4"/>
  <c r="I889" i="4"/>
  <c r="H889" i="4"/>
  <c r="J889" i="4" s="1"/>
  <c r="O889" i="4" s="1"/>
  <c r="L889" i="4"/>
  <c r="N889" i="4"/>
  <c r="N888" i="4"/>
  <c r="L888" i="4"/>
  <c r="K888" i="4"/>
  <c r="I888" i="4"/>
  <c r="H888" i="4"/>
  <c r="J888" i="4"/>
  <c r="O888" i="4" s="1"/>
  <c r="N887" i="4"/>
  <c r="L887" i="4"/>
  <c r="K887" i="4"/>
  <c r="I887" i="4"/>
  <c r="H887" i="4"/>
  <c r="J887" i="4" s="1"/>
  <c r="O887" i="4" s="1"/>
  <c r="N886" i="4"/>
  <c r="K886" i="4"/>
  <c r="I886" i="4"/>
  <c r="J886" i="4" s="1"/>
  <c r="O886" i="4" s="1"/>
  <c r="H886" i="4"/>
  <c r="L886" i="4"/>
  <c r="N885" i="4"/>
  <c r="L885" i="4"/>
  <c r="K885" i="4"/>
  <c r="I885" i="4"/>
  <c r="H885" i="4"/>
  <c r="J885" i="4" s="1"/>
  <c r="O885" i="4" s="1"/>
  <c r="N884" i="4"/>
  <c r="L884" i="4"/>
  <c r="K884" i="4"/>
  <c r="I884" i="4"/>
  <c r="H884" i="4"/>
  <c r="J884" i="4" s="1"/>
  <c r="O884" i="4" s="1"/>
  <c r="H883" i="4"/>
  <c r="K883" i="4"/>
  <c r="I883" i="4"/>
  <c r="J883" i="4" s="1"/>
  <c r="O883" i="4" s="1"/>
  <c r="L883" i="4"/>
  <c r="N883" i="4"/>
  <c r="N882" i="4"/>
  <c r="L882" i="4"/>
  <c r="K882" i="4"/>
  <c r="J882" i="4"/>
  <c r="I882" i="4"/>
  <c r="H882" i="4"/>
  <c r="L881" i="4"/>
  <c r="K881" i="4"/>
  <c r="I881" i="4"/>
  <c r="H881" i="4"/>
  <c r="J881" i="4" s="1"/>
  <c r="O881" i="4" s="1"/>
  <c r="N881" i="4"/>
  <c r="N880" i="4"/>
  <c r="L880" i="4"/>
  <c r="K880" i="4"/>
  <c r="I880" i="4"/>
  <c r="H880" i="4"/>
  <c r="J880" i="4" s="1"/>
  <c r="O880" i="4" s="1"/>
  <c r="L879" i="4"/>
  <c r="K879" i="4"/>
  <c r="I879" i="4"/>
  <c r="J879" i="4" s="1"/>
  <c r="O879" i="4" s="1"/>
  <c r="H879" i="4"/>
  <c r="N879" i="4"/>
  <c r="N878" i="4"/>
  <c r="L878" i="4"/>
  <c r="K878" i="4"/>
  <c r="I878" i="4"/>
  <c r="H878" i="4"/>
  <c r="J878" i="4" s="1"/>
  <c r="O878" i="4" s="1"/>
  <c r="L877" i="4"/>
  <c r="K877" i="4"/>
  <c r="I877" i="4"/>
  <c r="H877" i="4"/>
  <c r="J877" i="4" s="1"/>
  <c r="O877" i="4" s="1"/>
  <c r="N877" i="4"/>
  <c r="N876" i="4"/>
  <c r="L876" i="4"/>
  <c r="K876" i="4"/>
  <c r="J876" i="4"/>
  <c r="I876" i="4"/>
  <c r="H876" i="4"/>
  <c r="I875" i="4"/>
  <c r="J875" i="4" s="1"/>
  <c r="N875" i="4"/>
  <c r="H875" i="4"/>
  <c r="N874" i="4"/>
  <c r="L874" i="4"/>
  <c r="K874" i="4"/>
  <c r="J874" i="4"/>
  <c r="O874" i="4" s="1"/>
  <c r="I874" i="4"/>
  <c r="H874" i="4"/>
  <c r="N873" i="4"/>
  <c r="I873" i="4"/>
  <c r="H873" i="4"/>
  <c r="J873" i="4" s="1"/>
  <c r="I872" i="4"/>
  <c r="L872" i="4"/>
  <c r="K872" i="4"/>
  <c r="J872" i="4"/>
  <c r="N872" i="4"/>
  <c r="H872" i="4"/>
  <c r="N871" i="4"/>
  <c r="I871" i="4"/>
  <c r="H871" i="4"/>
  <c r="J871" i="4" s="1"/>
  <c r="N870" i="4"/>
  <c r="I870" i="4"/>
  <c r="H870" i="4"/>
  <c r="J870" i="4" s="1"/>
  <c r="N869" i="4"/>
  <c r="K869" i="4"/>
  <c r="J869" i="4"/>
  <c r="I869" i="4"/>
  <c r="H869" i="4"/>
  <c r="N868" i="4"/>
  <c r="L868" i="4"/>
  <c r="K868" i="4"/>
  <c r="J868" i="4"/>
  <c r="O868" i="4" s="1"/>
  <c r="I868" i="4"/>
  <c r="H868" i="4"/>
  <c r="N867" i="4"/>
  <c r="I867" i="4"/>
  <c r="H867" i="4"/>
  <c r="J867" i="4" s="1"/>
  <c r="N866" i="4"/>
  <c r="I866" i="4"/>
  <c r="H866" i="4"/>
  <c r="J866" i="4" s="1"/>
  <c r="N865" i="4"/>
  <c r="I865" i="4"/>
  <c r="H865" i="4"/>
  <c r="J865" i="4" s="1"/>
  <c r="N864" i="4"/>
  <c r="I864" i="4"/>
  <c r="H864" i="4"/>
  <c r="J864" i="4" s="1"/>
  <c r="N863" i="4"/>
  <c r="I863" i="4"/>
  <c r="H863" i="4"/>
  <c r="J863" i="4" s="1"/>
  <c r="N862" i="4"/>
  <c r="I862" i="4"/>
  <c r="H862" i="4"/>
  <c r="J862" i="4" s="1"/>
  <c r="N861" i="4"/>
  <c r="I861" i="4"/>
  <c r="H861" i="4"/>
  <c r="J861" i="4" s="1"/>
  <c r="H860" i="4"/>
  <c r="I860" i="4"/>
  <c r="J860" i="4" s="1"/>
  <c r="N860" i="4"/>
  <c r="N859" i="4"/>
  <c r="I859" i="4"/>
  <c r="J859" i="4" s="1"/>
  <c r="H859" i="4"/>
  <c r="N858" i="4"/>
  <c r="I858" i="4"/>
  <c r="H858" i="4"/>
  <c r="J858" i="4" s="1"/>
  <c r="N857" i="4"/>
  <c r="I857" i="4"/>
  <c r="H857" i="4"/>
  <c r="J857" i="4" s="1"/>
  <c r="N856" i="4"/>
  <c r="L856" i="4"/>
  <c r="K856" i="4"/>
  <c r="J856" i="4"/>
  <c r="O856" i="4" s="1"/>
  <c r="I856" i="4"/>
  <c r="H856" i="4"/>
  <c r="N855" i="4"/>
  <c r="K855" i="4"/>
  <c r="J855" i="4"/>
  <c r="I855" i="4"/>
  <c r="H855" i="4"/>
  <c r="N854" i="4"/>
  <c r="I854" i="4"/>
  <c r="H854" i="4"/>
  <c r="J854" i="4" s="1"/>
  <c r="N853" i="4"/>
  <c r="I853" i="4"/>
  <c r="H853" i="4"/>
  <c r="J853" i="4" s="1"/>
  <c r="N852" i="4"/>
  <c r="I852" i="4"/>
  <c r="H852" i="4"/>
  <c r="J852" i="4" s="1"/>
  <c r="N851" i="4"/>
  <c r="I851" i="4"/>
  <c r="H851" i="4"/>
  <c r="J851" i="4" s="1"/>
  <c r="N850" i="4"/>
  <c r="I850" i="4"/>
  <c r="H850" i="4"/>
  <c r="J850" i="4" s="1"/>
  <c r="N849" i="4"/>
  <c r="I849" i="4"/>
  <c r="H849" i="4"/>
  <c r="J849" i="4" s="1"/>
  <c r="N848" i="4"/>
  <c r="I848" i="4"/>
  <c r="H848" i="4"/>
  <c r="J848" i="4" s="1"/>
  <c r="N847" i="4"/>
  <c r="L847" i="4"/>
  <c r="K847" i="4"/>
  <c r="J847" i="4"/>
  <c r="O847" i="4" s="1"/>
  <c r="I847" i="4"/>
  <c r="H847" i="4"/>
  <c r="N846" i="4"/>
  <c r="I846" i="4"/>
  <c r="H846" i="4"/>
  <c r="J846" i="4" s="1"/>
  <c r="N845" i="4"/>
  <c r="L845" i="4"/>
  <c r="K845" i="4"/>
  <c r="J845" i="4"/>
  <c r="O845" i="4" s="1"/>
  <c r="I845" i="4"/>
  <c r="H845" i="4"/>
  <c r="H844" i="4"/>
  <c r="I844" i="4"/>
  <c r="J844" i="4" s="1"/>
  <c r="N844" i="4"/>
  <c r="N843" i="4"/>
  <c r="L843" i="4"/>
  <c r="K843" i="4"/>
  <c r="J843" i="4"/>
  <c r="O843" i="4" s="1"/>
  <c r="I843" i="4"/>
  <c r="H843" i="4"/>
  <c r="N842" i="4"/>
  <c r="I842" i="4"/>
  <c r="H842" i="4"/>
  <c r="J842" i="4" s="1"/>
  <c r="N841" i="4"/>
  <c r="K841" i="4"/>
  <c r="J841" i="4"/>
  <c r="I841" i="4"/>
  <c r="H841" i="4"/>
  <c r="N840" i="4"/>
  <c r="L840" i="4"/>
  <c r="K840" i="4"/>
  <c r="J840" i="4"/>
  <c r="O840" i="4" s="1"/>
  <c r="I840" i="4"/>
  <c r="H840" i="4"/>
  <c r="N839" i="4"/>
  <c r="I839" i="4"/>
  <c r="J839" i="4" s="1"/>
  <c r="H839" i="4"/>
  <c r="N838" i="4"/>
  <c r="I838" i="4"/>
  <c r="H838" i="4"/>
  <c r="J838" i="4" s="1"/>
  <c r="N837" i="4"/>
  <c r="I837" i="4"/>
  <c r="H837" i="4"/>
  <c r="J837" i="4" s="1"/>
  <c r="N836" i="4"/>
  <c r="I836" i="4"/>
  <c r="H836" i="4"/>
  <c r="J836" i="4" s="1"/>
  <c r="N835" i="4"/>
  <c r="I835" i="4"/>
  <c r="H835" i="4"/>
  <c r="J835" i="4" s="1"/>
  <c r="N834" i="4"/>
  <c r="K834" i="4"/>
  <c r="J834" i="4"/>
  <c r="I834" i="4"/>
  <c r="H834" i="4"/>
  <c r="N833" i="4"/>
  <c r="I833" i="4"/>
  <c r="H833" i="4"/>
  <c r="J833" i="4" s="1"/>
  <c r="N832" i="4"/>
  <c r="L832" i="4"/>
  <c r="K832" i="4"/>
  <c r="J832" i="4"/>
  <c r="O832" i="4" s="1"/>
  <c r="I832" i="4"/>
  <c r="H832" i="4"/>
  <c r="N831" i="4"/>
  <c r="I831" i="4"/>
  <c r="H831" i="4"/>
  <c r="J831" i="4" s="1"/>
  <c r="N830" i="4"/>
  <c r="I830" i="4"/>
  <c r="H830" i="4"/>
  <c r="J830" i="4" s="1"/>
  <c r="N829" i="4"/>
  <c r="K829" i="4"/>
  <c r="J829" i="4"/>
  <c r="I829" i="4"/>
  <c r="H829" i="4"/>
  <c r="N828" i="4"/>
  <c r="I828" i="4"/>
  <c r="H828" i="4"/>
  <c r="J828" i="4" s="1"/>
  <c r="N827" i="4"/>
  <c r="I827" i="4"/>
  <c r="H827" i="4"/>
  <c r="J827" i="4" s="1"/>
  <c r="N826" i="4"/>
  <c r="I826" i="4"/>
  <c r="H826" i="4"/>
  <c r="J826" i="4" s="1"/>
  <c r="N825" i="4"/>
  <c r="I825" i="4"/>
  <c r="H825" i="4"/>
  <c r="J825" i="4" s="1"/>
  <c r="N824" i="4"/>
  <c r="L824" i="4"/>
  <c r="K824" i="4"/>
  <c r="J824" i="4"/>
  <c r="O824" i="4" s="1"/>
  <c r="I824" i="4"/>
  <c r="H824" i="4"/>
  <c r="N823" i="4"/>
  <c r="I823" i="4"/>
  <c r="H823" i="4"/>
  <c r="J823" i="4" s="1"/>
  <c r="N822" i="4"/>
  <c r="I822" i="4"/>
  <c r="J822" i="4" s="1"/>
  <c r="H822" i="4"/>
  <c r="N821" i="4"/>
  <c r="L821" i="4"/>
  <c r="K821" i="4"/>
  <c r="J821" i="4"/>
  <c r="O821" i="4" s="1"/>
  <c r="I821" i="4"/>
  <c r="H821" i="4"/>
  <c r="N820" i="4"/>
  <c r="I820" i="4"/>
  <c r="H820" i="4"/>
  <c r="J820" i="4" s="1"/>
  <c r="N819" i="4"/>
  <c r="I819" i="4"/>
  <c r="H819" i="4"/>
  <c r="J819" i="4" s="1"/>
  <c r="N818" i="4"/>
  <c r="I818" i="4"/>
  <c r="H818" i="4"/>
  <c r="J818" i="4" s="1"/>
  <c r="N817" i="4"/>
  <c r="I817" i="4"/>
  <c r="H817" i="4"/>
  <c r="J817" i="4" s="1"/>
  <c r="N816" i="4"/>
  <c r="L816" i="4"/>
  <c r="K816" i="4"/>
  <c r="J816" i="4"/>
  <c r="O816" i="4" s="1"/>
  <c r="I816" i="4"/>
  <c r="H816" i="4"/>
  <c r="N815" i="4"/>
  <c r="I815" i="4"/>
  <c r="H815" i="4"/>
  <c r="J815" i="4" s="1"/>
  <c r="N814" i="4"/>
  <c r="I814" i="4"/>
  <c r="H814" i="4"/>
  <c r="J814" i="4" s="1"/>
  <c r="N813" i="4"/>
  <c r="I813" i="4"/>
  <c r="H813" i="4"/>
  <c r="J813" i="4" s="1"/>
  <c r="N812" i="4"/>
  <c r="I812" i="4"/>
  <c r="H812" i="4"/>
  <c r="J812" i="4" s="1"/>
  <c r="N811" i="4"/>
  <c r="I811" i="4"/>
  <c r="H811" i="4"/>
  <c r="J811" i="4" s="1"/>
  <c r="N810" i="4"/>
  <c r="I810" i="4"/>
  <c r="H810" i="4"/>
  <c r="J810" i="4" s="1"/>
  <c r="N809" i="4"/>
  <c r="I809" i="4"/>
  <c r="J809" i="4" s="1"/>
  <c r="H809" i="4"/>
  <c r="I808" i="4"/>
  <c r="K808" i="4"/>
  <c r="J808" i="4"/>
  <c r="N808" i="4"/>
  <c r="H808" i="4"/>
  <c r="N807" i="4"/>
  <c r="I807" i="4"/>
  <c r="H807" i="4"/>
  <c r="J807" i="4" s="1"/>
  <c r="I806" i="4"/>
  <c r="N806" i="4"/>
  <c r="H806" i="4"/>
  <c r="J806" i="4" s="1"/>
  <c r="N805" i="4"/>
  <c r="I805" i="4"/>
  <c r="H805" i="4"/>
  <c r="J805" i="4" s="1"/>
  <c r="N804" i="4"/>
  <c r="L804" i="4"/>
  <c r="K804" i="4"/>
  <c r="J804" i="4"/>
  <c r="O804" i="4" s="1"/>
  <c r="C19" i="6" s="1"/>
  <c r="D19" i="6" s="1"/>
  <c r="E19" i="6" s="1"/>
  <c r="I804" i="4"/>
  <c r="H804" i="4"/>
  <c r="I803" i="4"/>
  <c r="H803" i="4"/>
  <c r="N803" i="4"/>
  <c r="L803" i="4"/>
  <c r="K803" i="4"/>
  <c r="J803" i="4"/>
  <c r="O803" i="4" s="1"/>
  <c r="I802" i="4"/>
  <c r="H802" i="4"/>
  <c r="N802" i="4"/>
  <c r="L802" i="4"/>
  <c r="K802" i="4"/>
  <c r="J802" i="4"/>
  <c r="I801" i="4"/>
  <c r="H801" i="4"/>
  <c r="N801" i="4"/>
  <c r="L801" i="4"/>
  <c r="K801" i="4"/>
  <c r="J801" i="4"/>
  <c r="O801" i="4" s="1"/>
  <c r="C11" i="6" s="1"/>
  <c r="D11" i="6" s="1"/>
  <c r="E11" i="6" s="1"/>
  <c r="I800" i="4"/>
  <c r="H800" i="4"/>
  <c r="N800" i="4"/>
  <c r="L800" i="4"/>
  <c r="K800" i="4"/>
  <c r="J800" i="4"/>
  <c r="I799" i="4"/>
  <c r="H799" i="4"/>
  <c r="N799" i="4"/>
  <c r="L799" i="4"/>
  <c r="K799" i="4"/>
  <c r="J799" i="4"/>
  <c r="I798" i="4"/>
  <c r="H798" i="4"/>
  <c r="N798" i="4"/>
  <c r="L798" i="4"/>
  <c r="K798" i="4"/>
  <c r="J798" i="4"/>
  <c r="K797" i="4"/>
  <c r="N797" i="4"/>
  <c r="L797" i="4"/>
  <c r="I797" i="4"/>
  <c r="H797" i="4"/>
  <c r="J797" i="4" s="1"/>
  <c r="O797" i="4" s="1"/>
  <c r="N796" i="4"/>
  <c r="L796" i="4"/>
  <c r="K796" i="4"/>
  <c r="I796" i="4"/>
  <c r="H796" i="4"/>
  <c r="J796" i="4" s="1"/>
  <c r="O796" i="4" s="1"/>
  <c r="I795" i="4"/>
  <c r="H795" i="4"/>
  <c r="N795" i="4"/>
  <c r="L795" i="4"/>
  <c r="K795" i="4"/>
  <c r="J795" i="4"/>
  <c r="I794" i="4"/>
  <c r="H794" i="4"/>
  <c r="N794" i="4"/>
  <c r="L794" i="4"/>
  <c r="K794" i="4"/>
  <c r="J794" i="4"/>
  <c r="I793" i="4"/>
  <c r="H793" i="4"/>
  <c r="N793" i="4"/>
  <c r="L793" i="4"/>
  <c r="K793" i="4"/>
  <c r="J793" i="4"/>
  <c r="I792" i="4"/>
  <c r="H792" i="4"/>
  <c r="N792" i="4"/>
  <c r="L792" i="4"/>
  <c r="K792" i="4"/>
  <c r="J792" i="4"/>
  <c r="I791" i="4"/>
  <c r="H791" i="4"/>
  <c r="N791" i="4"/>
  <c r="L791" i="4"/>
  <c r="K791" i="4"/>
  <c r="J791" i="4"/>
  <c r="I790" i="4"/>
  <c r="H790" i="4"/>
  <c r="N790" i="4"/>
  <c r="L790" i="4"/>
  <c r="K790" i="4"/>
  <c r="J790" i="4"/>
  <c r="I789" i="4"/>
  <c r="H789" i="4"/>
  <c r="N789" i="4"/>
  <c r="L789" i="4"/>
  <c r="K789" i="4"/>
  <c r="J789" i="4"/>
  <c r="I788" i="4"/>
  <c r="H788" i="4"/>
  <c r="N788" i="4"/>
  <c r="L788" i="4"/>
  <c r="K788" i="4"/>
  <c r="J788" i="4"/>
  <c r="O788" i="4" s="1"/>
  <c r="I787" i="4"/>
  <c r="H787" i="4"/>
  <c r="N787" i="4"/>
  <c r="L787" i="4"/>
  <c r="K787" i="4"/>
  <c r="J787" i="4"/>
  <c r="I786" i="4"/>
  <c r="H786" i="4"/>
  <c r="N786" i="4"/>
  <c r="L786" i="4"/>
  <c r="K786" i="4"/>
  <c r="J786" i="4"/>
  <c r="O786" i="4" s="1"/>
  <c r="I785" i="4"/>
  <c r="H785" i="4"/>
  <c r="N785" i="4"/>
  <c r="L785" i="4"/>
  <c r="K785" i="4"/>
  <c r="J785" i="4"/>
  <c r="I784" i="4"/>
  <c r="H784" i="4"/>
  <c r="N784" i="4"/>
  <c r="L784" i="4"/>
  <c r="K784" i="4"/>
  <c r="J784" i="4"/>
  <c r="I783" i="4"/>
  <c r="H783" i="4"/>
  <c r="N783" i="4"/>
  <c r="L783" i="4"/>
  <c r="K783" i="4"/>
  <c r="J783" i="4"/>
  <c r="H782" i="4"/>
  <c r="I782" i="4"/>
  <c r="N782" i="4"/>
  <c r="L782" i="4"/>
  <c r="K782" i="4"/>
  <c r="J782" i="4"/>
  <c r="L781" i="4"/>
  <c r="N781" i="4"/>
  <c r="K781" i="4"/>
  <c r="I781" i="4"/>
  <c r="H781" i="4"/>
  <c r="J781" i="4" s="1"/>
  <c r="O781" i="4" s="1"/>
  <c r="N780" i="4"/>
  <c r="L780" i="4"/>
  <c r="K780" i="4"/>
  <c r="I780" i="4"/>
  <c r="J780" i="4" s="1"/>
  <c r="O780" i="4" s="1"/>
  <c r="H780" i="4"/>
  <c r="I779" i="4"/>
  <c r="H779" i="4"/>
  <c r="N779" i="4"/>
  <c r="L779" i="4"/>
  <c r="K779" i="4"/>
  <c r="J779" i="4"/>
  <c r="I778" i="4"/>
  <c r="H778" i="4"/>
  <c r="N778" i="4"/>
  <c r="L778" i="4"/>
  <c r="K778" i="4"/>
  <c r="J778" i="4"/>
  <c r="I777" i="4"/>
  <c r="H777" i="4"/>
  <c r="N777" i="4"/>
  <c r="L777" i="4"/>
  <c r="K777" i="4"/>
  <c r="J777" i="4"/>
  <c r="I776" i="4"/>
  <c r="H776" i="4"/>
  <c r="N776" i="4"/>
  <c r="L776" i="4"/>
  <c r="K776" i="4"/>
  <c r="J776" i="4"/>
  <c r="I775" i="4"/>
  <c r="H775" i="4"/>
  <c r="N775" i="4"/>
  <c r="L775" i="4"/>
  <c r="K775" i="4"/>
  <c r="J775" i="4"/>
  <c r="I774" i="4"/>
  <c r="H774" i="4"/>
  <c r="N774" i="4"/>
  <c r="L774" i="4"/>
  <c r="K774" i="4"/>
  <c r="J774" i="4"/>
  <c r="I773" i="4"/>
  <c r="H773" i="4"/>
  <c r="N773" i="4"/>
  <c r="L773" i="4"/>
  <c r="K773" i="4"/>
  <c r="J773" i="4"/>
  <c r="I772" i="4"/>
  <c r="H772" i="4"/>
  <c r="N772" i="4"/>
  <c r="L772" i="4"/>
  <c r="K772" i="4"/>
  <c r="J772" i="4"/>
  <c r="I771" i="4"/>
  <c r="H771" i="4"/>
  <c r="N771" i="4"/>
  <c r="L771" i="4"/>
  <c r="K771" i="4"/>
  <c r="J771" i="4"/>
  <c r="I770" i="4"/>
  <c r="H770" i="4"/>
  <c r="N770" i="4"/>
  <c r="L770" i="4"/>
  <c r="K770" i="4"/>
  <c r="J770" i="4"/>
  <c r="I769" i="4"/>
  <c r="H769" i="4"/>
  <c r="N769" i="4"/>
  <c r="L769" i="4"/>
  <c r="K769" i="4"/>
  <c r="J769" i="4"/>
  <c r="I768" i="4"/>
  <c r="H768" i="4"/>
  <c r="N768" i="4"/>
  <c r="L768" i="4"/>
  <c r="K768" i="4"/>
  <c r="J768" i="4"/>
  <c r="I767" i="4"/>
  <c r="H767" i="4"/>
  <c r="N767" i="4"/>
  <c r="L767" i="4"/>
  <c r="K767" i="4"/>
  <c r="J767" i="4"/>
  <c r="K766" i="4"/>
  <c r="N766" i="4"/>
  <c r="L766" i="4"/>
  <c r="H766" i="4"/>
  <c r="I766" i="4"/>
  <c r="J766" i="4" s="1"/>
  <c r="O766" i="4" s="1"/>
  <c r="N765" i="4"/>
  <c r="L765" i="4"/>
  <c r="K765" i="4"/>
  <c r="J765" i="4"/>
  <c r="I765" i="4"/>
  <c r="H765" i="4"/>
  <c r="I764" i="4"/>
  <c r="H764" i="4"/>
  <c r="N764" i="4"/>
  <c r="L764" i="4"/>
  <c r="K764" i="4"/>
  <c r="J764" i="4"/>
  <c r="I763" i="4"/>
  <c r="H763" i="4"/>
  <c r="N763" i="4"/>
  <c r="L763" i="4"/>
  <c r="K763" i="4"/>
  <c r="J763" i="4"/>
  <c r="I762" i="4"/>
  <c r="H762" i="4"/>
  <c r="N762" i="4"/>
  <c r="L762" i="4"/>
  <c r="K762" i="4"/>
  <c r="J762" i="4"/>
  <c r="I761" i="4"/>
  <c r="H761" i="4"/>
  <c r="N761" i="4"/>
  <c r="L761" i="4"/>
  <c r="K761" i="4"/>
  <c r="J761" i="4"/>
  <c r="I760" i="4"/>
  <c r="H760" i="4"/>
  <c r="N760" i="4"/>
  <c r="L760" i="4"/>
  <c r="K760" i="4"/>
  <c r="J760" i="4"/>
  <c r="I759" i="4"/>
  <c r="H759" i="4"/>
  <c r="N759" i="4"/>
  <c r="L759" i="4"/>
  <c r="K759" i="4"/>
  <c r="J759" i="4"/>
  <c r="I758" i="4"/>
  <c r="H758" i="4"/>
  <c r="N758" i="4"/>
  <c r="L758" i="4"/>
  <c r="K758" i="4"/>
  <c r="J758" i="4"/>
  <c r="I757" i="4"/>
  <c r="H757" i="4"/>
  <c r="N757" i="4"/>
  <c r="L757" i="4"/>
  <c r="K757" i="4"/>
  <c r="J757" i="4"/>
  <c r="I756" i="4"/>
  <c r="H756" i="4"/>
  <c r="N756" i="4"/>
  <c r="L756" i="4"/>
  <c r="K756" i="4"/>
  <c r="J756" i="4"/>
  <c r="I755" i="4"/>
  <c r="H755" i="4"/>
  <c r="N755" i="4"/>
  <c r="L755" i="4"/>
  <c r="K755" i="4"/>
  <c r="J755" i="4"/>
  <c r="I754" i="4"/>
  <c r="H754" i="4"/>
  <c r="N754" i="4"/>
  <c r="L754" i="4"/>
  <c r="K754" i="4"/>
  <c r="J754" i="4"/>
  <c r="I753" i="4"/>
  <c r="H753" i="4"/>
  <c r="N753" i="4"/>
  <c r="L753" i="4"/>
  <c r="K753" i="4"/>
  <c r="J753" i="4"/>
  <c r="O753" i="4" s="1"/>
  <c r="I752" i="4"/>
  <c r="H752" i="4"/>
  <c r="N752" i="4"/>
  <c r="L752" i="4"/>
  <c r="K752" i="4"/>
  <c r="J752" i="4"/>
  <c r="J751" i="4"/>
  <c r="H751" i="4"/>
  <c r="I751" i="4"/>
  <c r="N751" i="4"/>
  <c r="L751" i="4"/>
  <c r="K751" i="4"/>
  <c r="H750" i="4"/>
  <c r="J750" i="4" s="1"/>
  <c r="I750" i="4"/>
  <c r="K750" i="4"/>
  <c r="N750" i="4"/>
  <c r="I749" i="4"/>
  <c r="H749" i="4"/>
  <c r="J749" i="4"/>
  <c r="N749" i="4"/>
  <c r="N748" i="4"/>
  <c r="I748" i="4"/>
  <c r="J748" i="4" s="1"/>
  <c r="H748" i="4"/>
  <c r="N747" i="4"/>
  <c r="L747" i="4"/>
  <c r="K747" i="4"/>
  <c r="J747" i="4"/>
  <c r="O747" i="4" s="1"/>
  <c r="C20" i="6" s="1"/>
  <c r="D20" i="6" s="1"/>
  <c r="E20" i="6" s="1"/>
  <c r="I747" i="4"/>
  <c r="H747" i="4"/>
  <c r="L746" i="4"/>
  <c r="K746" i="4"/>
  <c r="J746" i="4"/>
  <c r="I746" i="4"/>
  <c r="H746" i="4"/>
  <c r="N745" i="4"/>
  <c r="L745" i="4"/>
  <c r="K745" i="4"/>
  <c r="I745" i="4"/>
  <c r="J745" i="4" s="1"/>
  <c r="O745" i="4" s="1"/>
  <c r="H745" i="4"/>
  <c r="H744" i="4"/>
  <c r="N744" i="4"/>
  <c r="L744" i="4"/>
  <c r="K744" i="4"/>
  <c r="J744" i="4"/>
  <c r="I744" i="4"/>
  <c r="H743" i="4"/>
  <c r="N743" i="4"/>
  <c r="L743" i="4"/>
  <c r="K743" i="4"/>
  <c r="I743" i="4"/>
  <c r="J743" i="4" s="1"/>
  <c r="O743" i="4" s="1"/>
  <c r="H742" i="4"/>
  <c r="N742" i="4"/>
  <c r="L742" i="4"/>
  <c r="K742" i="4"/>
  <c r="I742" i="4"/>
  <c r="J742" i="4" s="1"/>
  <c r="O742" i="4" s="1"/>
  <c r="H741" i="4"/>
  <c r="N741" i="4"/>
  <c r="L741" i="4"/>
  <c r="K741" i="4"/>
  <c r="I741" i="4"/>
  <c r="J741" i="4" s="1"/>
  <c r="O741" i="4" s="1"/>
  <c r="H740" i="4"/>
  <c r="N740" i="4"/>
  <c r="L740" i="4"/>
  <c r="K740" i="4"/>
  <c r="I740" i="4"/>
  <c r="J740" i="4" s="1"/>
  <c r="O740" i="4" s="1"/>
  <c r="I739" i="4"/>
  <c r="H739" i="4"/>
  <c r="N739" i="4"/>
  <c r="L739" i="4"/>
  <c r="K739" i="4"/>
  <c r="J739" i="4"/>
  <c r="N738" i="4"/>
  <c r="L738" i="4"/>
  <c r="K738" i="4"/>
  <c r="I738" i="4"/>
  <c r="H738" i="4"/>
  <c r="J738" i="4" s="1"/>
  <c r="O738" i="4" s="1"/>
  <c r="N737" i="4"/>
  <c r="K737" i="4"/>
  <c r="H737" i="4"/>
  <c r="I737" i="4"/>
  <c r="J737" i="4"/>
  <c r="L737" i="4"/>
  <c r="I736" i="4"/>
  <c r="H736" i="4"/>
  <c r="N736" i="4"/>
  <c r="L736" i="4"/>
  <c r="K736" i="4"/>
  <c r="J736" i="4"/>
  <c r="N735" i="4"/>
  <c r="L735" i="4"/>
  <c r="K735" i="4"/>
  <c r="I735" i="4"/>
  <c r="H735" i="4"/>
  <c r="J735" i="4" s="1"/>
  <c r="O735" i="4" s="1"/>
  <c r="H734" i="4"/>
  <c r="N734" i="4"/>
  <c r="L734" i="4"/>
  <c r="K734" i="4"/>
  <c r="I734" i="4"/>
  <c r="J734" i="4" s="1"/>
  <c r="O734" i="4" s="1"/>
  <c r="H733" i="4"/>
  <c r="N733" i="4"/>
  <c r="L733" i="4"/>
  <c r="K733" i="4"/>
  <c r="I733" i="4"/>
  <c r="J733" i="4" s="1"/>
  <c r="O733" i="4" s="1"/>
  <c r="H732" i="4"/>
  <c r="N732" i="4"/>
  <c r="L732" i="4"/>
  <c r="K732" i="4"/>
  <c r="I732" i="4"/>
  <c r="J732" i="4" s="1"/>
  <c r="O732" i="4" s="1"/>
  <c r="H731" i="4"/>
  <c r="N731" i="4"/>
  <c r="L731" i="4"/>
  <c r="K731" i="4"/>
  <c r="J731" i="4"/>
  <c r="I731" i="4"/>
  <c r="H730" i="4"/>
  <c r="N730" i="4"/>
  <c r="L730" i="4"/>
  <c r="K730" i="4"/>
  <c r="I730" i="4"/>
  <c r="J730" i="4" s="1"/>
  <c r="O730" i="4" s="1"/>
  <c r="I729" i="4"/>
  <c r="H729" i="4"/>
  <c r="N729" i="4"/>
  <c r="L729" i="4"/>
  <c r="K729" i="4"/>
  <c r="J729" i="4"/>
  <c r="K728" i="4"/>
  <c r="N728" i="4"/>
  <c r="I728" i="4"/>
  <c r="L728" i="4"/>
  <c r="H728" i="4"/>
  <c r="J728" i="4" s="1"/>
  <c r="O728" i="4" s="1"/>
  <c r="N727" i="4"/>
  <c r="L727" i="4"/>
  <c r="I727" i="4"/>
  <c r="H727" i="4"/>
  <c r="J727" i="4" s="1"/>
  <c r="O727" i="4" s="1"/>
  <c r="K727" i="4"/>
  <c r="N726" i="4"/>
  <c r="L726" i="4"/>
  <c r="K726" i="4"/>
  <c r="J726" i="4"/>
  <c r="O726" i="4" s="1"/>
  <c r="I726" i="4"/>
  <c r="H726" i="4"/>
  <c r="N725" i="4"/>
  <c r="L725" i="4"/>
  <c r="K725" i="4"/>
  <c r="I725" i="4"/>
  <c r="H725" i="4"/>
  <c r="J725" i="4" s="1"/>
  <c r="O725" i="4" s="1"/>
  <c r="H724" i="4"/>
  <c r="N724" i="4"/>
  <c r="L724" i="4"/>
  <c r="K724" i="4"/>
  <c r="J724" i="4"/>
  <c r="I724" i="4"/>
  <c r="I723" i="4"/>
  <c r="H723" i="4"/>
  <c r="N723" i="4"/>
  <c r="L723" i="4"/>
  <c r="K723" i="4"/>
  <c r="J723" i="4"/>
  <c r="O723" i="4" s="1"/>
  <c r="L722" i="4"/>
  <c r="N722" i="4"/>
  <c r="K722" i="4"/>
  <c r="I722" i="4"/>
  <c r="H722" i="4"/>
  <c r="J722" i="4" s="1"/>
  <c r="O722" i="4" s="1"/>
  <c r="L721" i="4"/>
  <c r="N721" i="4"/>
  <c r="K721" i="4"/>
  <c r="I721" i="4"/>
  <c r="J721" i="4" s="1"/>
  <c r="O721" i="4" s="1"/>
  <c r="H721" i="4"/>
  <c r="H720" i="4"/>
  <c r="N720" i="4"/>
  <c r="L720" i="4"/>
  <c r="K720" i="4"/>
  <c r="I720" i="4"/>
  <c r="J720" i="4" s="1"/>
  <c r="O720" i="4" s="1"/>
  <c r="N719" i="4"/>
  <c r="L719" i="4"/>
  <c r="K719" i="4"/>
  <c r="I719" i="4"/>
  <c r="H719" i="4"/>
  <c r="J719" i="4" s="1"/>
  <c r="O719" i="4" s="1"/>
  <c r="N718" i="4"/>
  <c r="L718" i="4"/>
  <c r="K718" i="4"/>
  <c r="I718" i="4"/>
  <c r="H718" i="4"/>
  <c r="J718" i="4" s="1"/>
  <c r="O718" i="4" s="1"/>
  <c r="H717" i="4"/>
  <c r="N717" i="4"/>
  <c r="L717" i="4"/>
  <c r="K717" i="4"/>
  <c r="I717" i="4"/>
  <c r="J717" i="4" s="1"/>
  <c r="O717" i="4" s="1"/>
  <c r="N716" i="4"/>
  <c r="L716" i="4"/>
  <c r="H716" i="4"/>
  <c r="K716" i="4"/>
  <c r="J716" i="4"/>
  <c r="I716" i="4"/>
  <c r="N715" i="4"/>
  <c r="L715" i="4"/>
  <c r="K715" i="4"/>
  <c r="I715" i="4"/>
  <c r="H715" i="4"/>
  <c r="J715" i="4" s="1"/>
  <c r="O715" i="4" s="1"/>
  <c r="L714" i="4"/>
  <c r="K714" i="4"/>
  <c r="J714" i="4"/>
  <c r="I714" i="4"/>
  <c r="H714" i="4"/>
  <c r="N714" i="4"/>
  <c r="N713" i="4"/>
  <c r="L713" i="4"/>
  <c r="K713" i="4"/>
  <c r="I713" i="4"/>
  <c r="H713" i="4"/>
  <c r="J713" i="4" s="1"/>
  <c r="O713" i="4" s="1"/>
  <c r="N712" i="4"/>
  <c r="L712" i="4"/>
  <c r="K712" i="4"/>
  <c r="I712" i="4"/>
  <c r="H712" i="4"/>
  <c r="J712" i="4" s="1"/>
  <c r="O712" i="4" s="1"/>
  <c r="H711" i="4"/>
  <c r="N711" i="4"/>
  <c r="L711" i="4"/>
  <c r="K711" i="4"/>
  <c r="I711" i="4"/>
  <c r="J711" i="4" s="1"/>
  <c r="O711" i="4" s="1"/>
  <c r="N710" i="4"/>
  <c r="L710" i="4"/>
  <c r="K710" i="4"/>
  <c r="I710" i="4"/>
  <c r="H710" i="4"/>
  <c r="J710" i="4" s="1"/>
  <c r="O710" i="4" s="1"/>
  <c r="N709" i="4"/>
  <c r="L709" i="4"/>
  <c r="K709" i="4"/>
  <c r="I709" i="4"/>
  <c r="H709" i="4"/>
  <c r="J709" i="4" s="1"/>
  <c r="O709" i="4" s="1"/>
  <c r="N708" i="4"/>
  <c r="L708" i="4"/>
  <c r="K708" i="4"/>
  <c r="I708" i="4"/>
  <c r="H708" i="4"/>
  <c r="J708" i="4" s="1"/>
  <c r="O708" i="4" s="1"/>
  <c r="H707" i="4"/>
  <c r="N707" i="4"/>
  <c r="L707" i="4"/>
  <c r="K707" i="4"/>
  <c r="I707" i="4"/>
  <c r="J707" i="4" s="1"/>
  <c r="O707" i="4" s="1"/>
  <c r="N706" i="4"/>
  <c r="L706" i="4"/>
  <c r="K706" i="4"/>
  <c r="J706" i="4"/>
  <c r="I706" i="4"/>
  <c r="H706" i="4"/>
  <c r="I705" i="4"/>
  <c r="H705" i="4"/>
  <c r="N705" i="4"/>
  <c r="L705" i="4"/>
  <c r="K705" i="4"/>
  <c r="J705" i="4"/>
  <c r="H704" i="4"/>
  <c r="N704" i="4"/>
  <c r="L704" i="4"/>
  <c r="K704" i="4"/>
  <c r="I704" i="4"/>
  <c r="J704" i="4" s="1"/>
  <c r="O704" i="4" s="1"/>
  <c r="I703" i="4"/>
  <c r="N703" i="4"/>
  <c r="L703" i="4"/>
  <c r="K703" i="4"/>
  <c r="H703" i="4"/>
  <c r="J703" i="4" s="1"/>
  <c r="O703" i="4" s="1"/>
  <c r="H702" i="4"/>
  <c r="J702" i="4" s="1"/>
  <c r="O702" i="4" s="1"/>
  <c r="I702" i="4"/>
  <c r="K702" i="4"/>
  <c r="L702" i="4"/>
  <c r="N702" i="4"/>
  <c r="N701" i="4"/>
  <c r="K701" i="4"/>
  <c r="I701" i="4"/>
  <c r="H701" i="4"/>
  <c r="J701" i="4"/>
  <c r="L701" i="4"/>
  <c r="I700" i="4"/>
  <c r="H700" i="4"/>
  <c r="J700" i="4"/>
  <c r="N700" i="4"/>
  <c r="L700" i="4"/>
  <c r="K700" i="4"/>
  <c r="H699" i="4"/>
  <c r="L699" i="4"/>
  <c r="I699" i="4"/>
  <c r="J699" i="4"/>
  <c r="K699" i="4"/>
  <c r="N699" i="4"/>
  <c r="H698" i="4"/>
  <c r="I698" i="4"/>
  <c r="J698" i="4"/>
  <c r="K698" i="4"/>
  <c r="N698" i="4"/>
  <c r="L698" i="4"/>
  <c r="N697" i="4"/>
  <c r="I697" i="4"/>
  <c r="L697" i="4"/>
  <c r="K697" i="4"/>
  <c r="H697" i="4"/>
  <c r="J697" i="4" s="1"/>
  <c r="O697" i="4" s="1"/>
  <c r="L696" i="4"/>
  <c r="N696" i="4"/>
  <c r="K696" i="4"/>
  <c r="I696" i="4"/>
  <c r="J696" i="4"/>
  <c r="H696" i="4"/>
  <c r="I695" i="4"/>
  <c r="H695" i="4"/>
  <c r="L695" i="4"/>
  <c r="N695" i="4"/>
  <c r="K695" i="4"/>
  <c r="J695" i="4"/>
  <c r="H694" i="4"/>
  <c r="N694" i="4"/>
  <c r="L694" i="4"/>
  <c r="K694" i="4"/>
  <c r="I694" i="4"/>
  <c r="J694" i="4" s="1"/>
  <c r="O694" i="4" s="1"/>
  <c r="H693" i="4"/>
  <c r="I693" i="4"/>
  <c r="J693" i="4" s="1"/>
  <c r="O693" i="4" s="1"/>
  <c r="K693" i="4"/>
  <c r="L693" i="4"/>
  <c r="N693" i="4"/>
  <c r="N692" i="4"/>
  <c r="L692" i="4"/>
  <c r="K692" i="4"/>
  <c r="I692" i="4"/>
  <c r="H692" i="4"/>
  <c r="J692" i="4"/>
  <c r="N691" i="4"/>
  <c r="L691" i="4"/>
  <c r="K691" i="4"/>
  <c r="H691" i="4"/>
  <c r="J691" i="4" s="1"/>
  <c r="O691" i="4" s="1"/>
  <c r="I691" i="4"/>
  <c r="H690" i="4"/>
  <c r="N690" i="4"/>
  <c r="K690" i="4"/>
  <c r="L690" i="4"/>
  <c r="I690" i="4"/>
  <c r="J690" i="4" s="1"/>
  <c r="O690" i="4" s="1"/>
  <c r="K689" i="4"/>
  <c r="L689" i="4"/>
  <c r="N689" i="4"/>
  <c r="I689" i="4"/>
  <c r="H689" i="4"/>
  <c r="J689" i="4" s="1"/>
  <c r="O689" i="4" s="1"/>
  <c r="K688" i="4"/>
  <c r="H688" i="4"/>
  <c r="J688" i="4" s="1"/>
  <c r="O688" i="4" s="1"/>
  <c r="L688" i="4"/>
  <c r="I688" i="4"/>
  <c r="N688" i="4"/>
  <c r="N687" i="4"/>
  <c r="L687" i="4"/>
  <c r="K687" i="4"/>
  <c r="I687" i="4"/>
  <c r="H687" i="4"/>
  <c r="J687" i="4"/>
  <c r="N686" i="4"/>
  <c r="L686" i="4"/>
  <c r="I686" i="4"/>
  <c r="H686" i="4"/>
  <c r="J686" i="4" s="1"/>
  <c r="O686" i="4" s="1"/>
  <c r="K686" i="4"/>
  <c r="I685" i="4"/>
  <c r="L685" i="4"/>
  <c r="H685" i="4"/>
  <c r="J685" i="4" s="1"/>
  <c r="O685" i="4" s="1"/>
  <c r="K685" i="4"/>
  <c r="N685" i="4"/>
  <c r="K684" i="4"/>
  <c r="J684" i="4"/>
  <c r="I684" i="4"/>
  <c r="H684" i="4"/>
  <c r="N684" i="4"/>
  <c r="L684" i="4"/>
  <c r="N683" i="4"/>
  <c r="L683" i="4"/>
  <c r="K683" i="4"/>
  <c r="J683" i="4"/>
  <c r="H683" i="4"/>
  <c r="I683" i="4"/>
  <c r="H682" i="4"/>
  <c r="I682" i="4"/>
  <c r="N682" i="4"/>
  <c r="L682" i="4"/>
  <c r="K682" i="4"/>
  <c r="J682" i="4"/>
  <c r="K681" i="4"/>
  <c r="I681" i="4"/>
  <c r="H681" i="4"/>
  <c r="J681" i="4" s="1"/>
  <c r="O681" i="4" s="1"/>
  <c r="N681" i="4"/>
  <c r="L681" i="4"/>
  <c r="I680" i="4"/>
  <c r="K680" i="4"/>
  <c r="H680" i="4"/>
  <c r="J680" i="4"/>
  <c r="L680" i="4"/>
  <c r="N680" i="4"/>
  <c r="N679" i="4"/>
  <c r="I679" i="4"/>
  <c r="J679" i="4"/>
  <c r="K679" i="4"/>
  <c r="H679" i="4"/>
  <c r="L679" i="4"/>
  <c r="I678" i="4"/>
  <c r="J678" i="4"/>
  <c r="K678" i="4"/>
  <c r="L678" i="4"/>
  <c r="N678" i="4"/>
  <c r="H678" i="4"/>
  <c r="N677" i="4"/>
  <c r="K677" i="4"/>
  <c r="I677" i="4"/>
  <c r="L677" i="4"/>
  <c r="J677" i="4"/>
  <c r="H677" i="4"/>
  <c r="H676" i="4"/>
  <c r="I676" i="4"/>
  <c r="J676" i="4"/>
  <c r="K676" i="4"/>
  <c r="L676" i="4"/>
  <c r="N676" i="4"/>
  <c r="H675" i="4"/>
  <c r="J675" i="4" s="1"/>
  <c r="O675" i="4" s="1"/>
  <c r="I675" i="4"/>
  <c r="K675" i="4"/>
  <c r="L675" i="4"/>
  <c r="N675" i="4"/>
  <c r="H674" i="4"/>
  <c r="K674" i="4"/>
  <c r="I674" i="4"/>
  <c r="J674" i="4" s="1"/>
  <c r="O674" i="4" s="1"/>
  <c r="N674" i="4"/>
  <c r="L674" i="4"/>
  <c r="I673" i="4"/>
  <c r="H673" i="4"/>
  <c r="J673" i="4"/>
  <c r="K673" i="4"/>
  <c r="L673" i="4"/>
  <c r="N673" i="4"/>
  <c r="I672" i="4"/>
  <c r="H672" i="4"/>
  <c r="J672" i="4" s="1"/>
  <c r="O672" i="4" s="1"/>
  <c r="K672" i="4"/>
  <c r="N672" i="4"/>
  <c r="L672" i="4"/>
  <c r="N671" i="4"/>
  <c r="L671" i="4"/>
  <c r="K671" i="4"/>
  <c r="H671" i="4"/>
  <c r="J671" i="4" s="1"/>
  <c r="O671" i="4" s="1"/>
  <c r="I671" i="4"/>
  <c r="H670" i="4"/>
  <c r="K670" i="4"/>
  <c r="N670" i="4"/>
  <c r="L670" i="4"/>
  <c r="I670" i="4"/>
  <c r="J670" i="4" s="1"/>
  <c r="O670" i="4" s="1"/>
  <c r="H669" i="4"/>
  <c r="K669" i="4"/>
  <c r="N669" i="4"/>
  <c r="L669" i="4"/>
  <c r="I669" i="4"/>
  <c r="J669" i="4" s="1"/>
  <c r="O669" i="4" s="1"/>
  <c r="C13" i="6" s="1"/>
  <c r="D13" i="6" s="1"/>
  <c r="E13" i="6" s="1"/>
  <c r="I668" i="4"/>
  <c r="L668" i="4"/>
  <c r="N668" i="4"/>
  <c r="K668" i="4"/>
  <c r="H668" i="4"/>
  <c r="J668" i="4" s="1"/>
  <c r="O668" i="4" s="1"/>
  <c r="I667" i="4"/>
  <c r="N667" i="4"/>
  <c r="H667" i="4"/>
  <c r="J667" i="4" s="1"/>
  <c r="O667" i="4" s="1"/>
  <c r="K667" i="4"/>
  <c r="L667" i="4"/>
  <c r="I666" i="4"/>
  <c r="H666" i="4"/>
  <c r="J666" i="4" s="1"/>
  <c r="O666" i="4" s="1"/>
  <c r="K666" i="4"/>
  <c r="L666" i="4"/>
  <c r="N666" i="4"/>
  <c r="K665" i="4"/>
  <c r="I665" i="4"/>
  <c r="L665" i="4"/>
  <c r="N665" i="4"/>
  <c r="H665" i="4"/>
  <c r="J665" i="4" s="1"/>
  <c r="O665" i="4" s="1"/>
  <c r="N664" i="4"/>
  <c r="L664" i="4"/>
  <c r="I664" i="4"/>
  <c r="H664" i="4"/>
  <c r="J664" i="4"/>
  <c r="K664" i="4"/>
  <c r="N663" i="4"/>
  <c r="K663" i="4"/>
  <c r="I663" i="4"/>
  <c r="H663" i="4"/>
  <c r="J663" i="4" s="1"/>
  <c r="O663" i="4" s="1"/>
  <c r="L663" i="4"/>
  <c r="K662" i="4"/>
  <c r="L662" i="4"/>
  <c r="N662" i="4"/>
  <c r="H662" i="4"/>
  <c r="I662" i="4"/>
  <c r="J662" i="4" s="1"/>
  <c r="O662" i="4" s="1"/>
  <c r="H661" i="4"/>
  <c r="N661" i="4"/>
  <c r="K661" i="4"/>
  <c r="J661" i="4"/>
  <c r="I661" i="4"/>
  <c r="L661" i="4"/>
  <c r="H660" i="4"/>
  <c r="K660" i="4"/>
  <c r="N660" i="4"/>
  <c r="I660" i="4"/>
  <c r="L660" i="4"/>
  <c r="J660" i="4"/>
  <c r="H659" i="4"/>
  <c r="J659" i="4"/>
  <c r="K659" i="4"/>
  <c r="N659" i="4"/>
  <c r="I659" i="4"/>
  <c r="L659" i="4"/>
  <c r="N658" i="4"/>
  <c r="K658" i="4"/>
  <c r="H658" i="4"/>
  <c r="J658" i="4" s="1"/>
  <c r="O658" i="4" s="1"/>
  <c r="L658" i="4"/>
  <c r="I658" i="4"/>
  <c r="H657" i="4"/>
  <c r="I657" i="4"/>
  <c r="J657" i="4" s="1"/>
  <c r="O657" i="4" s="1"/>
  <c r="K657" i="4"/>
  <c r="L657" i="4"/>
  <c r="N657" i="4"/>
  <c r="L656" i="4"/>
  <c r="I656" i="4"/>
  <c r="H656" i="4"/>
  <c r="J656" i="4" s="1"/>
  <c r="O656" i="4" s="1"/>
  <c r="K656" i="4"/>
  <c r="N656" i="4"/>
  <c r="N655" i="4"/>
  <c r="K655" i="4"/>
  <c r="H655" i="4"/>
  <c r="J655" i="4" s="1"/>
  <c r="O655" i="4" s="1"/>
  <c r="I655" i="4"/>
  <c r="L655" i="4"/>
  <c r="N654" i="4"/>
  <c r="L654" i="4"/>
  <c r="H654" i="4"/>
  <c r="I654" i="4"/>
  <c r="J654" i="4" s="1"/>
  <c r="O654" i="4" s="1"/>
  <c r="K654" i="4"/>
  <c r="J653" i="4"/>
  <c r="H653" i="4"/>
  <c r="I653" i="4"/>
  <c r="K653" i="4"/>
  <c r="N653" i="4"/>
  <c r="L653" i="4"/>
  <c r="L652" i="4"/>
  <c r="K652" i="4"/>
  <c r="I652" i="4"/>
  <c r="H652" i="4"/>
  <c r="J652" i="4" s="1"/>
  <c r="O652" i="4" s="1"/>
  <c r="N652" i="4"/>
  <c r="I651" i="4"/>
  <c r="H651" i="4"/>
  <c r="J651" i="4" s="1"/>
  <c r="O651" i="4" s="1"/>
  <c r="L651" i="4"/>
  <c r="N651" i="4"/>
  <c r="K651" i="4"/>
  <c r="I650" i="4"/>
  <c r="H650" i="4"/>
  <c r="L650" i="4"/>
  <c r="N650" i="4"/>
  <c r="K650" i="4"/>
  <c r="J650" i="4"/>
  <c r="I649" i="4"/>
  <c r="K649" i="4"/>
  <c r="N649" i="4"/>
  <c r="H649" i="4"/>
  <c r="J649" i="4" s="1"/>
  <c r="N648" i="4"/>
  <c r="L648" i="4"/>
  <c r="K648" i="4"/>
  <c r="I648" i="4"/>
  <c r="H648" i="4"/>
  <c r="J648" i="4" s="1"/>
  <c r="O648" i="4" s="1"/>
  <c r="N647" i="4"/>
  <c r="L647" i="4"/>
  <c r="K647" i="4"/>
  <c r="I647" i="4"/>
  <c r="H647" i="4"/>
  <c r="J647" i="4" s="1"/>
  <c r="O647" i="4" s="1"/>
  <c r="L646" i="4"/>
  <c r="K646" i="4"/>
  <c r="I646" i="4"/>
  <c r="J646" i="4" s="1"/>
  <c r="O646" i="4" s="1"/>
  <c r="N646" i="4"/>
  <c r="H646" i="4"/>
  <c r="I645" i="4"/>
  <c r="L645" i="4"/>
  <c r="N645" i="4"/>
  <c r="H645" i="4"/>
  <c r="J645" i="4" s="1"/>
  <c r="O645" i="4" s="1"/>
  <c r="K645" i="4"/>
  <c r="I644" i="4"/>
  <c r="H644" i="4"/>
  <c r="J644" i="4"/>
  <c r="L644" i="4"/>
  <c r="K644" i="4"/>
  <c r="N644" i="4"/>
  <c r="N643" i="4"/>
  <c r="L643" i="4"/>
  <c r="K643" i="4"/>
  <c r="I643" i="4"/>
  <c r="H643" i="4"/>
  <c r="J643" i="4" s="1"/>
  <c r="O643" i="4" s="1"/>
  <c r="I642" i="4"/>
  <c r="L642" i="4"/>
  <c r="N642" i="4"/>
  <c r="K642" i="4"/>
  <c r="H642" i="4"/>
  <c r="J642" i="4" s="1"/>
  <c r="O642" i="4" s="1"/>
  <c r="N641" i="4"/>
  <c r="L641" i="4"/>
  <c r="K641" i="4"/>
  <c r="J641" i="4"/>
  <c r="I641" i="4"/>
  <c r="H641" i="4"/>
  <c r="I640" i="4"/>
  <c r="L640" i="4"/>
  <c r="N640" i="4"/>
  <c r="H640" i="4"/>
  <c r="K640" i="4"/>
  <c r="J640" i="4"/>
  <c r="N639" i="4"/>
  <c r="L639" i="4"/>
  <c r="K639" i="4"/>
  <c r="I639" i="4"/>
  <c r="H639" i="4"/>
  <c r="J639" i="4" s="1"/>
  <c r="O639" i="4" s="1"/>
  <c r="H638" i="4"/>
  <c r="J638" i="4" s="1"/>
  <c r="O638" i="4" s="1"/>
  <c r="I638" i="4"/>
  <c r="K638" i="4"/>
  <c r="L638" i="4"/>
  <c r="N638" i="4"/>
  <c r="N637" i="4"/>
  <c r="L637" i="4"/>
  <c r="K637" i="4"/>
  <c r="I637" i="4"/>
  <c r="H637" i="4"/>
  <c r="J637" i="4" s="1"/>
  <c r="O637" i="4" s="1"/>
  <c r="L636" i="4"/>
  <c r="K636" i="4"/>
  <c r="I636" i="4"/>
  <c r="J636" i="4" s="1"/>
  <c r="O636" i="4" s="1"/>
  <c r="N636" i="4"/>
  <c r="H636" i="4"/>
  <c r="N635" i="4"/>
  <c r="L635" i="4"/>
  <c r="K635" i="4"/>
  <c r="H635" i="4"/>
  <c r="J635" i="4" s="1"/>
  <c r="O635" i="4" s="1"/>
  <c r="I635" i="4"/>
  <c r="N634" i="4"/>
  <c r="L634" i="4"/>
  <c r="K634" i="4"/>
  <c r="I634" i="4"/>
  <c r="H634" i="4"/>
  <c r="J634" i="4" s="1"/>
  <c r="O634" i="4" s="1"/>
  <c r="N633" i="4"/>
  <c r="L633" i="4"/>
  <c r="K633" i="4"/>
  <c r="J633" i="4"/>
  <c r="I633" i="4"/>
  <c r="H633" i="4"/>
  <c r="K632" i="4"/>
  <c r="I632" i="4"/>
  <c r="H632" i="4"/>
  <c r="J632" i="4" s="1"/>
  <c r="O632" i="4" s="1"/>
  <c r="L632" i="4"/>
  <c r="N632" i="4"/>
  <c r="N631" i="4"/>
  <c r="L631" i="4"/>
  <c r="K631" i="4"/>
  <c r="I631" i="4"/>
  <c r="H631" i="4"/>
  <c r="J631" i="4" s="1"/>
  <c r="O631" i="4" s="1"/>
  <c r="N630" i="4"/>
  <c r="L630" i="4"/>
  <c r="K630" i="4"/>
  <c r="I630" i="4"/>
  <c r="H630" i="4"/>
  <c r="J630" i="4" s="1"/>
  <c r="O630" i="4" s="1"/>
  <c r="K629" i="4"/>
  <c r="I629" i="4"/>
  <c r="H629" i="4"/>
  <c r="J629" i="4" s="1"/>
  <c r="O629" i="4" s="1"/>
  <c r="L629" i="4"/>
  <c r="N629" i="4"/>
  <c r="N628" i="4"/>
  <c r="L628" i="4"/>
  <c r="K628" i="4"/>
  <c r="I628" i="4"/>
  <c r="H628" i="4"/>
  <c r="J628" i="4" s="1"/>
  <c r="O628" i="4" s="1"/>
  <c r="N627" i="4"/>
  <c r="L627" i="4"/>
  <c r="K627" i="4"/>
  <c r="I627" i="4"/>
  <c r="H627" i="4"/>
  <c r="J627" i="4" s="1"/>
  <c r="O627" i="4" s="1"/>
  <c r="K626" i="4"/>
  <c r="I626" i="4"/>
  <c r="H626" i="4"/>
  <c r="J626" i="4" s="1"/>
  <c r="O626" i="4" s="1"/>
  <c r="L626" i="4"/>
  <c r="N626" i="4"/>
  <c r="N625" i="4"/>
  <c r="L625" i="4"/>
  <c r="K625" i="4"/>
  <c r="J625" i="4"/>
  <c r="I625" i="4"/>
  <c r="H625" i="4"/>
  <c r="N624" i="4"/>
  <c r="L624" i="4"/>
  <c r="K624" i="4"/>
  <c r="H624" i="4"/>
  <c r="I624" i="4"/>
  <c r="J624" i="4"/>
  <c r="I623" i="4"/>
  <c r="N623" i="4"/>
  <c r="H623" i="4"/>
  <c r="J623" i="4" s="1"/>
  <c r="N622" i="4"/>
  <c r="I622" i="4"/>
  <c r="H622" i="4"/>
  <c r="J622" i="4" s="1"/>
  <c r="N621" i="4"/>
  <c r="I621" i="4"/>
  <c r="H621" i="4"/>
  <c r="J621" i="4" s="1"/>
  <c r="H620" i="4"/>
  <c r="N620" i="4"/>
  <c r="I620" i="4"/>
  <c r="J620" i="4" s="1"/>
  <c r="H619" i="4"/>
  <c r="N619" i="4"/>
  <c r="I619" i="4"/>
  <c r="J619" i="4" s="1"/>
  <c r="H618" i="4"/>
  <c r="N618" i="4"/>
  <c r="I618" i="4"/>
  <c r="J618" i="4" s="1"/>
  <c r="H617" i="4"/>
  <c r="I617" i="4"/>
  <c r="J617" i="4" s="1"/>
  <c r="H616" i="4"/>
  <c r="N616" i="4"/>
  <c r="K616" i="4"/>
  <c r="J616" i="4"/>
  <c r="I616" i="4"/>
  <c r="H615" i="4"/>
  <c r="N615" i="4"/>
  <c r="I615" i="4"/>
  <c r="J615" i="4" s="1"/>
  <c r="H614" i="4"/>
  <c r="N614" i="4"/>
  <c r="I614" i="4"/>
  <c r="J614" i="4" s="1"/>
  <c r="H613" i="4"/>
  <c r="N613" i="4"/>
  <c r="I613" i="4"/>
  <c r="J613" i="4" s="1"/>
  <c r="H612" i="4"/>
  <c r="N612" i="4"/>
  <c r="K612" i="4"/>
  <c r="J612" i="4"/>
  <c r="I612" i="4"/>
  <c r="H611" i="4"/>
  <c r="N611" i="4"/>
  <c r="L611" i="4"/>
  <c r="K611" i="4"/>
  <c r="J611" i="4"/>
  <c r="O611" i="4" s="1"/>
  <c r="I611" i="4"/>
  <c r="H610" i="4"/>
  <c r="N610" i="4"/>
  <c r="I610" i="4"/>
  <c r="J610" i="4" s="1"/>
  <c r="H609" i="4"/>
  <c r="N609" i="4"/>
  <c r="I609" i="4"/>
  <c r="J609" i="4" s="1"/>
  <c r="H608" i="4"/>
  <c r="I608" i="4"/>
  <c r="N608" i="4"/>
  <c r="J608" i="4"/>
  <c r="J607" i="4"/>
  <c r="N607" i="4"/>
  <c r="K607" i="4"/>
  <c r="I607" i="4"/>
  <c r="H607" i="4"/>
  <c r="N606" i="4"/>
  <c r="I606" i="4"/>
  <c r="H606" i="4"/>
  <c r="J606" i="4" s="1"/>
  <c r="H605" i="4"/>
  <c r="N605" i="4"/>
  <c r="K605" i="4"/>
  <c r="I605" i="4"/>
  <c r="J605" i="4" s="1"/>
  <c r="H604" i="4"/>
  <c r="N604" i="4"/>
  <c r="L604" i="4"/>
  <c r="K604" i="4"/>
  <c r="J604" i="4"/>
  <c r="O604" i="4" s="1"/>
  <c r="I604" i="4"/>
  <c r="H603" i="4"/>
  <c r="N603" i="4"/>
  <c r="L603" i="4"/>
  <c r="K603" i="4"/>
  <c r="J603" i="4"/>
  <c r="O603" i="4" s="1"/>
  <c r="I603" i="4"/>
  <c r="H602" i="4"/>
  <c r="N602" i="4"/>
  <c r="L602" i="4"/>
  <c r="K602" i="4"/>
  <c r="I602" i="4"/>
  <c r="J602" i="4" s="1"/>
  <c r="O602" i="4" s="1"/>
  <c r="H601" i="4"/>
  <c r="N601" i="4"/>
  <c r="L601" i="4"/>
  <c r="K601" i="4"/>
  <c r="J601" i="4"/>
  <c r="O601" i="4" s="1"/>
  <c r="I601" i="4"/>
  <c r="H600" i="4"/>
  <c r="N600" i="4"/>
  <c r="L600" i="4"/>
  <c r="K600" i="4"/>
  <c r="I600" i="4"/>
  <c r="J600" i="4" s="1"/>
  <c r="O600" i="4" s="1"/>
  <c r="H599" i="4"/>
  <c r="N599" i="4"/>
  <c r="L599" i="4"/>
  <c r="K599" i="4"/>
  <c r="I599" i="4"/>
  <c r="J599" i="4" s="1"/>
  <c r="O599" i="4" s="1"/>
  <c r="H598" i="4"/>
  <c r="N598" i="4"/>
  <c r="L598" i="4"/>
  <c r="K598" i="4"/>
  <c r="J598" i="4"/>
  <c r="O598" i="4" s="1"/>
  <c r="I598" i="4"/>
  <c r="H597" i="4"/>
  <c r="N597" i="4"/>
  <c r="L597" i="4"/>
  <c r="K597" i="4"/>
  <c r="I597" i="4"/>
  <c r="J597" i="4" s="1"/>
  <c r="O597" i="4" s="1"/>
  <c r="H596" i="4"/>
  <c r="N596" i="4"/>
  <c r="L596" i="4"/>
  <c r="K596" i="4"/>
  <c r="J596" i="4"/>
  <c r="O596" i="4" s="1"/>
  <c r="I596" i="4"/>
  <c r="H595" i="4"/>
  <c r="N595" i="4"/>
  <c r="L595" i="4"/>
  <c r="K595" i="4"/>
  <c r="J595" i="4"/>
  <c r="O595" i="4" s="1"/>
  <c r="I595" i="4"/>
  <c r="H594" i="4"/>
  <c r="N594" i="4"/>
  <c r="L594" i="4"/>
  <c r="K594" i="4"/>
  <c r="I594" i="4"/>
  <c r="J594" i="4" s="1"/>
  <c r="O594" i="4" s="1"/>
  <c r="H593" i="4"/>
  <c r="N593" i="4"/>
  <c r="L593" i="4"/>
  <c r="K593" i="4"/>
  <c r="J593" i="4"/>
  <c r="O593" i="4" s="1"/>
  <c r="I593" i="4"/>
  <c r="H592" i="4"/>
  <c r="I592" i="4"/>
  <c r="N592" i="4"/>
  <c r="L592" i="4"/>
  <c r="K592" i="4"/>
  <c r="J592" i="4"/>
  <c r="O592" i="4" s="1"/>
  <c r="N591" i="4"/>
  <c r="L591" i="4"/>
  <c r="I591" i="4"/>
  <c r="H591" i="4"/>
  <c r="J591" i="4" s="1"/>
  <c r="O591" i="4" s="1"/>
  <c r="K591" i="4"/>
  <c r="L590" i="4"/>
  <c r="K590" i="4"/>
  <c r="I590" i="4"/>
  <c r="H590" i="4"/>
  <c r="J590" i="4" s="1"/>
  <c r="O590" i="4" s="1"/>
  <c r="N590" i="4"/>
  <c r="N589" i="4"/>
  <c r="L589" i="4"/>
  <c r="K589" i="4"/>
  <c r="I589" i="4"/>
  <c r="H589" i="4"/>
  <c r="J589" i="4" s="1"/>
  <c r="O589" i="4" s="1"/>
  <c r="N588" i="4"/>
  <c r="L588" i="4"/>
  <c r="K588" i="4"/>
  <c r="I588" i="4"/>
  <c r="H588" i="4"/>
  <c r="J588" i="4" s="1"/>
  <c r="O588" i="4" s="1"/>
  <c r="H587" i="4"/>
  <c r="N587" i="4"/>
  <c r="L587" i="4"/>
  <c r="K587" i="4"/>
  <c r="I587" i="4"/>
  <c r="J587" i="4" s="1"/>
  <c r="O587" i="4" s="1"/>
  <c r="N586" i="4"/>
  <c r="L586" i="4"/>
  <c r="K586" i="4"/>
  <c r="I586" i="4"/>
  <c r="J586" i="4" s="1"/>
  <c r="O586" i="4" s="1"/>
  <c r="H586" i="4"/>
  <c r="L585" i="4"/>
  <c r="K585" i="4"/>
  <c r="I585" i="4"/>
  <c r="H585" i="4"/>
  <c r="J585" i="4" s="1"/>
  <c r="O585" i="4" s="1"/>
  <c r="N585" i="4"/>
  <c r="N584" i="4"/>
  <c r="L584" i="4"/>
  <c r="K584" i="4"/>
  <c r="I584" i="4"/>
  <c r="H584" i="4"/>
  <c r="J584" i="4" s="1"/>
  <c r="O584" i="4" s="1"/>
  <c r="N583" i="4"/>
  <c r="L583" i="4"/>
  <c r="K583" i="4"/>
  <c r="I583" i="4"/>
  <c r="H583" i="4"/>
  <c r="J583" i="4" s="1"/>
  <c r="O583" i="4" s="1"/>
  <c r="H582" i="4"/>
  <c r="L582" i="4"/>
  <c r="K582" i="4"/>
  <c r="N582" i="4"/>
  <c r="I582" i="4"/>
  <c r="J582" i="4" s="1"/>
  <c r="O582" i="4" s="1"/>
  <c r="N581" i="4"/>
  <c r="L581" i="4"/>
  <c r="K581" i="4"/>
  <c r="I581" i="4"/>
  <c r="H581" i="4"/>
  <c r="J581" i="4" s="1"/>
  <c r="O581" i="4" s="1"/>
  <c r="N580" i="4"/>
  <c r="L580" i="4"/>
  <c r="K580" i="4"/>
  <c r="I580" i="4"/>
  <c r="J580" i="4" s="1"/>
  <c r="O580" i="4" s="1"/>
  <c r="C16" i="6" s="1"/>
  <c r="D16" i="6" s="1"/>
  <c r="E16" i="6" s="1"/>
  <c r="H580" i="4"/>
  <c r="N579" i="4"/>
  <c r="L579" i="4"/>
  <c r="K579" i="4"/>
  <c r="J579" i="4"/>
  <c r="O579" i="4" s="1"/>
  <c r="I579" i="4"/>
  <c r="H579" i="4"/>
  <c r="H578" i="4"/>
  <c r="N578" i="4"/>
  <c r="L578" i="4"/>
  <c r="K578" i="4"/>
  <c r="I578" i="4"/>
  <c r="J578" i="4" s="1"/>
  <c r="O578" i="4" s="1"/>
  <c r="N577" i="4"/>
  <c r="L577" i="4"/>
  <c r="K577" i="4"/>
  <c r="I577" i="4"/>
  <c r="H577" i="4"/>
  <c r="J577" i="4" s="1"/>
  <c r="O577" i="4" s="1"/>
  <c r="J576" i="4"/>
  <c r="K576" i="4"/>
  <c r="N576" i="4"/>
  <c r="H576" i="4"/>
  <c r="I576" i="4"/>
  <c r="L576" i="4"/>
  <c r="H575" i="4"/>
  <c r="N575" i="4"/>
  <c r="L575" i="4"/>
  <c r="K575" i="4"/>
  <c r="I575" i="4"/>
  <c r="J575" i="4" s="1"/>
  <c r="O575" i="4" s="1"/>
  <c r="N574" i="4"/>
  <c r="L574" i="4"/>
  <c r="K574" i="4"/>
  <c r="I574" i="4"/>
  <c r="H574" i="4"/>
  <c r="J574" i="4" s="1"/>
  <c r="O574" i="4" s="1"/>
  <c r="N573" i="4"/>
  <c r="L573" i="4"/>
  <c r="K573" i="4"/>
  <c r="I573" i="4"/>
  <c r="H573" i="4"/>
  <c r="J573" i="4" s="1"/>
  <c r="O573" i="4" s="1"/>
  <c r="N572" i="4"/>
  <c r="L572" i="4"/>
  <c r="K572" i="4"/>
  <c r="J572" i="4"/>
  <c r="O572" i="4" s="1"/>
  <c r="I572" i="4"/>
  <c r="H572" i="4"/>
  <c r="H571" i="4"/>
  <c r="N571" i="4"/>
  <c r="L571" i="4"/>
  <c r="K571" i="4"/>
  <c r="I571" i="4"/>
  <c r="J571" i="4" s="1"/>
  <c r="O571" i="4" s="1"/>
  <c r="H570" i="4"/>
  <c r="N570" i="4"/>
  <c r="L570" i="4"/>
  <c r="K570" i="4"/>
  <c r="I570" i="4"/>
  <c r="J570" i="4" s="1"/>
  <c r="O570" i="4" s="1"/>
  <c r="L569" i="4"/>
  <c r="K569" i="4"/>
  <c r="I569" i="4"/>
  <c r="H569" i="4"/>
  <c r="J569" i="4" s="1"/>
  <c r="O569" i="4" s="1"/>
  <c r="N569" i="4"/>
  <c r="N568" i="4"/>
  <c r="L568" i="4"/>
  <c r="K568" i="4"/>
  <c r="I568" i="4"/>
  <c r="H568" i="4"/>
  <c r="J568" i="4" s="1"/>
  <c r="O568" i="4" s="1"/>
  <c r="H567" i="4"/>
  <c r="N567" i="4"/>
  <c r="L567" i="4"/>
  <c r="K567" i="4"/>
  <c r="I567" i="4"/>
  <c r="J567" i="4" s="1"/>
  <c r="O567" i="4" s="1"/>
  <c r="N566" i="4"/>
  <c r="L566" i="4"/>
  <c r="K566" i="4"/>
  <c r="I566" i="4"/>
  <c r="J566" i="4" s="1"/>
  <c r="O566" i="4" s="1"/>
  <c r="H566" i="4"/>
  <c r="L565" i="4"/>
  <c r="K565" i="4"/>
  <c r="I565" i="4"/>
  <c r="H565" i="4"/>
  <c r="J565" i="4" s="1"/>
  <c r="O565" i="4" s="1"/>
  <c r="N565" i="4"/>
  <c r="N564" i="4"/>
  <c r="L564" i="4"/>
  <c r="K564" i="4"/>
  <c r="I564" i="4"/>
  <c r="H564" i="4"/>
  <c r="J564" i="4" s="1"/>
  <c r="O564" i="4" s="1"/>
  <c r="N563" i="4"/>
  <c r="L563" i="4"/>
  <c r="K563" i="4"/>
  <c r="I563" i="4"/>
  <c r="H563" i="4"/>
  <c r="J563" i="4" s="1"/>
  <c r="O563" i="4" s="1"/>
  <c r="H562" i="4"/>
  <c r="N562" i="4"/>
  <c r="L562" i="4"/>
  <c r="K562" i="4"/>
  <c r="I562" i="4"/>
  <c r="J562" i="4" s="1"/>
  <c r="O562" i="4" s="1"/>
  <c r="C18" i="6" s="1"/>
  <c r="D18" i="6" s="1"/>
  <c r="E18" i="6" s="1"/>
  <c r="N561" i="4"/>
  <c r="L561" i="4"/>
  <c r="K561" i="4"/>
  <c r="I561" i="4"/>
  <c r="H561" i="4"/>
  <c r="J561" i="4" s="1"/>
  <c r="O561" i="4" s="1"/>
  <c r="H560" i="4"/>
  <c r="L560" i="4"/>
  <c r="K560" i="4"/>
  <c r="I560" i="4"/>
  <c r="J560" i="4" s="1"/>
  <c r="O560" i="4" s="1"/>
  <c r="N560" i="4"/>
  <c r="H559" i="4"/>
  <c r="N559" i="4"/>
  <c r="L559" i="4"/>
  <c r="K559" i="4"/>
  <c r="J559" i="4"/>
  <c r="O559" i="4" s="1"/>
  <c r="I559" i="4"/>
  <c r="N558" i="4"/>
  <c r="L558" i="4"/>
  <c r="K558" i="4"/>
  <c r="I558" i="4"/>
  <c r="H558" i="4"/>
  <c r="J558" i="4" s="1"/>
  <c r="O558" i="4" s="1"/>
  <c r="N557" i="4"/>
  <c r="L557" i="4"/>
  <c r="K557" i="4"/>
  <c r="I557" i="4"/>
  <c r="H557" i="4"/>
  <c r="J557" i="4" s="1"/>
  <c r="O557" i="4" s="1"/>
  <c r="N556" i="4"/>
  <c r="L556" i="4"/>
  <c r="K556" i="4"/>
  <c r="J556" i="4"/>
  <c r="O556" i="4" s="1"/>
  <c r="I556" i="4"/>
  <c r="H556" i="4"/>
  <c r="H555" i="4"/>
  <c r="N555" i="4"/>
  <c r="L555" i="4"/>
  <c r="K555" i="4"/>
  <c r="I555" i="4"/>
  <c r="J555" i="4" s="1"/>
  <c r="O555" i="4" s="1"/>
  <c r="H554" i="4"/>
  <c r="N554" i="4"/>
  <c r="L554" i="4"/>
  <c r="K554" i="4"/>
  <c r="I554" i="4"/>
  <c r="J554" i="4" s="1"/>
  <c r="O554" i="4" s="1"/>
  <c r="L553" i="4"/>
  <c r="K553" i="4"/>
  <c r="I553" i="4"/>
  <c r="H553" i="4"/>
  <c r="J553" i="4" s="1"/>
  <c r="O553" i="4" s="1"/>
  <c r="N553" i="4"/>
  <c r="N552" i="4"/>
  <c r="L552" i="4"/>
  <c r="K552" i="4"/>
  <c r="I552" i="4"/>
  <c r="J552" i="4" s="1"/>
  <c r="O552" i="4" s="1"/>
  <c r="H552" i="4"/>
  <c r="N551" i="4"/>
  <c r="L551" i="4"/>
  <c r="K551" i="4"/>
  <c r="I551" i="4"/>
  <c r="H551" i="4"/>
  <c r="J551" i="4" s="1"/>
  <c r="O551" i="4" s="1"/>
  <c r="K550" i="4"/>
  <c r="H550" i="4"/>
  <c r="L550" i="4"/>
  <c r="N550" i="4"/>
  <c r="J550" i="4"/>
  <c r="O550" i="4" s="1"/>
  <c r="C22" i="6" s="1"/>
  <c r="D22" i="6" s="1"/>
  <c r="E22" i="6" s="1"/>
  <c r="I550" i="4"/>
  <c r="K549" i="4"/>
  <c r="N549" i="4"/>
  <c r="L549" i="4"/>
  <c r="I549" i="4"/>
  <c r="H549" i="4"/>
  <c r="J549" i="4" s="1"/>
  <c r="O549" i="4" s="1"/>
  <c r="N548" i="4"/>
  <c r="L548" i="4"/>
  <c r="K548" i="4"/>
  <c r="I548" i="4"/>
  <c r="J548" i="4" s="1"/>
  <c r="O548" i="4" s="1"/>
  <c r="H548" i="4"/>
  <c r="N547" i="4"/>
  <c r="L547" i="4"/>
  <c r="K547" i="4"/>
  <c r="I547" i="4"/>
  <c r="H547" i="4"/>
  <c r="J547" i="4" s="1"/>
  <c r="O547" i="4" s="1"/>
  <c r="H546" i="4"/>
  <c r="N546" i="4"/>
  <c r="L546" i="4"/>
  <c r="K546" i="4"/>
  <c r="I546" i="4"/>
  <c r="J546" i="4" s="1"/>
  <c r="O546" i="4" s="1"/>
  <c r="N545" i="4"/>
  <c r="L545" i="4"/>
  <c r="K545" i="4"/>
  <c r="I545" i="4"/>
  <c r="H545" i="4"/>
  <c r="J545" i="4" s="1"/>
  <c r="O545" i="4" s="1"/>
  <c r="N544" i="4"/>
  <c r="K544" i="4"/>
  <c r="I544" i="4"/>
  <c r="J544" i="4" s="1"/>
  <c r="O544" i="4" s="1"/>
  <c r="H544" i="4"/>
  <c r="L544" i="4"/>
  <c r="H543" i="4"/>
  <c r="N543" i="4"/>
  <c r="L543" i="4"/>
  <c r="K543" i="4"/>
  <c r="I543" i="4"/>
  <c r="J543" i="4" s="1"/>
  <c r="O543" i="4" s="1"/>
  <c r="N542" i="4"/>
  <c r="L542" i="4"/>
  <c r="K542" i="4"/>
  <c r="I542" i="4"/>
  <c r="H542" i="4"/>
  <c r="J542" i="4" s="1"/>
  <c r="O542" i="4" s="1"/>
  <c r="N541" i="4"/>
  <c r="L541" i="4"/>
  <c r="K541" i="4"/>
  <c r="I541" i="4"/>
  <c r="J541" i="4" s="1"/>
  <c r="O541" i="4" s="1"/>
  <c r="H541" i="4"/>
  <c r="N540" i="4"/>
  <c r="L540" i="4"/>
  <c r="K540" i="4"/>
  <c r="I540" i="4"/>
  <c r="H540" i="4"/>
  <c r="J540" i="4" s="1"/>
  <c r="O540" i="4" s="1"/>
  <c r="H539" i="4"/>
  <c r="N539" i="4"/>
  <c r="L539" i="4"/>
  <c r="K539" i="4"/>
  <c r="I539" i="4"/>
  <c r="J539" i="4" s="1"/>
  <c r="O539" i="4" s="1"/>
  <c r="H538" i="4"/>
  <c r="N538" i="4"/>
  <c r="L538" i="4"/>
  <c r="K538" i="4"/>
  <c r="J538" i="4"/>
  <c r="I538" i="4"/>
  <c r="K537" i="4"/>
  <c r="L537" i="4"/>
  <c r="J537" i="4"/>
  <c r="N537" i="4"/>
  <c r="H537" i="4"/>
  <c r="I537" i="4"/>
  <c r="N536" i="4"/>
  <c r="L536" i="4"/>
  <c r="K536" i="4"/>
  <c r="I536" i="4"/>
  <c r="H536" i="4"/>
  <c r="J536" i="4" s="1"/>
  <c r="O536" i="4" s="1"/>
  <c r="H535" i="4"/>
  <c r="N535" i="4"/>
  <c r="L535" i="4"/>
  <c r="K535" i="4"/>
  <c r="I535" i="4"/>
  <c r="J535" i="4" s="1"/>
  <c r="O535" i="4" s="1"/>
  <c r="N534" i="4"/>
  <c r="L534" i="4"/>
  <c r="K534" i="4"/>
  <c r="I534" i="4"/>
  <c r="H534" i="4"/>
  <c r="J534" i="4" s="1"/>
  <c r="O534" i="4" s="1"/>
  <c r="J533" i="4"/>
  <c r="L533" i="4"/>
  <c r="K533" i="4"/>
  <c r="I533" i="4"/>
  <c r="H533" i="4"/>
  <c r="N533" i="4"/>
  <c r="N532" i="4"/>
  <c r="L532" i="4"/>
  <c r="K532" i="4"/>
  <c r="J532" i="4"/>
  <c r="I532" i="4"/>
  <c r="H532" i="4"/>
  <c r="N531" i="4"/>
  <c r="L531" i="4"/>
  <c r="K531" i="4"/>
  <c r="I531" i="4"/>
  <c r="J531" i="4" s="1"/>
  <c r="O531" i="4" s="1"/>
  <c r="H531" i="4"/>
  <c r="N530" i="4"/>
  <c r="L530" i="4"/>
  <c r="K530" i="4"/>
  <c r="I530" i="4"/>
  <c r="H530" i="4"/>
  <c r="J530" i="4" s="1"/>
  <c r="O530" i="4" s="1"/>
  <c r="H529" i="4"/>
  <c r="N529" i="4"/>
  <c r="L529" i="4"/>
  <c r="K529" i="4"/>
  <c r="I529" i="4"/>
  <c r="J529" i="4" s="1"/>
  <c r="O529" i="4" s="1"/>
  <c r="N528" i="4"/>
  <c r="I528" i="4"/>
  <c r="H528" i="4"/>
  <c r="J528" i="4" s="1"/>
  <c r="O528" i="4" s="1"/>
  <c r="L528" i="4"/>
  <c r="K528" i="4"/>
  <c r="N527" i="4"/>
  <c r="L527" i="4"/>
  <c r="K527" i="4"/>
  <c r="I527" i="4"/>
  <c r="H527" i="4"/>
  <c r="J527" i="4" s="1"/>
  <c r="O527" i="4" s="1"/>
  <c r="N526" i="4"/>
  <c r="L526" i="4"/>
  <c r="K526" i="4"/>
  <c r="I526" i="4"/>
  <c r="J526" i="4" s="1"/>
  <c r="O526" i="4" s="1"/>
  <c r="H526" i="4"/>
  <c r="N525" i="4"/>
  <c r="L525" i="4"/>
  <c r="K525" i="4"/>
  <c r="I525" i="4"/>
  <c r="J525" i="4" s="1"/>
  <c r="O525" i="4" s="1"/>
  <c r="H525" i="4"/>
  <c r="N524" i="4"/>
  <c r="L524" i="4"/>
  <c r="K524" i="4"/>
  <c r="I524" i="4"/>
  <c r="H524" i="4"/>
  <c r="J524" i="4" s="1"/>
  <c r="O524" i="4" s="1"/>
  <c r="H523" i="4"/>
  <c r="N523" i="4"/>
  <c r="L523" i="4"/>
  <c r="K523" i="4"/>
  <c r="J523" i="4"/>
  <c r="I523" i="4"/>
  <c r="L522" i="4"/>
  <c r="K522" i="4"/>
  <c r="I522" i="4"/>
  <c r="H522" i="4"/>
  <c r="J522" i="4" s="1"/>
  <c r="O522" i="4" s="1"/>
  <c r="N522" i="4"/>
  <c r="N521" i="4"/>
  <c r="L521" i="4"/>
  <c r="K521" i="4"/>
  <c r="I521" i="4"/>
  <c r="H521" i="4"/>
  <c r="J521" i="4" s="1"/>
  <c r="O521" i="4" s="1"/>
  <c r="N520" i="4"/>
  <c r="L520" i="4"/>
  <c r="K520" i="4"/>
  <c r="I520" i="4"/>
  <c r="H520" i="4"/>
  <c r="J520" i="4" s="1"/>
  <c r="O520" i="4" s="1"/>
  <c r="K519" i="4"/>
  <c r="H519" i="4"/>
  <c r="L519" i="4"/>
  <c r="N519" i="4"/>
  <c r="I519" i="4"/>
  <c r="J519" i="4" s="1"/>
  <c r="O519" i="4" s="1"/>
  <c r="N518" i="4"/>
  <c r="L518" i="4"/>
  <c r="K518" i="4"/>
  <c r="I518" i="4"/>
  <c r="J518" i="4" s="1"/>
  <c r="O518" i="4" s="1"/>
  <c r="H518" i="4"/>
  <c r="N517" i="4"/>
  <c r="L517" i="4"/>
  <c r="K517" i="4"/>
  <c r="I517" i="4"/>
  <c r="J517" i="4" s="1"/>
  <c r="O517" i="4" s="1"/>
  <c r="H517" i="4"/>
  <c r="N516" i="4"/>
  <c r="L516" i="4"/>
  <c r="K516" i="4"/>
  <c r="I516" i="4"/>
  <c r="H516" i="4"/>
  <c r="J516" i="4" s="1"/>
  <c r="O516" i="4" s="1"/>
  <c r="H515" i="4"/>
  <c r="N515" i="4"/>
  <c r="L515" i="4"/>
  <c r="K515" i="4"/>
  <c r="I515" i="4"/>
  <c r="J515" i="4" s="1"/>
  <c r="O515" i="4" s="1"/>
  <c r="H514" i="4"/>
  <c r="N514" i="4"/>
  <c r="L514" i="4"/>
  <c r="K514" i="4"/>
  <c r="I514" i="4"/>
  <c r="J514" i="4" s="1"/>
  <c r="O514" i="4" s="1"/>
  <c r="K513" i="4"/>
  <c r="I513" i="4"/>
  <c r="H513" i="4"/>
  <c r="N513" i="4"/>
  <c r="L513" i="4"/>
  <c r="J513" i="4"/>
  <c r="H512" i="4"/>
  <c r="N512" i="4"/>
  <c r="L512" i="4"/>
  <c r="K512" i="4"/>
  <c r="I512" i="4"/>
  <c r="J512" i="4" s="1"/>
  <c r="O512" i="4" s="1"/>
  <c r="N511" i="4"/>
  <c r="L511" i="4"/>
  <c r="K511" i="4"/>
  <c r="J511" i="4"/>
  <c r="I511" i="4"/>
  <c r="H511" i="4"/>
  <c r="N510" i="4"/>
  <c r="L510" i="4"/>
  <c r="K510" i="4"/>
  <c r="J510" i="4"/>
  <c r="I510" i="4"/>
  <c r="H510" i="4"/>
  <c r="N509" i="4"/>
  <c r="L509" i="4"/>
  <c r="K509" i="4"/>
  <c r="J509" i="4"/>
  <c r="I509" i="4"/>
  <c r="H509" i="4"/>
  <c r="H508" i="4"/>
  <c r="N508" i="4"/>
  <c r="L508" i="4"/>
  <c r="K508" i="4"/>
  <c r="I508" i="4"/>
  <c r="J508" i="4" s="1"/>
  <c r="O508" i="4" s="1"/>
  <c r="H507" i="4"/>
  <c r="N507" i="4"/>
  <c r="L507" i="4"/>
  <c r="K507" i="4"/>
  <c r="I507" i="4"/>
  <c r="J507" i="4" s="1"/>
  <c r="O507" i="4" s="1"/>
  <c r="L506" i="4"/>
  <c r="K506" i="4"/>
  <c r="I506" i="4"/>
  <c r="J506" i="4" s="1"/>
  <c r="O506" i="4" s="1"/>
  <c r="H506" i="4"/>
  <c r="N506" i="4"/>
  <c r="N505" i="4"/>
  <c r="L505" i="4"/>
  <c r="K505" i="4"/>
  <c r="J505" i="4"/>
  <c r="I505" i="4"/>
  <c r="H505" i="4"/>
  <c r="H504" i="4"/>
  <c r="N504" i="4"/>
  <c r="L504" i="4"/>
  <c r="K504" i="4"/>
  <c r="I504" i="4"/>
  <c r="J504" i="4" s="1"/>
  <c r="O504" i="4" s="1"/>
  <c r="N503" i="4"/>
  <c r="L503" i="4"/>
  <c r="K503" i="4"/>
  <c r="I503" i="4"/>
  <c r="H503" i="4"/>
  <c r="J503" i="4" s="1"/>
  <c r="O503" i="4" s="1"/>
  <c r="L502" i="4"/>
  <c r="K502" i="4"/>
  <c r="I502" i="4"/>
  <c r="J502" i="4" s="1"/>
  <c r="O502" i="4" s="1"/>
  <c r="H502" i="4"/>
  <c r="N502" i="4"/>
  <c r="N501" i="4"/>
  <c r="L501" i="4"/>
  <c r="K501" i="4"/>
  <c r="I501" i="4"/>
  <c r="H501" i="4"/>
  <c r="J501" i="4" s="1"/>
  <c r="O501" i="4" s="1"/>
  <c r="N500" i="4"/>
  <c r="L500" i="4"/>
  <c r="K500" i="4"/>
  <c r="I500" i="4"/>
  <c r="H500" i="4"/>
  <c r="J500" i="4" s="1"/>
  <c r="O500" i="4" s="1"/>
  <c r="H499" i="4"/>
  <c r="N499" i="4"/>
  <c r="L499" i="4"/>
  <c r="K499" i="4"/>
  <c r="J499" i="4"/>
  <c r="I499" i="4"/>
  <c r="H498" i="4"/>
  <c r="N498" i="4"/>
  <c r="I498" i="4"/>
  <c r="J498" i="4" s="1"/>
  <c r="H497" i="4"/>
  <c r="N497" i="4"/>
  <c r="I497" i="4"/>
  <c r="J497" i="4" s="1"/>
  <c r="I496" i="4"/>
  <c r="H496" i="4"/>
  <c r="J496" i="4" s="1"/>
  <c r="N496" i="4"/>
  <c r="N495" i="4"/>
  <c r="I495" i="4"/>
  <c r="J495" i="4" s="1"/>
  <c r="H495" i="4"/>
  <c r="N494" i="4"/>
  <c r="I494" i="4"/>
  <c r="H494" i="4"/>
  <c r="J494" i="4" s="1"/>
  <c r="I493" i="4"/>
  <c r="H493" i="4"/>
  <c r="J493" i="4" s="1"/>
  <c r="N493" i="4"/>
  <c r="N492" i="4"/>
  <c r="I492" i="4"/>
  <c r="H492" i="4"/>
  <c r="J492" i="4" s="1"/>
  <c r="I491" i="4"/>
  <c r="J491" i="4" s="1"/>
  <c r="H491" i="4"/>
  <c r="N491" i="4"/>
  <c r="N490" i="4"/>
  <c r="L490" i="4"/>
  <c r="K490" i="4"/>
  <c r="J490" i="4"/>
  <c r="O490" i="4" s="1"/>
  <c r="I490" i="4"/>
  <c r="H490" i="4"/>
  <c r="I489" i="4"/>
  <c r="J489" i="4" s="1"/>
  <c r="H489" i="4"/>
  <c r="N489" i="4"/>
  <c r="N487" i="4"/>
  <c r="I487" i="4"/>
  <c r="H487" i="4"/>
  <c r="J487" i="4" s="1"/>
  <c r="N486" i="4"/>
  <c r="K486" i="4"/>
  <c r="J486" i="4"/>
  <c r="I486" i="4"/>
  <c r="H486" i="4"/>
  <c r="I485" i="4"/>
  <c r="J485" i="4" s="1"/>
  <c r="H485" i="4"/>
  <c r="N485" i="4"/>
  <c r="N484" i="4"/>
  <c r="I484" i="4"/>
  <c r="H484" i="4"/>
  <c r="J484" i="4" s="1"/>
  <c r="I483" i="4"/>
  <c r="J483" i="4"/>
  <c r="H483" i="4"/>
  <c r="N483" i="4"/>
  <c r="N482" i="4"/>
  <c r="I482" i="4"/>
  <c r="H482" i="4"/>
  <c r="J482" i="4" s="1"/>
  <c r="N481" i="4"/>
  <c r="I481" i="4"/>
  <c r="H481" i="4"/>
  <c r="J481" i="4" s="1"/>
  <c r="N480" i="4"/>
  <c r="I480" i="4"/>
  <c r="H480" i="4"/>
  <c r="J480" i="4" s="1"/>
  <c r="N479" i="4"/>
  <c r="L479" i="4"/>
  <c r="K479" i="4"/>
  <c r="J479" i="4"/>
  <c r="O479" i="4" s="1"/>
  <c r="I479" i="4"/>
  <c r="H479" i="4"/>
  <c r="N478" i="4"/>
  <c r="K478" i="4"/>
  <c r="J478" i="4"/>
  <c r="I478" i="4"/>
  <c r="H478" i="4"/>
  <c r="H477" i="4"/>
  <c r="I477" i="4"/>
  <c r="J477" i="4" s="1"/>
  <c r="N477" i="4"/>
  <c r="N476" i="4"/>
  <c r="L476" i="4"/>
  <c r="K476" i="4"/>
  <c r="J476" i="4"/>
  <c r="O476" i="4" s="1"/>
  <c r="I476" i="4"/>
  <c r="H476" i="4"/>
  <c r="I475" i="4"/>
  <c r="H475" i="4"/>
  <c r="J475" i="4" s="1"/>
  <c r="N475" i="4"/>
  <c r="N474" i="4"/>
  <c r="I474" i="4"/>
  <c r="J474" i="4" s="1"/>
  <c r="H474" i="4"/>
  <c r="H473" i="4"/>
  <c r="I473" i="4"/>
  <c r="J473" i="4" s="1"/>
  <c r="N473" i="4"/>
  <c r="N472" i="4"/>
  <c r="I472" i="4"/>
  <c r="J472" i="4" s="1"/>
  <c r="H472" i="4"/>
  <c r="K471" i="4"/>
  <c r="J471" i="4"/>
  <c r="I471" i="4"/>
  <c r="H471" i="4"/>
  <c r="N471" i="4"/>
  <c r="N470" i="4"/>
  <c r="I470" i="4"/>
  <c r="H470" i="4"/>
  <c r="J470" i="4" s="1"/>
  <c r="I469" i="4"/>
  <c r="H469" i="4"/>
  <c r="J469" i="4" s="1"/>
  <c r="N469" i="4"/>
  <c r="N468" i="4"/>
  <c r="I468" i="4"/>
  <c r="H468" i="4"/>
  <c r="J468" i="4" s="1"/>
  <c r="I467" i="4"/>
  <c r="H467" i="4"/>
  <c r="J467" i="4" s="1"/>
  <c r="N467" i="4"/>
  <c r="N466" i="4"/>
  <c r="L466" i="4"/>
  <c r="K466" i="4"/>
  <c r="J466" i="4"/>
  <c r="O466" i="4" s="1"/>
  <c r="I466" i="4"/>
  <c r="H466" i="4"/>
  <c r="H465" i="4"/>
  <c r="I465" i="4"/>
  <c r="J465" i="4"/>
  <c r="N465" i="4"/>
  <c r="I464" i="4"/>
  <c r="H464" i="4"/>
  <c r="J464" i="4" s="1"/>
  <c r="N464" i="4"/>
  <c r="N463" i="4"/>
  <c r="I463" i="4"/>
  <c r="J463" i="4" s="1"/>
  <c r="H463" i="4"/>
  <c r="H462" i="4"/>
  <c r="K462" i="4"/>
  <c r="J462" i="4"/>
  <c r="I462" i="4"/>
  <c r="N462" i="4"/>
  <c r="N461" i="4"/>
  <c r="K461" i="4"/>
  <c r="J461" i="4"/>
  <c r="I461" i="4"/>
  <c r="H461" i="4"/>
  <c r="I460" i="4"/>
  <c r="H460" i="4"/>
  <c r="J460" i="4" s="1"/>
  <c r="N460" i="4"/>
  <c r="N459" i="4"/>
  <c r="I459" i="4"/>
  <c r="H459" i="4"/>
  <c r="J459" i="4" s="1"/>
  <c r="H458" i="4"/>
  <c r="I458" i="4"/>
  <c r="J458" i="4" s="1"/>
  <c r="N458" i="4"/>
  <c r="N457" i="4"/>
  <c r="L457" i="4"/>
  <c r="K457" i="4"/>
  <c r="J457" i="4"/>
  <c r="O457" i="4" s="1"/>
  <c r="I457" i="4"/>
  <c r="H457" i="4"/>
  <c r="I456" i="4"/>
  <c r="H456" i="4"/>
  <c r="J456" i="4" s="1"/>
  <c r="N456" i="4"/>
  <c r="N455" i="4"/>
  <c r="I455" i="4"/>
  <c r="H455" i="4"/>
  <c r="J455" i="4" s="1"/>
  <c r="I454" i="4"/>
  <c r="H454" i="4"/>
  <c r="J454" i="4" s="1"/>
  <c r="N454" i="4"/>
  <c r="N453" i="4"/>
  <c r="I453" i="4"/>
  <c r="H453" i="4"/>
  <c r="J453" i="4" s="1"/>
  <c r="K452" i="4"/>
  <c r="J452" i="4"/>
  <c r="I452" i="4"/>
  <c r="H452" i="4"/>
  <c r="N452" i="4"/>
  <c r="N451" i="4"/>
  <c r="K451" i="4"/>
  <c r="J451" i="4"/>
  <c r="I451" i="4"/>
  <c r="H451" i="4"/>
  <c r="I450" i="4"/>
  <c r="N450" i="4"/>
  <c r="H450" i="4"/>
  <c r="J450" i="4" s="1"/>
  <c r="N449" i="4"/>
  <c r="K449" i="4"/>
  <c r="J449" i="4"/>
  <c r="I449" i="4"/>
  <c r="H449" i="4"/>
  <c r="I448" i="4"/>
  <c r="J448" i="4" s="1"/>
  <c r="H448" i="4"/>
  <c r="N448" i="4"/>
  <c r="N447" i="4"/>
  <c r="I447" i="4"/>
  <c r="J447" i="4" s="1"/>
  <c r="H447" i="4"/>
  <c r="L446" i="4"/>
  <c r="K446" i="4"/>
  <c r="J446" i="4"/>
  <c r="I446" i="4"/>
  <c r="H446" i="4"/>
  <c r="N446" i="4"/>
  <c r="N445" i="4"/>
  <c r="I445" i="4"/>
  <c r="H445" i="4"/>
  <c r="J445" i="4" s="1"/>
  <c r="I444" i="4"/>
  <c r="H444" i="4"/>
  <c r="J444" i="4" s="1"/>
  <c r="N444" i="4"/>
  <c r="N443" i="4"/>
  <c r="K443" i="4"/>
  <c r="J443" i="4"/>
  <c r="I443" i="4"/>
  <c r="H443" i="4"/>
  <c r="I442" i="4"/>
  <c r="H442" i="4"/>
  <c r="J442" i="4" s="1"/>
  <c r="N442" i="4"/>
  <c r="N441" i="4"/>
  <c r="I441" i="4"/>
  <c r="H441" i="4"/>
  <c r="J441" i="4" s="1"/>
  <c r="I440" i="4"/>
  <c r="J440" i="4" s="1"/>
  <c r="H440" i="4"/>
  <c r="N440" i="4"/>
  <c r="N439" i="4"/>
  <c r="L439" i="4"/>
  <c r="K439" i="4"/>
  <c r="J439" i="4"/>
  <c r="O439" i="4" s="1"/>
  <c r="I439" i="4"/>
  <c r="H439" i="4"/>
  <c r="I438" i="4"/>
  <c r="H438" i="4"/>
  <c r="J438" i="4" s="1"/>
  <c r="N438" i="4"/>
  <c r="N437" i="4"/>
  <c r="I437" i="4"/>
  <c r="H437" i="4"/>
  <c r="J437" i="4" s="1"/>
  <c r="L436" i="4"/>
  <c r="K436" i="4"/>
  <c r="J436" i="4"/>
  <c r="I436" i="4"/>
  <c r="H436" i="4"/>
  <c r="N436" i="4"/>
  <c r="N435" i="4"/>
  <c r="K435" i="4"/>
  <c r="J435" i="4"/>
  <c r="I435" i="4"/>
  <c r="H435" i="4"/>
  <c r="I434" i="4"/>
  <c r="J434" i="4" s="1"/>
  <c r="N434" i="4"/>
  <c r="H434" i="4"/>
  <c r="N433" i="4"/>
  <c r="I433" i="4"/>
  <c r="H433" i="4"/>
  <c r="J433" i="4" s="1"/>
  <c r="I432" i="4"/>
  <c r="H432" i="4"/>
  <c r="J432" i="4"/>
  <c r="N432" i="4"/>
  <c r="N431" i="4"/>
  <c r="I431" i="4"/>
  <c r="H431" i="4"/>
  <c r="J431" i="4" s="1"/>
  <c r="I430" i="4"/>
  <c r="H430" i="4"/>
  <c r="J430" i="4"/>
  <c r="N430" i="4"/>
  <c r="N429" i="4"/>
  <c r="I429" i="4"/>
  <c r="H429" i="4"/>
  <c r="J429" i="4" s="1"/>
  <c r="I428" i="4"/>
  <c r="H428" i="4"/>
  <c r="J428" i="4"/>
  <c r="K428" i="4"/>
  <c r="L428" i="4"/>
  <c r="N428" i="4"/>
  <c r="N427" i="4"/>
  <c r="I427" i="4"/>
  <c r="H427" i="4"/>
  <c r="J427" i="4" s="1"/>
  <c r="I426" i="4"/>
  <c r="H426" i="4"/>
  <c r="J426" i="4"/>
  <c r="N426" i="4"/>
  <c r="N425" i="4"/>
  <c r="L425" i="4"/>
  <c r="K425" i="4"/>
  <c r="J425" i="4"/>
  <c r="O425" i="4" s="1"/>
  <c r="I425" i="4"/>
  <c r="H425" i="4"/>
  <c r="I424" i="4"/>
  <c r="H424" i="4"/>
  <c r="J424" i="4"/>
  <c r="K424" i="4"/>
  <c r="L424" i="4"/>
  <c r="N424" i="4"/>
  <c r="N423" i="4"/>
  <c r="I423" i="4"/>
  <c r="H423" i="4"/>
  <c r="J423" i="4" s="1"/>
  <c r="I422" i="4"/>
  <c r="H422" i="4"/>
  <c r="J422" i="4"/>
  <c r="N422" i="4"/>
  <c r="N421" i="4"/>
  <c r="I421" i="4"/>
  <c r="H421" i="4"/>
  <c r="J421" i="4" s="1"/>
  <c r="I420" i="4"/>
  <c r="H420" i="4"/>
  <c r="J420" i="4"/>
  <c r="N420" i="4"/>
  <c r="N419" i="4"/>
  <c r="L419" i="4"/>
  <c r="K419" i="4"/>
  <c r="J419" i="4"/>
  <c r="O419" i="4" s="1"/>
  <c r="I419" i="4"/>
  <c r="H419" i="4"/>
  <c r="I418" i="4"/>
  <c r="H418" i="4"/>
  <c r="J418" i="4"/>
  <c r="K418" i="4"/>
  <c r="N418" i="4"/>
  <c r="N417" i="4"/>
  <c r="I417" i="4"/>
  <c r="H417" i="4"/>
  <c r="J417" i="4" s="1"/>
  <c r="K416" i="4"/>
  <c r="J416" i="4"/>
  <c r="I416" i="4"/>
  <c r="H416" i="4"/>
  <c r="N416" i="4"/>
  <c r="N415" i="4"/>
  <c r="I415" i="4"/>
  <c r="H415" i="4"/>
  <c r="J415" i="4" s="1"/>
  <c r="I414" i="4"/>
  <c r="H414" i="4"/>
  <c r="J414" i="4" s="1"/>
  <c r="N414" i="4"/>
  <c r="N413" i="4"/>
  <c r="L413" i="4"/>
  <c r="K413" i="4"/>
  <c r="J413" i="4"/>
  <c r="O413" i="4" s="1"/>
  <c r="I413" i="4"/>
  <c r="H413" i="4"/>
  <c r="I412" i="4"/>
  <c r="H412" i="4"/>
  <c r="J412" i="4" s="1"/>
  <c r="N412" i="4"/>
  <c r="N411" i="4"/>
  <c r="I411" i="4"/>
  <c r="H411" i="4"/>
  <c r="J411" i="4" s="1"/>
  <c r="I410" i="4"/>
  <c r="H410" i="4"/>
  <c r="J410" i="4" s="1"/>
  <c r="N410" i="4"/>
  <c r="N409" i="4"/>
  <c r="I409" i="4"/>
  <c r="H409" i="4"/>
  <c r="J409" i="4" s="1"/>
  <c r="L408" i="4"/>
  <c r="K408" i="4"/>
  <c r="J408" i="4"/>
  <c r="I408" i="4"/>
  <c r="H408" i="4"/>
  <c r="N408" i="4"/>
  <c r="N407" i="4"/>
  <c r="I407" i="4"/>
  <c r="H407" i="4"/>
  <c r="J407" i="4" s="1"/>
  <c r="I406" i="4"/>
  <c r="H406" i="4"/>
  <c r="J406" i="4" s="1"/>
  <c r="N406" i="4"/>
  <c r="N405" i="4"/>
  <c r="I405" i="4"/>
  <c r="H405" i="4"/>
  <c r="J405" i="4" s="1"/>
  <c r="I404" i="4"/>
  <c r="H404" i="4"/>
  <c r="J404" i="4" s="1"/>
  <c r="N404" i="4"/>
  <c r="N403" i="4"/>
  <c r="I403" i="4"/>
  <c r="H403" i="4"/>
  <c r="J403" i="4" s="1"/>
  <c r="H402" i="4"/>
  <c r="I402" i="4"/>
  <c r="J402" i="4"/>
  <c r="N402" i="4"/>
  <c r="N401" i="4"/>
  <c r="I401" i="4"/>
  <c r="H401" i="4"/>
  <c r="J401" i="4" s="1"/>
  <c r="L400" i="4"/>
  <c r="K400" i="4"/>
  <c r="J400" i="4"/>
  <c r="I400" i="4"/>
  <c r="H400" i="4"/>
  <c r="N400" i="4"/>
  <c r="N399" i="4"/>
  <c r="K399" i="4"/>
  <c r="J399" i="4"/>
  <c r="I399" i="4"/>
  <c r="H399" i="4"/>
  <c r="K398" i="4"/>
  <c r="J398" i="4"/>
  <c r="I398" i="4"/>
  <c r="H398" i="4"/>
  <c r="N398" i="4"/>
  <c r="N397" i="4"/>
  <c r="I397" i="4"/>
  <c r="H397" i="4"/>
  <c r="J397" i="4" s="1"/>
  <c r="I396" i="4"/>
  <c r="H396" i="4"/>
  <c r="J396" i="4" s="1"/>
  <c r="N396" i="4"/>
  <c r="N395" i="4"/>
  <c r="L395" i="4"/>
  <c r="K395" i="4"/>
  <c r="J395" i="4"/>
  <c r="O395" i="4" s="1"/>
  <c r="I395" i="4"/>
  <c r="H395" i="4"/>
  <c r="I394" i="4"/>
  <c r="H394" i="4"/>
  <c r="J394" i="4" s="1"/>
  <c r="N394" i="4"/>
  <c r="N393" i="4"/>
  <c r="I393" i="4"/>
  <c r="H393" i="4"/>
  <c r="J393" i="4" s="1"/>
  <c r="I392" i="4"/>
  <c r="H392" i="4"/>
  <c r="J392" i="4" s="1"/>
  <c r="N392" i="4"/>
  <c r="N391" i="4"/>
  <c r="I391" i="4"/>
  <c r="J391" i="4" s="1"/>
  <c r="H391" i="4"/>
  <c r="I390" i="4"/>
  <c r="J390" i="4" s="1"/>
  <c r="H390" i="4"/>
  <c r="N390" i="4"/>
  <c r="N389" i="4"/>
  <c r="I389" i="4"/>
  <c r="J389" i="4" s="1"/>
  <c r="H389" i="4"/>
  <c r="I388" i="4"/>
  <c r="H388" i="4"/>
  <c r="J388" i="4" s="1"/>
  <c r="N388" i="4"/>
  <c r="N387" i="4"/>
  <c r="I387" i="4"/>
  <c r="H387" i="4"/>
  <c r="J387" i="4" s="1"/>
  <c r="K386" i="4"/>
  <c r="I386" i="4"/>
  <c r="J386" i="4"/>
  <c r="N386" i="4"/>
  <c r="L386" i="4"/>
  <c r="H386" i="4"/>
  <c r="L385" i="4"/>
  <c r="H385" i="4"/>
  <c r="I385" i="4"/>
  <c r="N385" i="4"/>
  <c r="J385" i="4"/>
  <c r="K385" i="4"/>
  <c r="N384" i="4"/>
  <c r="K384" i="4"/>
  <c r="I384" i="4"/>
  <c r="H384" i="4"/>
  <c r="J384" i="4" s="1"/>
  <c r="I383" i="4"/>
  <c r="H383" i="4"/>
  <c r="J383" i="4"/>
  <c r="K383" i="4"/>
  <c r="L383" i="4"/>
  <c r="N383" i="4"/>
  <c r="N382" i="4"/>
  <c r="L382" i="4"/>
  <c r="K382" i="4"/>
  <c r="I382" i="4"/>
  <c r="H382" i="4"/>
  <c r="J382" i="4" s="1"/>
  <c r="O382" i="4" s="1"/>
  <c r="I381" i="4"/>
  <c r="H381" i="4"/>
  <c r="J381" i="4"/>
  <c r="N381" i="4"/>
  <c r="L381" i="4"/>
  <c r="K381" i="4"/>
  <c r="N380" i="4"/>
  <c r="L380" i="4"/>
  <c r="K380" i="4"/>
  <c r="I380" i="4"/>
  <c r="H380" i="4"/>
  <c r="J380" i="4" s="1"/>
  <c r="O380" i="4" s="1"/>
  <c r="I379" i="4"/>
  <c r="H379" i="4"/>
  <c r="J379" i="4"/>
  <c r="K379" i="4"/>
  <c r="L379" i="4"/>
  <c r="N379" i="4"/>
  <c r="N378" i="4"/>
  <c r="L378" i="4"/>
  <c r="K378" i="4"/>
  <c r="I378" i="4"/>
  <c r="H378" i="4"/>
  <c r="J378" i="4" s="1"/>
  <c r="O378" i="4" s="1"/>
  <c r="I377" i="4"/>
  <c r="H377" i="4"/>
  <c r="J377" i="4"/>
  <c r="N377" i="4"/>
  <c r="K377" i="4"/>
  <c r="L377" i="4"/>
  <c r="K376" i="4"/>
  <c r="I376" i="4"/>
  <c r="H376" i="4"/>
  <c r="N376" i="4"/>
  <c r="L376" i="4"/>
  <c r="J376" i="4"/>
  <c r="O376" i="4" s="1"/>
  <c r="N375" i="4"/>
  <c r="L375" i="4"/>
  <c r="K375" i="4"/>
  <c r="J375" i="4"/>
  <c r="O375" i="4" s="1"/>
  <c r="I375" i="4"/>
  <c r="H375" i="4"/>
  <c r="N374" i="4"/>
  <c r="L374" i="4"/>
  <c r="K374" i="4"/>
  <c r="J374" i="4"/>
  <c r="O374" i="4" s="1"/>
  <c r="I374" i="4"/>
  <c r="H374" i="4"/>
  <c r="I373" i="4"/>
  <c r="K373" i="4"/>
  <c r="N373" i="4"/>
  <c r="L373" i="4"/>
  <c r="H373" i="4"/>
  <c r="J373" i="4" s="1"/>
  <c r="O373" i="4" s="1"/>
  <c r="N372" i="4"/>
  <c r="H372" i="4"/>
  <c r="I372" i="4"/>
  <c r="J372" i="4"/>
  <c r="K372" i="4"/>
  <c r="L372" i="4"/>
  <c r="N371" i="4"/>
  <c r="L371" i="4"/>
  <c r="K371" i="4"/>
  <c r="H371" i="4"/>
  <c r="J371" i="4" s="1"/>
  <c r="O371" i="4" s="1"/>
  <c r="I371" i="4"/>
  <c r="N370" i="4"/>
  <c r="L370" i="4"/>
  <c r="K370" i="4"/>
  <c r="I370" i="4"/>
  <c r="H370" i="4"/>
  <c r="J370" i="4" s="1"/>
  <c r="O370" i="4" s="1"/>
  <c r="I369" i="4"/>
  <c r="N369" i="4"/>
  <c r="L369" i="4"/>
  <c r="K369" i="4"/>
  <c r="H369" i="4"/>
  <c r="J369" i="4" s="1"/>
  <c r="O369" i="4" s="1"/>
  <c r="N368" i="4"/>
  <c r="L368" i="4"/>
  <c r="K368" i="4"/>
  <c r="I368" i="4"/>
  <c r="H368" i="4"/>
  <c r="J368" i="4" s="1"/>
  <c r="O368" i="4" s="1"/>
  <c r="K367" i="4"/>
  <c r="H367" i="4"/>
  <c r="I367" i="4"/>
  <c r="J367" i="4"/>
  <c r="N367" i="4"/>
  <c r="L367" i="4"/>
  <c r="K366" i="4"/>
  <c r="I366" i="4"/>
  <c r="H366" i="4"/>
  <c r="J366" i="4" s="1"/>
  <c r="O366" i="4" s="1"/>
  <c r="N366" i="4"/>
  <c r="L366" i="4"/>
  <c r="K365" i="4"/>
  <c r="I365" i="4"/>
  <c r="J365" i="4" s="1"/>
  <c r="O365" i="4" s="1"/>
  <c r="H365" i="4"/>
  <c r="N365" i="4"/>
  <c r="L365" i="4"/>
  <c r="K364" i="4"/>
  <c r="I364" i="4"/>
  <c r="J364" i="4" s="1"/>
  <c r="O364" i="4" s="1"/>
  <c r="H364" i="4"/>
  <c r="N364" i="4"/>
  <c r="L364" i="4"/>
  <c r="K363" i="4"/>
  <c r="I363" i="4"/>
  <c r="H363" i="4"/>
  <c r="J363" i="4" s="1"/>
  <c r="O363" i="4" s="1"/>
  <c r="N363" i="4"/>
  <c r="L363" i="4"/>
  <c r="K362" i="4"/>
  <c r="J362" i="4"/>
  <c r="I362" i="4"/>
  <c r="H362" i="4"/>
  <c r="N362" i="4"/>
  <c r="L362" i="4"/>
  <c r="K361" i="4"/>
  <c r="I361" i="4"/>
  <c r="J361" i="4" s="1"/>
  <c r="O361" i="4" s="1"/>
  <c r="H361" i="4"/>
  <c r="N361" i="4"/>
  <c r="L361" i="4"/>
  <c r="H360" i="4"/>
  <c r="N360" i="4"/>
  <c r="L360" i="4"/>
  <c r="K360" i="4"/>
  <c r="J360" i="4"/>
  <c r="O360" i="4" s="1"/>
  <c r="I360" i="4"/>
  <c r="H359" i="4"/>
  <c r="I359" i="4"/>
  <c r="N359" i="4"/>
  <c r="I358" i="4"/>
  <c r="H358" i="4"/>
  <c r="N358" i="4"/>
  <c r="L358" i="4"/>
  <c r="K358" i="4"/>
  <c r="J358" i="4"/>
  <c r="O358" i="4" s="1"/>
  <c r="I357" i="4"/>
  <c r="H357" i="4"/>
  <c r="N357" i="4"/>
  <c r="L357" i="4"/>
  <c r="K357" i="4"/>
  <c r="J357" i="4"/>
  <c r="O357" i="4" s="1"/>
  <c r="I356" i="4"/>
  <c r="H356" i="4"/>
  <c r="N356" i="4"/>
  <c r="L356" i="4"/>
  <c r="K356" i="4"/>
  <c r="J356" i="4"/>
  <c r="O356" i="4" s="1"/>
  <c r="H355" i="4"/>
  <c r="I355" i="4"/>
  <c r="N355" i="4"/>
  <c r="L355" i="4"/>
  <c r="K355" i="4"/>
  <c r="J355" i="4"/>
  <c r="O355" i="4" s="1"/>
  <c r="I354" i="4"/>
  <c r="K354" i="4"/>
  <c r="N354" i="4"/>
  <c r="L354" i="4"/>
  <c r="H354" i="4"/>
  <c r="J354" i="4" s="1"/>
  <c r="O354" i="4" s="1"/>
  <c r="N353" i="4"/>
  <c r="L353" i="4"/>
  <c r="K353" i="4"/>
  <c r="J353" i="4"/>
  <c r="O353" i="4" s="1"/>
  <c r="I353" i="4"/>
  <c r="H353" i="4"/>
  <c r="I352" i="4"/>
  <c r="H352" i="4"/>
  <c r="N352" i="4"/>
  <c r="L352" i="4"/>
  <c r="K352" i="4"/>
  <c r="J352" i="4"/>
  <c r="O352" i="4" s="1"/>
  <c r="I351" i="4"/>
  <c r="H351" i="4"/>
  <c r="N351" i="4"/>
  <c r="L351" i="4"/>
  <c r="K351" i="4"/>
  <c r="J351" i="4"/>
  <c r="O351" i="4" s="1"/>
  <c r="I350" i="4"/>
  <c r="H350" i="4"/>
  <c r="N350" i="4"/>
  <c r="L350" i="4"/>
  <c r="K350" i="4"/>
  <c r="J350" i="4"/>
  <c r="O350" i="4" s="1"/>
  <c r="I349" i="4"/>
  <c r="H349" i="4"/>
  <c r="N349" i="4"/>
  <c r="L349" i="4"/>
  <c r="K349" i="4"/>
  <c r="J349" i="4"/>
  <c r="O349" i="4" s="1"/>
  <c r="I348" i="4"/>
  <c r="H348" i="4"/>
  <c r="N348" i="4"/>
  <c r="L348" i="4"/>
  <c r="K348" i="4"/>
  <c r="J348" i="4"/>
  <c r="O348" i="4" s="1"/>
  <c r="I347" i="4"/>
  <c r="H347" i="4"/>
  <c r="N347" i="4"/>
  <c r="L347" i="4"/>
  <c r="K347" i="4"/>
  <c r="J347" i="4"/>
  <c r="O347" i="4" s="1"/>
  <c r="I346" i="4"/>
  <c r="H346" i="4"/>
  <c r="N346" i="4"/>
  <c r="L346" i="4"/>
  <c r="K346" i="4"/>
  <c r="J346" i="4"/>
  <c r="O346" i="4" s="1"/>
  <c r="I345" i="4"/>
  <c r="H345" i="4"/>
  <c r="N345" i="4"/>
  <c r="L345" i="4"/>
  <c r="K345" i="4"/>
  <c r="J345" i="4"/>
  <c r="O345" i="4" s="1"/>
  <c r="I344" i="4"/>
  <c r="H344" i="4"/>
  <c r="N344" i="4"/>
  <c r="L344" i="4"/>
  <c r="K344" i="4"/>
  <c r="J344" i="4"/>
  <c r="O344" i="4" s="1"/>
  <c r="I343" i="4"/>
  <c r="H343" i="4"/>
  <c r="N343" i="4"/>
  <c r="L343" i="4"/>
  <c r="K343" i="4"/>
  <c r="J343" i="4"/>
  <c r="O343" i="4" s="1"/>
  <c r="I342" i="4"/>
  <c r="H342" i="4"/>
  <c r="N342" i="4"/>
  <c r="L342" i="4"/>
  <c r="K342" i="4"/>
  <c r="J342" i="4"/>
  <c r="O342" i="4" s="1"/>
  <c r="I341" i="4"/>
  <c r="H341" i="4"/>
  <c r="N341" i="4"/>
  <c r="L341" i="4"/>
  <c r="K341" i="4"/>
  <c r="J341" i="4"/>
  <c r="O341" i="4" s="1"/>
  <c r="N340" i="4"/>
  <c r="L340" i="4"/>
  <c r="K340" i="4"/>
  <c r="I340" i="4"/>
  <c r="H340" i="4"/>
  <c r="J340" i="4" s="1"/>
  <c r="O340" i="4" s="1"/>
  <c r="I339" i="4"/>
  <c r="H339" i="4"/>
  <c r="N339" i="4"/>
  <c r="L339" i="4"/>
  <c r="K339" i="4"/>
  <c r="J339" i="4"/>
  <c r="O339" i="4" s="1"/>
  <c r="I338" i="4"/>
  <c r="K338" i="4"/>
  <c r="N338" i="4"/>
  <c r="L338" i="4"/>
  <c r="J338" i="4"/>
  <c r="O338" i="4" s="1"/>
  <c r="H338" i="4"/>
  <c r="N337" i="4"/>
  <c r="L337" i="4"/>
  <c r="K337" i="4"/>
  <c r="I337" i="4"/>
  <c r="H337" i="4"/>
  <c r="J337" i="4" s="1"/>
  <c r="O337" i="4" s="1"/>
  <c r="I336" i="4"/>
  <c r="H336" i="4"/>
  <c r="N336" i="4"/>
  <c r="L336" i="4"/>
  <c r="K336" i="4"/>
  <c r="J336" i="4"/>
  <c r="O336" i="4" s="1"/>
  <c r="I335" i="4"/>
  <c r="H335" i="4"/>
  <c r="N335" i="4"/>
  <c r="L335" i="4"/>
  <c r="K335" i="4"/>
  <c r="J335" i="4"/>
  <c r="O335" i="4" s="1"/>
  <c r="I334" i="4"/>
  <c r="H334" i="4"/>
  <c r="N334" i="4"/>
  <c r="L334" i="4"/>
  <c r="K334" i="4"/>
  <c r="J334" i="4"/>
  <c r="O334" i="4" s="1"/>
  <c r="I333" i="4"/>
  <c r="H333" i="4"/>
  <c r="N333" i="4"/>
  <c r="L333" i="4"/>
  <c r="K333" i="4"/>
  <c r="J333" i="4"/>
  <c r="O333" i="4" s="1"/>
  <c r="I332" i="4"/>
  <c r="H332" i="4"/>
  <c r="N332" i="4"/>
  <c r="L332" i="4"/>
  <c r="K332" i="4"/>
  <c r="J332" i="4"/>
  <c r="O332" i="4" s="1"/>
  <c r="I331" i="4"/>
  <c r="H331" i="4"/>
  <c r="N331" i="4"/>
  <c r="L331" i="4"/>
  <c r="K331" i="4"/>
  <c r="J331" i="4"/>
  <c r="O331" i="4" s="1"/>
  <c r="I330" i="4"/>
  <c r="H330" i="4"/>
  <c r="N330" i="4"/>
  <c r="L330" i="4"/>
  <c r="K330" i="4"/>
  <c r="J330" i="4"/>
  <c r="O330" i="4" s="1"/>
  <c r="I329" i="4"/>
  <c r="H329" i="4"/>
  <c r="N329" i="4"/>
  <c r="L329" i="4"/>
  <c r="K329" i="4"/>
  <c r="J329" i="4"/>
  <c r="O329" i="4" s="1"/>
  <c r="I328" i="4"/>
  <c r="H328" i="4"/>
  <c r="N328" i="4"/>
  <c r="L328" i="4"/>
  <c r="K328" i="4"/>
  <c r="J328" i="4"/>
  <c r="O328" i="4" s="1"/>
  <c r="I327" i="4"/>
  <c r="H327" i="4"/>
  <c r="N327" i="4"/>
  <c r="L327" i="4"/>
  <c r="K327" i="4"/>
  <c r="J327" i="4"/>
  <c r="O327" i="4" s="1"/>
  <c r="I326" i="4"/>
  <c r="H326" i="4"/>
  <c r="N326" i="4"/>
  <c r="L326" i="4"/>
  <c r="K326" i="4"/>
  <c r="J326" i="4"/>
  <c r="O326" i="4" s="1"/>
  <c r="K325" i="4"/>
  <c r="N325" i="4"/>
  <c r="L325" i="4"/>
  <c r="I325" i="4"/>
  <c r="J325" i="4" s="1"/>
  <c r="O325" i="4" s="1"/>
  <c r="H325" i="4"/>
  <c r="N324" i="4"/>
  <c r="L324" i="4"/>
  <c r="K324" i="4"/>
  <c r="I324" i="4"/>
  <c r="H324" i="4"/>
  <c r="J324" i="4" s="1"/>
  <c r="O324" i="4" s="1"/>
  <c r="I323" i="4"/>
  <c r="H323" i="4"/>
  <c r="N323" i="4"/>
  <c r="L323" i="4"/>
  <c r="K323" i="4"/>
  <c r="J323" i="4"/>
  <c r="O323" i="4" s="1"/>
  <c r="I322" i="4"/>
  <c r="H322" i="4"/>
  <c r="N322" i="4"/>
  <c r="L322" i="4"/>
  <c r="K322" i="4"/>
  <c r="J322" i="4"/>
  <c r="O322" i="4" s="1"/>
  <c r="I321" i="4"/>
  <c r="H321" i="4"/>
  <c r="N321" i="4"/>
  <c r="L321" i="4"/>
  <c r="K321" i="4"/>
  <c r="J321" i="4"/>
  <c r="O321" i="4" s="1"/>
  <c r="I320" i="4"/>
  <c r="H320" i="4"/>
  <c r="N320" i="4"/>
  <c r="L320" i="4"/>
  <c r="K320" i="4"/>
  <c r="J320" i="4"/>
  <c r="O320" i="4" s="1"/>
  <c r="I319" i="4"/>
  <c r="H319" i="4"/>
  <c r="N319" i="4"/>
  <c r="L319" i="4"/>
  <c r="K319" i="4"/>
  <c r="J319" i="4"/>
  <c r="O319" i="4" s="1"/>
  <c r="I318" i="4"/>
  <c r="H318" i="4"/>
  <c r="N318" i="4"/>
  <c r="L318" i="4"/>
  <c r="K318" i="4"/>
  <c r="J318" i="4"/>
  <c r="O318" i="4" s="1"/>
  <c r="I317" i="4"/>
  <c r="H317" i="4"/>
  <c r="N317" i="4"/>
  <c r="L317" i="4"/>
  <c r="K317" i="4"/>
  <c r="J317" i="4"/>
  <c r="O317" i="4" s="1"/>
  <c r="I316" i="4"/>
  <c r="H316" i="4"/>
  <c r="N316" i="4"/>
  <c r="L316" i="4"/>
  <c r="K316" i="4"/>
  <c r="J316" i="4"/>
  <c r="O316" i="4" s="1"/>
  <c r="I315" i="4"/>
  <c r="H315" i="4"/>
  <c r="N315" i="4"/>
  <c r="L315" i="4"/>
  <c r="K315" i="4"/>
  <c r="J315" i="4"/>
  <c r="I314" i="4"/>
  <c r="H314" i="4"/>
  <c r="N314" i="4"/>
  <c r="L314" i="4"/>
  <c r="K314" i="4"/>
  <c r="J314" i="4"/>
  <c r="I313" i="4"/>
  <c r="H313" i="4"/>
  <c r="N313" i="4"/>
  <c r="L313" i="4"/>
  <c r="K313" i="4"/>
  <c r="J313" i="4"/>
  <c r="I312" i="4"/>
  <c r="H312" i="4"/>
  <c r="J312" i="4" s="1"/>
  <c r="O312" i="4" s="1"/>
  <c r="N312" i="4"/>
  <c r="L312" i="4"/>
  <c r="K312" i="4"/>
  <c r="I311" i="4"/>
  <c r="K311" i="4"/>
  <c r="N311" i="4"/>
  <c r="L311" i="4"/>
  <c r="H311" i="4"/>
  <c r="J311" i="4" s="1"/>
  <c r="O311" i="4" s="1"/>
  <c r="N310" i="4"/>
  <c r="L310" i="4"/>
  <c r="K310" i="4"/>
  <c r="I310" i="4"/>
  <c r="H310" i="4"/>
  <c r="J310" i="4" s="1"/>
  <c r="O310" i="4" s="1"/>
  <c r="I309" i="4"/>
  <c r="H309" i="4"/>
  <c r="N309" i="4"/>
  <c r="L309" i="4"/>
  <c r="K309" i="4"/>
  <c r="J309" i="4"/>
  <c r="I308" i="4"/>
  <c r="H308" i="4"/>
  <c r="N308" i="4"/>
  <c r="L308" i="4"/>
  <c r="K308" i="4"/>
  <c r="J308" i="4"/>
  <c r="I307" i="4"/>
  <c r="H307" i="4"/>
  <c r="N307" i="4"/>
  <c r="L307" i="4"/>
  <c r="K307" i="4"/>
  <c r="J307" i="4"/>
  <c r="N306" i="4"/>
  <c r="L306" i="4"/>
  <c r="K306" i="4"/>
  <c r="I306" i="4"/>
  <c r="H306" i="4"/>
  <c r="J306" i="4" s="1"/>
  <c r="O306" i="4" s="1"/>
  <c r="N305" i="4"/>
  <c r="L305" i="4"/>
  <c r="K305" i="4"/>
  <c r="I305" i="4"/>
  <c r="H305" i="4"/>
  <c r="J305" i="4" s="1"/>
  <c r="O305" i="4" s="1"/>
  <c r="I304" i="4"/>
  <c r="H304" i="4"/>
  <c r="N304" i="4"/>
  <c r="L304" i="4"/>
  <c r="K304" i="4"/>
  <c r="J304" i="4"/>
  <c r="I303" i="4"/>
  <c r="H303" i="4"/>
  <c r="N303" i="4"/>
  <c r="L303" i="4"/>
  <c r="K303" i="4"/>
  <c r="J303" i="4"/>
  <c r="I302" i="4"/>
  <c r="H302" i="4"/>
  <c r="N302" i="4"/>
  <c r="L302" i="4"/>
  <c r="K302" i="4"/>
  <c r="J302" i="4"/>
  <c r="I301" i="4"/>
  <c r="H301" i="4"/>
  <c r="N301" i="4"/>
  <c r="L301" i="4"/>
  <c r="K301" i="4"/>
  <c r="J301" i="4"/>
  <c r="I300" i="4"/>
  <c r="H300" i="4"/>
  <c r="N300" i="4"/>
  <c r="L300" i="4"/>
  <c r="K300" i="4"/>
  <c r="J300" i="4"/>
  <c r="I299" i="4"/>
  <c r="H299" i="4"/>
  <c r="N299" i="4"/>
  <c r="L299" i="4"/>
  <c r="K299" i="4"/>
  <c r="J299" i="4"/>
  <c r="I298" i="4"/>
  <c r="H298" i="4"/>
  <c r="N298" i="4"/>
  <c r="L298" i="4"/>
  <c r="K298" i="4"/>
  <c r="J298" i="4"/>
  <c r="I297" i="4"/>
  <c r="H297" i="4"/>
  <c r="N297" i="4"/>
  <c r="L297" i="4"/>
  <c r="K297" i="4"/>
  <c r="J297" i="4"/>
  <c r="I296" i="4"/>
  <c r="H296" i="4"/>
  <c r="N296" i="4"/>
  <c r="L296" i="4"/>
  <c r="K296" i="4"/>
  <c r="J296" i="4"/>
  <c r="I295" i="4"/>
  <c r="H295" i="4"/>
  <c r="N295" i="4"/>
  <c r="L295" i="4"/>
  <c r="K295" i="4"/>
  <c r="J295" i="4"/>
  <c r="K294" i="4"/>
  <c r="H294" i="4"/>
  <c r="N294" i="4"/>
  <c r="L294" i="4"/>
  <c r="I294" i="4"/>
  <c r="J294" i="4" s="1"/>
  <c r="O294" i="4" s="1"/>
  <c r="N293" i="4"/>
  <c r="L293" i="4"/>
  <c r="K293" i="4"/>
  <c r="I293" i="4"/>
  <c r="H293" i="4"/>
  <c r="J293" i="4" s="1"/>
  <c r="O293" i="4" s="1"/>
  <c r="I292" i="4"/>
  <c r="H292" i="4"/>
  <c r="N292" i="4"/>
  <c r="L292" i="4"/>
  <c r="K292" i="4"/>
  <c r="J292" i="4"/>
  <c r="I291" i="4"/>
  <c r="H291" i="4"/>
  <c r="N291" i="4"/>
  <c r="L291" i="4"/>
  <c r="K291" i="4"/>
  <c r="J291" i="4"/>
  <c r="I290" i="4"/>
  <c r="H290" i="4"/>
  <c r="N290" i="4"/>
  <c r="L290" i="4"/>
  <c r="K290" i="4"/>
  <c r="J290" i="4"/>
  <c r="I289" i="4"/>
  <c r="H289" i="4"/>
  <c r="N289" i="4"/>
  <c r="L289" i="4"/>
  <c r="K289" i="4"/>
  <c r="J289" i="4"/>
  <c r="I288" i="4"/>
  <c r="H288" i="4"/>
  <c r="N288" i="4"/>
  <c r="L288" i="4"/>
  <c r="K288" i="4"/>
  <c r="J288" i="4"/>
  <c r="I287" i="4"/>
  <c r="H287" i="4"/>
  <c r="N287" i="4"/>
  <c r="L287" i="4"/>
  <c r="K287" i="4"/>
  <c r="J287" i="4"/>
  <c r="I286" i="4"/>
  <c r="H286" i="4"/>
  <c r="N286" i="4"/>
  <c r="L286" i="4"/>
  <c r="K286" i="4"/>
  <c r="J286" i="4"/>
  <c r="I285" i="4"/>
  <c r="H285" i="4"/>
  <c r="N285" i="4"/>
  <c r="L285" i="4"/>
  <c r="K285" i="4"/>
  <c r="J285" i="4"/>
  <c r="I284" i="4"/>
  <c r="H284" i="4"/>
  <c r="N284" i="4"/>
  <c r="L284" i="4"/>
  <c r="K284" i="4"/>
  <c r="J284" i="4"/>
  <c r="J283" i="4"/>
  <c r="I283" i="4"/>
  <c r="H283" i="4"/>
  <c r="N283" i="4"/>
  <c r="L283" i="4"/>
  <c r="K283" i="4"/>
  <c r="H282" i="4"/>
  <c r="I282" i="4"/>
  <c r="N282" i="4"/>
  <c r="L282" i="4"/>
  <c r="K282" i="4"/>
  <c r="J282" i="4"/>
  <c r="K281" i="4"/>
  <c r="I281" i="4"/>
  <c r="H281" i="4"/>
  <c r="N281" i="4"/>
  <c r="L281" i="4"/>
  <c r="J281" i="4"/>
  <c r="K280" i="4"/>
  <c r="H280" i="4"/>
  <c r="N280" i="4"/>
  <c r="L280" i="4"/>
  <c r="I280" i="4"/>
  <c r="J280" i="4"/>
  <c r="O280" i="4" s="1"/>
  <c r="N279" i="4"/>
  <c r="L279" i="4"/>
  <c r="K279" i="4"/>
  <c r="J279" i="4"/>
  <c r="I279" i="4"/>
  <c r="H279" i="4"/>
  <c r="I278" i="4"/>
  <c r="H278" i="4"/>
  <c r="N278" i="4"/>
  <c r="L278" i="4"/>
  <c r="K278" i="4"/>
  <c r="J278" i="4"/>
  <c r="I277" i="4"/>
  <c r="H277" i="4"/>
  <c r="N277" i="4"/>
  <c r="L277" i="4"/>
  <c r="K277" i="4"/>
  <c r="J277" i="4"/>
  <c r="I276" i="4"/>
  <c r="H276" i="4"/>
  <c r="N276" i="4"/>
  <c r="L276" i="4"/>
  <c r="K276" i="4"/>
  <c r="J276" i="4"/>
  <c r="I275" i="4"/>
  <c r="H275" i="4"/>
  <c r="N275" i="4"/>
  <c r="L275" i="4"/>
  <c r="K275" i="4"/>
  <c r="J275" i="4"/>
  <c r="I274" i="4"/>
  <c r="H274" i="4"/>
  <c r="N274" i="4"/>
  <c r="L274" i="4"/>
  <c r="K274" i="4"/>
  <c r="J274" i="4"/>
  <c r="I273" i="4"/>
  <c r="H273" i="4"/>
  <c r="N273" i="4"/>
  <c r="L273" i="4"/>
  <c r="K273" i="4"/>
  <c r="J273" i="4"/>
  <c r="I272" i="4"/>
  <c r="H272" i="4"/>
  <c r="N272" i="4"/>
  <c r="L272" i="4"/>
  <c r="K272" i="4"/>
  <c r="J272" i="4"/>
  <c r="I271" i="4"/>
  <c r="H271" i="4"/>
  <c r="N271" i="4"/>
  <c r="L271" i="4"/>
  <c r="K271" i="4"/>
  <c r="J271" i="4"/>
  <c r="I270" i="4"/>
  <c r="H270" i="4"/>
  <c r="N270" i="4"/>
  <c r="L270" i="4"/>
  <c r="K270" i="4"/>
  <c r="J270" i="4"/>
  <c r="I269" i="4"/>
  <c r="H269" i="4"/>
  <c r="N269" i="4"/>
  <c r="L269" i="4"/>
  <c r="K269" i="4"/>
  <c r="J269" i="4"/>
  <c r="I268" i="4"/>
  <c r="H268" i="4"/>
  <c r="N268" i="4"/>
  <c r="L268" i="4"/>
  <c r="K268" i="4"/>
  <c r="J268" i="4"/>
  <c r="K267" i="4"/>
  <c r="N267" i="4"/>
  <c r="L267" i="4"/>
  <c r="I267" i="4"/>
  <c r="H267" i="4"/>
  <c r="J267" i="4" s="1"/>
  <c r="O267" i="4" s="1"/>
  <c r="N266" i="4"/>
  <c r="L266" i="4"/>
  <c r="K266" i="4"/>
  <c r="I266" i="4"/>
  <c r="H266" i="4"/>
  <c r="J266" i="4" s="1"/>
  <c r="O266" i="4" s="1"/>
  <c r="I265" i="4"/>
  <c r="H265" i="4"/>
  <c r="N265" i="4"/>
  <c r="L265" i="4"/>
  <c r="K265" i="4"/>
  <c r="J265" i="4"/>
  <c r="I264" i="4"/>
  <c r="H264" i="4"/>
  <c r="N264" i="4"/>
  <c r="L264" i="4"/>
  <c r="K264" i="4"/>
  <c r="J264" i="4"/>
  <c r="I263" i="4"/>
  <c r="H263" i="4"/>
  <c r="N263" i="4"/>
  <c r="L263" i="4"/>
  <c r="K263" i="4"/>
  <c r="J263" i="4"/>
  <c r="I262" i="4"/>
  <c r="H262" i="4"/>
  <c r="N262" i="4"/>
  <c r="L262" i="4"/>
  <c r="K262" i="4"/>
  <c r="J262" i="4"/>
  <c r="I261" i="4"/>
  <c r="H261" i="4"/>
  <c r="N261" i="4"/>
  <c r="L261" i="4"/>
  <c r="K261" i="4"/>
  <c r="J261" i="4"/>
  <c r="I260" i="4"/>
  <c r="H260" i="4"/>
  <c r="N260" i="4"/>
  <c r="L260" i="4"/>
  <c r="K260" i="4"/>
  <c r="J260" i="4"/>
  <c r="I259" i="4"/>
  <c r="H259" i="4"/>
  <c r="N259" i="4"/>
  <c r="L259" i="4"/>
  <c r="K259" i="4"/>
  <c r="J259" i="4"/>
  <c r="I258" i="4"/>
  <c r="H258" i="4"/>
  <c r="N258" i="4"/>
  <c r="L258" i="4"/>
  <c r="K258" i="4"/>
  <c r="J258" i="4"/>
  <c r="I257" i="4"/>
  <c r="H257" i="4"/>
  <c r="N257" i="4"/>
  <c r="L257" i="4"/>
  <c r="K257" i="4"/>
  <c r="J257" i="4"/>
  <c r="I256" i="4"/>
  <c r="H256" i="4"/>
  <c r="N256" i="4"/>
  <c r="L256" i="4"/>
  <c r="K256" i="4"/>
  <c r="J256" i="4"/>
  <c r="I255" i="4"/>
  <c r="H255" i="4"/>
  <c r="N255" i="4"/>
  <c r="L255" i="4"/>
  <c r="K255" i="4"/>
  <c r="J255" i="4"/>
  <c r="H254" i="4"/>
  <c r="I254" i="4"/>
  <c r="N254" i="4"/>
  <c r="L254" i="4"/>
  <c r="K254" i="4"/>
  <c r="J254" i="4"/>
  <c r="I253" i="4"/>
  <c r="H253" i="4"/>
  <c r="N253" i="4"/>
  <c r="L253" i="4"/>
  <c r="K253" i="4"/>
  <c r="J253" i="4"/>
  <c r="N252" i="4"/>
  <c r="K252" i="4"/>
  <c r="I252" i="4"/>
  <c r="H252" i="4"/>
  <c r="J252" i="4" s="1"/>
  <c r="O252" i="4" s="1"/>
  <c r="L252" i="4"/>
  <c r="N251" i="4"/>
  <c r="L251" i="4"/>
  <c r="K251" i="4"/>
  <c r="J251" i="4"/>
  <c r="I251" i="4"/>
  <c r="H251" i="4"/>
  <c r="N250" i="4"/>
  <c r="L250" i="4"/>
  <c r="K250" i="4"/>
  <c r="I250" i="4"/>
  <c r="H250" i="4"/>
  <c r="J250" i="4" s="1"/>
  <c r="O250" i="4" s="1"/>
  <c r="H249" i="4"/>
  <c r="L249" i="4"/>
  <c r="K249" i="4"/>
  <c r="N249" i="4"/>
  <c r="I249" i="4"/>
  <c r="J249" i="4" s="1"/>
  <c r="O249" i="4" s="1"/>
  <c r="N248" i="4"/>
  <c r="L248" i="4"/>
  <c r="K248" i="4"/>
  <c r="I248" i="4"/>
  <c r="H248" i="4"/>
  <c r="J248" i="4" s="1"/>
  <c r="O248" i="4" s="1"/>
  <c r="N247" i="4"/>
  <c r="L247" i="4"/>
  <c r="K247" i="4"/>
  <c r="I247" i="4"/>
  <c r="H247" i="4"/>
  <c r="J247" i="4" s="1"/>
  <c r="O247" i="4" s="1"/>
  <c r="N246" i="4"/>
  <c r="L246" i="4"/>
  <c r="K246" i="4"/>
  <c r="I246" i="4"/>
  <c r="H246" i="4"/>
  <c r="J246" i="4" s="1"/>
  <c r="O246" i="4" s="1"/>
  <c r="H245" i="4"/>
  <c r="J245" i="4" s="1"/>
  <c r="O245" i="4" s="1"/>
  <c r="N245" i="4"/>
  <c r="L245" i="4"/>
  <c r="K245" i="4"/>
  <c r="I245" i="4"/>
  <c r="N244" i="4"/>
  <c r="K244" i="4"/>
  <c r="J244" i="4"/>
  <c r="I244" i="4"/>
  <c r="H244" i="4"/>
  <c r="I243" i="4"/>
  <c r="N243" i="4"/>
  <c r="H243" i="4"/>
  <c r="J243" i="4" s="1"/>
  <c r="N242" i="4"/>
  <c r="I242" i="4"/>
  <c r="J242" i="4" s="1"/>
  <c r="H242" i="4"/>
  <c r="N241" i="4"/>
  <c r="I241" i="4"/>
  <c r="H241" i="4"/>
  <c r="J241" i="4" s="1"/>
  <c r="H240" i="4"/>
  <c r="I240" i="4"/>
  <c r="J240" i="4" s="1"/>
  <c r="N240" i="4"/>
  <c r="N239" i="4"/>
  <c r="I239" i="4"/>
  <c r="H239" i="4"/>
  <c r="J239" i="4" s="1"/>
  <c r="N238" i="4"/>
  <c r="I238" i="4"/>
  <c r="H238" i="4"/>
  <c r="J238" i="4" s="1"/>
  <c r="H237" i="4"/>
  <c r="I237" i="4"/>
  <c r="J237" i="4"/>
  <c r="N237" i="4"/>
  <c r="N236" i="4"/>
  <c r="I236" i="4"/>
  <c r="H236" i="4"/>
  <c r="K236" i="4"/>
  <c r="J236" i="4"/>
  <c r="N235" i="4"/>
  <c r="L235" i="4"/>
  <c r="K235" i="4"/>
  <c r="J235" i="4"/>
  <c r="O235" i="4" s="1"/>
  <c r="I235" i="4"/>
  <c r="H235" i="4"/>
  <c r="H234" i="4"/>
  <c r="N234" i="4"/>
  <c r="I234" i="4"/>
  <c r="J234" i="4"/>
  <c r="I233" i="4"/>
  <c r="H233" i="4"/>
  <c r="J233" i="4" s="1"/>
  <c r="N233" i="4"/>
  <c r="N232" i="4"/>
  <c r="J232" i="4"/>
  <c r="I232" i="4"/>
  <c r="H232" i="4"/>
  <c r="K232" i="4"/>
  <c r="N231" i="4"/>
  <c r="K231" i="4"/>
  <c r="J231" i="4"/>
  <c r="I231" i="4"/>
  <c r="H231" i="4"/>
  <c r="K230" i="4"/>
  <c r="J230" i="4"/>
  <c r="I230" i="4"/>
  <c r="L230" i="4"/>
  <c r="N230" i="4"/>
  <c r="H230" i="4"/>
  <c r="N229" i="4"/>
  <c r="I229" i="4"/>
  <c r="H229" i="4"/>
  <c r="J229" i="4" s="1"/>
  <c r="N228" i="4"/>
  <c r="I228" i="4"/>
  <c r="H228" i="4"/>
  <c r="J228" i="4" s="1"/>
  <c r="H227" i="4"/>
  <c r="I227" i="4"/>
  <c r="J227" i="4" s="1"/>
  <c r="N227" i="4"/>
  <c r="N226" i="4"/>
  <c r="I226" i="4"/>
  <c r="J226" i="4" s="1"/>
  <c r="H226" i="4"/>
  <c r="I225" i="4"/>
  <c r="J225" i="4" s="1"/>
  <c r="H225" i="4"/>
  <c r="N225" i="4"/>
  <c r="N224" i="4"/>
  <c r="I224" i="4"/>
  <c r="H224" i="4"/>
  <c r="J224" i="4" s="1"/>
  <c r="I223" i="4"/>
  <c r="H223" i="4"/>
  <c r="J223" i="4" s="1"/>
  <c r="N223" i="4"/>
  <c r="N222" i="4"/>
  <c r="L222" i="4"/>
  <c r="K222" i="4"/>
  <c r="J222" i="4"/>
  <c r="O222" i="4" s="1"/>
  <c r="I222" i="4"/>
  <c r="H222" i="4"/>
  <c r="N221" i="4"/>
  <c r="I221" i="4"/>
  <c r="H221" i="4"/>
  <c r="J221" i="4" s="1"/>
  <c r="I220" i="4"/>
  <c r="H220" i="4"/>
  <c r="J220" i="4" s="1"/>
  <c r="N220" i="4"/>
  <c r="N219" i="4"/>
  <c r="L219" i="4"/>
  <c r="K219" i="4"/>
  <c r="J219" i="4"/>
  <c r="O219" i="4" s="1"/>
  <c r="I219" i="4"/>
  <c r="H219" i="4"/>
  <c r="I218" i="4"/>
  <c r="H218" i="4"/>
  <c r="J218" i="4" s="1"/>
  <c r="N218" i="4"/>
  <c r="N217" i="4"/>
  <c r="I217" i="4"/>
  <c r="H217" i="4"/>
  <c r="J217" i="4" s="1"/>
  <c r="N216" i="4"/>
  <c r="I216" i="4"/>
  <c r="H216" i="4"/>
  <c r="J216" i="4"/>
  <c r="I215" i="4"/>
  <c r="J215" i="4" s="1"/>
  <c r="H215" i="4"/>
  <c r="N215" i="4"/>
  <c r="N214" i="4"/>
  <c r="I214" i="4"/>
  <c r="H214" i="4"/>
  <c r="J214" i="4" s="1"/>
  <c r="N213" i="4"/>
  <c r="K213" i="4"/>
  <c r="J213" i="4"/>
  <c r="I213" i="4"/>
  <c r="H213" i="4"/>
  <c r="H212" i="4"/>
  <c r="I212" i="4"/>
  <c r="J212" i="4" s="1"/>
  <c r="N212" i="4"/>
  <c r="N211" i="4"/>
  <c r="I211" i="4"/>
  <c r="H211" i="4"/>
  <c r="J211" i="4"/>
  <c r="H210" i="4"/>
  <c r="N210" i="4"/>
  <c r="I210" i="4"/>
  <c r="J210" i="4"/>
  <c r="N209" i="4"/>
  <c r="I209" i="4"/>
  <c r="H209" i="4"/>
  <c r="J209" i="4" s="1"/>
  <c r="N208" i="4"/>
  <c r="I208" i="4"/>
  <c r="H208" i="4"/>
  <c r="J208" i="4" s="1"/>
  <c r="H207" i="4"/>
  <c r="I207" i="4"/>
  <c r="J207" i="4" s="1"/>
  <c r="N207" i="4"/>
  <c r="I206" i="4"/>
  <c r="J206" i="4" s="1"/>
  <c r="H206" i="4"/>
  <c r="N206" i="4"/>
  <c r="N205" i="4"/>
  <c r="L205" i="4"/>
  <c r="J205" i="4"/>
  <c r="I205" i="4"/>
  <c r="H205" i="4"/>
  <c r="K205" i="4"/>
  <c r="N204" i="4"/>
  <c r="I204" i="4"/>
  <c r="H204" i="4"/>
  <c r="J204" i="4" s="1"/>
  <c r="K203" i="4"/>
  <c r="J203" i="4"/>
  <c r="I203" i="4"/>
  <c r="L203" i="4"/>
  <c r="N203" i="4"/>
  <c r="H203" i="4"/>
  <c r="N202" i="4"/>
  <c r="I202" i="4"/>
  <c r="H202" i="4"/>
  <c r="J202" i="4" s="1"/>
  <c r="N201" i="4"/>
  <c r="L201" i="4"/>
  <c r="K201" i="4"/>
  <c r="J201" i="4"/>
  <c r="O201" i="4" s="1"/>
  <c r="I201" i="4"/>
  <c r="H201" i="4"/>
  <c r="H200" i="4"/>
  <c r="I200" i="4"/>
  <c r="J200" i="4" s="1"/>
  <c r="N200" i="4"/>
  <c r="N199" i="4"/>
  <c r="L199" i="4"/>
  <c r="K199" i="4"/>
  <c r="J199" i="4"/>
  <c r="O199" i="4" s="1"/>
  <c r="I199" i="4"/>
  <c r="H199" i="4"/>
  <c r="K198" i="4"/>
  <c r="J198" i="4"/>
  <c r="I198" i="4"/>
  <c r="H198" i="4"/>
  <c r="N198" i="4"/>
  <c r="N197" i="4"/>
  <c r="I197" i="4"/>
  <c r="H197" i="4"/>
  <c r="J197" i="4" s="1"/>
  <c r="I196" i="4"/>
  <c r="H196" i="4"/>
  <c r="J196" i="4" s="1"/>
  <c r="N196" i="4"/>
  <c r="N195" i="4"/>
  <c r="I195" i="4"/>
  <c r="H195" i="4"/>
  <c r="J195" i="4" s="1"/>
  <c r="N194" i="4"/>
  <c r="I194" i="4"/>
  <c r="H194" i="4"/>
  <c r="J194" i="4" s="1"/>
  <c r="I193" i="4"/>
  <c r="H193" i="4"/>
  <c r="J193" i="4" s="1"/>
  <c r="N193" i="4"/>
  <c r="N192" i="4"/>
  <c r="I192" i="4"/>
  <c r="J192" i="4" s="1"/>
  <c r="H192" i="4"/>
  <c r="I191" i="4"/>
  <c r="H191" i="4"/>
  <c r="J191" i="4" s="1"/>
  <c r="N191" i="4"/>
  <c r="N190" i="4"/>
  <c r="I190" i="4"/>
  <c r="H190" i="4"/>
  <c r="J190" i="4" s="1"/>
  <c r="H189" i="4"/>
  <c r="I189" i="4"/>
  <c r="J189" i="4" s="1"/>
  <c r="N189" i="4"/>
  <c r="I188" i="4"/>
  <c r="H188" i="4"/>
  <c r="J188" i="4" s="1"/>
  <c r="N188" i="4"/>
  <c r="N187" i="4"/>
  <c r="I187" i="4"/>
  <c r="H187" i="4"/>
  <c r="J187" i="4" s="1"/>
  <c r="N186" i="4"/>
  <c r="I186" i="4"/>
  <c r="H186" i="4"/>
  <c r="J186" i="4" s="1"/>
  <c r="N185" i="4"/>
  <c r="I185" i="4"/>
  <c r="H185" i="4"/>
  <c r="J185" i="4" s="1"/>
  <c r="N184" i="4"/>
  <c r="L184" i="4"/>
  <c r="K184" i="4"/>
  <c r="J184" i="4"/>
  <c r="O184" i="4" s="1"/>
  <c r="I184" i="4"/>
  <c r="H184" i="4"/>
  <c r="N183" i="4"/>
  <c r="I183" i="4"/>
  <c r="J183" i="4" s="1"/>
  <c r="H183" i="4"/>
  <c r="N182" i="4"/>
  <c r="I182" i="4"/>
  <c r="H182" i="4"/>
  <c r="J182" i="4" s="1"/>
  <c r="N181" i="4"/>
  <c r="I181" i="4"/>
  <c r="J181" i="4" s="1"/>
  <c r="H181" i="4"/>
  <c r="J180" i="4"/>
  <c r="L180" i="4"/>
  <c r="H180" i="4"/>
  <c r="K180" i="4"/>
  <c r="I180" i="4"/>
  <c r="N180" i="4"/>
  <c r="J179" i="4"/>
  <c r="I179" i="4"/>
  <c r="H179" i="4"/>
  <c r="K179" i="4"/>
  <c r="N179" i="4"/>
  <c r="N178" i="4"/>
  <c r="K178" i="4"/>
  <c r="J178" i="4"/>
  <c r="I178" i="4"/>
  <c r="H178" i="4"/>
  <c r="N177" i="4"/>
  <c r="L177" i="4"/>
  <c r="K177" i="4"/>
  <c r="J177" i="4"/>
  <c r="O177" i="4" s="1"/>
  <c r="I177" i="4"/>
  <c r="H177" i="4"/>
  <c r="N176" i="4"/>
  <c r="I176" i="4"/>
  <c r="H176" i="4"/>
  <c r="J176" i="4" s="1"/>
  <c r="H175" i="4"/>
  <c r="N175" i="4"/>
  <c r="L175" i="4"/>
  <c r="K175" i="4"/>
  <c r="I175" i="4"/>
  <c r="J175" i="4"/>
  <c r="O175" i="4" s="1"/>
  <c r="N174" i="4"/>
  <c r="L174" i="4"/>
  <c r="K174" i="4"/>
  <c r="J174" i="4"/>
  <c r="O174" i="4" s="1"/>
  <c r="I174" i="4"/>
  <c r="H174" i="4"/>
  <c r="N173" i="4"/>
  <c r="H173" i="4"/>
  <c r="I173" i="4"/>
  <c r="J173" i="4"/>
  <c r="N172" i="4"/>
  <c r="I172" i="4"/>
  <c r="H172" i="4"/>
  <c r="J172" i="4" s="1"/>
  <c r="N171" i="4"/>
  <c r="I171" i="4"/>
  <c r="H171" i="4"/>
  <c r="J171" i="4" s="1"/>
  <c r="H170" i="4"/>
  <c r="K170" i="4"/>
  <c r="N170" i="4"/>
  <c r="L170" i="4"/>
  <c r="I170" i="4"/>
  <c r="J170" i="4"/>
  <c r="O170" i="4" s="1"/>
  <c r="H169" i="4"/>
  <c r="I169" i="4"/>
  <c r="J169" i="4"/>
  <c r="K169" i="4"/>
  <c r="L169" i="4"/>
  <c r="N169" i="4"/>
  <c r="H168" i="4"/>
  <c r="I168" i="4"/>
  <c r="J168" i="4"/>
  <c r="N168" i="4"/>
  <c r="J167" i="4"/>
  <c r="K167" i="4"/>
  <c r="I167" i="4"/>
  <c r="H167" i="4"/>
  <c r="N167" i="4"/>
  <c r="N166" i="4"/>
  <c r="H166" i="4"/>
  <c r="I166" i="4"/>
  <c r="J166" i="4"/>
  <c r="H165" i="4"/>
  <c r="I165" i="4"/>
  <c r="J165" i="4"/>
  <c r="N165" i="4"/>
  <c r="N164" i="4"/>
  <c r="H164" i="4"/>
  <c r="I164" i="4"/>
  <c r="J164" i="4"/>
  <c r="N163" i="4"/>
  <c r="I163" i="4"/>
  <c r="H163" i="4"/>
  <c r="J163" i="4" s="1"/>
  <c r="N162" i="4"/>
  <c r="H162" i="4"/>
  <c r="I162" i="4"/>
  <c r="J162" i="4"/>
  <c r="I161" i="4"/>
  <c r="H161" i="4"/>
  <c r="J161" i="4"/>
  <c r="N161" i="4"/>
  <c r="N160" i="4"/>
  <c r="I160" i="4"/>
  <c r="H160" i="4"/>
  <c r="J160" i="4" s="1"/>
  <c r="H159" i="4"/>
  <c r="J159" i="4" s="1"/>
  <c r="I159" i="4"/>
  <c r="N159" i="4"/>
  <c r="N158" i="4"/>
  <c r="K158" i="4"/>
  <c r="J158" i="4"/>
  <c r="I158" i="4"/>
  <c r="H158" i="4"/>
  <c r="I157" i="4"/>
  <c r="L157" i="4"/>
  <c r="J157" i="4"/>
  <c r="K157" i="4"/>
  <c r="H157" i="4"/>
  <c r="N157" i="4"/>
  <c r="N156" i="4"/>
  <c r="I156" i="4"/>
  <c r="H156" i="4"/>
  <c r="J156" i="4" s="1"/>
  <c r="I155" i="4"/>
  <c r="H155" i="4"/>
  <c r="J155" i="4" s="1"/>
  <c r="N155" i="4"/>
  <c r="N154" i="4"/>
  <c r="I154" i="4"/>
  <c r="J154" i="4" s="1"/>
  <c r="H154" i="4"/>
  <c r="N153" i="4"/>
  <c r="I153" i="4"/>
  <c r="H153" i="4"/>
  <c r="J153" i="4" s="1"/>
  <c r="N152" i="4"/>
  <c r="I152" i="4"/>
  <c r="J152" i="4" s="1"/>
  <c r="H152" i="4"/>
  <c r="N151" i="4"/>
  <c r="I151" i="4"/>
  <c r="H151" i="4"/>
  <c r="J151" i="4" s="1"/>
  <c r="N150" i="4"/>
  <c r="I150" i="4"/>
  <c r="H150" i="4"/>
  <c r="J150" i="4" s="1"/>
  <c r="H149" i="4"/>
  <c r="J149" i="4"/>
  <c r="K149" i="4"/>
  <c r="I149" i="4"/>
  <c r="L149" i="4"/>
  <c r="N149" i="4"/>
  <c r="N148" i="4"/>
  <c r="L148" i="4"/>
  <c r="K148" i="4"/>
  <c r="J148" i="4"/>
  <c r="O148" i="4" s="1"/>
  <c r="I148" i="4"/>
  <c r="H148" i="4"/>
  <c r="I147" i="4"/>
  <c r="H147" i="4"/>
  <c r="J147" i="4"/>
  <c r="N147" i="4"/>
  <c r="N146" i="4"/>
  <c r="I146" i="4"/>
  <c r="H146" i="4"/>
  <c r="J146" i="4" s="1"/>
  <c r="H145" i="4"/>
  <c r="I145" i="4"/>
  <c r="J145" i="4"/>
  <c r="N145" i="4"/>
  <c r="N144" i="4"/>
  <c r="K144" i="4"/>
  <c r="J144" i="4"/>
  <c r="I144" i="4"/>
  <c r="H144" i="4"/>
  <c r="N143" i="4"/>
  <c r="I143" i="4"/>
  <c r="H143" i="4"/>
  <c r="J143" i="4" s="1"/>
  <c r="N142" i="4"/>
  <c r="I142" i="4"/>
  <c r="H142" i="4"/>
  <c r="J142" i="4" s="1"/>
  <c r="J141" i="4"/>
  <c r="K141" i="4"/>
  <c r="N141" i="4"/>
  <c r="L141" i="4"/>
  <c r="I141" i="4"/>
  <c r="H141" i="4"/>
  <c r="H140" i="4"/>
  <c r="N140" i="4"/>
  <c r="I140" i="4"/>
  <c r="J140" i="4" s="1"/>
  <c r="I139" i="4"/>
  <c r="H139" i="4"/>
  <c r="J139" i="4" s="1"/>
  <c r="N139" i="4"/>
  <c r="I138" i="4"/>
  <c r="N138" i="4"/>
  <c r="H138" i="4"/>
  <c r="J138" i="4" s="1"/>
  <c r="H137" i="4"/>
  <c r="N137" i="4"/>
  <c r="I137" i="4"/>
  <c r="J137" i="4" s="1"/>
  <c r="H136" i="4"/>
  <c r="I136" i="4"/>
  <c r="J136" i="4"/>
  <c r="I135" i="4"/>
  <c r="H135" i="4"/>
  <c r="N135" i="4"/>
  <c r="K135" i="4"/>
  <c r="J135" i="4"/>
  <c r="N134" i="4"/>
  <c r="I134" i="4"/>
  <c r="J134" i="4" s="1"/>
  <c r="H134" i="4"/>
  <c r="I133" i="4"/>
  <c r="J133" i="4" s="1"/>
  <c r="O133" i="4" s="1"/>
  <c r="H133" i="4"/>
  <c r="K133" i="4"/>
  <c r="N133" i="4"/>
  <c r="L133" i="4"/>
  <c r="N132" i="4"/>
  <c r="L132" i="4"/>
  <c r="K132" i="4"/>
  <c r="I132" i="4"/>
  <c r="H132" i="4"/>
  <c r="J132" i="4" s="1"/>
  <c r="O132" i="4" s="1"/>
  <c r="I131" i="4"/>
  <c r="L131" i="4"/>
  <c r="N131" i="4"/>
  <c r="H131" i="4"/>
  <c r="J131" i="4" s="1"/>
  <c r="O131" i="4" s="1"/>
  <c r="K131" i="4"/>
  <c r="N130" i="4"/>
  <c r="L130" i="4"/>
  <c r="K130" i="4"/>
  <c r="I130" i="4"/>
  <c r="H130" i="4"/>
  <c r="J130" i="4" s="1"/>
  <c r="O130" i="4" s="1"/>
  <c r="N129" i="4"/>
  <c r="L129" i="4"/>
  <c r="K129" i="4"/>
  <c r="I129" i="4"/>
  <c r="H129" i="4"/>
  <c r="J129" i="4" s="1"/>
  <c r="O129" i="4" s="1"/>
  <c r="K128" i="4"/>
  <c r="I128" i="4"/>
  <c r="H128" i="4"/>
  <c r="J128" i="4" s="1"/>
  <c r="O128" i="4" s="1"/>
  <c r="L128" i="4"/>
  <c r="N128" i="4"/>
  <c r="K127" i="4"/>
  <c r="H127" i="4"/>
  <c r="I127" i="4"/>
  <c r="N127" i="4"/>
  <c r="L127" i="4"/>
  <c r="J127" i="4"/>
  <c r="O127" i="4" s="1"/>
  <c r="N126" i="4"/>
  <c r="L126" i="4"/>
  <c r="K126" i="4"/>
  <c r="H126" i="4"/>
  <c r="J126" i="4" s="1"/>
  <c r="O126" i="4" s="1"/>
  <c r="I126" i="4"/>
  <c r="N125" i="4"/>
  <c r="L125" i="4"/>
  <c r="K125" i="4"/>
  <c r="I125" i="4"/>
  <c r="H125" i="4"/>
  <c r="J125" i="4" s="1"/>
  <c r="O125" i="4" s="1"/>
  <c r="H124" i="4"/>
  <c r="N124" i="4"/>
  <c r="I124" i="4"/>
  <c r="J124" i="4"/>
  <c r="K124" i="4"/>
  <c r="L124" i="4"/>
  <c r="H123" i="4"/>
  <c r="N123" i="4"/>
  <c r="L123" i="4"/>
  <c r="K123" i="4"/>
  <c r="I123" i="4"/>
  <c r="J123" i="4" s="1"/>
  <c r="O123" i="4" s="1"/>
  <c r="C17" i="6" s="1"/>
  <c r="D17" i="6" s="1"/>
  <c r="E17" i="6" s="1"/>
  <c r="H122" i="4"/>
  <c r="I122" i="4"/>
  <c r="J122" i="4"/>
  <c r="K122" i="4"/>
  <c r="L122" i="4"/>
  <c r="N122" i="4"/>
  <c r="N121" i="4"/>
  <c r="L121" i="4"/>
  <c r="K121" i="4"/>
  <c r="I121" i="4"/>
  <c r="H121" i="4"/>
  <c r="J121" i="4" s="1"/>
  <c r="O121" i="4" s="1"/>
  <c r="N120" i="4"/>
  <c r="I120" i="4"/>
  <c r="L120" i="4"/>
  <c r="K120" i="4"/>
  <c r="H120" i="4"/>
  <c r="J120" i="4" s="1"/>
  <c r="O120" i="4" s="1"/>
  <c r="N119" i="4"/>
  <c r="J119" i="4"/>
  <c r="I119" i="4"/>
  <c r="H119" i="4"/>
  <c r="I118" i="4"/>
  <c r="H118" i="4"/>
  <c r="J118" i="4" s="1"/>
  <c r="N118" i="4"/>
  <c r="N117" i="4"/>
  <c r="L117" i="4"/>
  <c r="J117" i="4"/>
  <c r="I117" i="4"/>
  <c r="H117" i="4"/>
  <c r="K117" i="4"/>
  <c r="N116" i="4"/>
  <c r="L116" i="4"/>
  <c r="K116" i="4"/>
  <c r="J116" i="4"/>
  <c r="O116" i="4" s="1"/>
  <c r="I116" i="4"/>
  <c r="H116" i="4"/>
  <c r="K115" i="4"/>
  <c r="N115" i="4"/>
  <c r="H115" i="4"/>
  <c r="I115" i="4"/>
  <c r="J115" i="4"/>
  <c r="L115" i="4"/>
  <c r="H114" i="4"/>
  <c r="I114" i="4"/>
  <c r="J114" i="4"/>
  <c r="N114" i="4"/>
  <c r="I113" i="4"/>
  <c r="N113" i="4"/>
  <c r="H113" i="4"/>
  <c r="J113" i="4" s="1"/>
  <c r="N112" i="4"/>
  <c r="I112" i="4"/>
  <c r="H112" i="4"/>
  <c r="J112" i="4" s="1"/>
  <c r="K111" i="4"/>
  <c r="L111" i="4"/>
  <c r="N111" i="4"/>
  <c r="J111" i="4"/>
  <c r="O111" i="4" s="1"/>
  <c r="I111" i="4"/>
  <c r="H111" i="4"/>
  <c r="I110" i="4"/>
  <c r="N110" i="4"/>
  <c r="H110" i="4"/>
  <c r="J110" i="4" s="1"/>
  <c r="H109" i="4"/>
  <c r="J109" i="4" s="1"/>
  <c r="I109" i="4"/>
  <c r="N109" i="4"/>
  <c r="N108" i="4"/>
  <c r="K108" i="4"/>
  <c r="J108" i="4"/>
  <c r="I108" i="4"/>
  <c r="H108" i="4"/>
  <c r="N107" i="4"/>
  <c r="H107" i="4"/>
  <c r="I107" i="4"/>
  <c r="J107" i="4"/>
  <c r="N106" i="4"/>
  <c r="I106" i="4"/>
  <c r="H106" i="4"/>
  <c r="J106" i="4" s="1"/>
  <c r="J105" i="4"/>
  <c r="I105" i="4"/>
  <c r="H105" i="4"/>
  <c r="N105" i="4"/>
  <c r="L105" i="4"/>
  <c r="K105" i="4"/>
  <c r="H104" i="4"/>
  <c r="I104" i="4"/>
  <c r="J104" i="4"/>
  <c r="N104" i="4"/>
  <c r="N103" i="4"/>
  <c r="I103" i="4"/>
  <c r="H103" i="4"/>
  <c r="J103" i="4"/>
  <c r="N102" i="4"/>
  <c r="L102" i="4"/>
  <c r="K102" i="4"/>
  <c r="J102" i="4"/>
  <c r="O102" i="4" s="1"/>
  <c r="I102" i="4"/>
  <c r="H102" i="4"/>
  <c r="G101" i="4"/>
  <c r="L101" i="4"/>
  <c r="O101" i="4" s="1"/>
  <c r="N100" i="4"/>
  <c r="I100" i="4"/>
  <c r="H100" i="4"/>
  <c r="J100" i="4" s="1"/>
  <c r="N99" i="4"/>
  <c r="I99" i="4"/>
  <c r="H99" i="4"/>
  <c r="J99" i="4" s="1"/>
  <c r="I98" i="4"/>
  <c r="N98" i="4"/>
  <c r="H98" i="4"/>
  <c r="J98" i="4" s="1"/>
  <c r="N97" i="4"/>
  <c r="I97" i="4"/>
  <c r="H97" i="4"/>
  <c r="J97" i="4" s="1"/>
  <c r="H96" i="4"/>
  <c r="N96" i="4"/>
  <c r="K96" i="4"/>
  <c r="J96" i="4"/>
  <c r="I96" i="4"/>
  <c r="I95" i="4"/>
  <c r="H95" i="4"/>
  <c r="J95" i="4" s="1"/>
  <c r="N95" i="4"/>
  <c r="N94" i="4"/>
  <c r="I94" i="4"/>
  <c r="H94" i="4"/>
  <c r="J94" i="4" s="1"/>
  <c r="N93" i="4"/>
  <c r="I93" i="4"/>
  <c r="H93" i="4"/>
  <c r="J93" i="4" s="1"/>
  <c r="N92" i="4"/>
  <c r="I92" i="4"/>
  <c r="J92" i="4" s="1"/>
  <c r="H92" i="4"/>
  <c r="I91" i="4"/>
  <c r="H91" i="4"/>
  <c r="J91" i="4"/>
  <c r="N91" i="4"/>
  <c r="N90" i="4"/>
  <c r="I90" i="4"/>
  <c r="H90" i="4"/>
  <c r="J90" i="4" s="1"/>
  <c r="I89" i="4"/>
  <c r="N89" i="4"/>
  <c r="H89" i="4"/>
  <c r="J89" i="4" s="1"/>
  <c r="N88" i="4"/>
  <c r="I88" i="4"/>
  <c r="H88" i="4"/>
  <c r="J88" i="4" s="1"/>
  <c r="H87" i="4"/>
  <c r="L87" i="4"/>
  <c r="J87" i="4"/>
  <c r="K87" i="4"/>
  <c r="N87" i="4"/>
  <c r="I87" i="4"/>
  <c r="H86" i="4"/>
  <c r="N86" i="4"/>
  <c r="I86" i="4"/>
  <c r="J86" i="4"/>
  <c r="I85" i="4"/>
  <c r="H85" i="4"/>
  <c r="J85" i="4" s="1"/>
  <c r="N85" i="4"/>
  <c r="N84" i="4"/>
  <c r="I84" i="4"/>
  <c r="J84" i="4" s="1"/>
  <c r="H84" i="4"/>
  <c r="N83" i="4"/>
  <c r="I83" i="4"/>
  <c r="H83" i="4"/>
  <c r="J83" i="4" s="1"/>
  <c r="N82" i="4"/>
  <c r="K82" i="4"/>
  <c r="J82" i="4"/>
  <c r="I82" i="4"/>
  <c r="H82" i="4"/>
  <c r="N81" i="4"/>
  <c r="I81" i="4"/>
  <c r="J81" i="4" s="1"/>
  <c r="H81" i="4"/>
  <c r="N80" i="4"/>
  <c r="K80" i="4"/>
  <c r="J80" i="4"/>
  <c r="I80" i="4"/>
  <c r="H80" i="4"/>
  <c r="H79" i="4"/>
  <c r="I79" i="4"/>
  <c r="J79" i="4" s="1"/>
  <c r="N79" i="4"/>
  <c r="N78" i="4"/>
  <c r="K78" i="4"/>
  <c r="J78" i="4"/>
  <c r="I78" i="4"/>
  <c r="H78" i="4"/>
  <c r="L78" i="4"/>
  <c r="N77" i="4"/>
  <c r="I77" i="4"/>
  <c r="H77" i="4"/>
  <c r="J77" i="4" s="1"/>
  <c r="N76" i="4"/>
  <c r="I76" i="4"/>
  <c r="H76" i="4"/>
  <c r="J76" i="4" s="1"/>
  <c r="L75" i="4"/>
  <c r="J75" i="4"/>
  <c r="I75" i="4"/>
  <c r="N75" i="4"/>
  <c r="H75" i="4"/>
  <c r="K75" i="4"/>
  <c r="I74" i="4"/>
  <c r="H74" i="4"/>
  <c r="J74" i="4" s="1"/>
  <c r="N74" i="4"/>
  <c r="N73" i="4"/>
  <c r="L73" i="4"/>
  <c r="J73" i="4"/>
  <c r="I73" i="4"/>
  <c r="H73" i="4"/>
  <c r="K73" i="4"/>
  <c r="N72" i="4"/>
  <c r="I72" i="4"/>
  <c r="H72" i="4"/>
  <c r="J72" i="4" s="1"/>
  <c r="I71" i="4"/>
  <c r="N71" i="4"/>
  <c r="H71" i="4"/>
  <c r="J71" i="4" s="1"/>
  <c r="N70" i="4"/>
  <c r="I70" i="4"/>
  <c r="H70" i="4"/>
  <c r="J70" i="4" s="1"/>
  <c r="N69" i="4"/>
  <c r="I69" i="4"/>
  <c r="H69" i="4"/>
  <c r="J69" i="4" s="1"/>
  <c r="I68" i="4"/>
  <c r="H68" i="4"/>
  <c r="J68" i="4" s="1"/>
  <c r="N68" i="4"/>
  <c r="N67" i="4"/>
  <c r="I67" i="4"/>
  <c r="H67" i="4"/>
  <c r="J67" i="4" s="1"/>
  <c r="H66" i="4"/>
  <c r="I66" i="4"/>
  <c r="J66" i="4" s="1"/>
  <c r="N66" i="4"/>
  <c r="I65" i="4"/>
  <c r="N65" i="4"/>
  <c r="H65" i="4"/>
  <c r="J65" i="4" s="1"/>
  <c r="N64" i="4"/>
  <c r="H64" i="4"/>
  <c r="J64" i="4" s="1"/>
  <c r="I64" i="4"/>
  <c r="H63" i="4"/>
  <c r="I63" i="4"/>
  <c r="N63" i="4"/>
  <c r="J63" i="4"/>
  <c r="I62" i="4"/>
  <c r="N62" i="4"/>
  <c r="H62" i="4"/>
  <c r="J62" i="4" s="1"/>
  <c r="H61" i="4"/>
  <c r="N61" i="4"/>
  <c r="I61" i="4"/>
  <c r="J61" i="4" s="1"/>
  <c r="H60" i="4"/>
  <c r="J60" i="4" s="1"/>
  <c r="N60" i="4"/>
  <c r="I60" i="4"/>
  <c r="J59" i="4"/>
  <c r="N59" i="4"/>
  <c r="I59" i="4"/>
  <c r="H59" i="4"/>
  <c r="L59" i="4"/>
  <c r="K59" i="4"/>
  <c r="I58" i="4"/>
  <c r="N58" i="4"/>
  <c r="H58" i="4"/>
  <c r="J58" i="4" s="1"/>
  <c r="L57" i="4"/>
  <c r="J57" i="4"/>
  <c r="N57" i="4"/>
  <c r="I57" i="4"/>
  <c r="H57" i="4"/>
  <c r="K57" i="4"/>
  <c r="L56" i="4"/>
  <c r="K56" i="4"/>
  <c r="J56" i="4"/>
  <c r="N56" i="4"/>
  <c r="I56" i="4"/>
  <c r="H56" i="4"/>
  <c r="I55" i="4"/>
  <c r="N55" i="4"/>
  <c r="H55" i="4"/>
  <c r="J55" i="4" s="1"/>
  <c r="N54" i="4"/>
  <c r="L54" i="4"/>
  <c r="K54" i="4"/>
  <c r="I54" i="4"/>
  <c r="J54" i="4"/>
  <c r="O54" i="4" s="1"/>
  <c r="H54" i="4"/>
  <c r="K53" i="4"/>
  <c r="J53" i="4"/>
  <c r="H53" i="4"/>
  <c r="N53" i="4"/>
  <c r="L53" i="4"/>
  <c r="I53" i="4"/>
  <c r="H52" i="4"/>
  <c r="N52" i="4"/>
  <c r="I52" i="4"/>
  <c r="J52" i="4" s="1"/>
  <c r="J51" i="4"/>
  <c r="H51" i="4"/>
  <c r="I51" i="4"/>
  <c r="N51" i="4"/>
  <c r="L51" i="4"/>
  <c r="K51" i="4"/>
  <c r="N50" i="4"/>
  <c r="I50" i="4"/>
  <c r="H50" i="4"/>
  <c r="J50" i="4" s="1"/>
  <c r="H49" i="4"/>
  <c r="N49" i="4"/>
  <c r="L49" i="4"/>
  <c r="K49" i="4"/>
  <c r="J49" i="4"/>
  <c r="O49" i="4" s="1"/>
  <c r="I49" i="4"/>
  <c r="K48" i="4"/>
  <c r="I48" i="4"/>
  <c r="H48" i="4"/>
  <c r="N48" i="4"/>
  <c r="J48" i="4"/>
  <c r="N47" i="4"/>
  <c r="L47" i="4"/>
  <c r="K47" i="4"/>
  <c r="J47" i="4"/>
  <c r="O47" i="4" s="1"/>
  <c r="I47" i="4"/>
  <c r="H47" i="4"/>
  <c r="H46" i="4"/>
  <c r="I46" i="4"/>
  <c r="J46" i="4" s="1"/>
  <c r="N46" i="4"/>
  <c r="N45" i="4"/>
  <c r="I45" i="4"/>
  <c r="J45" i="4" s="1"/>
  <c r="H45" i="4"/>
  <c r="H44" i="4"/>
  <c r="J44" i="4" s="1"/>
  <c r="N44" i="4"/>
  <c r="I44" i="4"/>
  <c r="I43" i="4"/>
  <c r="N43" i="4"/>
  <c r="H43" i="4"/>
  <c r="J43" i="4" s="1"/>
  <c r="H42" i="4"/>
  <c r="J42" i="4"/>
  <c r="I42" i="4"/>
  <c r="K42" i="4"/>
  <c r="N42" i="4"/>
  <c r="N41" i="4"/>
  <c r="I41" i="4"/>
  <c r="H41" i="4"/>
  <c r="J41" i="4" s="1"/>
  <c r="I40" i="4"/>
  <c r="H40" i="4"/>
  <c r="J40" i="4" s="1"/>
  <c r="N40" i="4"/>
  <c r="I39" i="4"/>
  <c r="H39" i="4"/>
  <c r="J39" i="4"/>
  <c r="N39" i="4"/>
  <c r="N38" i="4"/>
  <c r="I38" i="4"/>
  <c r="H38" i="4"/>
  <c r="J38" i="4" s="1"/>
  <c r="N37" i="4"/>
  <c r="I37" i="4"/>
  <c r="H37" i="4"/>
  <c r="J37" i="4" s="1"/>
  <c r="H36" i="4"/>
  <c r="I36" i="4"/>
  <c r="N36" i="4"/>
  <c r="J36" i="4"/>
  <c r="N35" i="4"/>
  <c r="I35" i="4"/>
  <c r="H35" i="4"/>
  <c r="J35" i="4" s="1"/>
  <c r="H34" i="4"/>
  <c r="N34" i="4"/>
  <c r="I34" i="4"/>
  <c r="J34" i="4" s="1"/>
  <c r="L33" i="4"/>
  <c r="J33" i="4"/>
  <c r="I33" i="4"/>
  <c r="H33" i="4"/>
  <c r="N33" i="4"/>
  <c r="K33" i="4"/>
  <c r="N32" i="4"/>
  <c r="H32" i="4"/>
  <c r="J32" i="4" s="1"/>
  <c r="I32" i="4"/>
  <c r="N31" i="4"/>
  <c r="I31" i="4"/>
  <c r="H31" i="4"/>
  <c r="J31" i="4" s="1"/>
  <c r="H30" i="4"/>
  <c r="I30" i="4"/>
  <c r="N30" i="4"/>
  <c r="L30" i="4"/>
  <c r="K30" i="4"/>
  <c r="J30" i="4"/>
  <c r="O30" i="4" s="1"/>
  <c r="I29" i="4"/>
  <c r="N29" i="4"/>
  <c r="H29" i="4"/>
  <c r="J29" i="4" s="1"/>
  <c r="I28" i="4"/>
  <c r="N28" i="4"/>
  <c r="H28" i="4"/>
  <c r="J28" i="4" s="1"/>
  <c r="N27" i="4"/>
  <c r="H27" i="4"/>
  <c r="I27" i="4"/>
  <c r="J27" i="4" s="1"/>
  <c r="N26" i="4"/>
  <c r="I26" i="4"/>
  <c r="H26" i="4"/>
  <c r="J26" i="4"/>
  <c r="K26" i="4"/>
  <c r="N25" i="4"/>
  <c r="I25" i="4"/>
  <c r="H25" i="4"/>
  <c r="J25" i="4" s="1"/>
  <c r="N24" i="4"/>
  <c r="K24" i="4"/>
  <c r="I24" i="4"/>
  <c r="J24" i="4"/>
  <c r="H24" i="4"/>
  <c r="N23" i="4"/>
  <c r="I23" i="4"/>
  <c r="H23" i="4"/>
  <c r="J23" i="4" s="1"/>
  <c r="N22" i="4"/>
  <c r="I22" i="4"/>
  <c r="H22" i="4"/>
  <c r="J22" i="4" s="1"/>
  <c r="I21" i="4"/>
  <c r="N21" i="4"/>
  <c r="K21" i="4"/>
  <c r="J21" i="4"/>
  <c r="H21" i="4"/>
  <c r="I20" i="4"/>
  <c r="H20" i="4"/>
  <c r="J20" i="4"/>
  <c r="N20" i="4"/>
  <c r="H19" i="4"/>
  <c r="J19" i="4"/>
  <c r="N19" i="4"/>
  <c r="L19" i="4"/>
  <c r="K19" i="4"/>
  <c r="I19" i="4"/>
  <c r="I18" i="4"/>
  <c r="N18" i="4"/>
  <c r="H18" i="4"/>
  <c r="J18" i="4" s="1"/>
  <c r="N17" i="4"/>
  <c r="I17" i="4"/>
  <c r="J17" i="4" s="1"/>
  <c r="H17" i="4"/>
  <c r="J16" i="4"/>
  <c r="N16" i="4"/>
  <c r="H16" i="4"/>
  <c r="I16" i="4"/>
  <c r="K16" i="4"/>
  <c r="H15" i="4"/>
  <c r="I15" i="4"/>
  <c r="J15" i="4"/>
  <c r="N15" i="4"/>
  <c r="J14" i="4"/>
  <c r="K14" i="4"/>
  <c r="L14" i="4"/>
  <c r="N14" i="4"/>
  <c r="H14" i="4"/>
  <c r="I14" i="4"/>
  <c r="N13" i="4"/>
  <c r="L13" i="4"/>
  <c r="H13" i="4"/>
  <c r="J13" i="4"/>
  <c r="I13" i="4"/>
  <c r="K13" i="4"/>
  <c r="I12" i="4"/>
  <c r="J12" i="4"/>
  <c r="H12" i="4"/>
  <c r="N12" i="4"/>
  <c r="N11" i="4"/>
  <c r="H11" i="4"/>
  <c r="I11" i="4"/>
  <c r="J11" i="4"/>
  <c r="I10" i="4"/>
  <c r="H10" i="4"/>
  <c r="J10" i="4"/>
  <c r="N10" i="4"/>
  <c r="H9" i="4"/>
  <c r="J9" i="4"/>
  <c r="L9" i="4"/>
  <c r="N9" i="4"/>
  <c r="K9" i="4"/>
  <c r="I9" i="4"/>
  <c r="N8" i="4"/>
  <c r="H8" i="4"/>
  <c r="J8" i="4" s="1"/>
  <c r="I8" i="4"/>
  <c r="N7" i="4"/>
  <c r="K7" i="4"/>
  <c r="I7" i="4"/>
  <c r="H7" i="4"/>
  <c r="J7" i="4"/>
  <c r="N6" i="4"/>
  <c r="K6" i="4"/>
  <c r="J6" i="4"/>
  <c r="I6" i="4"/>
  <c r="H6" i="4"/>
  <c r="H5" i="4"/>
  <c r="I5" i="4"/>
  <c r="J5" i="4"/>
  <c r="N5" i="4"/>
  <c r="I4" i="4"/>
  <c r="H4" i="4"/>
  <c r="N4" i="4"/>
  <c r="J4" i="4"/>
  <c r="K4" i="4"/>
  <c r="H3" i="4"/>
  <c r="I3" i="4"/>
  <c r="J3" i="4"/>
  <c r="K3" i="4"/>
  <c r="N3" i="4"/>
  <c r="L3" i="4"/>
  <c r="I2" i="4"/>
  <c r="N2" i="4"/>
  <c r="H2" i="4"/>
  <c r="J2" i="4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E57" i="3"/>
  <c r="F45" i="3" l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K359" i="4"/>
  <c r="O979" i="4"/>
  <c r="O975" i="4"/>
  <c r="O969" i="4"/>
  <c r="O934" i="4"/>
  <c r="O872" i="4"/>
  <c r="O624" i="4"/>
  <c r="O576" i="4"/>
  <c r="O446" i="4"/>
  <c r="O436" i="4"/>
  <c r="O428" i="4"/>
  <c r="O424" i="4"/>
  <c r="O408" i="4"/>
  <c r="O400" i="4"/>
  <c r="O386" i="4"/>
  <c r="O385" i="4"/>
  <c r="O383" i="4"/>
  <c r="O381" i="4"/>
  <c r="O379" i="4"/>
  <c r="O377" i="4"/>
  <c r="O372" i="4"/>
  <c r="O367" i="4"/>
  <c r="C12" i="6" s="1"/>
  <c r="D12" i="6" s="1"/>
  <c r="E12" i="6" s="1"/>
  <c r="O362" i="4"/>
  <c r="J359" i="4"/>
  <c r="O315" i="4"/>
  <c r="O313" i="4"/>
  <c r="O309" i="4"/>
  <c r="O308" i="4"/>
  <c r="O304" i="4"/>
  <c r="O302" i="4"/>
  <c r="O301" i="4"/>
  <c r="O298" i="4"/>
  <c r="O292" i="4"/>
  <c r="O289" i="4"/>
  <c r="O288" i="4"/>
  <c r="O287" i="4"/>
  <c r="O285" i="4"/>
  <c r="O281" i="4"/>
  <c r="O278" i="4"/>
  <c r="O277" i="4"/>
  <c r="O274" i="4"/>
  <c r="O273" i="4"/>
  <c r="O272" i="4"/>
  <c r="O270" i="4"/>
  <c r="O269" i="4"/>
  <c r="O268" i="4"/>
  <c r="O264" i="4"/>
  <c r="O260" i="4"/>
  <c r="O259" i="4"/>
  <c r="O255" i="4"/>
  <c r="O254" i="4"/>
  <c r="O251" i="4"/>
  <c r="O687" i="4"/>
  <c r="O684" i="4"/>
  <c r="O682" i="4"/>
  <c r="O660" i="4"/>
  <c r="O650" i="4"/>
  <c r="O644" i="4"/>
  <c r="O538" i="4"/>
  <c r="O513" i="4"/>
  <c r="O314" i="4"/>
  <c r="O307" i="4"/>
  <c r="O303" i="4"/>
  <c r="O300" i="4"/>
  <c r="O299" i="4"/>
  <c r="O297" i="4"/>
  <c r="O296" i="4"/>
  <c r="O295" i="4"/>
  <c r="O291" i="4"/>
  <c r="O290" i="4"/>
  <c r="O286" i="4"/>
  <c r="O284" i="4"/>
  <c r="O283" i="4"/>
  <c r="O282" i="4"/>
  <c r="O279" i="4"/>
  <c r="O276" i="4"/>
  <c r="O275" i="4"/>
  <c r="O271" i="4"/>
  <c r="O265" i="4"/>
  <c r="O263" i="4"/>
  <c r="O262" i="4"/>
  <c r="O261" i="4"/>
  <c r="O258" i="4"/>
  <c r="O257" i="4"/>
  <c r="O256" i="4"/>
  <c r="O253" i="4"/>
  <c r="O706" i="4"/>
  <c r="O705" i="4"/>
  <c r="O696" i="4"/>
  <c r="O683" i="4"/>
  <c r="O680" i="4"/>
  <c r="O679" i="4"/>
  <c r="O678" i="4"/>
  <c r="O677" i="4"/>
  <c r="O676" i="4"/>
  <c r="O673" i="4"/>
  <c r="O664" i="4"/>
  <c r="O659" i="4"/>
  <c r="O633" i="4"/>
  <c r="O511" i="4"/>
  <c r="O509" i="4"/>
  <c r="O499" i="4"/>
  <c r="O230" i="4"/>
  <c r="O205" i="4"/>
  <c r="O203" i="4"/>
  <c r="O180" i="4"/>
  <c r="O169" i="4"/>
  <c r="O157" i="4"/>
  <c r="O149" i="4"/>
  <c r="O141" i="4"/>
  <c r="O124" i="4"/>
  <c r="O122" i="4"/>
  <c r="O933" i="4"/>
  <c r="O892" i="4"/>
  <c r="O876" i="4"/>
  <c r="O802" i="4"/>
  <c r="O800" i="4"/>
  <c r="O799" i="4"/>
  <c r="O794" i="4"/>
  <c r="O791" i="4"/>
  <c r="O790" i="4"/>
  <c r="O787" i="4"/>
  <c r="O783" i="4"/>
  <c r="O777" i="4"/>
  <c r="O775" i="4"/>
  <c r="O774" i="4"/>
  <c r="O771" i="4"/>
  <c r="O770" i="4"/>
  <c r="O764" i="4"/>
  <c r="O762" i="4"/>
  <c r="O757" i="4"/>
  <c r="O755" i="4"/>
  <c r="O754" i="4"/>
  <c r="O744" i="4"/>
  <c r="O739" i="4"/>
  <c r="O737" i="4"/>
  <c r="O731" i="4"/>
  <c r="O729" i="4"/>
  <c r="O701" i="4"/>
  <c r="O700" i="4"/>
  <c r="O698" i="4"/>
  <c r="O695" i="4"/>
  <c r="O692" i="4"/>
  <c r="O661" i="4"/>
  <c r="O653" i="4"/>
  <c r="O641" i="4"/>
  <c r="O640" i="4"/>
  <c r="O625" i="4"/>
  <c r="O537" i="4"/>
  <c r="O532" i="4"/>
  <c r="O523" i="4"/>
  <c r="O505" i="4"/>
  <c r="O117" i="4"/>
  <c r="O115" i="4"/>
  <c r="O105" i="4"/>
  <c r="O87" i="4"/>
  <c r="O78" i="4"/>
  <c r="O75" i="4"/>
  <c r="O73" i="4"/>
  <c r="O59" i="4"/>
  <c r="O57" i="4"/>
  <c r="O56" i="4"/>
  <c r="O53" i="4"/>
  <c r="O51" i="4"/>
  <c r="O33" i="4"/>
  <c r="O19" i="4"/>
  <c r="O14" i="4"/>
  <c r="O13" i="4"/>
  <c r="O9" i="4"/>
  <c r="O3" i="4"/>
  <c r="O951" i="4"/>
  <c r="O943" i="4"/>
  <c r="O942" i="4"/>
  <c r="O941" i="4"/>
  <c r="O932" i="4"/>
  <c r="O930" i="4"/>
  <c r="O929" i="4"/>
  <c r="O917" i="4"/>
  <c r="O911" i="4"/>
  <c r="O882" i="4"/>
  <c r="O798" i="4"/>
  <c r="O795" i="4"/>
  <c r="O793" i="4"/>
  <c r="O792" i="4"/>
  <c r="O789" i="4"/>
  <c r="O785" i="4"/>
  <c r="O784" i="4"/>
  <c r="O782" i="4"/>
  <c r="O779" i="4"/>
  <c r="O778" i="4"/>
  <c r="O776" i="4"/>
  <c r="O773" i="4"/>
  <c r="O772" i="4"/>
  <c r="O769" i="4"/>
  <c r="O768" i="4"/>
  <c r="O767" i="4"/>
  <c r="O765" i="4"/>
  <c r="O763" i="4"/>
  <c r="O761" i="4"/>
  <c r="O760" i="4"/>
  <c r="O759" i="4"/>
  <c r="O758" i="4"/>
  <c r="O756" i="4"/>
  <c r="O752" i="4"/>
  <c r="O751" i="4"/>
  <c r="O746" i="4"/>
  <c r="O736" i="4"/>
  <c r="O724" i="4"/>
  <c r="O716" i="4"/>
  <c r="O714" i="4"/>
  <c r="O699" i="4"/>
  <c r="O533" i="4"/>
  <c r="O510" i="4"/>
  <c r="K192" i="4"/>
  <c r="K142" i="4"/>
  <c r="K1001" i="4"/>
  <c r="K402" i="4"/>
  <c r="K1000" i="4"/>
  <c r="K999" i="4"/>
  <c r="K401" i="4"/>
  <c r="K404" i="4"/>
  <c r="K998" i="4"/>
  <c r="K997" i="4"/>
  <c r="K996" i="4"/>
  <c r="K397" i="4"/>
  <c r="K995" i="4"/>
  <c r="K993" i="4"/>
  <c r="K396" i="4"/>
  <c r="K405" i="4"/>
  <c r="K991" i="4"/>
  <c r="K394" i="4"/>
  <c r="K990" i="4"/>
  <c r="K989" i="4"/>
  <c r="K393" i="4"/>
  <c r="K406" i="4"/>
  <c r="K988" i="4"/>
  <c r="K392" i="4"/>
  <c r="K987" i="4"/>
  <c r="K986" i="4"/>
  <c r="K391" i="4"/>
  <c r="K407" i="4"/>
  <c r="K984" i="4"/>
  <c r="K390" i="4"/>
  <c r="K983" i="4"/>
  <c r="K981" i="4"/>
  <c r="K389" i="4"/>
  <c r="K409" i="4"/>
  <c r="K980" i="4"/>
  <c r="K388" i="4"/>
  <c r="K977" i="4"/>
  <c r="K973" i="4"/>
  <c r="K387" i="4"/>
  <c r="K410" i="4"/>
  <c r="K972" i="4"/>
  <c r="K971" i="4"/>
  <c r="K411" i="4"/>
  <c r="K968" i="4"/>
  <c r="K412" i="4"/>
  <c r="K966" i="4"/>
  <c r="K414" i="4"/>
  <c r="K965" i="4"/>
  <c r="K415" i="4"/>
  <c r="K963" i="4"/>
  <c r="K960" i="4"/>
  <c r="K417" i="4"/>
  <c r="K875" i="4"/>
  <c r="K873" i="4"/>
  <c r="K871" i="4"/>
  <c r="K420" i="4"/>
  <c r="K421" i="4"/>
  <c r="K870" i="4"/>
  <c r="K422" i="4"/>
  <c r="K867" i="4"/>
  <c r="K423" i="4"/>
  <c r="K866" i="4"/>
  <c r="K865" i="4"/>
  <c r="K426" i="4"/>
  <c r="K427" i="4"/>
  <c r="K864" i="4"/>
  <c r="K809" i="4"/>
  <c r="K863" i="4"/>
  <c r="K810" i="4"/>
  <c r="K606" i="4"/>
  <c r="K811" i="4"/>
  <c r="K2" i="4"/>
  <c r="K812" i="4"/>
  <c r="K5" i="4"/>
  <c r="K813" i="4"/>
  <c r="K8" i="4"/>
  <c r="K814" i="4"/>
  <c r="K191" i="4"/>
  <c r="K429" i="4"/>
  <c r="K815" i="4"/>
  <c r="K10" i="4"/>
  <c r="K817" i="4"/>
  <c r="K11" i="4"/>
  <c r="K818" i="4"/>
  <c r="K12" i="4"/>
  <c r="K15" i="4"/>
  <c r="K430" i="4"/>
  <c r="K17" i="4"/>
  <c r="K431" i="4"/>
  <c r="K18" i="4"/>
  <c r="K608" i="4"/>
  <c r="K432" i="4"/>
  <c r="K433" i="4"/>
  <c r="K20" i="4"/>
  <c r="K434" i="4"/>
  <c r="K819" i="4"/>
  <c r="K22" i="4"/>
  <c r="K820" i="4"/>
  <c r="K23" i="4"/>
  <c r="K822" i="4"/>
  <c r="K609" i="4"/>
  <c r="K823" i="4"/>
  <c r="K25" i="4"/>
  <c r="K825" i="4"/>
  <c r="K27" i="4"/>
  <c r="K826" i="4"/>
  <c r="K610" i="4"/>
  <c r="K827" i="4"/>
  <c r="K28" i="4"/>
  <c r="K828" i="4"/>
  <c r="K29" i="4"/>
  <c r="K613" i="4"/>
  <c r="K830" i="4"/>
  <c r="K31" i="4"/>
  <c r="K831" i="4"/>
  <c r="K32" i="4"/>
  <c r="K833" i="4"/>
  <c r="K34" i="4"/>
  <c r="K614" i="4"/>
  <c r="K35" i="4"/>
  <c r="K243" i="4"/>
  <c r="K437" i="4"/>
  <c r="K36" i="4"/>
  <c r="K242" i="4"/>
  <c r="K615" i="4"/>
  <c r="K37" i="4"/>
  <c r="K38" i="4"/>
  <c r="K241" i="4"/>
  <c r="K438" i="4"/>
  <c r="K39" i="4"/>
  <c r="K240" i="4"/>
  <c r="K40" i="4"/>
  <c r="K617" i="4"/>
  <c r="K239" i="4"/>
  <c r="K440" i="4"/>
  <c r="K41" i="4"/>
  <c r="K238" i="4"/>
  <c r="K43" i="4"/>
  <c r="K237" i="4"/>
  <c r="K618" i="4"/>
  <c r="K44" i="4"/>
  <c r="K234" i="4"/>
  <c r="K619" i="4"/>
  <c r="K233" i="4"/>
  <c r="K441" i="4"/>
  <c r="K45" i="4"/>
  <c r="K46" i="4"/>
  <c r="K620" i="4"/>
  <c r="K50" i="4"/>
  <c r="K229" i="4"/>
  <c r="K52" i="4"/>
  <c r="K55" i="4"/>
  <c r="K228" i="4"/>
  <c r="K442" i="4"/>
  <c r="K621" i="4"/>
  <c r="K227" i="4"/>
  <c r="K58" i="4"/>
  <c r="K60" i="4"/>
  <c r="K226" i="4"/>
  <c r="K622" i="4"/>
  <c r="K225" i="4"/>
  <c r="K444" i="4"/>
  <c r="K61" i="4"/>
  <c r="K62" i="4"/>
  <c r="K224" i="4"/>
  <c r="K623" i="4"/>
  <c r="K223" i="4"/>
  <c r="K445" i="4"/>
  <c r="K63" i="4"/>
  <c r="K64" i="4"/>
  <c r="K221" i="4"/>
  <c r="K65" i="4"/>
  <c r="K220" i="4"/>
  <c r="K447" i="4"/>
  <c r="K748" i="4"/>
  <c r="K218" i="4"/>
  <c r="K66" i="4"/>
  <c r="K67" i="4"/>
  <c r="K749" i="4"/>
  <c r="K217" i="4"/>
  <c r="K448" i="4"/>
  <c r="K216" i="4"/>
  <c r="K68" i="4"/>
  <c r="K69" i="4"/>
  <c r="K215" i="4"/>
  <c r="K70" i="4"/>
  <c r="K805" i="4"/>
  <c r="K71" i="4"/>
  <c r="K214" i="4"/>
  <c r="K806" i="4"/>
  <c r="K72" i="4"/>
  <c r="K212" i="4"/>
  <c r="K74" i="4"/>
  <c r="K807" i="4"/>
  <c r="K211" i="4"/>
  <c r="K210" i="4"/>
  <c r="K76" i="4"/>
  <c r="K77" i="4"/>
  <c r="K209" i="4"/>
  <c r="K450" i="4"/>
  <c r="K79" i="4"/>
  <c r="K208" i="4"/>
  <c r="K81" i="4"/>
  <c r="K498" i="4"/>
  <c r="K83" i="4"/>
  <c r="K207" i="4"/>
  <c r="K84" i="4"/>
  <c r="K206" i="4"/>
  <c r="K453" i="4"/>
  <c r="K497" i="4"/>
  <c r="K204" i="4"/>
  <c r="K85" i="4"/>
  <c r="K86" i="4"/>
  <c r="K202" i="4"/>
  <c r="K454" i="4"/>
  <c r="K88" i="4"/>
  <c r="K200" i="4"/>
  <c r="K496" i="4"/>
  <c r="K89" i="4"/>
  <c r="K90" i="4"/>
  <c r="K197" i="4"/>
  <c r="K455" i="4"/>
  <c r="K196" i="4"/>
  <c r="K91" i="4"/>
  <c r="K495" i="4"/>
  <c r="K92" i="4"/>
  <c r="K195" i="4"/>
  <c r="K456" i="4"/>
  <c r="K93" i="4"/>
  <c r="K194" i="4"/>
  <c r="K494" i="4"/>
  <c r="K193" i="4"/>
  <c r="K94" i="4"/>
  <c r="K493" i="4"/>
  <c r="K95" i="4"/>
  <c r="K458" i="4"/>
  <c r="K459" i="4"/>
  <c r="K97" i="4"/>
  <c r="K98" i="4"/>
  <c r="K492" i="4"/>
  <c r="K99" i="4"/>
  <c r="K190" i="4"/>
  <c r="K460" i="4"/>
  <c r="K189" i="4"/>
  <c r="K100" i="4"/>
  <c r="K103" i="4"/>
  <c r="K188" i="4"/>
  <c r="K104" i="4"/>
  <c r="K491" i="4"/>
  <c r="K106" i="4"/>
  <c r="K187" i="4"/>
  <c r="K107" i="4"/>
  <c r="K109" i="4"/>
  <c r="K186" i="4"/>
  <c r="K463" i="4"/>
  <c r="K489" i="4"/>
  <c r="K185" i="4"/>
  <c r="K110" i="4"/>
  <c r="K112" i="4"/>
  <c r="K183" i="4"/>
  <c r="K113" i="4"/>
  <c r="K182" i="4"/>
  <c r="K464" i="4"/>
  <c r="K487" i="4"/>
  <c r="K114" i="4"/>
  <c r="K181" i="4"/>
  <c r="K118" i="4"/>
  <c r="K119" i="4"/>
  <c r="K862" i="4"/>
  <c r="K465" i="4"/>
  <c r="K176" i="4"/>
  <c r="K861" i="4"/>
  <c r="K860" i="4"/>
  <c r="K173" i="4"/>
  <c r="K859" i="4"/>
  <c r="K172" i="4"/>
  <c r="K467" i="4"/>
  <c r="K858" i="4"/>
  <c r="K171" i="4"/>
  <c r="K857" i="4"/>
  <c r="K168" i="4"/>
  <c r="K854" i="4"/>
  <c r="K853" i="4"/>
  <c r="K852" i="4"/>
  <c r="K166" i="4"/>
  <c r="K165" i="4"/>
  <c r="K851" i="4"/>
  <c r="K164" i="4"/>
  <c r="K850" i="4"/>
  <c r="K849" i="4"/>
  <c r="K163" i="4"/>
  <c r="K468" i="4"/>
  <c r="K162" i="4"/>
  <c r="K848" i="4"/>
  <c r="K846" i="4"/>
  <c r="K161" i="4"/>
  <c r="K844" i="4"/>
  <c r="K160" i="4"/>
  <c r="K842" i="4"/>
  <c r="K469" i="4"/>
  <c r="K159" i="4"/>
  <c r="K839" i="4"/>
  <c r="K838" i="4"/>
  <c r="K837" i="4"/>
  <c r="K836" i="4"/>
  <c r="K156" i="4"/>
  <c r="K155" i="4"/>
  <c r="K470" i="4"/>
  <c r="K835" i="4"/>
  <c r="K485" i="4"/>
  <c r="K403" i="4"/>
  <c r="K154" i="4"/>
  <c r="K483" i="4"/>
  <c r="K153" i="4"/>
  <c r="K482" i="4"/>
  <c r="K152" i="4"/>
  <c r="K472" i="4"/>
  <c r="K481" i="4"/>
  <c r="K480" i="4"/>
  <c r="K151" i="4"/>
  <c r="K134" i="4"/>
  <c r="K136" i="4"/>
  <c r="K150" i="4"/>
  <c r="K137" i="4"/>
  <c r="K147" i="4"/>
  <c r="K477" i="4"/>
  <c r="K138" i="4"/>
  <c r="K146" i="4"/>
  <c r="K473" i="4"/>
  <c r="K139" i="4"/>
  <c r="K145" i="4"/>
  <c r="K475" i="4"/>
  <c r="K140" i="4"/>
  <c r="K143" i="4"/>
  <c r="K474" i="4"/>
  <c r="K484" i="4"/>
  <c r="E56" i="3"/>
  <c r="L96" i="4"/>
  <c r="O96" i="4" s="1"/>
  <c r="L612" i="4"/>
  <c r="O612" i="4" s="1"/>
  <c r="L244" i="4"/>
  <c r="O244" i="4" s="1"/>
  <c r="L80" i="4" l="1"/>
  <c r="O80" i="4" s="1"/>
  <c r="L6" i="4"/>
  <c r="O6" i="4" s="1"/>
  <c r="L869" i="4"/>
  <c r="O869" i="4" s="1"/>
  <c r="L461" i="4"/>
  <c r="O461" i="4" s="1"/>
  <c r="L179" i="4"/>
  <c r="O179" i="4" s="1"/>
  <c r="E55" i="3"/>
  <c r="L449" i="4" l="1"/>
  <c r="O449" i="4" s="1"/>
  <c r="L42" i="4"/>
  <c r="O42" i="4" s="1"/>
  <c r="E54" i="3"/>
  <c r="L478" i="4" l="1"/>
  <c r="O478" i="4" s="1"/>
  <c r="L135" i="4"/>
  <c r="O135" i="4" s="1"/>
  <c r="L451" i="4"/>
  <c r="O451" i="4" s="1"/>
  <c r="L82" i="4"/>
  <c r="O82" i="4" s="1"/>
  <c r="L418" i="4"/>
  <c r="O418" i="4" s="1"/>
  <c r="E53" i="3"/>
  <c r="L834" i="4" l="1"/>
  <c r="O834" i="4" s="1"/>
  <c r="L198" i="4"/>
  <c r="O198" i="4" s="1"/>
  <c r="L158" i="4"/>
  <c r="O158" i="4" s="1"/>
  <c r="E52" i="3"/>
  <c r="L462" i="4" l="1"/>
  <c r="O462" i="4" s="1"/>
  <c r="E51" i="3"/>
  <c r="L435" i="4" l="1"/>
  <c r="O435" i="4" s="1"/>
  <c r="L4" i="4"/>
  <c r="O4" i="4" s="1"/>
  <c r="L985" i="4"/>
  <c r="O985" i="4" s="1"/>
  <c r="L399" i="4"/>
  <c r="O399" i="4" s="1"/>
  <c r="E50" i="3"/>
  <c r="L471" i="4" l="1"/>
  <c r="O471" i="4" s="1"/>
  <c r="L16" i="4"/>
  <c r="O16" i="4" s="1"/>
  <c r="L7" i="4"/>
  <c r="O7" i="4" s="1"/>
  <c r="L808" i="4"/>
  <c r="O808" i="4" s="1"/>
  <c r="L144" i="4"/>
  <c r="O144" i="4" s="1"/>
  <c r="L967" i="4"/>
  <c r="O967" i="4" s="1"/>
  <c r="L167" i="4"/>
  <c r="O167" i="4" s="1"/>
  <c r="E49" i="3"/>
  <c r="L26" i="4" l="1"/>
  <c r="O26" i="4" s="1"/>
  <c r="L416" i="4"/>
  <c r="O416" i="4" s="1"/>
  <c r="L961" i="4"/>
  <c r="O961" i="4" s="1"/>
  <c r="L108" i="4"/>
  <c r="O108" i="4" s="1"/>
  <c r="L232" i="4"/>
  <c r="O232" i="4" s="1"/>
  <c r="E48" i="3"/>
  <c r="L178" i="4" l="1"/>
  <c r="O178" i="4" s="1"/>
  <c r="L452" i="4"/>
  <c r="O452" i="4" s="1"/>
  <c r="E47" i="3"/>
  <c r="L236" i="4" l="1"/>
  <c r="O236" i="4" s="1"/>
  <c r="C21" i="6" s="1"/>
  <c r="D21" i="6" s="1"/>
  <c r="E21" i="6" s="1"/>
  <c r="L616" i="4"/>
  <c r="O616" i="4" s="1"/>
  <c r="L213" i="4"/>
  <c r="O213" i="4" s="1"/>
  <c r="L21" i="4"/>
  <c r="O21" i="4" s="1"/>
  <c r="L855" i="4"/>
  <c r="O855" i="4" s="1"/>
  <c r="E46" i="3"/>
  <c r="L48" i="4" l="1"/>
  <c r="O48" i="4" s="1"/>
  <c r="L24" i="4"/>
  <c r="O24" i="4" s="1"/>
  <c r="E45" i="3"/>
  <c r="L607" i="4" l="1"/>
  <c r="O607" i="4" s="1"/>
  <c r="L231" i="4"/>
  <c r="O231" i="4" s="1"/>
  <c r="L841" i="4"/>
  <c r="O841" i="4" s="1"/>
  <c r="L443" i="4"/>
  <c r="O443" i="4" s="1"/>
  <c r="E44" i="3"/>
  <c r="L359" i="4" l="1"/>
  <c r="O359" i="4" s="1"/>
  <c r="L617" i="4"/>
  <c r="O617" i="4" s="1"/>
  <c r="L649" i="4"/>
  <c r="O649" i="4" s="1"/>
  <c r="E43" i="3"/>
  <c r="E42" i="3" s="1"/>
  <c r="E41" i="3" s="1"/>
  <c r="E40" i="3" s="1"/>
  <c r="E39" i="3" s="1"/>
  <c r="E38" i="3" s="1"/>
  <c r="E37" i="3" s="1"/>
  <c r="E36" i="3" s="1"/>
  <c r="E35" i="3" s="1"/>
  <c r="E34" i="3" s="1"/>
  <c r="E33" i="3" s="1"/>
  <c r="E32" i="3" s="1"/>
  <c r="E31" i="3" s="1"/>
  <c r="E30" i="3" s="1"/>
  <c r="E29" i="3" s="1"/>
  <c r="E28" i="3" s="1"/>
  <c r="E27" i="3" s="1"/>
  <c r="E26" i="3" s="1"/>
  <c r="E25" i="3" s="1"/>
  <c r="E24" i="3" s="1"/>
  <c r="E23" i="3" s="1"/>
  <c r="E22" i="3" s="1"/>
  <c r="E21" i="3" s="1"/>
  <c r="E20" i="3" s="1"/>
  <c r="E19" i="3" s="1"/>
  <c r="E18" i="3" s="1"/>
  <c r="E17" i="3" s="1"/>
  <c r="E16" i="3" s="1"/>
  <c r="E15" i="3" s="1"/>
  <c r="E14" i="3" s="1"/>
  <c r="E13" i="3" s="1"/>
  <c r="E12" i="3" s="1"/>
  <c r="E11" i="3" s="1"/>
  <c r="E10" i="3" s="1"/>
  <c r="E9" i="3" s="1"/>
  <c r="E8" i="3" s="1"/>
  <c r="E7" i="3" s="1"/>
  <c r="E6" i="3" s="1"/>
  <c r="E5" i="3" s="1"/>
  <c r="E4" i="3" s="1"/>
  <c r="E3" i="3" s="1"/>
  <c r="E2" i="3" s="1"/>
  <c r="L50" i="4"/>
  <c r="O50" i="4" s="1"/>
  <c r="L483" i="4"/>
  <c r="O483" i="4" s="1"/>
  <c r="L1001" i="4"/>
  <c r="O1001" i="4" s="1"/>
  <c r="B14" i="5" s="1"/>
  <c r="L402" i="4"/>
  <c r="O402" i="4" s="1"/>
  <c r="L1000" i="4"/>
  <c r="O1000" i="4" s="1"/>
  <c r="L999" i="4"/>
  <c r="O999" i="4" s="1"/>
  <c r="L401" i="4"/>
  <c r="O401" i="4" s="1"/>
  <c r="L998" i="4"/>
  <c r="O998" i="4" s="1"/>
  <c r="L142" i="4"/>
  <c r="O142" i="4" s="1"/>
  <c r="L398" i="4"/>
  <c r="O398" i="4" s="1"/>
  <c r="L997" i="4"/>
  <c r="O997" i="4" s="1"/>
  <c r="L397" i="4"/>
  <c r="O397" i="4" s="1"/>
  <c r="L996" i="4"/>
  <c r="O996" i="4" s="1"/>
  <c r="L995" i="4"/>
  <c r="O995" i="4" s="1"/>
  <c r="L404" i="4"/>
  <c r="O404" i="4" s="1"/>
  <c r="L396" i="4"/>
  <c r="O396" i="4" s="1"/>
  <c r="L993" i="4"/>
  <c r="O993" i="4" s="1"/>
  <c r="L394" i="4"/>
  <c r="O394" i="4" s="1"/>
  <c r="L991" i="4"/>
  <c r="O991" i="4" s="1"/>
  <c r="L990" i="4"/>
  <c r="O990" i="4" s="1"/>
  <c r="L405" i="4"/>
  <c r="O405" i="4" s="1"/>
  <c r="L989" i="4"/>
  <c r="O989" i="4" s="1"/>
  <c r="L393" i="4"/>
  <c r="O393" i="4" s="1"/>
  <c r="L988" i="4"/>
  <c r="O988" i="4" s="1"/>
  <c r="L392" i="4"/>
  <c r="O392" i="4" s="1"/>
  <c r="L987" i="4"/>
  <c r="O987" i="4" s="1"/>
  <c r="L406" i="4"/>
  <c r="O406" i="4" s="1"/>
  <c r="L986" i="4"/>
  <c r="O986" i="4" s="1"/>
  <c r="L391" i="4"/>
  <c r="O391" i="4" s="1"/>
  <c r="L140" i="4"/>
  <c r="O140" i="4" s="1"/>
  <c r="L984" i="4"/>
  <c r="O984" i="4" s="1"/>
  <c r="L390" i="4"/>
  <c r="O390" i="4" s="1"/>
  <c r="L407" i="4"/>
  <c r="O407" i="4" s="1"/>
  <c r="L983" i="4"/>
  <c r="O983" i="4" s="1"/>
  <c r="L389" i="4"/>
  <c r="O389" i="4" s="1"/>
  <c r="L981" i="4"/>
  <c r="O981" i="4" s="1"/>
  <c r="L980" i="4"/>
  <c r="O980" i="4" s="1"/>
  <c r="L388" i="4"/>
  <c r="O388" i="4" s="1"/>
  <c r="L409" i="4"/>
  <c r="O409" i="4" s="1"/>
  <c r="L977" i="4"/>
  <c r="O977" i="4" s="1"/>
  <c r="L387" i="4"/>
  <c r="O387" i="4" s="1"/>
  <c r="L973" i="4"/>
  <c r="O973" i="4" s="1"/>
  <c r="L972" i="4"/>
  <c r="O972" i="4" s="1"/>
  <c r="L384" i="4"/>
  <c r="O384" i="4" s="1"/>
  <c r="L410" i="4"/>
  <c r="O410" i="4" s="1"/>
  <c r="L971" i="4"/>
  <c r="O971" i="4" s="1"/>
  <c r="L968" i="4"/>
  <c r="O968" i="4" s="1"/>
  <c r="L411" i="4"/>
  <c r="O411" i="4" s="1"/>
  <c r="L143" i="4"/>
  <c r="O143" i="4" s="1"/>
  <c r="L966" i="4"/>
  <c r="O966" i="4" s="1"/>
  <c r="L412" i="4"/>
  <c r="O412" i="4" s="1"/>
  <c r="L414" i="4"/>
  <c r="O414" i="4" s="1"/>
  <c r="L965" i="4"/>
  <c r="O965" i="4" s="1"/>
  <c r="L963" i="4"/>
  <c r="O963" i="4" s="1"/>
  <c r="L415" i="4"/>
  <c r="O415" i="4" s="1"/>
  <c r="L145" i="4"/>
  <c r="O145" i="4" s="1"/>
  <c r="L960" i="4"/>
  <c r="O960" i="4" s="1"/>
  <c r="L475" i="4"/>
  <c r="O475" i="4" s="1"/>
  <c r="L875" i="4"/>
  <c r="O875" i="4" s="1"/>
  <c r="L417" i="4"/>
  <c r="O417" i="4" s="1"/>
  <c r="L873" i="4"/>
  <c r="O873" i="4" s="1"/>
  <c r="L139" i="4"/>
  <c r="O139" i="4" s="1"/>
  <c r="L871" i="4"/>
  <c r="O871" i="4" s="1"/>
  <c r="L420" i="4"/>
  <c r="O420" i="4" s="1"/>
  <c r="L870" i="4"/>
  <c r="O870" i="4" s="1"/>
  <c r="L421" i="4"/>
  <c r="O421" i="4" s="1"/>
  <c r="L138" i="4"/>
  <c r="O138" i="4" s="1"/>
  <c r="L867" i="4"/>
  <c r="O867" i="4" s="1"/>
  <c r="L422" i="4"/>
  <c r="O422" i="4" s="1"/>
  <c r="L866" i="4"/>
  <c r="O866" i="4" s="1"/>
  <c r="L423" i="4"/>
  <c r="O423" i="4" s="1"/>
  <c r="L865" i="4"/>
  <c r="O865" i="4" s="1"/>
  <c r="L426" i="4"/>
  <c r="O426" i="4" s="1"/>
  <c r="L864" i="4"/>
  <c r="O864" i="4" s="1"/>
  <c r="L427" i="4"/>
  <c r="O427" i="4" s="1"/>
  <c r="L863" i="4"/>
  <c r="O863" i="4" s="1"/>
  <c r="L809" i="4"/>
  <c r="O809" i="4" s="1"/>
  <c r="L862" i="4"/>
  <c r="O862" i="4" s="1"/>
  <c r="L810" i="4"/>
  <c r="O810" i="4" s="1"/>
  <c r="L811" i="4"/>
  <c r="O811" i="4" s="1"/>
  <c r="L2" i="4"/>
  <c r="O2" i="4" s="1"/>
  <c r="L146" i="4"/>
  <c r="O146" i="4" s="1"/>
  <c r="L5" i="4"/>
  <c r="O5" i="4" s="1"/>
  <c r="L812" i="4"/>
  <c r="O812" i="4" s="1"/>
  <c r="L477" i="4"/>
  <c r="O477" i="4" s="1"/>
  <c r="L137" i="4"/>
  <c r="O137" i="4" s="1"/>
  <c r="L813" i="4"/>
  <c r="O813" i="4" s="1"/>
  <c r="L8" i="4"/>
  <c r="O8" i="4" s="1"/>
  <c r="L814" i="4"/>
  <c r="O814" i="4" s="1"/>
  <c r="L815" i="4"/>
  <c r="O815" i="4" s="1"/>
  <c r="L10" i="4"/>
  <c r="O10" i="4" s="1"/>
  <c r="L11" i="4"/>
  <c r="O11" i="4" s="1"/>
  <c r="L817" i="4"/>
  <c r="O817" i="4" s="1"/>
  <c r="L12" i="4"/>
  <c r="O12" i="4" s="1"/>
  <c r="L818" i="4"/>
  <c r="O818" i="4" s="1"/>
  <c r="L429" i="4"/>
  <c r="O429" i="4" s="1"/>
  <c r="L15" i="4"/>
  <c r="O15" i="4" s="1"/>
  <c r="L147" i="4"/>
  <c r="O147" i="4" s="1"/>
  <c r="L473" i="4"/>
  <c r="O473" i="4" s="1"/>
  <c r="L430" i="4"/>
  <c r="O430" i="4" s="1"/>
  <c r="L17" i="4"/>
  <c r="O17" i="4" s="1"/>
  <c r="L18" i="4"/>
  <c r="O18" i="4" s="1"/>
  <c r="L431" i="4"/>
  <c r="O431" i="4" s="1"/>
  <c r="L432" i="4"/>
  <c r="O432" i="4" s="1"/>
  <c r="L433" i="4"/>
  <c r="O433" i="4" s="1"/>
  <c r="L20" i="4"/>
  <c r="O20" i="4" s="1"/>
  <c r="L150" i="4"/>
  <c r="O150" i="4" s="1"/>
  <c r="L608" i="4"/>
  <c r="O608" i="4" s="1"/>
  <c r="L819" i="4"/>
  <c r="O819" i="4" s="1"/>
  <c r="L22" i="4"/>
  <c r="O22" i="4" s="1"/>
  <c r="L820" i="4"/>
  <c r="O820" i="4" s="1"/>
  <c r="L23" i="4"/>
  <c r="O23" i="4" s="1"/>
  <c r="L822" i="4"/>
  <c r="O822" i="4" s="1"/>
  <c r="L136" i="4"/>
  <c r="O136" i="4" s="1"/>
  <c r="L609" i="4"/>
  <c r="O609" i="4" s="1"/>
  <c r="L823" i="4"/>
  <c r="O823" i="4" s="1"/>
  <c r="L25" i="4"/>
  <c r="O25" i="4" s="1"/>
  <c r="L134" i="4"/>
  <c r="O134" i="4" s="1"/>
  <c r="L825" i="4"/>
  <c r="O825" i="4" s="1"/>
  <c r="L27" i="4"/>
  <c r="O27" i="4" s="1"/>
  <c r="L826" i="4"/>
  <c r="O826" i="4" s="1"/>
  <c r="L610" i="4"/>
  <c r="O610" i="4" s="1"/>
  <c r="L28" i="4"/>
  <c r="O28" i="4" s="1"/>
  <c r="L827" i="4"/>
  <c r="O827" i="4" s="1"/>
  <c r="L472" i="4"/>
  <c r="O472" i="4" s="1"/>
  <c r="L828" i="4"/>
  <c r="O828" i="4" s="1"/>
  <c r="L29" i="4"/>
  <c r="O29" i="4" s="1"/>
  <c r="L829" i="4"/>
  <c r="O829" i="4" s="1"/>
  <c r="L830" i="4"/>
  <c r="O830" i="4" s="1"/>
  <c r="L31" i="4"/>
  <c r="O31" i="4" s="1"/>
  <c r="L613" i="4"/>
  <c r="O613" i="4" s="1"/>
  <c r="L831" i="4"/>
  <c r="O831" i="4" s="1"/>
  <c r="L32" i="4"/>
  <c r="O32" i="4" s="1"/>
  <c r="L434" i="4"/>
  <c r="O434" i="4" s="1"/>
  <c r="L480" i="4"/>
  <c r="O480" i="4" s="1"/>
  <c r="L34" i="4"/>
  <c r="O34" i="4" s="1"/>
  <c r="L614" i="4"/>
  <c r="O614" i="4" s="1"/>
  <c r="L151" i="4"/>
  <c r="O151" i="4" s="1"/>
  <c r="L35" i="4"/>
  <c r="O35" i="4" s="1"/>
  <c r="L243" i="4"/>
  <c r="O243" i="4" s="1"/>
  <c r="L36" i="4"/>
  <c r="O36" i="4" s="1"/>
  <c r="L437" i="4"/>
  <c r="O437" i="4" s="1"/>
  <c r="L242" i="4"/>
  <c r="O242" i="4" s="1"/>
  <c r="L37" i="4"/>
  <c r="O37" i="4" s="1"/>
  <c r="L615" i="4"/>
  <c r="O615" i="4" s="1"/>
  <c r="L241" i="4"/>
  <c r="O241" i="4" s="1"/>
  <c r="L38" i="4"/>
  <c r="O38" i="4" s="1"/>
  <c r="L438" i="4"/>
  <c r="O438" i="4" s="1"/>
  <c r="L39" i="4"/>
  <c r="O39" i="4" s="1"/>
  <c r="L152" i="4"/>
  <c r="O152" i="4" s="1"/>
  <c r="L240" i="4"/>
  <c r="O240" i="4" s="1"/>
  <c r="L40" i="4"/>
  <c r="O40" i="4" s="1"/>
  <c r="L239" i="4"/>
  <c r="O239" i="4" s="1"/>
  <c r="L238" i="4"/>
  <c r="O238" i="4" s="1"/>
  <c r="L41" i="4"/>
  <c r="O41" i="4" s="1"/>
  <c r="L481" i="4"/>
  <c r="O481" i="4" s="1"/>
  <c r="L43" i="4"/>
  <c r="O43" i="4" s="1"/>
  <c r="L440" i="4"/>
  <c r="O440" i="4" s="1"/>
  <c r="L237" i="4"/>
  <c r="O237" i="4" s="1"/>
  <c r="L482" i="4"/>
  <c r="O482" i="4" s="1"/>
  <c r="L44" i="4"/>
  <c r="O44" i="4" s="1"/>
  <c r="L618" i="4"/>
  <c r="O618" i="4" s="1"/>
  <c r="L234" i="4"/>
  <c r="O234" i="4" s="1"/>
  <c r="L233" i="4"/>
  <c r="O233" i="4" s="1"/>
  <c r="L45" i="4"/>
  <c r="O45" i="4" s="1"/>
  <c r="C15" i="6" s="1"/>
  <c r="D15" i="6" s="1"/>
  <c r="E15" i="6" s="1"/>
  <c r="L153" i="4"/>
  <c r="O153" i="4" s="1"/>
  <c r="L46" i="4"/>
  <c r="O46" i="4" s="1"/>
  <c r="L619" i="4"/>
  <c r="O619" i="4" s="1"/>
  <c r="L470" i="4"/>
  <c r="O470" i="4" s="1"/>
  <c r="L846" i="4"/>
  <c r="O846" i="4" s="1"/>
  <c r="L403" i="4"/>
  <c r="O403" i="4" s="1"/>
  <c r="L229" i="4"/>
  <c r="O229" i="4" s="1"/>
  <c r="L441" i="4"/>
  <c r="O441" i="4" s="1"/>
  <c r="L52" i="4"/>
  <c r="O52" i="4" s="1"/>
  <c r="L620" i="4"/>
  <c r="O620" i="4" s="1"/>
  <c r="L55" i="4"/>
  <c r="O55" i="4" s="1"/>
  <c r="L228" i="4"/>
  <c r="O228" i="4" s="1"/>
  <c r="L442" i="4"/>
  <c r="O442" i="4" s="1"/>
  <c r="L621" i="4"/>
  <c r="O621" i="4" s="1"/>
  <c r="L227" i="4"/>
  <c r="O227" i="4" s="1"/>
  <c r="L58" i="4"/>
  <c r="O58" i="4" s="1"/>
  <c r="L226" i="4"/>
  <c r="O226" i="4" s="1"/>
  <c r="L60" i="4"/>
  <c r="O60" i="4" s="1"/>
  <c r="L484" i="4"/>
  <c r="O484" i="4" s="1"/>
  <c r="L225" i="4"/>
  <c r="O225" i="4" s="1"/>
  <c r="L61" i="4"/>
  <c r="O61" i="4" s="1"/>
  <c r="L622" i="4"/>
  <c r="O622" i="4" s="1"/>
  <c r="L62" i="4"/>
  <c r="O62" i="4" s="1"/>
  <c r="L224" i="4"/>
  <c r="O224" i="4" s="1"/>
  <c r="L444" i="4"/>
  <c r="O444" i="4" s="1"/>
  <c r="L63" i="4"/>
  <c r="O63" i="4" s="1"/>
  <c r="L223" i="4"/>
  <c r="O223" i="4" s="1"/>
  <c r="L623" i="4"/>
  <c r="O623" i="4" s="1"/>
  <c r="L221" i="4"/>
  <c r="O221" i="4" s="1"/>
  <c r="L474" i="4"/>
  <c r="O474" i="4" s="1"/>
  <c r="L65" i="4"/>
  <c r="O65" i="4" s="1"/>
  <c r="L445" i="4"/>
  <c r="O445" i="4" s="1"/>
  <c r="L220" i="4"/>
  <c r="O220" i="4" s="1"/>
  <c r="L66" i="4"/>
  <c r="O66" i="4" s="1"/>
  <c r="L447" i="4"/>
  <c r="O447" i="4" s="1"/>
  <c r="L748" i="4"/>
  <c r="O748" i="4" s="1"/>
  <c r="L218" i="4"/>
  <c r="O218" i="4" s="1"/>
  <c r="L749" i="4"/>
  <c r="O749" i="4" s="1"/>
  <c r="L67" i="4"/>
  <c r="O67" i="4" s="1"/>
  <c r="L68" i="4"/>
  <c r="O68" i="4" s="1"/>
  <c r="L217" i="4"/>
  <c r="O217" i="4" s="1"/>
  <c r="L216" i="4"/>
  <c r="O216" i="4" s="1"/>
  <c r="L750" i="4"/>
  <c r="O750" i="4" s="1"/>
  <c r="L215" i="4"/>
  <c r="O215" i="4" s="1"/>
  <c r="L69" i="4"/>
  <c r="O69" i="4" s="1"/>
  <c r="L448" i="4"/>
  <c r="O448" i="4" s="1"/>
  <c r="L214" i="4"/>
  <c r="O214" i="4" s="1"/>
  <c r="L70" i="4"/>
  <c r="O70" i="4" s="1"/>
  <c r="L71" i="4"/>
  <c r="O71" i="4" s="1"/>
  <c r="L805" i="4"/>
  <c r="O805" i="4" s="1"/>
  <c r="L154" i="4"/>
  <c r="O154" i="4" s="1"/>
  <c r="L833" i="4"/>
  <c r="O833" i="4" s="1"/>
  <c r="L450" i="4"/>
  <c r="O450" i="4" s="1"/>
  <c r="L72" i="4"/>
  <c r="O72" i="4" s="1"/>
  <c r="L806" i="4"/>
  <c r="O806" i="4" s="1"/>
  <c r="L212" i="4"/>
  <c r="O212" i="4" s="1"/>
  <c r="L74" i="4"/>
  <c r="O74" i="4" s="1"/>
  <c r="C14" i="6" s="1"/>
  <c r="D14" i="6" s="1"/>
  <c r="E14" i="6" s="1"/>
  <c r="L211" i="4"/>
  <c r="O211" i="4" s="1"/>
  <c r="L210" i="4"/>
  <c r="O210" i="4" s="1"/>
  <c r="L76" i="4"/>
  <c r="O76" i="4" s="1"/>
  <c r="L807" i="4"/>
  <c r="O807" i="4" s="1"/>
  <c r="L209" i="4"/>
  <c r="O209" i="4" s="1"/>
  <c r="L77" i="4"/>
  <c r="O77" i="4" s="1"/>
  <c r="L79" i="4"/>
  <c r="O79" i="4" s="1"/>
  <c r="L208" i="4"/>
  <c r="O208" i="4" s="1"/>
  <c r="L155" i="4"/>
  <c r="O155" i="4" s="1"/>
  <c r="L835" i="4"/>
  <c r="O835" i="4" s="1"/>
  <c r="L498" i="4"/>
  <c r="O498" i="4" s="1"/>
  <c r="L469" i="4"/>
  <c r="O469" i="4" s="1"/>
  <c r="L81" i="4"/>
  <c r="O81" i="4" s="1"/>
  <c r="L836" i="4"/>
  <c r="O836" i="4" s="1"/>
  <c r="L156" i="4"/>
  <c r="O156" i="4" s="1"/>
  <c r="L207" i="4"/>
  <c r="O207" i="4" s="1"/>
  <c r="L83" i="4"/>
  <c r="O83" i="4" s="1"/>
  <c r="L497" i="4"/>
  <c r="O497" i="4" s="1"/>
  <c r="L206" i="4"/>
  <c r="O206" i="4" s="1"/>
  <c r="L84" i="4"/>
  <c r="O84" i="4" s="1"/>
  <c r="L204" i="4"/>
  <c r="O204" i="4" s="1"/>
  <c r="L453" i="4"/>
  <c r="O453" i="4" s="1"/>
  <c r="L85" i="4"/>
  <c r="O85" i="4" s="1"/>
  <c r="L86" i="4"/>
  <c r="O86" i="4" s="1"/>
  <c r="L202" i="4"/>
  <c r="O202" i="4" s="1"/>
  <c r="L496" i="4"/>
  <c r="O496" i="4" s="1"/>
  <c r="L454" i="4"/>
  <c r="O454" i="4" s="1"/>
  <c r="L88" i="4"/>
  <c r="O88" i="4" s="1"/>
  <c r="L200" i="4"/>
  <c r="O200" i="4" s="1"/>
  <c r="L837" i="4"/>
  <c r="O837" i="4" s="1"/>
  <c r="L89" i="4"/>
  <c r="O89" i="4" s="1"/>
  <c r="L495" i="4"/>
  <c r="O495" i="4" s="1"/>
  <c r="L197" i="4"/>
  <c r="O197" i="4" s="1"/>
  <c r="L90" i="4"/>
  <c r="O90" i="4" s="1"/>
  <c r="L91" i="4"/>
  <c r="O91" i="4" s="1"/>
  <c r="L455" i="4"/>
  <c r="O455" i="4" s="1"/>
  <c r="L196" i="4"/>
  <c r="O196" i="4" s="1"/>
  <c r="L195" i="4"/>
  <c r="O195" i="4" s="1"/>
  <c r="L92" i="4"/>
  <c r="O92" i="4" s="1"/>
  <c r="L494" i="4"/>
  <c r="O494" i="4" s="1"/>
  <c r="L194" i="4"/>
  <c r="O194" i="4" s="1"/>
  <c r="L93" i="4"/>
  <c r="O93" i="4" s="1"/>
  <c r="L456" i="4"/>
  <c r="O456" i="4" s="1"/>
  <c r="L458" i="4"/>
  <c r="O458" i="4" s="1"/>
  <c r="L94" i="4"/>
  <c r="O94" i="4" s="1"/>
  <c r="L193" i="4"/>
  <c r="O193" i="4" s="1"/>
  <c r="L95" i="4"/>
  <c r="O95" i="4" s="1"/>
  <c r="L192" i="4"/>
  <c r="O192" i="4" s="1"/>
  <c r="L838" i="4"/>
  <c r="O838" i="4" s="1"/>
  <c r="L493" i="4"/>
  <c r="O493" i="4" s="1"/>
  <c r="L606" i="4"/>
  <c r="O606" i="4" s="1"/>
  <c r="L97" i="4"/>
  <c r="O97" i="4" s="1"/>
  <c r="L98" i="4"/>
  <c r="O98" i="4" s="1"/>
  <c r="L459" i="4"/>
  <c r="O459" i="4" s="1"/>
  <c r="L492" i="4"/>
  <c r="O492" i="4" s="1"/>
  <c r="L191" i="4"/>
  <c r="O191" i="4" s="1"/>
  <c r="L190" i="4"/>
  <c r="O190" i="4" s="1"/>
  <c r="L99" i="4"/>
  <c r="O99" i="4" s="1"/>
  <c r="L491" i="4"/>
  <c r="O491" i="4" s="1"/>
  <c r="L189" i="4"/>
  <c r="O189" i="4" s="1"/>
  <c r="L100" i="4"/>
  <c r="O100" i="4" s="1"/>
  <c r="L460" i="4"/>
  <c r="O460" i="4" s="1"/>
  <c r="L103" i="4"/>
  <c r="O103" i="4" s="1"/>
  <c r="L104" i="4"/>
  <c r="O104" i="4" s="1"/>
  <c r="L159" i="4"/>
  <c r="O159" i="4" s="1"/>
  <c r="L106" i="4"/>
  <c r="O106" i="4" s="1"/>
  <c r="L188" i="4"/>
  <c r="O188" i="4" s="1"/>
  <c r="L187" i="4"/>
  <c r="O187" i="4" s="1"/>
  <c r="L107" i="4"/>
  <c r="O107" i="4" s="1"/>
  <c r="L839" i="4"/>
  <c r="O839" i="4" s="1"/>
  <c r="L468" i="4"/>
  <c r="O468" i="4" s="1"/>
  <c r="L186" i="4"/>
  <c r="O186" i="4" s="1"/>
  <c r="L109" i="4"/>
  <c r="O109" i="4" s="1"/>
  <c r="L489" i="4"/>
  <c r="O489" i="4" s="1"/>
  <c r="L185" i="4"/>
  <c r="O185" i="4" s="1"/>
  <c r="L463" i="4"/>
  <c r="O463" i="4" s="1"/>
  <c r="L110" i="4"/>
  <c r="O110" i="4" s="1"/>
  <c r="L487" i="4"/>
  <c r="O487" i="4" s="1"/>
  <c r="L183" i="4"/>
  <c r="O183" i="4" s="1"/>
  <c r="L112" i="4"/>
  <c r="O112" i="4" s="1"/>
  <c r="L113" i="4"/>
  <c r="O113" i="4" s="1"/>
  <c r="L464" i="4"/>
  <c r="O464" i="4" s="1"/>
  <c r="L182" i="4"/>
  <c r="O182" i="4" s="1"/>
  <c r="L114" i="4"/>
  <c r="O114" i="4" s="1"/>
  <c r="L181" i="4"/>
  <c r="O181" i="4" s="1"/>
  <c r="L118" i="4"/>
  <c r="O118" i="4" s="1"/>
  <c r="L486" i="4"/>
  <c r="O486" i="4" s="1"/>
  <c r="L465" i="4"/>
  <c r="O465" i="4" s="1"/>
  <c r="L842" i="4"/>
  <c r="O842" i="4" s="1"/>
  <c r="L119" i="4"/>
  <c r="O119" i="4" s="1"/>
  <c r="L485" i="4"/>
  <c r="O485" i="4" s="1"/>
  <c r="L160" i="4"/>
  <c r="O160" i="4" s="1"/>
  <c r="L861" i="4"/>
  <c r="O861" i="4" s="1"/>
  <c r="L176" i="4"/>
  <c r="O176" i="4" s="1"/>
  <c r="L860" i="4"/>
  <c r="O860" i="4" s="1"/>
  <c r="L173" i="4"/>
  <c r="O173" i="4" s="1"/>
  <c r="L859" i="4"/>
  <c r="O859" i="4" s="1"/>
  <c r="L172" i="4"/>
  <c r="O172" i="4" s="1"/>
  <c r="L858" i="4"/>
  <c r="O858" i="4" s="1"/>
  <c r="L171" i="4"/>
  <c r="O171" i="4" s="1"/>
  <c r="L857" i="4"/>
  <c r="O857" i="4" s="1"/>
  <c r="L467" i="4"/>
  <c r="O467" i="4" s="1"/>
  <c r="L844" i="4"/>
  <c r="O844" i="4" s="1"/>
  <c r="L854" i="4"/>
  <c r="O854" i="4" s="1"/>
  <c r="L168" i="4"/>
  <c r="O168" i="4" s="1"/>
  <c r="L853" i="4"/>
  <c r="O853" i="4" s="1"/>
  <c r="L161" i="4"/>
  <c r="O161" i="4" s="1"/>
  <c r="L852" i="4"/>
  <c r="O852" i="4" s="1"/>
  <c r="L166" i="4"/>
  <c r="O166" i="4" s="1"/>
  <c r="L851" i="4"/>
  <c r="O851" i="4" s="1"/>
  <c r="L165" i="4"/>
  <c r="O165" i="4" s="1"/>
  <c r="L850" i="4"/>
  <c r="O850" i="4" s="1"/>
  <c r="L164" i="4"/>
  <c r="O164" i="4" s="1"/>
  <c r="L849" i="4"/>
  <c r="O849" i="4" s="1"/>
  <c r="L163" i="4"/>
  <c r="O163" i="4" s="1"/>
  <c r="L848" i="4"/>
  <c r="O848" i="4" s="1"/>
  <c r="L162" i="4"/>
  <c r="O162" i="4" s="1"/>
  <c r="L605" i="4"/>
  <c r="O605" i="4" s="1"/>
  <c r="L64" i="4"/>
  <c r="O64" i="4" s="1"/>
  <c r="B5" i="6" l="1"/>
  <c r="B6" i="6" s="1"/>
  <c r="B5" i="5"/>
  <c r="B12" i="5"/>
  <c r="B15" i="5" s="1"/>
  <c r="B13" i="5"/>
  <c r="B7" i="5" l="1"/>
  <c r="B8" i="5"/>
</calcChain>
</file>

<file path=xl/sharedStrings.xml><?xml version="1.0" encoding="utf-8"?>
<sst xmlns="http://schemas.openxmlformats.org/spreadsheetml/2006/main" count="2119" uniqueCount="1084">
  <si>
    <t>markiV Actuarial Engineering · Illustrative defined benefit pension valuation benchmark</t>
  </si>
  <si>
    <t>Assumption</t>
  </si>
  <si>
    <t>Value</t>
  </si>
  <si>
    <t>Units / basis</t>
  </si>
  <si>
    <t>Source / note</t>
  </si>
  <si>
    <t>Valuation date</t>
  </si>
  <si>
    <t>2026-03-31</t>
  </si>
  <si>
    <t>date</t>
  </si>
  <si>
    <t>Illustrative demo basis</t>
  </si>
  <si>
    <t>Discount rate</t>
  </si>
  <si>
    <t>% p.a.</t>
  </si>
  <si>
    <t>Salary growth</t>
  </si>
  <si>
    <t>Pension increase</t>
  </si>
  <si>
    <t>Deferred pension increase</t>
  </si>
  <si>
    <t>Normal retirement age</t>
  </si>
  <si>
    <t>years</t>
  </si>
  <si>
    <t>Illustrative scheme rule</t>
  </si>
  <si>
    <t>Accrual rate</t>
  </si>
  <si>
    <t>pension per year of service</t>
  </si>
  <si>
    <t>1/60th final-salary design</t>
  </si>
  <si>
    <t>Maximum pensionable service</t>
  </si>
  <si>
    <t>Spouse probability</t>
  </si>
  <si>
    <t>%</t>
  </si>
  <si>
    <t>Illustrative simplification</t>
  </si>
  <si>
    <t>Spouse pension percentage</t>
  </si>
  <si>
    <t>% of member pension</t>
  </si>
  <si>
    <t>Spouse annuity ratio</t>
  </si>
  <si>
    <t>ratio</t>
  </si>
  <si>
    <t>Mortality scale</t>
  </si>
  <si>
    <t>multiplier</t>
  </si>
  <si>
    <t>1.00 = base illustrative mortality curve</t>
  </si>
  <si>
    <t>Scheme assets</t>
  </si>
  <si>
    <t>reporting currency units</t>
  </si>
  <si>
    <t>Illustrative market value</t>
  </si>
  <si>
    <t>Reporting currency</t>
  </si>
  <si>
    <t>INR</t>
  </si>
  <si>
    <t>display</t>
  </si>
  <si>
    <t>No FX conversion; data assumed in selected currency</t>
  </si>
  <si>
    <t>Member ID</t>
  </si>
  <si>
    <t>Status</t>
  </si>
  <si>
    <t>Age</t>
  </si>
  <si>
    <t>Service (years)</t>
  </si>
  <si>
    <t>Pensionable salary (currency)</t>
  </si>
  <si>
    <t>Current pension (currency)</t>
  </si>
  <si>
    <t>A0215</t>
  </si>
  <si>
    <t>Active</t>
  </si>
  <si>
    <t>P0250</t>
  </si>
  <si>
    <t>Pensioner</t>
  </si>
  <si>
    <t>P0219</t>
  </si>
  <si>
    <t>A0121</t>
  </si>
  <si>
    <t>P0224</t>
  </si>
  <si>
    <t>P0222</t>
  </si>
  <si>
    <t>A0112</t>
  </si>
  <si>
    <t>P0072</t>
  </si>
  <si>
    <t>A0439</t>
  </si>
  <si>
    <t>A0270</t>
  </si>
  <si>
    <t>D0125</t>
  </si>
  <si>
    <t>Deferred</t>
  </si>
  <si>
    <t>P0133</t>
  </si>
  <si>
    <t>P0111</t>
  </si>
  <si>
    <t>D0075</t>
  </si>
  <si>
    <t>P0091</t>
  </si>
  <si>
    <t>D0106</t>
  </si>
  <si>
    <t>A0342</t>
  </si>
  <si>
    <t>P0211</t>
  </si>
  <si>
    <t>D0128</t>
  </si>
  <si>
    <t>P0175</t>
  </si>
  <si>
    <t>A0252</t>
  </si>
  <si>
    <t>A0415</t>
  </si>
  <si>
    <t>P0073</t>
  </si>
  <si>
    <t>A0310</t>
  </si>
  <si>
    <t>P0066</t>
  </si>
  <si>
    <t>A0544</t>
  </si>
  <si>
    <t>A0026</t>
  </si>
  <si>
    <t>A0618</t>
  </si>
  <si>
    <t>P0212</t>
  </si>
  <si>
    <t>A0559</t>
  </si>
  <si>
    <t>A0207</t>
  </si>
  <si>
    <t>P0153</t>
  </si>
  <si>
    <t>A0420</t>
  </si>
  <si>
    <t>A0253</t>
  </si>
  <si>
    <t>A0192</t>
  </si>
  <si>
    <t>A0590</t>
  </si>
  <si>
    <t>A0155</t>
  </si>
  <si>
    <t>A0191</t>
  </si>
  <si>
    <t>A0570</t>
  </si>
  <si>
    <t>A0195</t>
  </si>
  <si>
    <t>P0182</t>
  </si>
  <si>
    <t>A0089</t>
  </si>
  <si>
    <t>A0028</t>
  </si>
  <si>
    <t>D0001</t>
  </si>
  <si>
    <t>A0083</t>
  </si>
  <si>
    <t>P0071</t>
  </si>
  <si>
    <t>P0067</t>
  </si>
  <si>
    <t>P0098</t>
  </si>
  <si>
    <t>A0560</t>
  </si>
  <si>
    <t>P0181</t>
  </si>
  <si>
    <t>A0248</t>
  </si>
  <si>
    <t>P0152</t>
  </si>
  <si>
    <t>P0021</t>
  </si>
  <si>
    <t>A0426</t>
  </si>
  <si>
    <t>P0201</t>
  </si>
  <si>
    <t>P0187</t>
  </si>
  <si>
    <t>A0237</t>
  </si>
  <si>
    <t>P0029</t>
  </si>
  <si>
    <t>A0456</t>
  </si>
  <si>
    <t>A0100</t>
  </si>
  <si>
    <t>A0508</t>
  </si>
  <si>
    <t>A0514</t>
  </si>
  <si>
    <t>A0018</t>
  </si>
  <si>
    <t>A0048</t>
  </si>
  <si>
    <t>A0071</t>
  </si>
  <si>
    <t>A0318</t>
  </si>
  <si>
    <t>A0046</t>
  </si>
  <si>
    <t>A0405</t>
  </si>
  <si>
    <t>A0214</t>
  </si>
  <si>
    <t>A0185</t>
  </si>
  <si>
    <t>A0345</t>
  </si>
  <si>
    <t>P0135</t>
  </si>
  <si>
    <t>A0004</t>
  </si>
  <si>
    <t>P0107</t>
  </si>
  <si>
    <t>A0158</t>
  </si>
  <si>
    <t>A0337</t>
  </si>
  <si>
    <t>P0033</t>
  </si>
  <si>
    <t>A0488</t>
  </si>
  <si>
    <t>P0016</t>
  </si>
  <si>
    <t>D0011</t>
  </si>
  <si>
    <t>P0209</t>
  </si>
  <si>
    <t>A0365</t>
  </si>
  <si>
    <t>D0112</t>
  </si>
  <si>
    <t>A0327</t>
  </si>
  <si>
    <t>A0285</t>
  </si>
  <si>
    <t>P0191</t>
  </si>
  <si>
    <t>A0596</t>
  </si>
  <si>
    <t>A0547</t>
  </si>
  <si>
    <t>A0586</t>
  </si>
  <si>
    <t>A0352</t>
  </si>
  <si>
    <t>D0044</t>
  </si>
  <si>
    <t>A0592</t>
  </si>
  <si>
    <t>A0313</t>
  </si>
  <si>
    <t>A0044</t>
  </si>
  <si>
    <t>P0174</t>
  </si>
  <si>
    <t>A0021</t>
  </si>
  <si>
    <t>A0278</t>
  </si>
  <si>
    <t>A0250</t>
  </si>
  <si>
    <t>A0600</t>
  </si>
  <si>
    <t>P0076</t>
  </si>
  <si>
    <t>P0019</t>
  </si>
  <si>
    <t>D0061</t>
  </si>
  <si>
    <t>A0412</t>
  </si>
  <si>
    <t>P0157</t>
  </si>
  <si>
    <t>A0317</t>
  </si>
  <si>
    <t>A0050</t>
  </si>
  <si>
    <t>P0094</t>
  </si>
  <si>
    <t>A0479</t>
  </si>
  <si>
    <t>A0091</t>
  </si>
  <si>
    <t>P0051</t>
  </si>
  <si>
    <t>A0009</t>
  </si>
  <si>
    <t>A0218</t>
  </si>
  <si>
    <t>A0224</t>
  </si>
  <si>
    <t>P0023</t>
  </si>
  <si>
    <t>P0154</t>
  </si>
  <si>
    <t>P0240</t>
  </si>
  <si>
    <t>A0200</t>
  </si>
  <si>
    <t>A0615</t>
  </si>
  <si>
    <t>A0058</t>
  </si>
  <si>
    <t>A0115</t>
  </si>
  <si>
    <t>P0078</t>
  </si>
  <si>
    <t>D0003</t>
  </si>
  <si>
    <t>A0139</t>
  </si>
  <si>
    <t>A0594</t>
  </si>
  <si>
    <t>A0079</t>
  </si>
  <si>
    <t>A0374</t>
  </si>
  <si>
    <t>A0281</t>
  </si>
  <si>
    <t>A0457</t>
  </si>
  <si>
    <t>A0184</t>
  </si>
  <si>
    <t>A0315</t>
  </si>
  <si>
    <t>A0293</t>
  </si>
  <si>
    <t>D0055</t>
  </si>
  <si>
    <t>D0031</t>
  </si>
  <si>
    <t>P0125</t>
  </si>
  <si>
    <t>A0475</t>
  </si>
  <si>
    <t>A0229</t>
  </si>
  <si>
    <t>A0606</t>
  </si>
  <si>
    <t>A0395</t>
  </si>
  <si>
    <t>A0068</t>
  </si>
  <si>
    <t>P0146</t>
  </si>
  <si>
    <t>A0350</t>
  </si>
  <si>
    <t>A0362</t>
  </si>
  <si>
    <t>P0145</t>
  </si>
  <si>
    <t>D0124</t>
  </si>
  <si>
    <t>A0593</t>
  </si>
  <si>
    <t>A0051</t>
  </si>
  <si>
    <t>P0097</t>
  </si>
  <si>
    <t>P0012</t>
  </si>
  <si>
    <t>A0579</t>
  </si>
  <si>
    <t>A0402</t>
  </si>
  <si>
    <t>D0007</t>
  </si>
  <si>
    <t>A0581</t>
  </si>
  <si>
    <t>D0120</t>
  </si>
  <si>
    <t>A0460</t>
  </si>
  <si>
    <t>A0130</t>
  </si>
  <si>
    <t>P0194</t>
  </si>
  <si>
    <t>P0168</t>
  </si>
  <si>
    <t>A0386</t>
  </si>
  <si>
    <t>A0452</t>
  </si>
  <si>
    <t>A0425</t>
  </si>
  <si>
    <t>D0115</t>
  </si>
  <si>
    <t>A0316</t>
  </si>
  <si>
    <t>A0280</t>
  </si>
  <si>
    <t>A0511</t>
  </si>
  <si>
    <t>A0349</t>
  </si>
  <si>
    <t>P0013</t>
  </si>
  <si>
    <t>D0072</t>
  </si>
  <si>
    <t>P0160</t>
  </si>
  <si>
    <t>P0178</t>
  </si>
  <si>
    <t>A0066</t>
  </si>
  <si>
    <t>A0264</t>
  </si>
  <si>
    <t>A0271</t>
  </si>
  <si>
    <t>P0218</t>
  </si>
  <si>
    <t>P0005</t>
  </si>
  <si>
    <t>A0582</t>
  </si>
  <si>
    <t>P0138</t>
  </si>
  <si>
    <t>P0132</t>
  </si>
  <si>
    <t>P0048</t>
  </si>
  <si>
    <t>P0129</t>
  </si>
  <si>
    <t>D0014</t>
  </si>
  <si>
    <t>A0518</t>
  </si>
  <si>
    <t>D0118</t>
  </si>
  <si>
    <t>P0208</t>
  </si>
  <si>
    <t>A0208</t>
  </si>
  <si>
    <t>A0614</t>
  </si>
  <si>
    <t>A0528</t>
  </si>
  <si>
    <t>A0424</t>
  </si>
  <si>
    <t>A0485</t>
  </si>
  <si>
    <t>A0075</t>
  </si>
  <si>
    <t>A0173</t>
  </si>
  <si>
    <t>D0129</t>
  </si>
  <si>
    <t>A0290</t>
  </si>
  <si>
    <t>A0463</t>
  </si>
  <si>
    <t>A0516</t>
  </si>
  <si>
    <t>A0335</t>
  </si>
  <si>
    <t>A0256</t>
  </si>
  <si>
    <t>P0173</t>
  </si>
  <si>
    <t>P0060</t>
  </si>
  <si>
    <t>A0032</t>
  </si>
  <si>
    <t>P0030</t>
  </si>
  <si>
    <t>A0611</t>
  </si>
  <si>
    <t>P0114</t>
  </si>
  <si>
    <t>A0052</t>
  </si>
  <si>
    <t>P0151</t>
  </si>
  <si>
    <t>D0010</t>
  </si>
  <si>
    <t>A0556</t>
  </si>
  <si>
    <t>A0082</t>
  </si>
  <si>
    <t>A0558</t>
  </si>
  <si>
    <t>A0401</t>
  </si>
  <si>
    <t>D0066</t>
  </si>
  <si>
    <t>A0304</t>
  </si>
  <si>
    <t>P0215</t>
  </si>
  <si>
    <t>A0042</t>
  </si>
  <si>
    <t>D0104</t>
  </si>
  <si>
    <t>A0390</t>
  </si>
  <si>
    <t>A0513</t>
  </si>
  <si>
    <t>A0234</t>
  </si>
  <si>
    <t>P0100</t>
  </si>
  <si>
    <t>A0370</t>
  </si>
  <si>
    <t>A0609</t>
  </si>
  <si>
    <t>P0230</t>
  </si>
  <si>
    <t>A0240</t>
  </si>
  <si>
    <t>A0332</t>
  </si>
  <si>
    <t>D0046</t>
  </si>
  <si>
    <t>D0059</t>
  </si>
  <si>
    <t>A0326</t>
  </si>
  <si>
    <t>A0517</t>
  </si>
  <si>
    <t>A0235</t>
  </si>
  <si>
    <t>P0009</t>
  </si>
  <si>
    <t>P0035</t>
  </si>
  <si>
    <t>P0054</t>
  </si>
  <si>
    <t>A0209</t>
  </si>
  <si>
    <t>A0445</t>
  </si>
  <si>
    <t>P0095</t>
  </si>
  <si>
    <t>P0003</t>
  </si>
  <si>
    <t>A0118</t>
  </si>
  <si>
    <t>A0361</t>
  </si>
  <si>
    <t>A0201</t>
  </si>
  <si>
    <t>A0484</t>
  </si>
  <si>
    <t>A0197</t>
  </si>
  <si>
    <t>D0009</t>
  </si>
  <si>
    <t>A0151</t>
  </si>
  <si>
    <t>P0155</t>
  </si>
  <si>
    <t>A0039</t>
  </si>
  <si>
    <t>A0583</t>
  </si>
  <si>
    <t>A0266</t>
  </si>
  <si>
    <t>A0183</t>
  </si>
  <si>
    <t>D0101</t>
  </si>
  <si>
    <t>A0490</t>
  </si>
  <si>
    <t>P0228</t>
  </si>
  <si>
    <t>A0398</t>
  </si>
  <si>
    <t>A0607</t>
  </si>
  <si>
    <t>A0444</t>
  </si>
  <si>
    <t>A0546</t>
  </si>
  <si>
    <t>A0407</t>
  </si>
  <si>
    <t>A0287</t>
  </si>
  <si>
    <t>A0330</t>
  </si>
  <si>
    <t>P0158</t>
  </si>
  <si>
    <t>A0537</t>
  </si>
  <si>
    <t>D0084</t>
  </si>
  <si>
    <t>P0203</t>
  </si>
  <si>
    <t>A0585</t>
  </si>
  <si>
    <t>D0039</t>
  </si>
  <si>
    <t>A0011</t>
  </si>
  <si>
    <t>A0481</t>
  </si>
  <si>
    <t>A0030</t>
  </si>
  <si>
    <t>P0063</t>
  </si>
  <si>
    <t>A0443</t>
  </si>
  <si>
    <t>A0497</t>
  </si>
  <si>
    <t>A0128</t>
  </si>
  <si>
    <t>P0105</t>
  </si>
  <si>
    <t>D0041</t>
  </si>
  <si>
    <t>P0075</t>
  </si>
  <si>
    <t>P0104</t>
  </si>
  <si>
    <t>A0336</t>
  </si>
  <si>
    <t>A0385</t>
  </si>
  <si>
    <t>A0435</t>
  </si>
  <si>
    <t>P0223</t>
  </si>
  <si>
    <t>A0564</t>
  </si>
  <si>
    <t>A0436</t>
  </si>
  <si>
    <t>A0325</t>
  </si>
  <si>
    <t>P0053</t>
  </si>
  <si>
    <t>A0428</t>
  </si>
  <si>
    <t>A0522</t>
  </si>
  <si>
    <t>A0119</t>
  </si>
  <si>
    <t>D0090</t>
  </si>
  <si>
    <t>A0538</t>
  </si>
  <si>
    <t>P0186</t>
  </si>
  <si>
    <t>A0389</t>
  </si>
  <si>
    <t>A0368</t>
  </si>
  <si>
    <t>A0202</t>
  </si>
  <si>
    <t>A0261</t>
  </si>
  <si>
    <t>A0025</t>
  </si>
  <si>
    <t>A0168</t>
  </si>
  <si>
    <t>A0283</t>
  </si>
  <si>
    <t>A0471</t>
  </si>
  <si>
    <t>A0410</t>
  </si>
  <si>
    <t>A0553</t>
  </si>
  <si>
    <t>P0024</t>
  </si>
  <si>
    <t>A0320</t>
  </si>
  <si>
    <t>P0040</t>
  </si>
  <si>
    <t>P0093</t>
  </si>
  <si>
    <t>A0441</t>
  </si>
  <si>
    <t>A0216</t>
  </si>
  <si>
    <t>A0427</t>
  </si>
  <si>
    <t>P0239</t>
  </si>
  <si>
    <t>A0589</t>
  </si>
  <si>
    <t>A0109</t>
  </si>
  <si>
    <t>A0110</t>
  </si>
  <si>
    <t>A0569</t>
  </si>
  <si>
    <t>A0416</t>
  </si>
  <si>
    <t>P0007</t>
  </si>
  <si>
    <t>P0103</t>
  </si>
  <si>
    <t>A0074</t>
  </si>
  <si>
    <t>D0092</t>
  </si>
  <si>
    <t>D0048</t>
  </si>
  <si>
    <t>A0311</t>
  </si>
  <si>
    <t>P0162</t>
  </si>
  <si>
    <t>A0521</t>
  </si>
  <si>
    <t>D0025</t>
  </si>
  <si>
    <t>A0236</t>
  </si>
  <si>
    <t>A0265</t>
  </si>
  <si>
    <t>A0578</t>
  </si>
  <si>
    <t>D0013</t>
  </si>
  <si>
    <t>A0453</t>
  </si>
  <si>
    <t>D0108</t>
  </si>
  <si>
    <t>P0045</t>
  </si>
  <si>
    <t>A0554</t>
  </si>
  <si>
    <t>D0056</t>
  </si>
  <si>
    <t>A0571</t>
  </si>
  <si>
    <t>A0366</t>
  </si>
  <si>
    <t>A0300</t>
  </si>
  <si>
    <t>P0068</t>
  </si>
  <si>
    <t>A0340</t>
  </si>
  <si>
    <t>D0035</t>
  </si>
  <si>
    <t>A0029</t>
  </si>
  <si>
    <t>D0064</t>
  </si>
  <si>
    <t>A0156</t>
  </si>
  <si>
    <t>A0212</t>
  </si>
  <si>
    <t>P0106</t>
  </si>
  <si>
    <t>P0032</t>
  </si>
  <si>
    <t>P0192</t>
  </si>
  <si>
    <t>A0575</t>
  </si>
  <si>
    <t>D0045</t>
  </si>
  <si>
    <t>P0046</t>
  </si>
  <si>
    <t>A0182</t>
  </si>
  <si>
    <t>A0438</t>
  </si>
  <si>
    <t>D0023</t>
  </si>
  <si>
    <t>D0042</t>
  </si>
  <si>
    <t>A0286</t>
  </si>
  <si>
    <t>A0338</t>
  </si>
  <si>
    <t>P0165</t>
  </si>
  <si>
    <t>A0289</t>
  </si>
  <si>
    <t>A0277</t>
  </si>
  <si>
    <t>P0193</t>
  </si>
  <si>
    <t>A0033</t>
  </si>
  <si>
    <t>A0499</t>
  </si>
  <si>
    <t>A0495</t>
  </si>
  <si>
    <t>P0101</t>
  </si>
  <si>
    <t>D0111</t>
  </si>
  <si>
    <t>P0116</t>
  </si>
  <si>
    <t>A0565</t>
  </si>
  <si>
    <t>D0006</t>
  </si>
  <si>
    <t>D0089</t>
  </si>
  <si>
    <t>A0205</t>
  </si>
  <si>
    <t>A0002</t>
  </si>
  <si>
    <t>A0152</t>
  </si>
  <si>
    <t>A0363</t>
  </si>
  <si>
    <t>A0086</t>
  </si>
  <si>
    <t>A0344</t>
  </si>
  <si>
    <t>A0512</t>
  </si>
  <si>
    <t>A0367</t>
  </si>
  <si>
    <t>P0245</t>
  </si>
  <si>
    <t>P0137</t>
  </si>
  <si>
    <t>A0159</t>
  </si>
  <si>
    <t>A0131</t>
  </si>
  <si>
    <t>A0228</t>
  </si>
  <si>
    <t>P0006</t>
  </si>
  <si>
    <t>A0232</t>
  </si>
  <si>
    <t>P0142</t>
  </si>
  <si>
    <t>A0404</t>
  </si>
  <si>
    <t>P0242</t>
  </si>
  <si>
    <t>A0288</t>
  </si>
  <si>
    <t>P0210</t>
  </si>
  <si>
    <t>P0200</t>
  </si>
  <si>
    <t>A0531</t>
  </si>
  <si>
    <t>A0268</t>
  </si>
  <si>
    <t>D0068</t>
  </si>
  <si>
    <t>D0071</t>
  </si>
  <si>
    <t>D0113</t>
  </si>
  <si>
    <t>A0307</t>
  </si>
  <si>
    <t>A0520</t>
  </si>
  <si>
    <t>A0179</t>
  </si>
  <si>
    <t>P0216</t>
  </si>
  <si>
    <t>A0478</t>
  </si>
  <si>
    <t>A0008</t>
  </si>
  <si>
    <t>P0034</t>
  </si>
  <si>
    <t>P0081</t>
  </si>
  <si>
    <t>P0167</t>
  </si>
  <si>
    <t>A0378</t>
  </si>
  <si>
    <t>A0296</t>
  </si>
  <si>
    <t>A0221</t>
  </si>
  <si>
    <t>A0449</t>
  </si>
  <si>
    <t>A0545</t>
  </si>
  <si>
    <t>A0400</t>
  </si>
  <si>
    <t>A0551</t>
  </si>
  <si>
    <t>P0195</t>
  </si>
  <si>
    <t>A0574</t>
  </si>
  <si>
    <t>A0492</t>
  </si>
  <si>
    <t>A0063</t>
  </si>
  <si>
    <t>A0539</t>
  </si>
  <si>
    <t>P0136</t>
  </si>
  <si>
    <t>A0282</t>
  </si>
  <si>
    <t>A0598</t>
  </si>
  <si>
    <t>P0231</t>
  </si>
  <si>
    <t>A0242</t>
  </si>
  <si>
    <t>P0058</t>
  </si>
  <si>
    <t>P0249</t>
  </si>
  <si>
    <t>A0403</t>
  </si>
  <si>
    <t>A0543</t>
  </si>
  <si>
    <t>A0020</t>
  </si>
  <si>
    <t>A0057</t>
  </si>
  <si>
    <t>P0070</t>
  </si>
  <si>
    <t>P0015</t>
  </si>
  <si>
    <t>A0127</t>
  </si>
  <si>
    <t>A0054</t>
  </si>
  <si>
    <t>P0010</t>
  </si>
  <si>
    <t>A0049</t>
  </si>
  <si>
    <t>A0324</t>
  </si>
  <si>
    <t>A0572</t>
  </si>
  <si>
    <t>A0383</t>
  </si>
  <si>
    <t>A0161</t>
  </si>
  <si>
    <t>D0076</t>
  </si>
  <si>
    <t>P0237</t>
  </si>
  <si>
    <t>P0188</t>
  </si>
  <si>
    <t>A0562</t>
  </si>
  <si>
    <t>A0024</t>
  </si>
  <si>
    <t>P0102</t>
  </si>
  <si>
    <t>D0091</t>
  </si>
  <si>
    <t>A0447</t>
  </si>
  <si>
    <t>A0136</t>
  </si>
  <si>
    <t>P0128</t>
  </si>
  <si>
    <t>A0023</t>
  </si>
  <si>
    <t>A0145</t>
  </si>
  <si>
    <t>P0183</t>
  </si>
  <si>
    <t>D0063</t>
  </si>
  <si>
    <t>D0097</t>
  </si>
  <si>
    <t>P0221</t>
  </si>
  <si>
    <t>A0067</t>
  </si>
  <si>
    <t>P0050</t>
  </si>
  <si>
    <t>P0241</t>
  </si>
  <si>
    <t>A0465</t>
  </si>
  <si>
    <t>A0358</t>
  </si>
  <si>
    <t>A0081</t>
  </si>
  <si>
    <t>A0303</t>
  </si>
  <si>
    <t>P0214</t>
  </si>
  <si>
    <t>D0021</t>
  </si>
  <si>
    <t>A0541</t>
  </si>
  <si>
    <t>A0308</t>
  </si>
  <si>
    <t>P0057</t>
  </si>
  <si>
    <t>P0120</t>
  </si>
  <si>
    <t>D0019</t>
  </si>
  <si>
    <t>A0137</t>
  </si>
  <si>
    <t>A0246</t>
  </si>
  <si>
    <t>P0027</t>
  </si>
  <si>
    <t>A0482</t>
  </si>
  <si>
    <t>A0294</t>
  </si>
  <si>
    <t>A0580</t>
  </si>
  <si>
    <t>A0244</t>
  </si>
  <si>
    <t>P0247</t>
  </si>
  <si>
    <t>D0029</t>
  </si>
  <si>
    <t>D0100</t>
  </si>
  <si>
    <t>D0080</t>
  </si>
  <si>
    <t>A0466</t>
  </si>
  <si>
    <t>P0085</t>
  </si>
  <si>
    <t>A0502</t>
  </si>
  <si>
    <t>P0047</t>
  </si>
  <si>
    <t>P0232</t>
  </si>
  <si>
    <t>A0455</t>
  </si>
  <si>
    <t>A0563</t>
  </si>
  <si>
    <t>A0204</t>
  </si>
  <si>
    <t>D0054</t>
  </si>
  <si>
    <t>A0061</t>
  </si>
  <si>
    <t>D0123</t>
  </si>
  <si>
    <t>P0248</t>
  </si>
  <si>
    <t>A0462</t>
  </si>
  <si>
    <t>P0234</t>
  </si>
  <si>
    <t>D0043</t>
  </si>
  <si>
    <t>P0092</t>
  </si>
  <si>
    <t>D0087</t>
  </si>
  <si>
    <t>A0247</t>
  </si>
  <si>
    <t>A0275</t>
  </si>
  <si>
    <t>A0509</t>
  </si>
  <si>
    <t>D0034</t>
  </si>
  <si>
    <t>A0188</t>
  </si>
  <si>
    <t>D0052</t>
  </si>
  <si>
    <t>A0604</t>
  </si>
  <si>
    <t>A0357</t>
  </si>
  <si>
    <t>A0164</t>
  </si>
  <si>
    <t>A0566</t>
  </si>
  <si>
    <t>D0032</t>
  </si>
  <si>
    <t>A0012</t>
  </si>
  <si>
    <t>A0507</t>
  </si>
  <si>
    <t>P0118</t>
  </si>
  <si>
    <t>D0109</t>
  </si>
  <si>
    <t>A0525</t>
  </si>
  <si>
    <t>A0397</t>
  </si>
  <si>
    <t>P0150</t>
  </si>
  <si>
    <t>P0199</t>
  </si>
  <si>
    <t>P0089</t>
  </si>
  <si>
    <t>A0106</t>
  </si>
  <si>
    <t>A0519</t>
  </si>
  <si>
    <t>D0107</t>
  </si>
  <si>
    <t>A0530</t>
  </si>
  <si>
    <t>A0143</t>
  </si>
  <si>
    <t>D0040</t>
  </si>
  <si>
    <t>D0130</t>
  </si>
  <si>
    <t>A0411</t>
  </si>
  <si>
    <t>A0273</t>
  </si>
  <si>
    <t>A0080</t>
  </si>
  <si>
    <t>A0129</t>
  </si>
  <si>
    <t>P0170</t>
  </si>
  <si>
    <t>A0078</t>
  </si>
  <si>
    <t>D0079</t>
  </si>
  <si>
    <t>D0033</t>
  </si>
  <si>
    <t>A0276</t>
  </si>
  <si>
    <t>A0076</t>
  </si>
  <si>
    <t>A0309</t>
  </si>
  <si>
    <t>A0584</t>
  </si>
  <si>
    <t>D0057</t>
  </si>
  <si>
    <t>P0180</t>
  </si>
  <si>
    <t>P0077</t>
  </si>
  <si>
    <t>A0014</t>
  </si>
  <si>
    <t>A0371</t>
  </si>
  <si>
    <t>A0007</t>
  </si>
  <si>
    <t>P0037</t>
  </si>
  <si>
    <t>P0163</t>
  </si>
  <si>
    <t>D0017</t>
  </si>
  <si>
    <t>A0442</t>
  </si>
  <si>
    <t>D0030</t>
  </si>
  <si>
    <t>A0430</t>
  </si>
  <si>
    <t>A0263</t>
  </si>
  <si>
    <t>D0065</t>
  </si>
  <si>
    <t>A0225</t>
  </si>
  <si>
    <t>A0090</t>
  </si>
  <si>
    <t>A0384</t>
  </si>
  <si>
    <t>D0126</t>
  </si>
  <si>
    <t>A0117</t>
  </si>
  <si>
    <t>P0004</t>
  </si>
  <si>
    <t>A0230</t>
  </si>
  <si>
    <t>D0051</t>
  </si>
  <si>
    <t>A0440</t>
  </si>
  <si>
    <t>A0031</t>
  </si>
  <si>
    <t>A0177</t>
  </si>
  <si>
    <t>P0134</t>
  </si>
  <si>
    <t>A0169</t>
  </si>
  <si>
    <t>A0245</t>
  </si>
  <si>
    <t>P0190</t>
  </si>
  <si>
    <t>D0121</t>
  </si>
  <si>
    <t>A0515</t>
  </si>
  <si>
    <t>D0004</t>
  </si>
  <si>
    <t>A0353</t>
  </si>
  <si>
    <t>A0206</t>
  </si>
  <si>
    <t>A0432</t>
  </si>
  <si>
    <t>D0008</t>
  </si>
  <si>
    <t>A0548</t>
  </si>
  <si>
    <t>A0429</t>
  </si>
  <si>
    <t>A0319</t>
  </si>
  <si>
    <t>A0259</t>
  </si>
  <si>
    <t>A0126</t>
  </si>
  <si>
    <t>P0164</t>
  </si>
  <si>
    <t>A0494</t>
  </si>
  <si>
    <t>A0133</t>
  </si>
  <si>
    <t>A0189</t>
  </si>
  <si>
    <t>P0056</t>
  </si>
  <si>
    <t>A0170</t>
  </si>
  <si>
    <t>D0050</t>
  </si>
  <si>
    <t>P0236</t>
  </si>
  <si>
    <t>D0002</t>
  </si>
  <si>
    <t>A0203</t>
  </si>
  <si>
    <t>D0083</t>
  </si>
  <si>
    <t>A0373</t>
  </si>
  <si>
    <t>A0120</t>
  </si>
  <si>
    <t>A0470</t>
  </si>
  <si>
    <t>D0038</t>
  </si>
  <si>
    <t>D0093</t>
  </si>
  <si>
    <t>A0526</t>
  </si>
  <si>
    <t>A0458</t>
  </si>
  <si>
    <t>A0527</t>
  </si>
  <si>
    <t>A0163</t>
  </si>
  <si>
    <t>P0108</t>
  </si>
  <si>
    <t>P0156</t>
  </si>
  <si>
    <t>A0087</t>
  </si>
  <si>
    <t>P0084</t>
  </si>
  <si>
    <t>P0172</t>
  </si>
  <si>
    <t>A0505</t>
  </si>
  <si>
    <t>P0059</t>
  </si>
  <si>
    <t>A0274</t>
  </si>
  <si>
    <t>A0255</t>
  </si>
  <si>
    <t>P0235</t>
  </si>
  <si>
    <t>D0110</t>
  </si>
  <si>
    <t>P0064</t>
  </si>
  <si>
    <t>P0226</t>
  </si>
  <si>
    <t>A0085</t>
  </si>
  <si>
    <t>A0107</t>
  </si>
  <si>
    <t>P0144</t>
  </si>
  <si>
    <t>A0295</t>
  </si>
  <si>
    <t>A0524</t>
  </si>
  <si>
    <t>A0369</t>
  </si>
  <si>
    <t>P0206</t>
  </si>
  <si>
    <t>P0207</t>
  </si>
  <si>
    <t>A0605</t>
  </si>
  <si>
    <t>A0413</t>
  </si>
  <si>
    <t>A0542</t>
  </si>
  <si>
    <t>P0090</t>
  </si>
  <si>
    <t>A0473</t>
  </si>
  <si>
    <t>A0125</t>
  </si>
  <si>
    <t>D0114</t>
  </si>
  <si>
    <t>A0123</t>
  </si>
  <si>
    <t>A0379</t>
  </si>
  <si>
    <t>A0272</t>
  </si>
  <si>
    <t>A0146</t>
  </si>
  <si>
    <t>D0024</t>
  </si>
  <si>
    <t>P0069</t>
  </si>
  <si>
    <t>A0142</t>
  </si>
  <si>
    <t>A0468</t>
  </si>
  <si>
    <t>A0422</t>
  </si>
  <si>
    <t>A0613</t>
  </si>
  <si>
    <t>A0540</t>
  </si>
  <si>
    <t>A0198</t>
  </si>
  <si>
    <t>A0450</t>
  </si>
  <si>
    <t>P0171</t>
  </si>
  <si>
    <t>A0446</t>
  </si>
  <si>
    <t>A0038</t>
  </si>
  <si>
    <t>D0122</t>
  </si>
  <si>
    <t>A0160</t>
  </si>
  <si>
    <t>A0486</t>
  </si>
  <si>
    <t>A0019</t>
  </si>
  <si>
    <t>A0099</t>
  </si>
  <si>
    <t>P0159</t>
  </si>
  <si>
    <t>A0084</t>
  </si>
  <si>
    <t>A0620</t>
  </si>
  <si>
    <t>D0105</t>
  </si>
  <si>
    <t>A0387</t>
  </si>
  <si>
    <t>D0095</t>
  </si>
  <si>
    <t>A0408</t>
  </si>
  <si>
    <t>A0238</t>
  </si>
  <si>
    <t>A0194</t>
  </si>
  <si>
    <t>A0015</t>
  </si>
  <si>
    <t>A0477</t>
  </si>
  <si>
    <t>A0500</t>
  </si>
  <si>
    <t>P0169</t>
  </si>
  <si>
    <t>A0154</t>
  </si>
  <si>
    <t>A0381</t>
  </si>
  <si>
    <t>A0134</t>
  </si>
  <si>
    <t>A0498</t>
  </si>
  <si>
    <t>A0523</t>
  </si>
  <si>
    <t>P0018</t>
  </si>
  <si>
    <t>A0399</t>
  </si>
  <si>
    <t>D0022</t>
  </si>
  <si>
    <t>D0005</t>
  </si>
  <si>
    <t>A0298</t>
  </si>
  <si>
    <t>P0205</t>
  </si>
  <si>
    <t>A0147</t>
  </si>
  <si>
    <t>A0323</t>
  </si>
  <si>
    <t>A0417</t>
  </si>
  <si>
    <t>A0072</t>
  </si>
  <si>
    <t>A0003</t>
  </si>
  <si>
    <t>A0233</t>
  </si>
  <si>
    <t>A0595</t>
  </si>
  <si>
    <t>A0113</t>
  </si>
  <si>
    <t>A0140</t>
  </si>
  <si>
    <t>A0322</t>
  </si>
  <si>
    <t>A0092</t>
  </si>
  <si>
    <t>P0166</t>
  </si>
  <si>
    <t>P0124</t>
  </si>
  <si>
    <t>P0087</t>
  </si>
  <si>
    <t>P0061</t>
  </si>
  <si>
    <t>D0018</t>
  </si>
  <si>
    <t>A0555</t>
  </si>
  <si>
    <t>A0222</t>
  </si>
  <si>
    <t>P0017</t>
  </si>
  <si>
    <t>P0184</t>
  </si>
  <si>
    <t>A0331</t>
  </si>
  <si>
    <t>A0297</t>
  </si>
  <si>
    <t>A0434</t>
  </si>
  <si>
    <t>A0157</t>
  </si>
  <si>
    <t>A0223</t>
  </si>
  <si>
    <t>A0153</t>
  </si>
  <si>
    <t>A0040</t>
  </si>
  <si>
    <t>A0062</t>
  </si>
  <si>
    <t>A0096</t>
  </si>
  <si>
    <t>A0451</t>
  </si>
  <si>
    <t>P0127</t>
  </si>
  <si>
    <t>P0204</t>
  </si>
  <si>
    <t>A0101</t>
  </si>
  <si>
    <t>A0351</t>
  </si>
  <si>
    <t>A0111</t>
  </si>
  <si>
    <t>A0377</t>
  </si>
  <si>
    <t>A0305</t>
  </si>
  <si>
    <t>A0533</t>
  </si>
  <si>
    <t>A0549</t>
  </si>
  <si>
    <t>A0437</t>
  </si>
  <si>
    <t>A0359</t>
  </si>
  <si>
    <t>P0038</t>
  </si>
  <si>
    <t>A0070</t>
  </si>
  <si>
    <t>A0036</t>
  </si>
  <si>
    <t>A0166</t>
  </si>
  <si>
    <t>A0178</t>
  </si>
  <si>
    <t>A0312</t>
  </si>
  <si>
    <t>A0376</t>
  </si>
  <si>
    <t>A0150</t>
  </si>
  <si>
    <t>P0148</t>
  </si>
  <si>
    <t>A0148</t>
  </si>
  <si>
    <t>P0244</t>
  </si>
  <si>
    <t>A0141</t>
  </si>
  <si>
    <t>A0006</t>
  </si>
  <si>
    <t>A0060</t>
  </si>
  <si>
    <t>A0104</t>
  </si>
  <si>
    <t>D0078</t>
  </si>
  <si>
    <t>A0567</t>
  </si>
  <si>
    <t>D0103</t>
  </si>
  <si>
    <t>P0115</t>
  </si>
  <si>
    <t>A0135</t>
  </si>
  <si>
    <t>P0202</t>
  </si>
  <si>
    <t>A0149</t>
  </si>
  <si>
    <t>A0501</t>
  </si>
  <si>
    <t>A0211</t>
  </si>
  <si>
    <t>A0180</t>
  </si>
  <si>
    <t>P0008</t>
  </si>
  <si>
    <t>A0591</t>
  </si>
  <si>
    <t>A0396</t>
  </si>
  <si>
    <t>D0070</t>
  </si>
  <si>
    <t>A0254</t>
  </si>
  <si>
    <t>A0301</t>
  </si>
  <si>
    <t>D0012</t>
  </si>
  <si>
    <t>A0088</t>
  </si>
  <si>
    <t>A0480</t>
  </si>
  <si>
    <t>A0552</t>
  </si>
  <si>
    <t>A0226</t>
  </si>
  <si>
    <t>A0603</t>
  </si>
  <si>
    <t>A0035</t>
  </si>
  <si>
    <t>P0109</t>
  </si>
  <si>
    <t>D0062</t>
  </si>
  <si>
    <t>P0233</t>
  </si>
  <si>
    <t>P0002</t>
  </si>
  <si>
    <t>D0098</t>
  </si>
  <si>
    <t>A0122</t>
  </si>
  <si>
    <t>A0341</t>
  </si>
  <si>
    <t>P0122</t>
  </si>
  <si>
    <t>D0127</t>
  </si>
  <si>
    <t>D0096</t>
  </si>
  <si>
    <t>A0102</t>
  </si>
  <si>
    <t>A0053</t>
  </si>
  <si>
    <t>P0217</t>
  </si>
  <si>
    <t>A0459</t>
  </si>
  <si>
    <t>A0124</t>
  </si>
  <si>
    <t>P0062</t>
  </si>
  <si>
    <t>P0052</t>
  </si>
  <si>
    <t>A0343</t>
  </si>
  <si>
    <t>A0393</t>
  </si>
  <si>
    <t>P0096</t>
  </si>
  <si>
    <t>A0284</t>
  </si>
  <si>
    <t>P0176</t>
  </si>
  <si>
    <t>A0017</t>
  </si>
  <si>
    <t>P0246</t>
  </si>
  <si>
    <t>A0587</t>
  </si>
  <si>
    <t>A0561</t>
  </si>
  <si>
    <t>A0267</t>
  </si>
  <si>
    <t>A0483</t>
  </si>
  <si>
    <t>P0185</t>
  </si>
  <si>
    <t>A0103</t>
  </si>
  <si>
    <t>A0380</t>
  </si>
  <si>
    <t>A0534</t>
  </si>
  <si>
    <t>A0199</t>
  </si>
  <si>
    <t>P0014</t>
  </si>
  <si>
    <t>P0123</t>
  </si>
  <si>
    <t>A0421</t>
  </si>
  <si>
    <t>D0016</t>
  </si>
  <si>
    <t>A0098</t>
  </si>
  <si>
    <t>A0093</t>
  </si>
  <si>
    <t>A0414</t>
  </si>
  <si>
    <t>A0347</t>
  </si>
  <si>
    <t>P0031</t>
  </si>
  <si>
    <t>A0394</t>
  </si>
  <si>
    <t>A0599</t>
  </si>
  <si>
    <t>D0116</t>
  </si>
  <si>
    <t>P0088</t>
  </si>
  <si>
    <t>A0165</t>
  </si>
  <si>
    <t>P0074</t>
  </si>
  <si>
    <t>P0220</t>
  </si>
  <si>
    <t>D0117</t>
  </si>
  <si>
    <t>A0269</t>
  </si>
  <si>
    <t>A0219</t>
  </si>
  <si>
    <t>A0472</t>
  </si>
  <si>
    <t>A0022</t>
  </si>
  <si>
    <t>A0059</t>
  </si>
  <si>
    <t>A0064</t>
  </si>
  <si>
    <t>A0037</t>
  </si>
  <si>
    <t>A0001</t>
  </si>
  <si>
    <t>P0141</t>
  </si>
  <si>
    <t>D0060</t>
  </si>
  <si>
    <t>P0001</t>
  </si>
  <si>
    <t>A0243</t>
  </si>
  <si>
    <t>A0612</t>
  </si>
  <si>
    <t>A0557</t>
  </si>
  <si>
    <t>P0099</t>
  </si>
  <si>
    <t>D0074</t>
  </si>
  <si>
    <t>A0043</t>
  </si>
  <si>
    <t>A0105</t>
  </si>
  <si>
    <t>A0132</t>
  </si>
  <si>
    <t>A0550</t>
  </si>
  <si>
    <t>A0167</t>
  </si>
  <si>
    <t>A0193</t>
  </si>
  <si>
    <t>P0130</t>
  </si>
  <si>
    <t>A0010</t>
  </si>
  <si>
    <t>A0419</t>
  </si>
  <si>
    <t>A0448</t>
  </si>
  <si>
    <t>A0503</t>
  </si>
  <si>
    <t>P0121</t>
  </si>
  <si>
    <t>D0077</t>
  </si>
  <si>
    <t>A0260</t>
  </si>
  <si>
    <t>P0025</t>
  </si>
  <si>
    <t>A0476</t>
  </si>
  <si>
    <t>A0055</t>
  </si>
  <si>
    <t>A0187</t>
  </si>
  <si>
    <t>A0467</t>
  </si>
  <si>
    <t>P0140</t>
  </si>
  <si>
    <t>A0069</t>
  </si>
  <si>
    <t>A0489</t>
  </si>
  <si>
    <t>P0229</t>
  </si>
  <si>
    <t>A0573</t>
  </si>
  <si>
    <t>P0086</t>
  </si>
  <si>
    <t>A0227</t>
  </si>
  <si>
    <t>A0065</t>
  </si>
  <si>
    <t>A0196</t>
  </si>
  <si>
    <t>A0454</t>
  </si>
  <si>
    <t>D0119</t>
  </si>
  <si>
    <t>P0117</t>
  </si>
  <si>
    <t>P0011</t>
  </si>
  <si>
    <t>A0144</t>
  </si>
  <si>
    <t>P0147</t>
  </si>
  <si>
    <t>A0220</t>
  </si>
  <si>
    <t>P0225</t>
  </si>
  <si>
    <t>A0433</t>
  </si>
  <si>
    <t>P0113</t>
  </si>
  <si>
    <t>A0210</t>
  </si>
  <si>
    <t>A0346</t>
  </si>
  <si>
    <t>A0348</t>
  </si>
  <si>
    <t>A0392</t>
  </si>
  <si>
    <t>A0176</t>
  </si>
  <si>
    <t>A0005</t>
  </si>
  <si>
    <t>A0333</t>
  </si>
  <si>
    <t>P0131</t>
  </si>
  <si>
    <t>P0042</t>
  </si>
  <si>
    <t>A0372</t>
  </si>
  <si>
    <t>A0056</t>
  </si>
  <si>
    <t>D0015</t>
  </si>
  <si>
    <t>A0616</t>
  </si>
  <si>
    <t>A0504</t>
  </si>
  <si>
    <t>A0213</t>
  </si>
  <si>
    <t>A0487</t>
  </si>
  <si>
    <t>A0249</t>
  </si>
  <si>
    <t>A0241</t>
  </si>
  <si>
    <t>A0174</t>
  </si>
  <si>
    <t>A0493</t>
  </si>
  <si>
    <t>P0238</t>
  </si>
  <si>
    <t>P0243</t>
  </si>
  <si>
    <t>A0535</t>
  </si>
  <si>
    <t>A0469</t>
  </si>
  <si>
    <t>P0043</t>
  </si>
  <si>
    <t>A0576</t>
  </si>
  <si>
    <t>P0028</t>
  </si>
  <si>
    <t>D0067</t>
  </si>
  <si>
    <t>P0039</t>
  </si>
  <si>
    <t>A0027</t>
  </si>
  <si>
    <t>A0608</t>
  </si>
  <si>
    <t>D0099</t>
  </si>
  <si>
    <t>A0474</t>
  </si>
  <si>
    <t>A0302</t>
  </si>
  <si>
    <t>P0041</t>
  </si>
  <si>
    <t>A0461</t>
  </si>
  <si>
    <t>A0291</t>
  </si>
  <si>
    <t>A0491</t>
  </si>
  <si>
    <t>D0088</t>
  </si>
  <si>
    <t>A0356</t>
  </si>
  <si>
    <t>D0058</t>
  </si>
  <si>
    <t>A0423</t>
  </si>
  <si>
    <t>A0602</t>
  </si>
  <si>
    <t>P0198</t>
  </si>
  <si>
    <t>P0079</t>
  </si>
  <si>
    <t>A0431</t>
  </si>
  <si>
    <t>A0041</t>
  </si>
  <si>
    <t>D0049</t>
  </si>
  <si>
    <t>A0094</t>
  </si>
  <si>
    <t>A0355</t>
  </si>
  <si>
    <t>A0138</t>
  </si>
  <si>
    <t>A0329</t>
  </si>
  <si>
    <t>A0601</t>
  </si>
  <si>
    <t>A0375</t>
  </si>
  <si>
    <t>A0292</t>
  </si>
  <si>
    <t>A0175</t>
  </si>
  <si>
    <t>A0217</t>
  </si>
  <si>
    <t>A0568</t>
  </si>
  <si>
    <t>A0034</t>
  </si>
  <si>
    <t>A0321</t>
  </si>
  <si>
    <t>A0239</t>
  </si>
  <si>
    <t>A0354</t>
  </si>
  <si>
    <t>D0081</t>
  </si>
  <si>
    <t>P0179</t>
  </si>
  <si>
    <t>A0496</t>
  </si>
  <si>
    <t>A0617</t>
  </si>
  <si>
    <t>D0094</t>
  </si>
  <si>
    <t>A0186</t>
  </si>
  <si>
    <t>A0262</t>
  </si>
  <si>
    <t>P0049</t>
  </si>
  <si>
    <t>D0047</t>
  </si>
  <si>
    <t>D0028</t>
  </si>
  <si>
    <t>A0251</t>
  </si>
  <si>
    <t>D0027</t>
  </si>
  <si>
    <t>A0108</t>
  </si>
  <si>
    <t>A0013</t>
  </si>
  <si>
    <t>A0577</t>
  </si>
  <si>
    <t>A0406</t>
  </si>
  <si>
    <t>A0116</t>
  </si>
  <si>
    <t>A0095</t>
  </si>
  <si>
    <t>A0162</t>
  </si>
  <si>
    <t>P0044</t>
  </si>
  <si>
    <t>P0119</t>
  </si>
  <si>
    <t>A0536</t>
  </si>
  <si>
    <t>P0080</t>
  </si>
  <si>
    <t>D0053</t>
  </si>
  <si>
    <t>A0314</t>
  </si>
  <si>
    <t>A0306</t>
  </si>
  <si>
    <t>A0597</t>
  </si>
  <si>
    <t>A0360</t>
  </si>
  <si>
    <t>A0418</t>
  </si>
  <si>
    <t>A0388</t>
  </si>
  <si>
    <t>A0258</t>
  </si>
  <si>
    <t>A0409</t>
  </si>
  <si>
    <t>P0083</t>
  </si>
  <si>
    <t>P0110</t>
  </si>
  <si>
    <t>A0114</t>
  </si>
  <si>
    <t>A0506</t>
  </si>
  <si>
    <t>D0102</t>
  </si>
  <si>
    <t>D0073</t>
  </si>
  <si>
    <t>A0231</t>
  </si>
  <si>
    <t>A0610</t>
  </si>
  <si>
    <t>A0172</t>
  </si>
  <si>
    <t>P0227</t>
  </si>
  <si>
    <t>A0364</t>
  </si>
  <si>
    <t>P0026</t>
  </si>
  <si>
    <t>P0055</t>
  </si>
  <si>
    <t>A0045</t>
  </si>
  <si>
    <t>P0189</t>
  </si>
  <si>
    <t>D0086</t>
  </si>
  <si>
    <t>A0077</t>
  </si>
  <si>
    <t>A0171</t>
  </si>
  <si>
    <t>A0047</t>
  </si>
  <si>
    <t>P0082</t>
  </si>
  <si>
    <t>P0149</t>
  </si>
  <si>
    <t>A0328</t>
  </si>
  <si>
    <t>P0177</t>
  </si>
  <si>
    <t>A0588</t>
  </si>
  <si>
    <t>A0510</t>
  </si>
  <si>
    <t>P0036</t>
  </si>
  <si>
    <t>D0020</t>
  </si>
  <si>
    <t>P0196</t>
  </si>
  <si>
    <t>P0139</t>
  </si>
  <si>
    <t>D0085</t>
  </si>
  <si>
    <t>A0279</t>
  </si>
  <si>
    <t>A0532</t>
  </si>
  <si>
    <t>P0143</t>
  </si>
  <si>
    <t>P0126</t>
  </si>
  <si>
    <t>P0197</t>
  </si>
  <si>
    <t>D0037</t>
  </si>
  <si>
    <t>P0112</t>
  </si>
  <si>
    <t>P0020</t>
  </si>
  <si>
    <t>D0026</t>
  </si>
  <si>
    <t>A0299</t>
  </si>
  <si>
    <t>P0161</t>
  </si>
  <si>
    <t>D0082</t>
  </si>
  <si>
    <t>D0069</t>
  </si>
  <si>
    <t>P0213</t>
  </si>
  <si>
    <t>A0073</t>
  </si>
  <si>
    <t>A0339</t>
  </si>
  <si>
    <t>A0391</t>
  </si>
  <si>
    <t>A0334</t>
  </si>
  <si>
    <t>A0464</t>
  </si>
  <si>
    <t>A0181</t>
  </si>
  <si>
    <t>P0065</t>
  </si>
  <si>
    <t>A0257</t>
  </si>
  <si>
    <t>P0022</t>
  </si>
  <si>
    <t>A0016</t>
  </si>
  <si>
    <t>A0190</t>
  </si>
  <si>
    <t>A0097</t>
  </si>
  <si>
    <t>A0619</t>
  </si>
  <si>
    <t>A0382</t>
  </si>
  <si>
    <t>A0529</t>
  </si>
  <si>
    <t>D0036</t>
  </si>
  <si>
    <t>Base qx</t>
  </si>
  <si>
    <t>Scaled qx</t>
  </si>
  <si>
    <t>px</t>
  </si>
  <si>
    <t>Increasing annuity factor</t>
  </si>
  <si>
    <t>l(x) from age 18</t>
  </si>
  <si>
    <t>Service</t>
  </si>
  <si>
    <t>Pensionable salary</t>
  </si>
  <si>
    <t>Current pension</t>
  </si>
  <si>
    <t>Years to retirement</t>
  </si>
  <si>
    <t>Projected salary</t>
  </si>
  <si>
    <t>Projected service</t>
  </si>
  <si>
    <t>Annual pension at retirement</t>
  </si>
  <si>
    <t>Survival to retirement</t>
  </si>
  <si>
    <t>Annuity factor</t>
  </si>
  <si>
    <t>Spouse loading</t>
  </si>
  <si>
    <t>Discount factor</t>
  </si>
  <si>
    <t>PV liability</t>
  </si>
  <si>
    <t>Metric</t>
  </si>
  <si>
    <t>Total members</t>
  </si>
  <si>
    <t>DB liability</t>
  </si>
  <si>
    <t>Funding ratio</t>
  </si>
  <si>
    <t>Surplus / (deficit)</t>
  </si>
  <si>
    <t>Data basis</t>
  </si>
  <si>
    <t>Synthetic demo census</t>
  </si>
  <si>
    <t>Total</t>
  </si>
  <si>
    <t>Excel ↔ JavaScript Frozen Benchmark</t>
  </si>
  <si>
    <t>Validation principle: freeze a base assumption set, independently calculate benchmark liabilities in Excel, then reconcile the reusable JavaScript engine at both aggregate and member level. Changing assumptions should trigger a new benchmark, not an artificial 'failure'.</t>
  </si>
  <si>
    <t>Check</t>
  </si>
  <si>
    <t>Reference total liability</t>
  </si>
  <si>
    <t>Excel calculated total</t>
  </si>
  <si>
    <t>Difference</t>
  </si>
  <si>
    <t>Tolerance</t>
  </si>
  <si>
    <t>Reference liability</t>
  </si>
  <si>
    <t>Excel liability</t>
  </si>
  <si>
    <t>PenSol — Scheme Summary</t>
  </si>
  <si>
    <t>PenSol — Excel Reference Model</t>
  </si>
  <si>
    <t>Important: This workbook is an independent reference implementation for the markiV PenSol demonstration. The member data are synthetic and the mortality basis is illustrative; this is not a prescribed IAS 19, ASC 715, funding or regulatory valuation.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</si>
</sst>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\(#,##0\);\-"/>
    <numFmt numFmtId="165" formatCode="0.0"/>
    <numFmt numFmtId="166" formatCode="0.000000"/>
    <numFmt numFmtId="167" formatCode="0.0%"/>
    <numFmt numFmtId="168" formatCode="#,##0.000000;[Red]\(#,##0.000000\);\-"/>
  </numFmts>
  <fonts count="8">
    <font>
      <sz val="11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FF"/>
      <name val="Carlito"/>
    </font>
    <font>
      <sz val="11"/>
      <color rgb="FF008000"/>
      <name val="Carlito"/>
    </font>
    <font>
      <b/>
      <sz val="15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1616"/>
      </patternFill>
    </fill>
    <fill>
      <patternFill patternType="solid">
        <fgColor rgb="FFD9230F"/>
      </patternFill>
    </fill>
    <fill>
      <patternFill patternType="solid">
        <fgColor rgb="FFFFF4D6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10" fontId="5" fillId="0" borderId="0" xfId="0" applyNumberFormat="1" applyFont="1"/>
    <xf numFmtId="2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0" fontId="3" fillId="2" borderId="0" xfId="0" applyFont="1" applyFill="1"/>
    <xf numFmtId="166" fontId="5" fillId="0" borderId="0" xfId="0" applyNumberFormat="1" applyFont="1"/>
    <xf numFmtId="166" fontId="0" fillId="0" borderId="0" xfId="0" applyNumberFormat="1"/>
    <xf numFmtId="0" fontId="3" fillId="2" borderId="0" xfId="0" applyFont="1" applyFill="1" applyAlignment="1">
      <alignment wrapText="1"/>
    </xf>
    <xf numFmtId="0" fontId="6" fillId="0" borderId="0" xfId="0" applyFont="1"/>
    <xf numFmtId="165" fontId="6" fillId="0" borderId="0" xfId="0" applyNumberFormat="1" applyFont="1"/>
    <xf numFmtId="165" fontId="0" fillId="0" borderId="0" xfId="0" applyNumberFormat="1"/>
    <xf numFmtId="164" fontId="6" fillId="0" borderId="0" xfId="0" applyNumberFormat="1" applyFont="1"/>
    <xf numFmtId="164" fontId="0" fillId="0" borderId="0" xfId="0" applyNumberFormat="1"/>
    <xf numFmtId="167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8" fontId="5" fillId="0" borderId="0" xfId="0" applyNumberFormat="1" applyFont="1"/>
    <xf numFmtId="168" fontId="0" fillId="0" borderId="0" xfId="0" applyNumberFormat="1"/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4" borderId="0" xfId="0" applyFill="1" applyAlignment="1">
      <alignment vertical="top" wrapText="1"/>
    </xf>
    <xf numFmtId="0" fontId="1" fillId="2" borderId="0" xfId="0" applyFont="1" applyFill="1"/>
    <xf numFmtId="0" fontId="7" fillId="2" borderId="0" xfId="0" applyFont="1" applyFill="1"/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IN"/>
              <a:t>Liability by Member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PV liability</c:v>
          </c:tx>
          <c:invertIfNegative val="1"/>
          <c:cat>
            <c:strRef>
              <c:f>Summary!$A$12:$A$14</c:f>
              <c:strCache>
                <c:ptCount val="3"/>
                <c:pt idx="0">
                  <c:v>Active</c:v>
                </c:pt>
                <c:pt idx="1">
                  <c:v>Deferred</c:v>
                </c:pt>
                <c:pt idx="2">
                  <c:v>Pensioner</c:v>
                </c:pt>
              </c:strCache>
            </c:strRef>
          </c:cat>
          <c:val>
            <c:numRef>
              <c:f>Summary!$B$12:$B$14</c:f>
              <c:numCache>
                <c:formatCode>#,##0;[Red]\(#,##0\);\-</c:formatCode>
                <c:ptCount val="3"/>
                <c:pt idx="0">
                  <c:v>5262471068.329051</c:v>
                </c:pt>
                <c:pt idx="1">
                  <c:v>372952334.22632807</c:v>
                </c:pt>
                <c:pt idx="2">
                  <c:v>1312875812.4869349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74-F443-ACF5-A3AFCEB54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mbersTable" displayName="MembersTable" ref="A1:F1001" totalsRowShown="0">
  <tableColumns count="6">
    <tableColumn id="1" xr3:uid="{00000000-0010-0000-0000-000001000000}" name="Member ID"/>
    <tableColumn id="2" xr3:uid="{00000000-0010-0000-0000-000002000000}" name="Status"/>
    <tableColumn id="3" xr3:uid="{00000000-0010-0000-0000-000003000000}" name="Age"/>
    <tableColumn id="4" xr3:uid="{00000000-0010-0000-0000-000004000000}" name="Service (years)"/>
    <tableColumn id="5" xr3:uid="{00000000-0010-0000-0000-000005000000}" name="Pensionable salary (currency)"/>
    <tableColumn id="6" xr3:uid="{00000000-0010-0000-0000-000006000000}" name="Current pension (currency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luationTable" displayName="ValuationTable" ref="A1:O1001" totalsRowShown="0">
  <tableColumns count="15">
    <tableColumn id="1" xr3:uid="{00000000-0010-0000-0100-000001000000}" name="Member ID"/>
    <tableColumn id="2" xr3:uid="{00000000-0010-0000-0100-000002000000}" name="Status"/>
    <tableColumn id="3" xr3:uid="{00000000-0010-0000-0100-000003000000}" name="Age"/>
    <tableColumn id="4" xr3:uid="{00000000-0010-0000-0100-000004000000}" name="Service"/>
    <tableColumn id="5" xr3:uid="{00000000-0010-0000-0100-000005000000}" name="Pensionable salary"/>
    <tableColumn id="6" xr3:uid="{00000000-0010-0000-0100-000006000000}" name="Current pension"/>
    <tableColumn id="7" xr3:uid="{00000000-0010-0000-0100-000007000000}" name="Years to retirement"/>
    <tableColumn id="8" xr3:uid="{00000000-0010-0000-0100-000008000000}" name="Projected salary"/>
    <tableColumn id="9" xr3:uid="{00000000-0010-0000-0100-000009000000}" name="Projected service"/>
    <tableColumn id="10" xr3:uid="{00000000-0010-0000-0100-00000A000000}" name="Annual pension at retirement"/>
    <tableColumn id="11" xr3:uid="{00000000-0010-0000-0100-00000B000000}" name="Survival to retirement"/>
    <tableColumn id="12" xr3:uid="{00000000-0010-0000-0100-00000C000000}" name="Annuity factor"/>
    <tableColumn id="13" xr3:uid="{00000000-0010-0000-0100-00000D000000}" name="Spouse loading"/>
    <tableColumn id="14" xr3:uid="{00000000-0010-0000-0100-00000E000000}" name="Discount factor"/>
    <tableColumn id="15" xr3:uid="{00000000-0010-0000-0100-00000F000000}" name="PV li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="172" workbookViewId="0">
      <selection activeCell="A21" sqref="A21:D23"/>
    </sheetView>
  </sheetViews>
  <sheetFormatPr baseColWidth="10" defaultColWidth="8.83203125" defaultRowHeight="14"/>
  <cols>
    <col min="1" max="1" width="29" customWidth="1"/>
    <col min="2" max="2" width="20" customWidth="1"/>
    <col min="3" max="3" width="24" customWidth="1"/>
    <col min="4" max="4" width="44" customWidth="1"/>
  </cols>
  <sheetData>
    <row r="1" spans="1:4" ht="40" customHeight="1">
      <c r="A1" s="23" t="s">
        <v>1082</v>
      </c>
      <c r="B1" s="23"/>
      <c r="C1" s="23"/>
      <c r="D1" s="23"/>
    </row>
    <row r="2" spans="1:4" ht="29.25" customHeight="1">
      <c r="A2" s="24" t="s">
        <v>0</v>
      </c>
      <c r="B2" s="24"/>
      <c r="C2" s="24"/>
      <c r="D2" s="24"/>
    </row>
    <row r="4" spans="1:4" ht="15">
      <c r="A4" s="2" t="s">
        <v>1</v>
      </c>
      <c r="B4" s="2" t="s">
        <v>2</v>
      </c>
      <c r="C4" s="2" t="s">
        <v>3</v>
      </c>
      <c r="D4" s="2" t="s">
        <v>4</v>
      </c>
    </row>
    <row r="5" spans="1:4" ht="15">
      <c r="A5" s="3" t="s">
        <v>5</v>
      </c>
      <c r="B5" s="4" t="s">
        <v>6</v>
      </c>
      <c r="C5" t="s">
        <v>7</v>
      </c>
      <c r="D5" t="s">
        <v>8</v>
      </c>
    </row>
    <row r="6" spans="1:4" ht="15">
      <c r="A6" s="3" t="s">
        <v>9</v>
      </c>
      <c r="B6" s="5">
        <v>6.5000000000000002E-2</v>
      </c>
      <c r="C6" t="s">
        <v>10</v>
      </c>
      <c r="D6" t="s">
        <v>8</v>
      </c>
    </row>
    <row r="7" spans="1:4" ht="15">
      <c r="A7" s="3" t="s">
        <v>11</v>
      </c>
      <c r="B7" s="5">
        <v>5.5E-2</v>
      </c>
      <c r="C7" t="s">
        <v>10</v>
      </c>
      <c r="D7" t="s">
        <v>8</v>
      </c>
    </row>
    <row r="8" spans="1:4" ht="15">
      <c r="A8" s="3" t="s">
        <v>12</v>
      </c>
      <c r="B8" s="5">
        <v>3.5000000000000003E-2</v>
      </c>
      <c r="C8" t="s">
        <v>10</v>
      </c>
      <c r="D8" t="s">
        <v>8</v>
      </c>
    </row>
    <row r="9" spans="1:4" ht="15">
      <c r="A9" s="3" t="s">
        <v>13</v>
      </c>
      <c r="B9" s="4">
        <v>0.04</v>
      </c>
      <c r="C9" t="s">
        <v>10</v>
      </c>
      <c r="D9" t="s">
        <v>8</v>
      </c>
    </row>
    <row r="10" spans="1:4" ht="15">
      <c r="A10" s="3" t="s">
        <v>14</v>
      </c>
      <c r="B10" s="4">
        <v>60</v>
      </c>
      <c r="C10" t="s">
        <v>15</v>
      </c>
      <c r="D10" t="s">
        <v>16</v>
      </c>
    </row>
    <row r="11" spans="1:4" ht="15">
      <c r="A11" s="3" t="s">
        <v>17</v>
      </c>
      <c r="B11" s="4">
        <v>1.6666666666666666E-2</v>
      </c>
      <c r="C11" t="s">
        <v>18</v>
      </c>
      <c r="D11" t="s">
        <v>19</v>
      </c>
    </row>
    <row r="12" spans="1:4" ht="15">
      <c r="A12" s="3" t="s">
        <v>20</v>
      </c>
      <c r="B12" s="4">
        <v>40</v>
      </c>
      <c r="C12" t="s">
        <v>15</v>
      </c>
      <c r="D12" t="s">
        <v>16</v>
      </c>
    </row>
    <row r="13" spans="1:4" ht="15">
      <c r="A13" s="3" t="s">
        <v>21</v>
      </c>
      <c r="B13" s="5">
        <v>0.75</v>
      </c>
      <c r="C13" t="s">
        <v>22</v>
      </c>
      <c r="D13" t="s">
        <v>23</v>
      </c>
    </row>
    <row r="14" spans="1:4" ht="15">
      <c r="A14" s="3" t="s">
        <v>24</v>
      </c>
      <c r="B14" s="5">
        <v>0.5</v>
      </c>
      <c r="C14" t="s">
        <v>25</v>
      </c>
      <c r="D14" t="s">
        <v>23</v>
      </c>
    </row>
    <row r="15" spans="1:4" ht="15">
      <c r="A15" s="3" t="s">
        <v>26</v>
      </c>
      <c r="B15" s="6">
        <v>0.85</v>
      </c>
      <c r="C15" t="s">
        <v>27</v>
      </c>
      <c r="D15" t="s">
        <v>23</v>
      </c>
    </row>
    <row r="16" spans="1:4" ht="15">
      <c r="A16" s="3" t="s">
        <v>28</v>
      </c>
      <c r="B16" s="4">
        <v>1</v>
      </c>
      <c r="C16" t="s">
        <v>29</v>
      </c>
      <c r="D16" t="s">
        <v>30</v>
      </c>
    </row>
    <row r="17" spans="1:4" ht="15">
      <c r="A17" s="3" t="s">
        <v>31</v>
      </c>
      <c r="B17" s="7">
        <v>6392400000</v>
      </c>
      <c r="C17" t="s">
        <v>32</v>
      </c>
      <c r="D17" t="s">
        <v>33</v>
      </c>
    </row>
    <row r="18" spans="1:4" ht="15">
      <c r="A18" s="3" t="s">
        <v>34</v>
      </c>
      <c r="B18" s="4" t="s">
        <v>35</v>
      </c>
      <c r="C18" t="s">
        <v>36</v>
      </c>
      <c r="D18" t="s">
        <v>37</v>
      </c>
    </row>
    <row r="19" spans="1:4" ht="15">
      <c r="A19" s="3"/>
      <c r="B19" s="4"/>
    </row>
    <row r="21" spans="1:4">
      <c r="A21" s="25" t="s">
        <v>1083</v>
      </c>
      <c r="B21" s="25"/>
      <c r="C21" s="25"/>
      <c r="D21" s="25"/>
    </row>
    <row r="22" spans="1:4">
      <c r="A22" s="25"/>
      <c r="B22" s="25"/>
      <c r="C22" s="25"/>
      <c r="D22" s="25"/>
    </row>
    <row r="23" spans="1:4">
      <c r="A23" s="25"/>
      <c r="B23" s="25"/>
      <c r="C23" s="25"/>
      <c r="D23" s="25"/>
    </row>
  </sheetData>
  <mergeCells count="3">
    <mergeCell ref="A1:D1"/>
    <mergeCell ref="A2:D2"/>
    <mergeCell ref="A21:D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workbookViewId="0"/>
  </sheetViews>
  <sheetFormatPr baseColWidth="10" defaultColWidth="8.83203125" defaultRowHeight="14"/>
  <cols>
    <col min="1" max="2" width="14" customWidth="1"/>
    <col min="3" max="3" width="9" customWidth="1"/>
    <col min="4" max="4" width="14" customWidth="1"/>
    <col min="5" max="6" width="24" customWidth="1"/>
  </cols>
  <sheetData>
    <row r="1" spans="1:6" ht="1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s="4" t="s">
        <v>44</v>
      </c>
      <c r="B2" s="4" t="s">
        <v>45</v>
      </c>
      <c r="C2" s="4">
        <v>53</v>
      </c>
      <c r="D2" s="8">
        <v>2.7</v>
      </c>
      <c r="E2" s="7">
        <v>1852000</v>
      </c>
      <c r="F2" s="7">
        <v>0</v>
      </c>
    </row>
    <row r="3" spans="1:6">
      <c r="A3" s="4" t="s">
        <v>46</v>
      </c>
      <c r="B3" s="4" t="s">
        <v>47</v>
      </c>
      <c r="C3" s="4">
        <v>75</v>
      </c>
      <c r="D3" s="8">
        <v>20.3</v>
      </c>
      <c r="E3" s="7">
        <v>0</v>
      </c>
      <c r="F3" s="7">
        <v>434000</v>
      </c>
    </row>
    <row r="4" spans="1:6">
      <c r="A4" s="4" t="s">
        <v>48</v>
      </c>
      <c r="B4" s="4" t="s">
        <v>47</v>
      </c>
      <c r="C4" s="4">
        <v>67</v>
      </c>
      <c r="D4" s="8">
        <v>25.7</v>
      </c>
      <c r="E4" s="7">
        <v>0</v>
      </c>
      <c r="F4" s="7">
        <v>275000</v>
      </c>
    </row>
    <row r="5" spans="1:6">
      <c r="A5" s="4" t="s">
        <v>49</v>
      </c>
      <c r="B5" s="4" t="s">
        <v>45</v>
      </c>
      <c r="C5" s="4">
        <v>24</v>
      </c>
      <c r="D5" s="8">
        <v>1.1000000000000001</v>
      </c>
      <c r="E5" s="7">
        <v>344000</v>
      </c>
      <c r="F5" s="7">
        <v>0</v>
      </c>
    </row>
    <row r="6" spans="1:6">
      <c r="A6" s="4" t="s">
        <v>50</v>
      </c>
      <c r="B6" s="4" t="s">
        <v>47</v>
      </c>
      <c r="C6" s="4">
        <v>72</v>
      </c>
      <c r="D6" s="8">
        <v>26</v>
      </c>
      <c r="E6" s="7">
        <v>0</v>
      </c>
      <c r="F6" s="7">
        <v>297000</v>
      </c>
    </row>
    <row r="7" spans="1:6">
      <c r="A7" s="4" t="s">
        <v>51</v>
      </c>
      <c r="B7" s="4" t="s">
        <v>47</v>
      </c>
      <c r="C7" s="4">
        <v>66</v>
      </c>
      <c r="D7" s="8">
        <v>23</v>
      </c>
      <c r="E7" s="7">
        <v>0</v>
      </c>
      <c r="F7" s="7">
        <v>389000</v>
      </c>
    </row>
    <row r="8" spans="1:6">
      <c r="A8" s="4" t="s">
        <v>52</v>
      </c>
      <c r="B8" s="4" t="s">
        <v>45</v>
      </c>
      <c r="C8" s="4">
        <v>42</v>
      </c>
      <c r="D8" s="8">
        <v>1.8</v>
      </c>
      <c r="E8" s="7">
        <v>1172000</v>
      </c>
      <c r="F8" s="7">
        <v>0</v>
      </c>
    </row>
    <row r="9" spans="1:6">
      <c r="A9" s="4" t="s">
        <v>53</v>
      </c>
      <c r="B9" s="4" t="s">
        <v>47</v>
      </c>
      <c r="C9" s="4">
        <v>79</v>
      </c>
      <c r="D9" s="8">
        <v>20.5</v>
      </c>
      <c r="E9" s="7">
        <v>0</v>
      </c>
      <c r="F9" s="7">
        <v>690000</v>
      </c>
    </row>
    <row r="10" spans="1:6">
      <c r="A10" s="4" t="s">
        <v>54</v>
      </c>
      <c r="B10" s="4" t="s">
        <v>45</v>
      </c>
      <c r="C10" s="4">
        <v>50</v>
      </c>
      <c r="D10" s="8">
        <v>12.9</v>
      </c>
      <c r="E10" s="7">
        <v>1059000</v>
      </c>
      <c r="F10" s="7">
        <v>0</v>
      </c>
    </row>
    <row r="11" spans="1:6">
      <c r="A11" s="4" t="s">
        <v>55</v>
      </c>
      <c r="B11" s="4" t="s">
        <v>45</v>
      </c>
      <c r="C11" s="4">
        <v>37</v>
      </c>
      <c r="D11" s="8">
        <v>2.2999999999999998</v>
      </c>
      <c r="E11" s="7">
        <v>740000</v>
      </c>
      <c r="F11" s="7">
        <v>0</v>
      </c>
    </row>
    <row r="12" spans="1:6">
      <c r="A12" s="4" t="s">
        <v>56</v>
      </c>
      <c r="B12" s="4" t="s">
        <v>57</v>
      </c>
      <c r="C12" s="4">
        <v>35</v>
      </c>
      <c r="D12" s="8">
        <v>3.2</v>
      </c>
      <c r="E12" s="7">
        <v>595000</v>
      </c>
      <c r="F12" s="7">
        <v>0</v>
      </c>
    </row>
    <row r="13" spans="1:6">
      <c r="A13" s="4" t="s">
        <v>58</v>
      </c>
      <c r="B13" s="4" t="s">
        <v>47</v>
      </c>
      <c r="C13" s="4">
        <v>76</v>
      </c>
      <c r="D13" s="8">
        <v>38.700000000000003</v>
      </c>
      <c r="E13" s="7">
        <v>0</v>
      </c>
      <c r="F13" s="7">
        <v>423000</v>
      </c>
    </row>
    <row r="14" spans="1:6">
      <c r="A14" s="4" t="s">
        <v>59</v>
      </c>
      <c r="B14" s="4" t="s">
        <v>47</v>
      </c>
      <c r="C14" s="4">
        <v>90</v>
      </c>
      <c r="D14" s="8">
        <v>12.5</v>
      </c>
      <c r="E14" s="7">
        <v>0</v>
      </c>
      <c r="F14" s="7">
        <v>681000</v>
      </c>
    </row>
    <row r="15" spans="1:6">
      <c r="A15" s="4" t="s">
        <v>60</v>
      </c>
      <c r="B15" s="4" t="s">
        <v>57</v>
      </c>
      <c r="C15" s="4">
        <v>33</v>
      </c>
      <c r="D15" s="8">
        <v>7.3</v>
      </c>
      <c r="E15" s="7">
        <v>461000</v>
      </c>
      <c r="F15" s="7">
        <v>0</v>
      </c>
    </row>
    <row r="16" spans="1:6">
      <c r="A16" s="4" t="s">
        <v>61</v>
      </c>
      <c r="B16" s="4" t="s">
        <v>47</v>
      </c>
      <c r="C16" s="4">
        <v>66</v>
      </c>
      <c r="D16" s="8">
        <v>39.299999999999997</v>
      </c>
      <c r="E16" s="7">
        <v>0</v>
      </c>
      <c r="F16" s="7">
        <v>388000</v>
      </c>
    </row>
    <row r="17" spans="1:6">
      <c r="A17" s="4" t="s">
        <v>62</v>
      </c>
      <c r="B17" s="4" t="s">
        <v>57</v>
      </c>
      <c r="C17" s="4">
        <v>46</v>
      </c>
      <c r="D17" s="8">
        <v>5.5</v>
      </c>
      <c r="E17" s="7">
        <v>810000</v>
      </c>
      <c r="F17" s="7">
        <v>0</v>
      </c>
    </row>
    <row r="18" spans="1:6">
      <c r="A18" s="4" t="s">
        <v>63</v>
      </c>
      <c r="B18" s="4" t="s">
        <v>45</v>
      </c>
      <c r="C18" s="4">
        <v>51</v>
      </c>
      <c r="D18" s="8">
        <v>20</v>
      </c>
      <c r="E18" s="7">
        <v>1373000</v>
      </c>
      <c r="F18" s="7">
        <v>0</v>
      </c>
    </row>
    <row r="19" spans="1:6">
      <c r="A19" s="4" t="s">
        <v>64</v>
      </c>
      <c r="B19" s="4" t="s">
        <v>47</v>
      </c>
      <c r="C19" s="4">
        <v>83</v>
      </c>
      <c r="D19" s="8">
        <v>18.399999999999999</v>
      </c>
      <c r="E19" s="7">
        <v>0</v>
      </c>
      <c r="F19" s="7">
        <v>710000</v>
      </c>
    </row>
    <row r="20" spans="1:6">
      <c r="A20" s="4" t="s">
        <v>65</v>
      </c>
      <c r="B20" s="4" t="s">
        <v>57</v>
      </c>
      <c r="C20" s="4">
        <v>59</v>
      </c>
      <c r="D20" s="8">
        <v>22.4</v>
      </c>
      <c r="E20" s="7">
        <v>1057000</v>
      </c>
      <c r="F20" s="7">
        <v>0</v>
      </c>
    </row>
    <row r="21" spans="1:6">
      <c r="A21" s="4" t="s">
        <v>66</v>
      </c>
      <c r="B21" s="4" t="s">
        <v>47</v>
      </c>
      <c r="C21" s="4">
        <v>63</v>
      </c>
      <c r="D21" s="8">
        <v>13.7</v>
      </c>
      <c r="E21" s="7">
        <v>0</v>
      </c>
      <c r="F21" s="7">
        <v>186000</v>
      </c>
    </row>
    <row r="22" spans="1:6">
      <c r="A22" s="4" t="s">
        <v>67</v>
      </c>
      <c r="B22" s="4" t="s">
        <v>45</v>
      </c>
      <c r="C22" s="4">
        <v>33</v>
      </c>
      <c r="D22" s="8">
        <v>6</v>
      </c>
      <c r="E22" s="7">
        <v>727000</v>
      </c>
      <c r="F22" s="7">
        <v>0</v>
      </c>
    </row>
    <row r="23" spans="1:6">
      <c r="A23" s="4" t="s">
        <v>68</v>
      </c>
      <c r="B23" s="4" t="s">
        <v>45</v>
      </c>
      <c r="C23" s="4">
        <v>31</v>
      </c>
      <c r="D23" s="8">
        <v>6.7</v>
      </c>
      <c r="E23" s="7">
        <v>707000</v>
      </c>
      <c r="F23" s="7">
        <v>0</v>
      </c>
    </row>
    <row r="24" spans="1:6">
      <c r="A24" s="4" t="s">
        <v>69</v>
      </c>
      <c r="B24" s="4" t="s">
        <v>47</v>
      </c>
      <c r="C24" s="4">
        <v>62</v>
      </c>
      <c r="D24" s="8">
        <v>32.6</v>
      </c>
      <c r="E24" s="7">
        <v>0</v>
      </c>
      <c r="F24" s="7">
        <v>272000</v>
      </c>
    </row>
    <row r="25" spans="1:6">
      <c r="A25" s="4" t="s">
        <v>70</v>
      </c>
      <c r="B25" s="4" t="s">
        <v>45</v>
      </c>
      <c r="C25" s="4">
        <v>34</v>
      </c>
      <c r="D25" s="8">
        <v>11.6</v>
      </c>
      <c r="E25" s="7">
        <v>593000</v>
      </c>
      <c r="F25" s="7">
        <v>0</v>
      </c>
    </row>
    <row r="26" spans="1:6">
      <c r="A26" s="4" t="s">
        <v>71</v>
      </c>
      <c r="B26" s="4" t="s">
        <v>47</v>
      </c>
      <c r="C26" s="4">
        <v>65</v>
      </c>
      <c r="D26" s="8">
        <v>13.1</v>
      </c>
      <c r="E26" s="7">
        <v>0</v>
      </c>
      <c r="F26" s="7">
        <v>307000</v>
      </c>
    </row>
    <row r="27" spans="1:6">
      <c r="A27" s="4" t="s">
        <v>72</v>
      </c>
      <c r="B27" s="4" t="s">
        <v>45</v>
      </c>
      <c r="C27" s="4">
        <v>43</v>
      </c>
      <c r="D27" s="8">
        <v>17.5</v>
      </c>
      <c r="E27" s="7">
        <v>780000</v>
      </c>
      <c r="F27" s="7">
        <v>0</v>
      </c>
    </row>
    <row r="28" spans="1:6">
      <c r="A28" s="4" t="s">
        <v>73</v>
      </c>
      <c r="B28" s="4" t="s">
        <v>45</v>
      </c>
      <c r="C28" s="4">
        <v>23</v>
      </c>
      <c r="D28" s="8">
        <v>1</v>
      </c>
      <c r="E28" s="7">
        <v>538000</v>
      </c>
      <c r="F28" s="7">
        <v>0</v>
      </c>
    </row>
    <row r="29" spans="1:6">
      <c r="A29" s="4" t="s">
        <v>74</v>
      </c>
      <c r="B29" s="4" t="s">
        <v>45</v>
      </c>
      <c r="C29" s="4">
        <v>32</v>
      </c>
      <c r="D29" s="8">
        <v>5.2</v>
      </c>
      <c r="E29" s="7">
        <v>658000</v>
      </c>
      <c r="F29" s="7">
        <v>0</v>
      </c>
    </row>
    <row r="30" spans="1:6">
      <c r="A30" s="4" t="s">
        <v>75</v>
      </c>
      <c r="B30" s="4" t="s">
        <v>47</v>
      </c>
      <c r="C30" s="4">
        <v>86</v>
      </c>
      <c r="D30" s="8">
        <v>15.8</v>
      </c>
      <c r="E30" s="7">
        <v>0</v>
      </c>
      <c r="F30" s="7">
        <v>831000</v>
      </c>
    </row>
    <row r="31" spans="1:6">
      <c r="A31" s="4" t="s">
        <v>76</v>
      </c>
      <c r="B31" s="4" t="s">
        <v>45</v>
      </c>
      <c r="C31" s="4">
        <v>35</v>
      </c>
      <c r="D31" s="8">
        <v>8.1</v>
      </c>
      <c r="E31" s="7">
        <v>537000</v>
      </c>
      <c r="F31" s="7">
        <v>0</v>
      </c>
    </row>
    <row r="32" spans="1:6">
      <c r="A32" s="4" t="s">
        <v>77</v>
      </c>
      <c r="B32" s="4" t="s">
        <v>45</v>
      </c>
      <c r="C32" s="4">
        <v>55</v>
      </c>
      <c r="D32" s="8">
        <v>5.5</v>
      </c>
      <c r="E32" s="7">
        <v>2009000</v>
      </c>
      <c r="F32" s="7">
        <v>0</v>
      </c>
    </row>
    <row r="33" spans="1:6">
      <c r="A33" s="4" t="s">
        <v>78</v>
      </c>
      <c r="B33" s="4" t="s">
        <v>47</v>
      </c>
      <c r="C33" s="4">
        <v>75</v>
      </c>
      <c r="D33" s="8">
        <v>31.6</v>
      </c>
      <c r="E33" s="7">
        <v>0</v>
      </c>
      <c r="F33" s="7">
        <v>300000</v>
      </c>
    </row>
    <row r="34" spans="1:6">
      <c r="A34" s="4" t="s">
        <v>79</v>
      </c>
      <c r="B34" s="4" t="s">
        <v>45</v>
      </c>
      <c r="C34" s="4">
        <v>39</v>
      </c>
      <c r="D34" s="8">
        <v>10.7</v>
      </c>
      <c r="E34" s="7">
        <v>722000</v>
      </c>
      <c r="F34" s="7">
        <v>0</v>
      </c>
    </row>
    <row r="35" spans="1:6">
      <c r="A35" s="4" t="s">
        <v>80</v>
      </c>
      <c r="B35" s="4" t="s">
        <v>45</v>
      </c>
      <c r="C35" s="4">
        <v>35</v>
      </c>
      <c r="D35" s="8">
        <v>6.8</v>
      </c>
      <c r="E35" s="7">
        <v>686000</v>
      </c>
      <c r="F35" s="7">
        <v>0</v>
      </c>
    </row>
    <row r="36" spans="1:6">
      <c r="A36" s="4" t="s">
        <v>81</v>
      </c>
      <c r="B36" s="4" t="s">
        <v>45</v>
      </c>
      <c r="C36" s="4">
        <v>54</v>
      </c>
      <c r="D36" s="8">
        <v>7.5</v>
      </c>
      <c r="E36" s="7">
        <v>2041000</v>
      </c>
      <c r="F36" s="7">
        <v>0</v>
      </c>
    </row>
    <row r="37" spans="1:6">
      <c r="A37" s="4" t="s">
        <v>82</v>
      </c>
      <c r="B37" s="4" t="s">
        <v>45</v>
      </c>
      <c r="C37" s="4">
        <v>22</v>
      </c>
      <c r="D37" s="8">
        <v>1</v>
      </c>
      <c r="E37" s="7">
        <v>518000</v>
      </c>
      <c r="F37" s="7">
        <v>0</v>
      </c>
    </row>
    <row r="38" spans="1:6">
      <c r="A38" s="4" t="s">
        <v>83</v>
      </c>
      <c r="B38" s="4" t="s">
        <v>45</v>
      </c>
      <c r="C38" s="4">
        <v>47</v>
      </c>
      <c r="D38" s="8">
        <v>23</v>
      </c>
      <c r="E38" s="7">
        <v>1524000</v>
      </c>
      <c r="F38" s="7">
        <v>0</v>
      </c>
    </row>
    <row r="39" spans="1:6">
      <c r="A39" s="4" t="s">
        <v>84</v>
      </c>
      <c r="B39" s="4" t="s">
        <v>45</v>
      </c>
      <c r="C39" s="4">
        <v>38</v>
      </c>
      <c r="D39" s="8">
        <v>12.2</v>
      </c>
      <c r="E39" s="7">
        <v>812000</v>
      </c>
      <c r="F39" s="7">
        <v>0</v>
      </c>
    </row>
    <row r="40" spans="1:6">
      <c r="A40" s="4" t="s">
        <v>85</v>
      </c>
      <c r="B40" s="4" t="s">
        <v>45</v>
      </c>
      <c r="C40" s="4">
        <v>56</v>
      </c>
      <c r="D40" s="8">
        <v>9.1999999999999993</v>
      </c>
      <c r="E40" s="7">
        <v>1764000</v>
      </c>
      <c r="F40" s="7">
        <v>0</v>
      </c>
    </row>
    <row r="41" spans="1:6">
      <c r="A41" s="4" t="s">
        <v>86</v>
      </c>
      <c r="B41" s="4" t="s">
        <v>45</v>
      </c>
      <c r="C41" s="4">
        <v>40</v>
      </c>
      <c r="D41" s="8">
        <v>1.9</v>
      </c>
      <c r="E41" s="7">
        <v>654000</v>
      </c>
      <c r="F41" s="7">
        <v>0</v>
      </c>
    </row>
    <row r="42" spans="1:6">
      <c r="A42" s="4" t="s">
        <v>87</v>
      </c>
      <c r="B42" s="4" t="s">
        <v>47</v>
      </c>
      <c r="C42" s="4">
        <v>71</v>
      </c>
      <c r="D42" s="8">
        <v>18.3</v>
      </c>
      <c r="E42" s="7">
        <v>0</v>
      </c>
      <c r="F42" s="7">
        <v>380000</v>
      </c>
    </row>
    <row r="43" spans="1:6">
      <c r="A43" s="4" t="s">
        <v>88</v>
      </c>
      <c r="B43" s="4" t="s">
        <v>45</v>
      </c>
      <c r="C43" s="4">
        <v>52</v>
      </c>
      <c r="D43" s="8">
        <v>24.6</v>
      </c>
      <c r="E43" s="7">
        <v>1343000</v>
      </c>
      <c r="F43" s="7">
        <v>0</v>
      </c>
    </row>
    <row r="44" spans="1:6">
      <c r="A44" s="4" t="s">
        <v>89</v>
      </c>
      <c r="B44" s="4" t="s">
        <v>45</v>
      </c>
      <c r="C44" s="4">
        <v>39</v>
      </c>
      <c r="D44" s="8">
        <v>7.9</v>
      </c>
      <c r="E44" s="7">
        <v>715000</v>
      </c>
      <c r="F44" s="7">
        <v>0</v>
      </c>
    </row>
    <row r="45" spans="1:6">
      <c r="A45" s="4" t="s">
        <v>90</v>
      </c>
      <c r="B45" s="4" t="s">
        <v>57</v>
      </c>
      <c r="C45" s="4">
        <v>45</v>
      </c>
      <c r="D45" s="8">
        <v>12.4</v>
      </c>
      <c r="E45" s="7">
        <v>786000</v>
      </c>
      <c r="F45" s="7">
        <v>0</v>
      </c>
    </row>
    <row r="46" spans="1:6">
      <c r="A46" s="4" t="s">
        <v>91</v>
      </c>
      <c r="B46" s="4" t="s">
        <v>45</v>
      </c>
      <c r="C46" s="4">
        <v>48</v>
      </c>
      <c r="D46" s="8">
        <v>5.2</v>
      </c>
      <c r="E46" s="7">
        <v>1345000</v>
      </c>
      <c r="F46" s="7">
        <v>0</v>
      </c>
    </row>
    <row r="47" spans="1:6">
      <c r="A47" s="4" t="s">
        <v>92</v>
      </c>
      <c r="B47" s="4" t="s">
        <v>47</v>
      </c>
      <c r="C47" s="4">
        <v>88</v>
      </c>
      <c r="D47" s="8">
        <v>36.299999999999997</v>
      </c>
      <c r="E47" s="7">
        <v>0</v>
      </c>
      <c r="F47" s="7">
        <v>732000</v>
      </c>
    </row>
    <row r="48" spans="1:6">
      <c r="A48" s="4" t="s">
        <v>93</v>
      </c>
      <c r="B48" s="4" t="s">
        <v>47</v>
      </c>
      <c r="C48" s="4">
        <v>62</v>
      </c>
      <c r="D48" s="8">
        <v>35.5</v>
      </c>
      <c r="E48" s="7">
        <v>0</v>
      </c>
      <c r="F48" s="7">
        <v>285000</v>
      </c>
    </row>
    <row r="49" spans="1:6">
      <c r="A49" s="4" t="s">
        <v>94</v>
      </c>
      <c r="B49" s="4" t="s">
        <v>47</v>
      </c>
      <c r="C49" s="4">
        <v>76</v>
      </c>
      <c r="D49" s="8">
        <v>16.8</v>
      </c>
      <c r="E49" s="7">
        <v>0</v>
      </c>
      <c r="F49" s="7">
        <v>436000</v>
      </c>
    </row>
    <row r="50" spans="1:6">
      <c r="A50" s="4" t="s">
        <v>95</v>
      </c>
      <c r="B50" s="4" t="s">
        <v>45</v>
      </c>
      <c r="C50" s="4">
        <v>29</v>
      </c>
      <c r="D50" s="8">
        <v>7.9</v>
      </c>
      <c r="E50" s="7">
        <v>492000</v>
      </c>
      <c r="F50" s="7">
        <v>0</v>
      </c>
    </row>
    <row r="51" spans="1:6">
      <c r="A51" s="4" t="s">
        <v>96</v>
      </c>
      <c r="B51" s="4" t="s">
        <v>47</v>
      </c>
      <c r="C51" s="4">
        <v>79</v>
      </c>
      <c r="D51" s="8">
        <v>35.1</v>
      </c>
      <c r="E51" s="7">
        <v>0</v>
      </c>
      <c r="F51" s="7">
        <v>635000</v>
      </c>
    </row>
    <row r="52" spans="1:6">
      <c r="A52" s="4" t="s">
        <v>97</v>
      </c>
      <c r="B52" s="4" t="s">
        <v>45</v>
      </c>
      <c r="C52" s="4">
        <v>53</v>
      </c>
      <c r="D52" s="8">
        <v>10.1</v>
      </c>
      <c r="E52" s="7">
        <v>1512000</v>
      </c>
      <c r="F52" s="7">
        <v>0</v>
      </c>
    </row>
    <row r="53" spans="1:6">
      <c r="A53" s="4" t="s">
        <v>98</v>
      </c>
      <c r="B53" s="4" t="s">
        <v>47</v>
      </c>
      <c r="C53" s="4">
        <v>87</v>
      </c>
      <c r="D53" s="8">
        <v>17.5</v>
      </c>
      <c r="E53" s="7">
        <v>0</v>
      </c>
      <c r="F53" s="7">
        <v>803000</v>
      </c>
    </row>
    <row r="54" spans="1:6">
      <c r="A54" s="4" t="s">
        <v>99</v>
      </c>
      <c r="B54" s="4" t="s">
        <v>47</v>
      </c>
      <c r="C54" s="4">
        <v>84</v>
      </c>
      <c r="D54" s="8">
        <v>37.200000000000003</v>
      </c>
      <c r="E54" s="7">
        <v>0</v>
      </c>
      <c r="F54" s="7">
        <v>780000</v>
      </c>
    </row>
    <row r="55" spans="1:6">
      <c r="A55" s="4" t="s">
        <v>100</v>
      </c>
      <c r="B55" s="4" t="s">
        <v>45</v>
      </c>
      <c r="C55" s="4">
        <v>53</v>
      </c>
      <c r="D55" s="8">
        <v>18.399999999999999</v>
      </c>
      <c r="E55" s="7">
        <v>1182000</v>
      </c>
      <c r="F55" s="7">
        <v>0</v>
      </c>
    </row>
    <row r="56" spans="1:6">
      <c r="A56" s="4" t="s">
        <v>101</v>
      </c>
      <c r="B56" s="4" t="s">
        <v>47</v>
      </c>
      <c r="C56" s="4">
        <v>78</v>
      </c>
      <c r="D56" s="8">
        <v>18.2</v>
      </c>
      <c r="E56" s="7">
        <v>0</v>
      </c>
      <c r="F56" s="7">
        <v>378000</v>
      </c>
    </row>
    <row r="57" spans="1:6">
      <c r="A57" s="4" t="s">
        <v>102</v>
      </c>
      <c r="B57" s="4" t="s">
        <v>47</v>
      </c>
      <c r="C57" s="4">
        <v>78</v>
      </c>
      <c r="D57" s="8">
        <v>36.200000000000003</v>
      </c>
      <c r="E57" s="7">
        <v>0</v>
      </c>
      <c r="F57" s="7">
        <v>287000</v>
      </c>
    </row>
    <row r="58" spans="1:6">
      <c r="A58" s="4" t="s">
        <v>103</v>
      </c>
      <c r="B58" s="4" t="s">
        <v>45</v>
      </c>
      <c r="C58" s="4">
        <v>36</v>
      </c>
      <c r="D58" s="8">
        <v>2.8</v>
      </c>
      <c r="E58" s="7">
        <v>888000</v>
      </c>
      <c r="F58" s="7">
        <v>0</v>
      </c>
    </row>
    <row r="59" spans="1:6">
      <c r="A59" s="4" t="s">
        <v>104</v>
      </c>
      <c r="B59" s="4" t="s">
        <v>47</v>
      </c>
      <c r="C59" s="4">
        <v>88</v>
      </c>
      <c r="D59" s="8">
        <v>39.700000000000003</v>
      </c>
      <c r="E59" s="7">
        <v>0</v>
      </c>
      <c r="F59" s="7">
        <v>705000</v>
      </c>
    </row>
    <row r="60" spans="1:6">
      <c r="A60" s="4" t="s">
        <v>105</v>
      </c>
      <c r="B60" s="4" t="s">
        <v>45</v>
      </c>
      <c r="C60" s="4">
        <v>38</v>
      </c>
      <c r="D60" s="8">
        <v>11.9</v>
      </c>
      <c r="E60" s="7">
        <v>1049000</v>
      </c>
      <c r="F60" s="7">
        <v>0</v>
      </c>
    </row>
    <row r="61" spans="1:6">
      <c r="A61" s="4" t="s">
        <v>106</v>
      </c>
      <c r="B61" s="4" t="s">
        <v>45</v>
      </c>
      <c r="C61" s="4">
        <v>55</v>
      </c>
      <c r="D61" s="8">
        <v>6.1</v>
      </c>
      <c r="E61" s="7">
        <v>1444000</v>
      </c>
      <c r="F61" s="7">
        <v>0</v>
      </c>
    </row>
    <row r="62" spans="1:6">
      <c r="A62" s="4" t="s">
        <v>107</v>
      </c>
      <c r="B62" s="4" t="s">
        <v>45</v>
      </c>
      <c r="C62" s="4">
        <v>22</v>
      </c>
      <c r="D62" s="8">
        <v>1</v>
      </c>
      <c r="E62" s="7">
        <v>441000</v>
      </c>
      <c r="F62" s="7">
        <v>0</v>
      </c>
    </row>
    <row r="63" spans="1:6">
      <c r="A63" s="4" t="s">
        <v>108</v>
      </c>
      <c r="B63" s="4" t="s">
        <v>45</v>
      </c>
      <c r="C63" s="4">
        <v>31</v>
      </c>
      <c r="D63" s="8">
        <v>6.6</v>
      </c>
      <c r="E63" s="7">
        <v>510000</v>
      </c>
      <c r="F63" s="7">
        <v>0</v>
      </c>
    </row>
    <row r="64" spans="1:6">
      <c r="A64" s="4" t="s">
        <v>109</v>
      </c>
      <c r="B64" s="4" t="s">
        <v>45</v>
      </c>
      <c r="C64" s="4">
        <v>27</v>
      </c>
      <c r="D64" s="8">
        <v>5.8</v>
      </c>
      <c r="E64" s="7">
        <v>642000</v>
      </c>
      <c r="F64" s="7">
        <v>0</v>
      </c>
    </row>
    <row r="65" spans="1:6">
      <c r="A65" s="4" t="s">
        <v>110</v>
      </c>
      <c r="B65" s="4" t="s">
        <v>45</v>
      </c>
      <c r="C65" s="4">
        <v>44</v>
      </c>
      <c r="D65" s="8">
        <v>21.3</v>
      </c>
      <c r="E65" s="7">
        <v>1314000</v>
      </c>
      <c r="F65" s="7">
        <v>0</v>
      </c>
    </row>
    <row r="66" spans="1:6">
      <c r="A66" s="4" t="s">
        <v>111</v>
      </c>
      <c r="B66" s="4" t="s">
        <v>45</v>
      </c>
      <c r="C66" s="4">
        <v>22</v>
      </c>
      <c r="D66" s="8">
        <v>1</v>
      </c>
      <c r="E66" s="7">
        <v>490000</v>
      </c>
      <c r="F66" s="7">
        <v>0</v>
      </c>
    </row>
    <row r="67" spans="1:6">
      <c r="A67" s="4" t="s">
        <v>112</v>
      </c>
      <c r="B67" s="4" t="s">
        <v>45</v>
      </c>
      <c r="C67" s="4">
        <v>42</v>
      </c>
      <c r="D67" s="8">
        <v>13.8</v>
      </c>
      <c r="E67" s="7">
        <v>1212000</v>
      </c>
      <c r="F67" s="7">
        <v>0</v>
      </c>
    </row>
    <row r="68" spans="1:6">
      <c r="A68" s="4" t="s">
        <v>113</v>
      </c>
      <c r="B68" s="4" t="s">
        <v>45</v>
      </c>
      <c r="C68" s="4">
        <v>55</v>
      </c>
      <c r="D68" s="8">
        <v>17.3</v>
      </c>
      <c r="E68" s="7">
        <v>2121000</v>
      </c>
      <c r="F68" s="7">
        <v>0</v>
      </c>
    </row>
    <row r="69" spans="1:6">
      <c r="A69" s="4" t="s">
        <v>114</v>
      </c>
      <c r="B69" s="4" t="s">
        <v>45</v>
      </c>
      <c r="C69" s="4">
        <v>52</v>
      </c>
      <c r="D69" s="8">
        <v>3.8</v>
      </c>
      <c r="E69" s="7">
        <v>1459000</v>
      </c>
      <c r="F69" s="7">
        <v>0</v>
      </c>
    </row>
    <row r="70" spans="1:6">
      <c r="A70" s="4" t="s">
        <v>115</v>
      </c>
      <c r="B70" s="4" t="s">
        <v>45</v>
      </c>
      <c r="C70" s="4">
        <v>29</v>
      </c>
      <c r="D70" s="8">
        <v>1.3</v>
      </c>
      <c r="E70" s="7">
        <v>640000</v>
      </c>
      <c r="F70" s="7">
        <v>0</v>
      </c>
    </row>
    <row r="71" spans="1:6">
      <c r="A71" s="4" t="s">
        <v>116</v>
      </c>
      <c r="B71" s="4" t="s">
        <v>45</v>
      </c>
      <c r="C71" s="4">
        <v>27</v>
      </c>
      <c r="D71" s="8">
        <v>1.5</v>
      </c>
      <c r="E71" s="7">
        <v>626000</v>
      </c>
      <c r="F71" s="7">
        <v>0</v>
      </c>
    </row>
    <row r="72" spans="1:6">
      <c r="A72" s="4" t="s">
        <v>117</v>
      </c>
      <c r="B72" s="4" t="s">
        <v>45</v>
      </c>
      <c r="C72" s="4">
        <v>45</v>
      </c>
      <c r="D72" s="8">
        <v>20.3</v>
      </c>
      <c r="E72" s="7">
        <v>1366000</v>
      </c>
      <c r="F72" s="7">
        <v>0</v>
      </c>
    </row>
    <row r="73" spans="1:6">
      <c r="A73" s="4" t="s">
        <v>118</v>
      </c>
      <c r="B73" s="4" t="s">
        <v>47</v>
      </c>
      <c r="C73" s="4">
        <v>78</v>
      </c>
      <c r="D73" s="8">
        <v>22.7</v>
      </c>
      <c r="E73" s="7">
        <v>0</v>
      </c>
      <c r="F73" s="7">
        <v>328000</v>
      </c>
    </row>
    <row r="74" spans="1:6">
      <c r="A74" s="4" t="s">
        <v>119</v>
      </c>
      <c r="B74" s="4" t="s">
        <v>45</v>
      </c>
      <c r="C74" s="4">
        <v>39</v>
      </c>
      <c r="D74" s="8">
        <v>16.8</v>
      </c>
      <c r="E74" s="7">
        <v>942000</v>
      </c>
      <c r="F74" s="7">
        <v>0</v>
      </c>
    </row>
    <row r="75" spans="1:6">
      <c r="A75" s="4" t="s">
        <v>120</v>
      </c>
      <c r="B75" s="4" t="s">
        <v>47</v>
      </c>
      <c r="C75" s="4">
        <v>77</v>
      </c>
      <c r="D75" s="8">
        <v>33.700000000000003</v>
      </c>
      <c r="E75" s="7">
        <v>0</v>
      </c>
      <c r="F75" s="7">
        <v>240000</v>
      </c>
    </row>
    <row r="76" spans="1:6">
      <c r="A76" s="4" t="s">
        <v>121</v>
      </c>
      <c r="B76" s="4" t="s">
        <v>45</v>
      </c>
      <c r="C76" s="4">
        <v>56</v>
      </c>
      <c r="D76" s="8">
        <v>20</v>
      </c>
      <c r="E76" s="7">
        <v>1382000</v>
      </c>
      <c r="F76" s="7">
        <v>0</v>
      </c>
    </row>
    <row r="77" spans="1:6">
      <c r="A77" s="4" t="s">
        <v>122</v>
      </c>
      <c r="B77" s="4" t="s">
        <v>45</v>
      </c>
      <c r="C77" s="4">
        <v>25</v>
      </c>
      <c r="D77" s="8">
        <v>2</v>
      </c>
      <c r="E77" s="7">
        <v>356000</v>
      </c>
      <c r="F77" s="7">
        <v>0</v>
      </c>
    </row>
    <row r="78" spans="1:6">
      <c r="A78" s="4" t="s">
        <v>123</v>
      </c>
      <c r="B78" s="4" t="s">
        <v>47</v>
      </c>
      <c r="C78" s="4">
        <v>75</v>
      </c>
      <c r="D78" s="8">
        <v>38.799999999999997</v>
      </c>
      <c r="E78" s="7">
        <v>0</v>
      </c>
      <c r="F78" s="7">
        <v>273000</v>
      </c>
    </row>
    <row r="79" spans="1:6">
      <c r="A79" s="4" t="s">
        <v>124</v>
      </c>
      <c r="B79" s="4" t="s">
        <v>45</v>
      </c>
      <c r="C79" s="4">
        <v>54</v>
      </c>
      <c r="D79" s="8">
        <v>5.2</v>
      </c>
      <c r="E79" s="7">
        <v>1686000</v>
      </c>
      <c r="F79" s="7">
        <v>0</v>
      </c>
    </row>
    <row r="80" spans="1:6">
      <c r="A80" s="4" t="s">
        <v>125</v>
      </c>
      <c r="B80" s="4" t="s">
        <v>47</v>
      </c>
      <c r="C80" s="4">
        <v>72</v>
      </c>
      <c r="D80" s="8">
        <v>19.600000000000001</v>
      </c>
      <c r="E80" s="7">
        <v>0</v>
      </c>
      <c r="F80" s="7">
        <v>490000</v>
      </c>
    </row>
    <row r="81" spans="1:6">
      <c r="A81" s="4" t="s">
        <v>126</v>
      </c>
      <c r="B81" s="4" t="s">
        <v>57</v>
      </c>
      <c r="C81" s="4">
        <v>51</v>
      </c>
      <c r="D81" s="8">
        <v>18</v>
      </c>
      <c r="E81" s="7">
        <v>692000</v>
      </c>
      <c r="F81" s="7">
        <v>0</v>
      </c>
    </row>
    <row r="82" spans="1:6">
      <c r="A82" s="4" t="s">
        <v>127</v>
      </c>
      <c r="B82" s="4" t="s">
        <v>47</v>
      </c>
      <c r="C82" s="4">
        <v>70</v>
      </c>
      <c r="D82" s="8">
        <v>31.6</v>
      </c>
      <c r="E82" s="7">
        <v>0</v>
      </c>
      <c r="F82" s="7">
        <v>460000</v>
      </c>
    </row>
    <row r="83" spans="1:6">
      <c r="A83" s="4" t="s">
        <v>128</v>
      </c>
      <c r="B83" s="4" t="s">
        <v>45</v>
      </c>
      <c r="C83" s="4">
        <v>58</v>
      </c>
      <c r="D83" s="8">
        <v>33.5</v>
      </c>
      <c r="E83" s="7">
        <v>1863000</v>
      </c>
      <c r="F83" s="7">
        <v>0</v>
      </c>
    </row>
    <row r="84" spans="1:6">
      <c r="A84" s="4" t="s">
        <v>129</v>
      </c>
      <c r="B84" s="4" t="s">
        <v>57</v>
      </c>
      <c r="C84" s="4">
        <v>31</v>
      </c>
      <c r="D84" s="8">
        <v>2.8</v>
      </c>
      <c r="E84" s="7">
        <v>415000</v>
      </c>
      <c r="F84" s="7">
        <v>0</v>
      </c>
    </row>
    <row r="85" spans="1:6">
      <c r="A85" s="4" t="s">
        <v>130</v>
      </c>
      <c r="B85" s="4" t="s">
        <v>45</v>
      </c>
      <c r="C85" s="4">
        <v>26</v>
      </c>
      <c r="D85" s="8">
        <v>3.6</v>
      </c>
      <c r="E85" s="7">
        <v>534000</v>
      </c>
      <c r="F85" s="7">
        <v>0</v>
      </c>
    </row>
    <row r="86" spans="1:6">
      <c r="A86" s="4" t="s">
        <v>131</v>
      </c>
      <c r="B86" s="4" t="s">
        <v>45</v>
      </c>
      <c r="C86" s="4">
        <v>45</v>
      </c>
      <c r="D86" s="8">
        <v>9.3000000000000007</v>
      </c>
      <c r="E86" s="7">
        <v>1075000</v>
      </c>
      <c r="F86" s="7">
        <v>0</v>
      </c>
    </row>
    <row r="87" spans="1:6">
      <c r="A87" s="4" t="s">
        <v>132</v>
      </c>
      <c r="B87" s="4" t="s">
        <v>47</v>
      </c>
      <c r="C87" s="4">
        <v>78</v>
      </c>
      <c r="D87" s="8">
        <v>39.200000000000003</v>
      </c>
      <c r="E87" s="7">
        <v>0</v>
      </c>
      <c r="F87" s="7">
        <v>537000</v>
      </c>
    </row>
    <row r="88" spans="1:6">
      <c r="A88" s="4" t="s">
        <v>133</v>
      </c>
      <c r="B88" s="4" t="s">
        <v>45</v>
      </c>
      <c r="C88" s="4">
        <v>46</v>
      </c>
      <c r="D88" s="8">
        <v>2.5</v>
      </c>
      <c r="E88" s="7">
        <v>1207000</v>
      </c>
      <c r="F88" s="7">
        <v>0</v>
      </c>
    </row>
    <row r="89" spans="1:6">
      <c r="A89" s="4" t="s">
        <v>134</v>
      </c>
      <c r="B89" s="4" t="s">
        <v>45</v>
      </c>
      <c r="C89" s="4">
        <v>33</v>
      </c>
      <c r="D89" s="8">
        <v>4</v>
      </c>
      <c r="E89" s="7">
        <v>473000</v>
      </c>
      <c r="F89" s="7">
        <v>0</v>
      </c>
    </row>
    <row r="90" spans="1:6">
      <c r="A90" s="4" t="s">
        <v>135</v>
      </c>
      <c r="B90" s="4" t="s">
        <v>45</v>
      </c>
      <c r="C90" s="4">
        <v>48</v>
      </c>
      <c r="D90" s="8">
        <v>20.8</v>
      </c>
      <c r="E90" s="7">
        <v>955000</v>
      </c>
      <c r="F90" s="7">
        <v>0</v>
      </c>
    </row>
    <row r="91" spans="1:6">
      <c r="A91" s="4" t="s">
        <v>136</v>
      </c>
      <c r="B91" s="4" t="s">
        <v>45</v>
      </c>
      <c r="C91" s="4">
        <v>35</v>
      </c>
      <c r="D91" s="8">
        <v>3</v>
      </c>
      <c r="E91" s="7">
        <v>920000</v>
      </c>
      <c r="F91" s="7">
        <v>0</v>
      </c>
    </row>
    <row r="92" spans="1:6">
      <c r="A92" s="4" t="s">
        <v>137</v>
      </c>
      <c r="B92" s="4" t="s">
        <v>57</v>
      </c>
      <c r="C92" s="4">
        <v>30</v>
      </c>
      <c r="D92" s="8">
        <v>2.8</v>
      </c>
      <c r="E92" s="7">
        <v>327000</v>
      </c>
      <c r="F92" s="7">
        <v>0</v>
      </c>
    </row>
    <row r="93" spans="1:6">
      <c r="A93" s="4" t="s">
        <v>138</v>
      </c>
      <c r="B93" s="4" t="s">
        <v>45</v>
      </c>
      <c r="C93" s="4">
        <v>24</v>
      </c>
      <c r="D93" s="8">
        <v>1</v>
      </c>
      <c r="E93" s="7">
        <v>399000</v>
      </c>
      <c r="F93" s="7">
        <v>0</v>
      </c>
    </row>
    <row r="94" spans="1:6">
      <c r="A94" s="4" t="s">
        <v>139</v>
      </c>
      <c r="B94" s="4" t="s">
        <v>45</v>
      </c>
      <c r="C94" s="4">
        <v>45</v>
      </c>
      <c r="D94" s="8">
        <v>5</v>
      </c>
      <c r="E94" s="7">
        <v>1210000</v>
      </c>
      <c r="F94" s="7">
        <v>0</v>
      </c>
    </row>
    <row r="95" spans="1:6">
      <c r="A95" s="4" t="s">
        <v>140</v>
      </c>
      <c r="B95" s="4" t="s">
        <v>45</v>
      </c>
      <c r="C95" s="4">
        <v>36</v>
      </c>
      <c r="D95" s="8">
        <v>9.1</v>
      </c>
      <c r="E95" s="7">
        <v>775000</v>
      </c>
      <c r="F95" s="7">
        <v>0</v>
      </c>
    </row>
    <row r="96" spans="1:6">
      <c r="A96" s="4" t="s">
        <v>141</v>
      </c>
      <c r="B96" s="4" t="s">
        <v>47</v>
      </c>
      <c r="C96" s="4">
        <v>73</v>
      </c>
      <c r="D96" s="8">
        <v>36.6</v>
      </c>
      <c r="E96" s="7">
        <v>0</v>
      </c>
      <c r="F96" s="7">
        <v>343000</v>
      </c>
    </row>
    <row r="97" spans="1:6">
      <c r="A97" s="4" t="s">
        <v>142</v>
      </c>
      <c r="B97" s="4" t="s">
        <v>45</v>
      </c>
      <c r="C97" s="4">
        <v>47</v>
      </c>
      <c r="D97" s="8">
        <v>24.9</v>
      </c>
      <c r="E97" s="7">
        <v>1142000</v>
      </c>
      <c r="F97" s="7">
        <v>0</v>
      </c>
    </row>
    <row r="98" spans="1:6">
      <c r="A98" s="4" t="s">
        <v>143</v>
      </c>
      <c r="B98" s="4" t="s">
        <v>45</v>
      </c>
      <c r="C98" s="4">
        <v>22</v>
      </c>
      <c r="D98" s="8">
        <v>1</v>
      </c>
      <c r="E98" s="7">
        <v>561000</v>
      </c>
      <c r="F98" s="7">
        <v>0</v>
      </c>
    </row>
    <row r="99" spans="1:6">
      <c r="A99" s="4" t="s">
        <v>144</v>
      </c>
      <c r="B99" s="4" t="s">
        <v>45</v>
      </c>
      <c r="C99" s="4">
        <v>30</v>
      </c>
      <c r="D99" s="8">
        <v>1.3</v>
      </c>
      <c r="E99" s="7">
        <v>631000</v>
      </c>
      <c r="F99" s="7">
        <v>0</v>
      </c>
    </row>
    <row r="100" spans="1:6">
      <c r="A100" s="4" t="s">
        <v>145</v>
      </c>
      <c r="B100" s="4" t="s">
        <v>45</v>
      </c>
      <c r="C100" s="4">
        <v>40</v>
      </c>
      <c r="D100" s="8">
        <v>6.9</v>
      </c>
      <c r="E100" s="7">
        <v>762000</v>
      </c>
      <c r="F100" s="7">
        <v>0</v>
      </c>
    </row>
    <row r="101" spans="1:6">
      <c r="A101" s="4" t="s">
        <v>146</v>
      </c>
      <c r="B101" s="4" t="s">
        <v>47</v>
      </c>
      <c r="C101" s="4">
        <v>82</v>
      </c>
      <c r="D101" s="8">
        <v>39.700000000000003</v>
      </c>
      <c r="E101" s="7">
        <v>0</v>
      </c>
      <c r="F101" s="7">
        <v>419000</v>
      </c>
    </row>
    <row r="102" spans="1:6">
      <c r="A102" s="4" t="s">
        <v>147</v>
      </c>
      <c r="B102" s="4" t="s">
        <v>47</v>
      </c>
      <c r="C102" s="4">
        <v>86</v>
      </c>
      <c r="D102" s="8">
        <v>29.2</v>
      </c>
      <c r="E102" s="7">
        <v>0</v>
      </c>
      <c r="F102" s="7">
        <v>542000</v>
      </c>
    </row>
    <row r="103" spans="1:6">
      <c r="A103" s="4" t="s">
        <v>148</v>
      </c>
      <c r="B103" s="4" t="s">
        <v>57</v>
      </c>
      <c r="C103" s="4">
        <v>41</v>
      </c>
      <c r="D103" s="8">
        <v>19.899999999999999</v>
      </c>
      <c r="E103" s="7">
        <v>534000</v>
      </c>
      <c r="F103" s="7">
        <v>0</v>
      </c>
    </row>
    <row r="104" spans="1:6">
      <c r="A104" s="4" t="s">
        <v>149</v>
      </c>
      <c r="B104" s="4" t="s">
        <v>45</v>
      </c>
      <c r="C104" s="4">
        <v>30</v>
      </c>
      <c r="D104" s="8">
        <v>5.6</v>
      </c>
      <c r="E104" s="7">
        <v>663000</v>
      </c>
      <c r="F104" s="7">
        <v>0</v>
      </c>
    </row>
    <row r="105" spans="1:6">
      <c r="A105" s="4" t="s">
        <v>150</v>
      </c>
      <c r="B105" s="4" t="s">
        <v>47</v>
      </c>
      <c r="C105" s="4">
        <v>87</v>
      </c>
      <c r="D105" s="8">
        <v>20.9</v>
      </c>
      <c r="E105" s="7">
        <v>0</v>
      </c>
      <c r="F105" s="7">
        <v>761000</v>
      </c>
    </row>
    <row r="106" spans="1:6">
      <c r="A106" s="4" t="s">
        <v>151</v>
      </c>
      <c r="B106" s="4" t="s">
        <v>45</v>
      </c>
      <c r="C106" s="4">
        <v>50</v>
      </c>
      <c r="D106" s="8">
        <v>7</v>
      </c>
      <c r="E106" s="7">
        <v>1033000</v>
      </c>
      <c r="F106" s="7">
        <v>0</v>
      </c>
    </row>
    <row r="107" spans="1:6">
      <c r="A107" s="4" t="s">
        <v>152</v>
      </c>
      <c r="B107" s="4" t="s">
        <v>45</v>
      </c>
      <c r="C107" s="4">
        <v>49</v>
      </c>
      <c r="D107" s="8">
        <v>19.399999999999999</v>
      </c>
      <c r="E107" s="7">
        <v>1677000</v>
      </c>
      <c r="F107" s="7">
        <v>0</v>
      </c>
    </row>
    <row r="108" spans="1:6">
      <c r="A108" s="4" t="s">
        <v>153</v>
      </c>
      <c r="B108" s="4" t="s">
        <v>47</v>
      </c>
      <c r="C108" s="4">
        <v>65</v>
      </c>
      <c r="D108" s="8">
        <v>20.6</v>
      </c>
      <c r="E108" s="7">
        <v>0</v>
      </c>
      <c r="F108" s="7">
        <v>170000</v>
      </c>
    </row>
    <row r="109" spans="1:6">
      <c r="A109" s="4" t="s">
        <v>154</v>
      </c>
      <c r="B109" s="4" t="s">
        <v>45</v>
      </c>
      <c r="C109" s="4">
        <v>31</v>
      </c>
      <c r="D109" s="8">
        <v>9.1999999999999993</v>
      </c>
      <c r="E109" s="7">
        <v>745000</v>
      </c>
      <c r="F109" s="7">
        <v>0</v>
      </c>
    </row>
    <row r="110" spans="1:6">
      <c r="A110" s="4" t="s">
        <v>155</v>
      </c>
      <c r="B110" s="4" t="s">
        <v>45</v>
      </c>
      <c r="C110" s="4">
        <v>41</v>
      </c>
      <c r="D110" s="8">
        <v>19.8</v>
      </c>
      <c r="E110" s="7">
        <v>771000</v>
      </c>
      <c r="F110" s="7">
        <v>0</v>
      </c>
    </row>
    <row r="111" spans="1:6">
      <c r="A111" s="4" t="s">
        <v>156</v>
      </c>
      <c r="B111" s="4" t="s">
        <v>47</v>
      </c>
      <c r="C111" s="4">
        <v>83</v>
      </c>
      <c r="D111" s="8">
        <v>28.6</v>
      </c>
      <c r="E111" s="7">
        <v>0</v>
      </c>
      <c r="F111" s="7">
        <v>299000</v>
      </c>
    </row>
    <row r="112" spans="1:6">
      <c r="A112" s="4" t="s">
        <v>157</v>
      </c>
      <c r="B112" s="4" t="s">
        <v>45</v>
      </c>
      <c r="C112" s="4">
        <v>42</v>
      </c>
      <c r="D112" s="8">
        <v>11.7</v>
      </c>
      <c r="E112" s="7">
        <v>829000</v>
      </c>
      <c r="F112" s="7">
        <v>0</v>
      </c>
    </row>
    <row r="113" spans="1:6">
      <c r="A113" s="4" t="s">
        <v>158</v>
      </c>
      <c r="B113" s="4" t="s">
        <v>45</v>
      </c>
      <c r="C113" s="4">
        <v>25</v>
      </c>
      <c r="D113" s="8">
        <v>1</v>
      </c>
      <c r="E113" s="7">
        <v>583000</v>
      </c>
      <c r="F113" s="7">
        <v>0</v>
      </c>
    </row>
    <row r="114" spans="1:6">
      <c r="A114" s="4" t="s">
        <v>159</v>
      </c>
      <c r="B114" s="4" t="s">
        <v>45</v>
      </c>
      <c r="C114" s="4">
        <v>58</v>
      </c>
      <c r="D114" s="8">
        <v>23.3</v>
      </c>
      <c r="E114" s="7">
        <v>2456000</v>
      </c>
      <c r="F114" s="7">
        <v>0</v>
      </c>
    </row>
    <row r="115" spans="1:6">
      <c r="A115" s="4" t="s">
        <v>160</v>
      </c>
      <c r="B115" s="4" t="s">
        <v>47</v>
      </c>
      <c r="C115" s="4">
        <v>86</v>
      </c>
      <c r="D115" s="8">
        <v>17.600000000000001</v>
      </c>
      <c r="E115" s="7">
        <v>0</v>
      </c>
      <c r="F115" s="7">
        <v>353000</v>
      </c>
    </row>
    <row r="116" spans="1:6">
      <c r="A116" s="4" t="s">
        <v>161</v>
      </c>
      <c r="B116" s="4" t="s">
        <v>47</v>
      </c>
      <c r="C116" s="4">
        <v>78</v>
      </c>
      <c r="D116" s="8">
        <v>32.6</v>
      </c>
      <c r="E116" s="7">
        <v>0</v>
      </c>
      <c r="F116" s="7">
        <v>523000</v>
      </c>
    </row>
    <row r="117" spans="1:6">
      <c r="A117" s="4" t="s">
        <v>162</v>
      </c>
      <c r="B117" s="4" t="s">
        <v>47</v>
      </c>
      <c r="C117" s="4">
        <v>75</v>
      </c>
      <c r="D117" s="8">
        <v>25</v>
      </c>
      <c r="E117" s="7">
        <v>0</v>
      </c>
      <c r="F117" s="7">
        <v>449000</v>
      </c>
    </row>
    <row r="118" spans="1:6">
      <c r="A118" s="4" t="s">
        <v>163</v>
      </c>
      <c r="B118" s="4" t="s">
        <v>45</v>
      </c>
      <c r="C118" s="4">
        <v>26</v>
      </c>
      <c r="D118" s="8">
        <v>1.8</v>
      </c>
      <c r="E118" s="7">
        <v>375000</v>
      </c>
      <c r="F118" s="7">
        <v>0</v>
      </c>
    </row>
    <row r="119" spans="1:6">
      <c r="A119" s="4" t="s">
        <v>164</v>
      </c>
      <c r="B119" s="4" t="s">
        <v>45</v>
      </c>
      <c r="C119" s="4">
        <v>40</v>
      </c>
      <c r="D119" s="8">
        <v>15.6</v>
      </c>
      <c r="E119" s="7">
        <v>640000</v>
      </c>
      <c r="F119" s="7">
        <v>0</v>
      </c>
    </row>
    <row r="120" spans="1:6">
      <c r="A120" s="4" t="s">
        <v>165</v>
      </c>
      <c r="B120" s="4" t="s">
        <v>45</v>
      </c>
      <c r="C120" s="4">
        <v>59</v>
      </c>
      <c r="D120" s="8">
        <v>17.399999999999999</v>
      </c>
      <c r="E120" s="7">
        <v>2332000</v>
      </c>
      <c r="F120" s="7">
        <v>0</v>
      </c>
    </row>
    <row r="121" spans="1:6">
      <c r="A121" s="4" t="s">
        <v>166</v>
      </c>
      <c r="B121" s="4" t="s">
        <v>45</v>
      </c>
      <c r="C121" s="4">
        <v>48</v>
      </c>
      <c r="D121" s="8">
        <v>25.1</v>
      </c>
      <c r="E121" s="7">
        <v>1345000</v>
      </c>
      <c r="F121" s="7">
        <v>0</v>
      </c>
    </row>
    <row r="122" spans="1:6">
      <c r="A122" s="4" t="s">
        <v>167</v>
      </c>
      <c r="B122" s="4" t="s">
        <v>47</v>
      </c>
      <c r="C122" s="4">
        <v>88</v>
      </c>
      <c r="D122" s="8">
        <v>14.7</v>
      </c>
      <c r="E122" s="7">
        <v>0</v>
      </c>
      <c r="F122" s="7">
        <v>771000</v>
      </c>
    </row>
    <row r="123" spans="1:6">
      <c r="A123" s="4" t="s">
        <v>168</v>
      </c>
      <c r="B123" s="4" t="s">
        <v>57</v>
      </c>
      <c r="C123" s="4">
        <v>59</v>
      </c>
      <c r="D123" s="8">
        <v>26</v>
      </c>
      <c r="E123" s="7">
        <v>1411000</v>
      </c>
      <c r="F123" s="7">
        <v>0</v>
      </c>
    </row>
    <row r="124" spans="1:6">
      <c r="A124" s="4" t="s">
        <v>169</v>
      </c>
      <c r="B124" s="4" t="s">
        <v>45</v>
      </c>
      <c r="C124" s="4">
        <v>23</v>
      </c>
      <c r="D124" s="8">
        <v>1.5</v>
      </c>
      <c r="E124" s="7">
        <v>365000</v>
      </c>
      <c r="F124" s="7">
        <v>0</v>
      </c>
    </row>
    <row r="125" spans="1:6">
      <c r="A125" s="4" t="s">
        <v>170</v>
      </c>
      <c r="B125" s="4" t="s">
        <v>45</v>
      </c>
      <c r="C125" s="4">
        <v>44</v>
      </c>
      <c r="D125" s="8">
        <v>2.5</v>
      </c>
      <c r="E125" s="7">
        <v>811000</v>
      </c>
      <c r="F125" s="7">
        <v>0</v>
      </c>
    </row>
    <row r="126" spans="1:6">
      <c r="A126" s="4" t="s">
        <v>171</v>
      </c>
      <c r="B126" s="4" t="s">
        <v>45</v>
      </c>
      <c r="C126" s="4">
        <v>41</v>
      </c>
      <c r="D126" s="8">
        <v>9.3000000000000007</v>
      </c>
      <c r="E126" s="7">
        <v>981000</v>
      </c>
      <c r="F126" s="7">
        <v>0</v>
      </c>
    </row>
    <row r="127" spans="1:6">
      <c r="A127" s="4" t="s">
        <v>172</v>
      </c>
      <c r="B127" s="4" t="s">
        <v>45</v>
      </c>
      <c r="C127" s="4">
        <v>40</v>
      </c>
      <c r="D127" s="8">
        <v>6.8</v>
      </c>
      <c r="E127" s="7">
        <v>1030000</v>
      </c>
      <c r="F127" s="7">
        <v>0</v>
      </c>
    </row>
    <row r="128" spans="1:6">
      <c r="A128" s="4" t="s">
        <v>173</v>
      </c>
      <c r="B128" s="4" t="s">
        <v>45</v>
      </c>
      <c r="C128" s="4">
        <v>24</v>
      </c>
      <c r="D128" s="8">
        <v>1.4</v>
      </c>
      <c r="E128" s="7">
        <v>511000</v>
      </c>
      <c r="F128" s="7">
        <v>0</v>
      </c>
    </row>
    <row r="129" spans="1:6">
      <c r="A129" s="4" t="s">
        <v>174</v>
      </c>
      <c r="B129" s="4" t="s">
        <v>45</v>
      </c>
      <c r="C129" s="4">
        <v>32</v>
      </c>
      <c r="D129" s="8">
        <v>6.8</v>
      </c>
      <c r="E129" s="7">
        <v>485000</v>
      </c>
      <c r="F129" s="7">
        <v>0</v>
      </c>
    </row>
    <row r="130" spans="1:6">
      <c r="A130" s="4" t="s">
        <v>175</v>
      </c>
      <c r="B130" s="4" t="s">
        <v>45</v>
      </c>
      <c r="C130" s="4">
        <v>41</v>
      </c>
      <c r="D130" s="8">
        <v>16.100000000000001</v>
      </c>
      <c r="E130" s="7">
        <v>910000</v>
      </c>
      <c r="F130" s="7">
        <v>0</v>
      </c>
    </row>
    <row r="131" spans="1:6">
      <c r="A131" s="4" t="s">
        <v>176</v>
      </c>
      <c r="B131" s="4" t="s">
        <v>45</v>
      </c>
      <c r="C131" s="4">
        <v>52</v>
      </c>
      <c r="D131" s="8">
        <v>19.2</v>
      </c>
      <c r="E131" s="7">
        <v>1869000</v>
      </c>
      <c r="F131" s="7">
        <v>0</v>
      </c>
    </row>
    <row r="132" spans="1:6">
      <c r="A132" s="4" t="s">
        <v>177</v>
      </c>
      <c r="B132" s="4" t="s">
        <v>45</v>
      </c>
      <c r="C132" s="4">
        <v>50</v>
      </c>
      <c r="D132" s="8">
        <v>1.9</v>
      </c>
      <c r="E132" s="7">
        <v>1715000</v>
      </c>
      <c r="F132" s="7">
        <v>0</v>
      </c>
    </row>
    <row r="133" spans="1:6">
      <c r="A133" s="4" t="s">
        <v>178</v>
      </c>
      <c r="B133" s="4" t="s">
        <v>57</v>
      </c>
      <c r="C133" s="4">
        <v>48</v>
      </c>
      <c r="D133" s="8">
        <v>19</v>
      </c>
      <c r="E133" s="7">
        <v>733000</v>
      </c>
      <c r="F133" s="7">
        <v>0</v>
      </c>
    </row>
    <row r="134" spans="1:6">
      <c r="A134" s="4" t="s">
        <v>179</v>
      </c>
      <c r="B134" s="4" t="s">
        <v>57</v>
      </c>
      <c r="C134" s="4">
        <v>55</v>
      </c>
      <c r="D134" s="8">
        <v>27</v>
      </c>
      <c r="E134" s="7">
        <v>1373000</v>
      </c>
      <c r="F134" s="7">
        <v>0</v>
      </c>
    </row>
    <row r="135" spans="1:6">
      <c r="A135" s="4" t="s">
        <v>180</v>
      </c>
      <c r="B135" s="4" t="s">
        <v>47</v>
      </c>
      <c r="C135" s="4">
        <v>70</v>
      </c>
      <c r="D135" s="8">
        <v>28.9</v>
      </c>
      <c r="E135" s="7">
        <v>0</v>
      </c>
      <c r="F135" s="7">
        <v>196000</v>
      </c>
    </row>
    <row r="136" spans="1:6">
      <c r="A136" s="4" t="s">
        <v>181</v>
      </c>
      <c r="B136" s="4" t="s">
        <v>45</v>
      </c>
      <c r="C136" s="4">
        <v>50</v>
      </c>
      <c r="D136" s="8">
        <v>19.5</v>
      </c>
      <c r="E136" s="7">
        <v>1266000</v>
      </c>
      <c r="F136" s="7">
        <v>0</v>
      </c>
    </row>
    <row r="137" spans="1:6">
      <c r="A137" s="4" t="s">
        <v>182</v>
      </c>
      <c r="B137" s="4" t="s">
        <v>45</v>
      </c>
      <c r="C137" s="4">
        <v>47</v>
      </c>
      <c r="D137" s="8">
        <v>4.7</v>
      </c>
      <c r="E137" s="7">
        <v>1251000</v>
      </c>
      <c r="F137" s="7">
        <v>0</v>
      </c>
    </row>
    <row r="138" spans="1:6">
      <c r="A138" s="4" t="s">
        <v>183</v>
      </c>
      <c r="B138" s="4" t="s">
        <v>45</v>
      </c>
      <c r="C138" s="4">
        <v>43</v>
      </c>
      <c r="D138" s="8">
        <v>13.2</v>
      </c>
      <c r="E138" s="7">
        <v>1182000</v>
      </c>
      <c r="F138" s="7">
        <v>0</v>
      </c>
    </row>
    <row r="139" spans="1:6">
      <c r="A139" s="4" t="s">
        <v>184</v>
      </c>
      <c r="B139" s="4" t="s">
        <v>45</v>
      </c>
      <c r="C139" s="4">
        <v>59</v>
      </c>
      <c r="D139" s="8">
        <v>12.8</v>
      </c>
      <c r="E139" s="7">
        <v>1651000</v>
      </c>
      <c r="F139" s="7">
        <v>0</v>
      </c>
    </row>
    <row r="140" spans="1:6">
      <c r="A140" s="4" t="s">
        <v>185</v>
      </c>
      <c r="B140" s="4" t="s">
        <v>45</v>
      </c>
      <c r="C140" s="4">
        <v>34</v>
      </c>
      <c r="D140" s="8">
        <v>1.8</v>
      </c>
      <c r="E140" s="7">
        <v>686000</v>
      </c>
      <c r="F140" s="7">
        <v>0</v>
      </c>
    </row>
    <row r="141" spans="1:6">
      <c r="A141" s="4" t="s">
        <v>186</v>
      </c>
      <c r="B141" s="4" t="s">
        <v>47</v>
      </c>
      <c r="C141" s="4">
        <v>85</v>
      </c>
      <c r="D141" s="8">
        <v>39.1</v>
      </c>
      <c r="E141" s="7">
        <v>0</v>
      </c>
      <c r="F141" s="7">
        <v>764000</v>
      </c>
    </row>
    <row r="142" spans="1:6">
      <c r="A142" s="4" t="s">
        <v>187</v>
      </c>
      <c r="B142" s="4" t="s">
        <v>45</v>
      </c>
      <c r="C142" s="4">
        <v>43</v>
      </c>
      <c r="D142" s="8">
        <v>7.7</v>
      </c>
      <c r="E142" s="7">
        <v>807000</v>
      </c>
      <c r="F142" s="7">
        <v>0</v>
      </c>
    </row>
    <row r="143" spans="1:6">
      <c r="A143" s="4" t="s">
        <v>188</v>
      </c>
      <c r="B143" s="4" t="s">
        <v>45</v>
      </c>
      <c r="C143" s="4">
        <v>36</v>
      </c>
      <c r="D143" s="8">
        <v>10.4</v>
      </c>
      <c r="E143" s="7">
        <v>664000</v>
      </c>
      <c r="F143" s="7">
        <v>0</v>
      </c>
    </row>
    <row r="144" spans="1:6">
      <c r="A144" s="4" t="s">
        <v>189</v>
      </c>
      <c r="B144" s="4" t="s">
        <v>47</v>
      </c>
      <c r="C144" s="4">
        <v>66</v>
      </c>
      <c r="D144" s="8">
        <v>30.9</v>
      </c>
      <c r="E144" s="7">
        <v>0</v>
      </c>
      <c r="F144" s="7">
        <v>288000</v>
      </c>
    </row>
    <row r="145" spans="1:6">
      <c r="A145" s="4" t="s">
        <v>190</v>
      </c>
      <c r="B145" s="4" t="s">
        <v>57</v>
      </c>
      <c r="C145" s="4">
        <v>36</v>
      </c>
      <c r="D145" s="8">
        <v>3.1</v>
      </c>
      <c r="E145" s="7">
        <v>592000</v>
      </c>
      <c r="F145" s="7">
        <v>0</v>
      </c>
    </row>
    <row r="146" spans="1:6">
      <c r="A146" s="4" t="s">
        <v>191</v>
      </c>
      <c r="B146" s="4" t="s">
        <v>45</v>
      </c>
      <c r="C146" s="4">
        <v>56</v>
      </c>
      <c r="D146" s="8">
        <v>22.6</v>
      </c>
      <c r="E146" s="7">
        <v>2130000</v>
      </c>
      <c r="F146" s="7">
        <v>0</v>
      </c>
    </row>
    <row r="147" spans="1:6">
      <c r="A147" s="4" t="s">
        <v>192</v>
      </c>
      <c r="B147" s="4" t="s">
        <v>45</v>
      </c>
      <c r="C147" s="4">
        <v>32</v>
      </c>
      <c r="D147" s="8">
        <v>1.1000000000000001</v>
      </c>
      <c r="E147" s="7">
        <v>774000</v>
      </c>
      <c r="F147" s="7">
        <v>0</v>
      </c>
    </row>
    <row r="148" spans="1:6">
      <c r="A148" s="4" t="s">
        <v>193</v>
      </c>
      <c r="B148" s="4" t="s">
        <v>47</v>
      </c>
      <c r="C148" s="4">
        <v>83</v>
      </c>
      <c r="D148" s="8">
        <v>24.8</v>
      </c>
      <c r="E148" s="7">
        <v>0</v>
      </c>
      <c r="F148" s="7">
        <v>384000</v>
      </c>
    </row>
    <row r="149" spans="1:6">
      <c r="A149" s="4" t="s">
        <v>194</v>
      </c>
      <c r="B149" s="4" t="s">
        <v>47</v>
      </c>
      <c r="C149" s="4">
        <v>81</v>
      </c>
      <c r="D149" s="8">
        <v>20.7</v>
      </c>
      <c r="E149" s="7">
        <v>0</v>
      </c>
      <c r="F149" s="7">
        <v>596000</v>
      </c>
    </row>
    <row r="150" spans="1:6">
      <c r="A150" s="4" t="s">
        <v>195</v>
      </c>
      <c r="B150" s="4" t="s">
        <v>45</v>
      </c>
      <c r="C150" s="4">
        <v>33</v>
      </c>
      <c r="D150" s="8">
        <v>11.7</v>
      </c>
      <c r="E150" s="7">
        <v>577000</v>
      </c>
      <c r="F150" s="7">
        <v>0</v>
      </c>
    </row>
    <row r="151" spans="1:6">
      <c r="A151" s="4" t="s">
        <v>196</v>
      </c>
      <c r="B151" s="4" t="s">
        <v>45</v>
      </c>
      <c r="C151" s="4">
        <v>41</v>
      </c>
      <c r="D151" s="8">
        <v>6.5</v>
      </c>
      <c r="E151" s="7">
        <v>935000</v>
      </c>
      <c r="F151" s="7">
        <v>0</v>
      </c>
    </row>
    <row r="152" spans="1:6">
      <c r="A152" s="4" t="s">
        <v>197</v>
      </c>
      <c r="B152" s="4" t="s">
        <v>57</v>
      </c>
      <c r="C152" s="4">
        <v>30</v>
      </c>
      <c r="D152" s="8">
        <v>4.9000000000000004</v>
      </c>
      <c r="E152" s="7">
        <v>510000</v>
      </c>
      <c r="F152" s="7">
        <v>0</v>
      </c>
    </row>
    <row r="153" spans="1:6">
      <c r="A153" s="4" t="s">
        <v>198</v>
      </c>
      <c r="B153" s="4" t="s">
        <v>45</v>
      </c>
      <c r="C153" s="4">
        <v>45</v>
      </c>
      <c r="D153" s="8">
        <v>10.3</v>
      </c>
      <c r="E153" s="7">
        <v>1119000</v>
      </c>
      <c r="F153" s="7">
        <v>0</v>
      </c>
    </row>
    <row r="154" spans="1:6">
      <c r="A154" s="4" t="s">
        <v>199</v>
      </c>
      <c r="B154" s="4" t="s">
        <v>57</v>
      </c>
      <c r="C154" s="4">
        <v>37</v>
      </c>
      <c r="D154" s="8">
        <v>8.1999999999999993</v>
      </c>
      <c r="E154" s="7">
        <v>633000</v>
      </c>
      <c r="F154" s="7">
        <v>0</v>
      </c>
    </row>
    <row r="155" spans="1:6">
      <c r="A155" s="4" t="s">
        <v>200</v>
      </c>
      <c r="B155" s="4" t="s">
        <v>45</v>
      </c>
      <c r="C155" s="4">
        <v>39</v>
      </c>
      <c r="D155" s="8">
        <v>8.5</v>
      </c>
      <c r="E155" s="7">
        <v>918000</v>
      </c>
      <c r="F155" s="7">
        <v>0</v>
      </c>
    </row>
    <row r="156" spans="1:6">
      <c r="A156" s="4" t="s">
        <v>201</v>
      </c>
      <c r="B156" s="4" t="s">
        <v>45</v>
      </c>
      <c r="C156" s="4">
        <v>54</v>
      </c>
      <c r="D156" s="8">
        <v>14.3</v>
      </c>
      <c r="E156" s="7">
        <v>1778000</v>
      </c>
      <c r="F156" s="7">
        <v>0</v>
      </c>
    </row>
    <row r="157" spans="1:6">
      <c r="A157" s="4" t="s">
        <v>202</v>
      </c>
      <c r="B157" s="4" t="s">
        <v>47</v>
      </c>
      <c r="C157" s="4">
        <v>84</v>
      </c>
      <c r="D157" s="8">
        <v>17.100000000000001</v>
      </c>
      <c r="E157" s="7">
        <v>0</v>
      </c>
      <c r="F157" s="7">
        <v>805000</v>
      </c>
    </row>
    <row r="158" spans="1:6">
      <c r="A158" s="4" t="s">
        <v>203</v>
      </c>
      <c r="B158" s="4" t="s">
        <v>47</v>
      </c>
      <c r="C158" s="4">
        <v>69</v>
      </c>
      <c r="D158" s="8">
        <v>27.7</v>
      </c>
      <c r="E158" s="7">
        <v>0</v>
      </c>
      <c r="F158" s="7">
        <v>347000</v>
      </c>
    </row>
    <row r="159" spans="1:6">
      <c r="A159" s="4" t="s">
        <v>204</v>
      </c>
      <c r="B159" s="4" t="s">
        <v>45</v>
      </c>
      <c r="C159" s="4">
        <v>56</v>
      </c>
      <c r="D159" s="8">
        <v>28.6</v>
      </c>
      <c r="E159" s="7">
        <v>1579000</v>
      </c>
      <c r="F159" s="7">
        <v>0</v>
      </c>
    </row>
    <row r="160" spans="1:6">
      <c r="A160" s="4" t="s">
        <v>205</v>
      </c>
      <c r="B160" s="4" t="s">
        <v>45</v>
      </c>
      <c r="C160" s="4">
        <v>44</v>
      </c>
      <c r="D160" s="8">
        <v>6.7</v>
      </c>
      <c r="E160" s="7">
        <v>1263000</v>
      </c>
      <c r="F160" s="7">
        <v>0</v>
      </c>
    </row>
    <row r="161" spans="1:6">
      <c r="A161" s="4" t="s">
        <v>206</v>
      </c>
      <c r="B161" s="4" t="s">
        <v>45</v>
      </c>
      <c r="C161" s="4">
        <v>47</v>
      </c>
      <c r="D161" s="8">
        <v>16.3</v>
      </c>
      <c r="E161" s="7">
        <v>995000</v>
      </c>
      <c r="F161" s="7">
        <v>0</v>
      </c>
    </row>
    <row r="162" spans="1:6">
      <c r="A162" s="4" t="s">
        <v>207</v>
      </c>
      <c r="B162" s="4" t="s">
        <v>57</v>
      </c>
      <c r="C162" s="4">
        <v>43</v>
      </c>
      <c r="D162" s="8">
        <v>16.100000000000001</v>
      </c>
      <c r="E162" s="7">
        <v>821000</v>
      </c>
      <c r="F162" s="7">
        <v>0</v>
      </c>
    </row>
    <row r="163" spans="1:6">
      <c r="A163" s="4" t="s">
        <v>208</v>
      </c>
      <c r="B163" s="4" t="s">
        <v>45</v>
      </c>
      <c r="C163" s="4">
        <v>42</v>
      </c>
      <c r="D163" s="8">
        <v>5.6</v>
      </c>
      <c r="E163" s="7">
        <v>794000</v>
      </c>
      <c r="F163" s="7">
        <v>0</v>
      </c>
    </row>
    <row r="164" spans="1:6">
      <c r="A164" s="4" t="s">
        <v>209</v>
      </c>
      <c r="B164" s="4" t="s">
        <v>45</v>
      </c>
      <c r="C164" s="4">
        <v>47</v>
      </c>
      <c r="D164" s="8">
        <v>20.3</v>
      </c>
      <c r="E164" s="7">
        <v>1432000</v>
      </c>
      <c r="F164" s="7">
        <v>0</v>
      </c>
    </row>
    <row r="165" spans="1:6">
      <c r="A165" s="4" t="s">
        <v>210</v>
      </c>
      <c r="B165" s="4" t="s">
        <v>45</v>
      </c>
      <c r="C165" s="4">
        <v>48</v>
      </c>
      <c r="D165" s="8">
        <v>7.9</v>
      </c>
      <c r="E165" s="7">
        <v>1218000</v>
      </c>
      <c r="F165" s="7">
        <v>0</v>
      </c>
    </row>
    <row r="166" spans="1:6">
      <c r="A166" s="4" t="s">
        <v>211</v>
      </c>
      <c r="B166" s="4" t="s">
        <v>45</v>
      </c>
      <c r="C166" s="4">
        <v>55</v>
      </c>
      <c r="D166" s="8">
        <v>4.2</v>
      </c>
      <c r="E166" s="7">
        <v>1735000</v>
      </c>
      <c r="F166" s="7">
        <v>0</v>
      </c>
    </row>
    <row r="167" spans="1:6">
      <c r="A167" s="4" t="s">
        <v>212</v>
      </c>
      <c r="B167" s="4" t="s">
        <v>47</v>
      </c>
      <c r="C167" s="4">
        <v>66</v>
      </c>
      <c r="D167" s="8">
        <v>35.799999999999997</v>
      </c>
      <c r="E167" s="7">
        <v>0</v>
      </c>
      <c r="F167" s="7">
        <v>255000</v>
      </c>
    </row>
    <row r="168" spans="1:6">
      <c r="A168" s="4" t="s">
        <v>213</v>
      </c>
      <c r="B168" s="4" t="s">
        <v>57</v>
      </c>
      <c r="C168" s="4">
        <v>30</v>
      </c>
      <c r="D168" s="8">
        <v>2.7</v>
      </c>
      <c r="E168" s="7">
        <v>383000</v>
      </c>
      <c r="F168" s="7">
        <v>0</v>
      </c>
    </row>
    <row r="169" spans="1:6">
      <c r="A169" s="4" t="s">
        <v>214</v>
      </c>
      <c r="B169" s="4" t="s">
        <v>47</v>
      </c>
      <c r="C169" s="4">
        <v>89</v>
      </c>
      <c r="D169" s="8">
        <v>36.6</v>
      </c>
      <c r="E169" s="7">
        <v>0</v>
      </c>
      <c r="F169" s="7">
        <v>791000</v>
      </c>
    </row>
    <row r="170" spans="1:6">
      <c r="A170" s="4" t="s">
        <v>215</v>
      </c>
      <c r="B170" s="4" t="s">
        <v>47</v>
      </c>
      <c r="C170" s="4">
        <v>85</v>
      </c>
      <c r="D170" s="8">
        <v>37.200000000000003</v>
      </c>
      <c r="E170" s="7">
        <v>0</v>
      </c>
      <c r="F170" s="7">
        <v>308000</v>
      </c>
    </row>
    <row r="171" spans="1:6">
      <c r="A171" s="4" t="s">
        <v>216</v>
      </c>
      <c r="B171" s="4" t="s">
        <v>45</v>
      </c>
      <c r="C171" s="4">
        <v>34</v>
      </c>
      <c r="D171" s="8">
        <v>9.8000000000000007</v>
      </c>
      <c r="E171" s="7">
        <v>828000</v>
      </c>
      <c r="F171" s="7">
        <v>0</v>
      </c>
    </row>
    <row r="172" spans="1:6">
      <c r="A172" s="4" t="s">
        <v>217</v>
      </c>
      <c r="B172" s="4" t="s">
        <v>45</v>
      </c>
      <c r="C172" s="4">
        <v>57</v>
      </c>
      <c r="D172" s="8">
        <v>15.8</v>
      </c>
      <c r="E172" s="7">
        <v>1920000</v>
      </c>
      <c r="F172" s="7">
        <v>0</v>
      </c>
    </row>
    <row r="173" spans="1:6">
      <c r="A173" s="4" t="s">
        <v>218</v>
      </c>
      <c r="B173" s="4" t="s">
        <v>45</v>
      </c>
      <c r="C173" s="4">
        <v>59</v>
      </c>
      <c r="D173" s="8">
        <v>11.5</v>
      </c>
      <c r="E173" s="7">
        <v>2048000</v>
      </c>
      <c r="F173" s="7">
        <v>0</v>
      </c>
    </row>
    <row r="174" spans="1:6">
      <c r="A174" s="4" t="s">
        <v>219</v>
      </c>
      <c r="B174" s="4" t="s">
        <v>47</v>
      </c>
      <c r="C174" s="4">
        <v>78</v>
      </c>
      <c r="D174" s="8">
        <v>30.2</v>
      </c>
      <c r="E174" s="7">
        <v>0</v>
      </c>
      <c r="F174" s="7">
        <v>356000</v>
      </c>
    </row>
    <row r="175" spans="1:6">
      <c r="A175" s="4" t="s">
        <v>220</v>
      </c>
      <c r="B175" s="4" t="s">
        <v>47</v>
      </c>
      <c r="C175" s="4">
        <v>86</v>
      </c>
      <c r="D175" s="8">
        <v>18.2</v>
      </c>
      <c r="E175" s="7">
        <v>0</v>
      </c>
      <c r="F175" s="7">
        <v>531000</v>
      </c>
    </row>
    <row r="176" spans="1:6">
      <c r="A176" s="4" t="s">
        <v>221</v>
      </c>
      <c r="B176" s="4" t="s">
        <v>45</v>
      </c>
      <c r="C176" s="4">
        <v>58</v>
      </c>
      <c r="D176" s="8">
        <v>15.8</v>
      </c>
      <c r="E176" s="7">
        <v>2255000</v>
      </c>
      <c r="F176" s="7">
        <v>0</v>
      </c>
    </row>
    <row r="177" spans="1:6">
      <c r="A177" s="4" t="s">
        <v>222</v>
      </c>
      <c r="B177" s="4" t="s">
        <v>47</v>
      </c>
      <c r="C177" s="4">
        <v>84</v>
      </c>
      <c r="D177" s="8">
        <v>17.899999999999999</v>
      </c>
      <c r="E177" s="7">
        <v>0</v>
      </c>
      <c r="F177" s="7">
        <v>699000</v>
      </c>
    </row>
    <row r="178" spans="1:6">
      <c r="A178" s="4" t="s">
        <v>223</v>
      </c>
      <c r="B178" s="4" t="s">
        <v>47</v>
      </c>
      <c r="C178" s="4">
        <v>64</v>
      </c>
      <c r="D178" s="8">
        <v>36.299999999999997</v>
      </c>
      <c r="E178" s="7">
        <v>0</v>
      </c>
      <c r="F178" s="7">
        <v>150000</v>
      </c>
    </row>
    <row r="179" spans="1:6">
      <c r="A179" s="4" t="s">
        <v>224</v>
      </c>
      <c r="B179" s="4" t="s">
        <v>47</v>
      </c>
      <c r="C179" s="4">
        <v>72</v>
      </c>
      <c r="D179" s="8">
        <v>18</v>
      </c>
      <c r="E179" s="7">
        <v>0</v>
      </c>
      <c r="F179" s="7">
        <v>229000</v>
      </c>
    </row>
    <row r="180" spans="1:6">
      <c r="A180" s="4" t="s">
        <v>225</v>
      </c>
      <c r="B180" s="4" t="s">
        <v>47</v>
      </c>
      <c r="C180" s="4">
        <v>86</v>
      </c>
      <c r="D180" s="8">
        <v>22.8</v>
      </c>
      <c r="E180" s="7">
        <v>0</v>
      </c>
      <c r="F180" s="7">
        <v>531000</v>
      </c>
    </row>
    <row r="181" spans="1:6">
      <c r="A181" s="4" t="s">
        <v>226</v>
      </c>
      <c r="B181" s="4" t="s">
        <v>57</v>
      </c>
      <c r="C181" s="4">
        <v>35</v>
      </c>
      <c r="D181" s="8">
        <v>5</v>
      </c>
      <c r="E181" s="7">
        <v>479000</v>
      </c>
      <c r="F181" s="7">
        <v>0</v>
      </c>
    </row>
    <row r="182" spans="1:6">
      <c r="A182" s="4" t="s">
        <v>227</v>
      </c>
      <c r="B182" s="4" t="s">
        <v>45</v>
      </c>
      <c r="C182" s="4">
        <v>42</v>
      </c>
      <c r="D182" s="8">
        <v>12.3</v>
      </c>
      <c r="E182" s="7">
        <v>880000</v>
      </c>
      <c r="F182" s="7">
        <v>0</v>
      </c>
    </row>
    <row r="183" spans="1:6">
      <c r="A183" s="4" t="s">
        <v>228</v>
      </c>
      <c r="B183" s="4" t="s">
        <v>57</v>
      </c>
      <c r="C183" s="4">
        <v>37</v>
      </c>
      <c r="D183" s="8">
        <v>5.0999999999999996</v>
      </c>
      <c r="E183" s="7">
        <v>415000</v>
      </c>
      <c r="F183" s="7">
        <v>0</v>
      </c>
    </row>
    <row r="184" spans="1:6">
      <c r="A184" s="4" t="s">
        <v>229</v>
      </c>
      <c r="B184" s="4" t="s">
        <v>47</v>
      </c>
      <c r="C184" s="4">
        <v>82</v>
      </c>
      <c r="D184" s="8">
        <v>20.5</v>
      </c>
      <c r="E184" s="7">
        <v>0</v>
      </c>
      <c r="F184" s="7">
        <v>518000</v>
      </c>
    </row>
    <row r="185" spans="1:6">
      <c r="A185" s="4" t="s">
        <v>230</v>
      </c>
      <c r="B185" s="4" t="s">
        <v>45</v>
      </c>
      <c r="C185" s="4">
        <v>56</v>
      </c>
      <c r="D185" s="8">
        <v>23.8</v>
      </c>
      <c r="E185" s="7">
        <v>1452000</v>
      </c>
      <c r="F185" s="7">
        <v>0</v>
      </c>
    </row>
    <row r="186" spans="1:6">
      <c r="A186" s="4" t="s">
        <v>231</v>
      </c>
      <c r="B186" s="4" t="s">
        <v>45</v>
      </c>
      <c r="C186" s="4">
        <v>48</v>
      </c>
      <c r="D186" s="8">
        <v>7.8</v>
      </c>
      <c r="E186" s="7">
        <v>1366000</v>
      </c>
      <c r="F186" s="7">
        <v>0</v>
      </c>
    </row>
    <row r="187" spans="1:6">
      <c r="A187" s="4" t="s">
        <v>232</v>
      </c>
      <c r="B187" s="4" t="s">
        <v>45</v>
      </c>
      <c r="C187" s="4">
        <v>34</v>
      </c>
      <c r="D187" s="8">
        <v>7.4</v>
      </c>
      <c r="E187" s="7">
        <v>561000</v>
      </c>
      <c r="F187" s="7">
        <v>0</v>
      </c>
    </row>
    <row r="188" spans="1:6">
      <c r="A188" s="4" t="s">
        <v>233</v>
      </c>
      <c r="B188" s="4" t="s">
        <v>45</v>
      </c>
      <c r="C188" s="4">
        <v>42</v>
      </c>
      <c r="D188" s="8">
        <v>17.600000000000001</v>
      </c>
      <c r="E188" s="7">
        <v>732000</v>
      </c>
      <c r="F188" s="7">
        <v>0</v>
      </c>
    </row>
    <row r="189" spans="1:6">
      <c r="A189" s="4" t="s">
        <v>234</v>
      </c>
      <c r="B189" s="4" t="s">
        <v>45</v>
      </c>
      <c r="C189" s="4">
        <v>59</v>
      </c>
      <c r="D189" s="8">
        <v>19.399999999999999</v>
      </c>
      <c r="E189" s="7">
        <v>1728000</v>
      </c>
      <c r="F189" s="7">
        <v>0</v>
      </c>
    </row>
    <row r="190" spans="1:6">
      <c r="A190" s="4" t="s">
        <v>235</v>
      </c>
      <c r="B190" s="4" t="s">
        <v>45</v>
      </c>
      <c r="C190" s="4">
        <v>43</v>
      </c>
      <c r="D190" s="8">
        <v>17.100000000000001</v>
      </c>
      <c r="E190" s="7">
        <v>1155000</v>
      </c>
      <c r="F190" s="7">
        <v>0</v>
      </c>
    </row>
    <row r="191" spans="1:6">
      <c r="A191" s="4" t="s">
        <v>236</v>
      </c>
      <c r="B191" s="4" t="s">
        <v>45</v>
      </c>
      <c r="C191" s="4">
        <v>24</v>
      </c>
      <c r="D191" s="8">
        <v>1</v>
      </c>
      <c r="E191" s="7">
        <v>480000</v>
      </c>
      <c r="F191" s="7">
        <v>0</v>
      </c>
    </row>
    <row r="192" spans="1:6">
      <c r="A192" s="4" t="s">
        <v>237</v>
      </c>
      <c r="B192" s="4" t="s">
        <v>57</v>
      </c>
      <c r="C192" s="4">
        <v>53</v>
      </c>
      <c r="D192" s="8">
        <v>16.8</v>
      </c>
      <c r="E192" s="7">
        <v>1229000</v>
      </c>
      <c r="F192" s="7">
        <v>0</v>
      </c>
    </row>
    <row r="193" spans="1:6">
      <c r="A193" s="4" t="s">
        <v>238</v>
      </c>
      <c r="B193" s="4" t="s">
        <v>45</v>
      </c>
      <c r="C193" s="4">
        <v>53</v>
      </c>
      <c r="D193" s="8">
        <v>8.8000000000000007</v>
      </c>
      <c r="E193" s="7">
        <v>1222000</v>
      </c>
      <c r="F193" s="7">
        <v>0</v>
      </c>
    </row>
    <row r="194" spans="1:6">
      <c r="A194" s="4" t="s">
        <v>239</v>
      </c>
      <c r="B194" s="4" t="s">
        <v>45</v>
      </c>
      <c r="C194" s="4">
        <v>55</v>
      </c>
      <c r="D194" s="8">
        <v>25.1</v>
      </c>
      <c r="E194" s="7">
        <v>2105000</v>
      </c>
      <c r="F194" s="7">
        <v>0</v>
      </c>
    </row>
    <row r="195" spans="1:6">
      <c r="A195" s="4" t="s">
        <v>240</v>
      </c>
      <c r="B195" s="4" t="s">
        <v>45</v>
      </c>
      <c r="C195" s="4">
        <v>36</v>
      </c>
      <c r="D195" s="8">
        <v>2.9</v>
      </c>
      <c r="E195" s="7">
        <v>586000</v>
      </c>
      <c r="F195" s="7">
        <v>0</v>
      </c>
    </row>
    <row r="196" spans="1:6">
      <c r="A196" s="4" t="s">
        <v>241</v>
      </c>
      <c r="B196" s="4" t="s">
        <v>45</v>
      </c>
      <c r="C196" s="4">
        <v>35</v>
      </c>
      <c r="D196" s="8">
        <v>10.5</v>
      </c>
      <c r="E196" s="7">
        <v>547000</v>
      </c>
      <c r="F196" s="7">
        <v>0</v>
      </c>
    </row>
    <row r="197" spans="1:6">
      <c r="A197" s="4" t="s">
        <v>242</v>
      </c>
      <c r="B197" s="4" t="s">
        <v>45</v>
      </c>
      <c r="C197" s="4">
        <v>52</v>
      </c>
      <c r="D197" s="8">
        <v>9.9</v>
      </c>
      <c r="E197" s="7">
        <v>1085000</v>
      </c>
      <c r="F197" s="7">
        <v>0</v>
      </c>
    </row>
    <row r="198" spans="1:6">
      <c r="A198" s="4" t="s">
        <v>243</v>
      </c>
      <c r="B198" s="4" t="s">
        <v>47</v>
      </c>
      <c r="C198" s="4">
        <v>69</v>
      </c>
      <c r="D198" s="8">
        <v>23.2</v>
      </c>
      <c r="E198" s="7">
        <v>0</v>
      </c>
      <c r="F198" s="7">
        <v>250000</v>
      </c>
    </row>
    <row r="199" spans="1:6">
      <c r="A199" s="4" t="s">
        <v>244</v>
      </c>
      <c r="B199" s="4" t="s">
        <v>47</v>
      </c>
      <c r="C199" s="4">
        <v>74</v>
      </c>
      <c r="D199" s="8">
        <v>24.2</v>
      </c>
      <c r="E199" s="7">
        <v>0</v>
      </c>
      <c r="F199" s="7">
        <v>345000</v>
      </c>
    </row>
    <row r="200" spans="1:6">
      <c r="A200" s="4" t="s">
        <v>245</v>
      </c>
      <c r="B200" s="4" t="s">
        <v>45</v>
      </c>
      <c r="C200" s="4">
        <v>53</v>
      </c>
      <c r="D200" s="8">
        <v>11</v>
      </c>
      <c r="E200" s="7">
        <v>1460000</v>
      </c>
      <c r="F200" s="7">
        <v>0</v>
      </c>
    </row>
    <row r="201" spans="1:6">
      <c r="A201" s="4" t="s">
        <v>246</v>
      </c>
      <c r="B201" s="4" t="s">
        <v>47</v>
      </c>
      <c r="C201" s="4">
        <v>85</v>
      </c>
      <c r="D201" s="8">
        <v>35.299999999999997</v>
      </c>
      <c r="E201" s="7">
        <v>0</v>
      </c>
      <c r="F201" s="7">
        <v>316000</v>
      </c>
    </row>
    <row r="202" spans="1:6">
      <c r="A202" s="4" t="s">
        <v>247</v>
      </c>
      <c r="B202" s="4" t="s">
        <v>45</v>
      </c>
      <c r="C202" s="4">
        <v>32</v>
      </c>
      <c r="D202" s="8">
        <v>4</v>
      </c>
      <c r="E202" s="7">
        <v>492000</v>
      </c>
      <c r="F202" s="7">
        <v>0</v>
      </c>
    </row>
    <row r="203" spans="1:6">
      <c r="A203" s="4" t="s">
        <v>248</v>
      </c>
      <c r="B203" s="4" t="s">
        <v>47</v>
      </c>
      <c r="C203" s="4">
        <v>81</v>
      </c>
      <c r="D203" s="8">
        <v>33.4</v>
      </c>
      <c r="E203" s="7">
        <v>0</v>
      </c>
      <c r="F203" s="7">
        <v>473000</v>
      </c>
    </row>
    <row r="204" spans="1:6">
      <c r="A204" s="4" t="s">
        <v>249</v>
      </c>
      <c r="B204" s="4" t="s">
        <v>45</v>
      </c>
      <c r="C204" s="4">
        <v>45</v>
      </c>
      <c r="D204" s="8">
        <v>19.100000000000001</v>
      </c>
      <c r="E204" s="7">
        <v>1408000</v>
      </c>
      <c r="F204" s="7">
        <v>0</v>
      </c>
    </row>
    <row r="205" spans="1:6">
      <c r="A205" s="4" t="s">
        <v>250</v>
      </c>
      <c r="B205" s="4" t="s">
        <v>47</v>
      </c>
      <c r="C205" s="4">
        <v>76</v>
      </c>
      <c r="D205" s="8">
        <v>19.899999999999999</v>
      </c>
      <c r="E205" s="7">
        <v>0</v>
      </c>
      <c r="F205" s="7">
        <v>351000</v>
      </c>
    </row>
    <row r="206" spans="1:6">
      <c r="A206" s="4" t="s">
        <v>251</v>
      </c>
      <c r="B206" s="4" t="s">
        <v>57</v>
      </c>
      <c r="C206" s="4">
        <v>31</v>
      </c>
      <c r="D206" s="8">
        <v>2.6</v>
      </c>
      <c r="E206" s="7">
        <v>336000</v>
      </c>
      <c r="F206" s="7">
        <v>0</v>
      </c>
    </row>
    <row r="207" spans="1:6">
      <c r="A207" s="4" t="s">
        <v>252</v>
      </c>
      <c r="B207" s="4" t="s">
        <v>45</v>
      </c>
      <c r="C207" s="4">
        <v>35</v>
      </c>
      <c r="D207" s="8">
        <v>4.7</v>
      </c>
      <c r="E207" s="7">
        <v>858000</v>
      </c>
      <c r="F207" s="7">
        <v>0</v>
      </c>
    </row>
    <row r="208" spans="1:6">
      <c r="A208" s="4" t="s">
        <v>253</v>
      </c>
      <c r="B208" s="4" t="s">
        <v>45</v>
      </c>
      <c r="C208" s="4">
        <v>26</v>
      </c>
      <c r="D208" s="8">
        <v>2.2999999999999998</v>
      </c>
      <c r="E208" s="7">
        <v>452000</v>
      </c>
      <c r="F208" s="7">
        <v>0</v>
      </c>
    </row>
    <row r="209" spans="1:6">
      <c r="A209" s="4" t="s">
        <v>254</v>
      </c>
      <c r="B209" s="4" t="s">
        <v>45</v>
      </c>
      <c r="C209" s="4">
        <v>37</v>
      </c>
      <c r="D209" s="8">
        <v>3.8</v>
      </c>
      <c r="E209" s="7">
        <v>773000</v>
      </c>
      <c r="F209" s="7">
        <v>0</v>
      </c>
    </row>
    <row r="210" spans="1:6">
      <c r="A210" s="4" t="s">
        <v>255</v>
      </c>
      <c r="B210" s="4" t="s">
        <v>45</v>
      </c>
      <c r="C210" s="4">
        <v>35</v>
      </c>
      <c r="D210" s="8">
        <v>11.4</v>
      </c>
      <c r="E210" s="7">
        <v>516000</v>
      </c>
      <c r="F210" s="7">
        <v>0</v>
      </c>
    </row>
    <row r="211" spans="1:6">
      <c r="A211" s="4" t="s">
        <v>256</v>
      </c>
      <c r="B211" s="4" t="s">
        <v>57</v>
      </c>
      <c r="C211" s="4">
        <v>57</v>
      </c>
      <c r="D211" s="8">
        <v>27.8</v>
      </c>
      <c r="E211" s="7">
        <v>1519000</v>
      </c>
      <c r="F211" s="7">
        <v>0</v>
      </c>
    </row>
    <row r="212" spans="1:6">
      <c r="A212" s="4" t="s">
        <v>257</v>
      </c>
      <c r="B212" s="4" t="s">
        <v>45</v>
      </c>
      <c r="C212" s="4">
        <v>46</v>
      </c>
      <c r="D212" s="8">
        <v>6.6</v>
      </c>
      <c r="E212" s="7">
        <v>872000</v>
      </c>
      <c r="F212" s="7">
        <v>0</v>
      </c>
    </row>
    <row r="213" spans="1:6">
      <c r="A213" s="4" t="s">
        <v>258</v>
      </c>
      <c r="B213" s="4" t="s">
        <v>47</v>
      </c>
      <c r="C213" s="4">
        <v>63</v>
      </c>
      <c r="D213" s="8">
        <v>13.7</v>
      </c>
      <c r="E213" s="7">
        <v>0</v>
      </c>
      <c r="F213" s="7">
        <v>141000</v>
      </c>
    </row>
    <row r="214" spans="1:6">
      <c r="A214" s="4" t="s">
        <v>259</v>
      </c>
      <c r="B214" s="4" t="s">
        <v>45</v>
      </c>
      <c r="C214" s="4">
        <v>41</v>
      </c>
      <c r="D214" s="8">
        <v>2.1</v>
      </c>
      <c r="E214" s="7">
        <v>716000</v>
      </c>
      <c r="F214" s="7">
        <v>0</v>
      </c>
    </row>
    <row r="215" spans="1:6">
      <c r="A215" s="4" t="s">
        <v>260</v>
      </c>
      <c r="B215" s="4" t="s">
        <v>57</v>
      </c>
      <c r="C215" s="4">
        <v>46</v>
      </c>
      <c r="D215" s="8">
        <v>10.1</v>
      </c>
      <c r="E215" s="7">
        <v>795000</v>
      </c>
      <c r="F215" s="7">
        <v>0</v>
      </c>
    </row>
    <row r="216" spans="1:6">
      <c r="A216" s="4" t="s">
        <v>261</v>
      </c>
      <c r="B216" s="4" t="s">
        <v>45</v>
      </c>
      <c r="C216" s="4">
        <v>49</v>
      </c>
      <c r="D216" s="8">
        <v>4.5</v>
      </c>
      <c r="E216" s="7">
        <v>1040000</v>
      </c>
      <c r="F216" s="7">
        <v>0</v>
      </c>
    </row>
    <row r="217" spans="1:6">
      <c r="A217" s="4" t="s">
        <v>262</v>
      </c>
      <c r="B217" s="4" t="s">
        <v>45</v>
      </c>
      <c r="C217" s="4">
        <v>47</v>
      </c>
      <c r="D217" s="8">
        <v>17.100000000000001</v>
      </c>
      <c r="E217" s="7">
        <v>1461000</v>
      </c>
      <c r="F217" s="7">
        <v>0</v>
      </c>
    </row>
    <row r="218" spans="1:6">
      <c r="A218" s="4" t="s">
        <v>263</v>
      </c>
      <c r="B218" s="4" t="s">
        <v>45</v>
      </c>
      <c r="C218" s="4">
        <v>33</v>
      </c>
      <c r="D218" s="8">
        <v>2.7</v>
      </c>
      <c r="E218" s="7">
        <v>649000</v>
      </c>
      <c r="F218" s="7">
        <v>0</v>
      </c>
    </row>
    <row r="219" spans="1:6">
      <c r="A219" s="4" t="s">
        <v>264</v>
      </c>
      <c r="B219" s="4" t="s">
        <v>47</v>
      </c>
      <c r="C219" s="4">
        <v>77</v>
      </c>
      <c r="D219" s="8">
        <v>16.2</v>
      </c>
      <c r="E219" s="7">
        <v>0</v>
      </c>
      <c r="F219" s="7">
        <v>508000</v>
      </c>
    </row>
    <row r="220" spans="1:6">
      <c r="A220" s="4" t="s">
        <v>265</v>
      </c>
      <c r="B220" s="4" t="s">
        <v>45</v>
      </c>
      <c r="C220" s="4">
        <v>22</v>
      </c>
      <c r="D220" s="8">
        <v>1.8</v>
      </c>
      <c r="E220" s="7">
        <v>445000</v>
      </c>
      <c r="F220" s="7">
        <v>0</v>
      </c>
    </row>
    <row r="221" spans="1:6">
      <c r="A221" s="4" t="s">
        <v>266</v>
      </c>
      <c r="B221" s="4" t="s">
        <v>45</v>
      </c>
      <c r="C221" s="4">
        <v>30</v>
      </c>
      <c r="D221" s="8">
        <v>2.2000000000000002</v>
      </c>
      <c r="E221" s="7">
        <v>701000</v>
      </c>
      <c r="F221" s="7">
        <v>0</v>
      </c>
    </row>
    <row r="222" spans="1:6">
      <c r="A222" s="4" t="s">
        <v>267</v>
      </c>
      <c r="B222" s="4" t="s">
        <v>47</v>
      </c>
      <c r="C222" s="4">
        <v>81</v>
      </c>
      <c r="D222" s="8">
        <v>25.8</v>
      </c>
      <c r="E222" s="7">
        <v>0</v>
      </c>
      <c r="F222" s="7">
        <v>294000</v>
      </c>
    </row>
    <row r="223" spans="1:6">
      <c r="A223" s="4" t="s">
        <v>268</v>
      </c>
      <c r="B223" s="4" t="s">
        <v>45</v>
      </c>
      <c r="C223" s="4">
        <v>31</v>
      </c>
      <c r="D223" s="8">
        <v>5</v>
      </c>
      <c r="E223" s="7">
        <v>526000</v>
      </c>
      <c r="F223" s="7">
        <v>0</v>
      </c>
    </row>
    <row r="224" spans="1:6">
      <c r="A224" s="4" t="s">
        <v>269</v>
      </c>
      <c r="B224" s="4" t="s">
        <v>45</v>
      </c>
      <c r="C224" s="4">
        <v>35</v>
      </c>
      <c r="D224" s="8">
        <v>7.5</v>
      </c>
      <c r="E224" s="7">
        <v>774000</v>
      </c>
      <c r="F224" s="7">
        <v>0</v>
      </c>
    </row>
    <row r="225" spans="1:6">
      <c r="A225" s="4" t="s">
        <v>270</v>
      </c>
      <c r="B225" s="4" t="s">
        <v>57</v>
      </c>
      <c r="C225" s="4">
        <v>53</v>
      </c>
      <c r="D225" s="8">
        <v>10.6</v>
      </c>
      <c r="E225" s="7">
        <v>855000</v>
      </c>
      <c r="F225" s="7">
        <v>0</v>
      </c>
    </row>
    <row r="226" spans="1:6">
      <c r="A226" s="4" t="s">
        <v>271</v>
      </c>
      <c r="B226" s="4" t="s">
        <v>57</v>
      </c>
      <c r="C226" s="4">
        <v>37</v>
      </c>
      <c r="D226" s="8">
        <v>7.6</v>
      </c>
      <c r="E226" s="7">
        <v>685000</v>
      </c>
      <c r="F226" s="7">
        <v>0</v>
      </c>
    </row>
    <row r="227" spans="1:6">
      <c r="A227" s="4" t="s">
        <v>272</v>
      </c>
      <c r="B227" s="4" t="s">
        <v>45</v>
      </c>
      <c r="C227" s="4">
        <v>30</v>
      </c>
      <c r="D227" s="8">
        <v>2.8</v>
      </c>
      <c r="E227" s="7">
        <v>710000</v>
      </c>
      <c r="F227" s="7">
        <v>0</v>
      </c>
    </row>
    <row r="228" spans="1:6">
      <c r="A228" s="4" t="s">
        <v>273</v>
      </c>
      <c r="B228" s="4" t="s">
        <v>45</v>
      </c>
      <c r="C228" s="4">
        <v>31</v>
      </c>
      <c r="D228" s="8">
        <v>7.1</v>
      </c>
      <c r="E228" s="7">
        <v>746000</v>
      </c>
      <c r="F228" s="7">
        <v>0</v>
      </c>
    </row>
    <row r="229" spans="1:6">
      <c r="A229" s="4" t="s">
        <v>274</v>
      </c>
      <c r="B229" s="4" t="s">
        <v>45</v>
      </c>
      <c r="C229" s="4">
        <v>28</v>
      </c>
      <c r="D229" s="8">
        <v>1.4</v>
      </c>
      <c r="E229" s="7">
        <v>390000</v>
      </c>
      <c r="F229" s="7">
        <v>0</v>
      </c>
    </row>
    <row r="230" spans="1:6">
      <c r="A230" s="4" t="s">
        <v>275</v>
      </c>
      <c r="B230" s="4" t="s">
        <v>47</v>
      </c>
      <c r="C230" s="4">
        <v>75</v>
      </c>
      <c r="D230" s="8">
        <v>14.5</v>
      </c>
      <c r="E230" s="7">
        <v>0</v>
      </c>
      <c r="F230" s="7">
        <v>270000</v>
      </c>
    </row>
    <row r="231" spans="1:6">
      <c r="A231" s="4" t="s">
        <v>276</v>
      </c>
      <c r="B231" s="4" t="s">
        <v>47</v>
      </c>
      <c r="C231" s="4">
        <v>61</v>
      </c>
      <c r="D231" s="8">
        <v>28.9</v>
      </c>
      <c r="E231" s="7">
        <v>0</v>
      </c>
      <c r="F231" s="7">
        <v>230000</v>
      </c>
    </row>
    <row r="232" spans="1:6">
      <c r="A232" s="4" t="s">
        <v>277</v>
      </c>
      <c r="B232" s="4" t="s">
        <v>47</v>
      </c>
      <c r="C232" s="4">
        <v>65</v>
      </c>
      <c r="D232" s="8">
        <v>38.799999999999997</v>
      </c>
      <c r="E232" s="7">
        <v>0</v>
      </c>
      <c r="F232" s="7">
        <v>217000</v>
      </c>
    </row>
    <row r="233" spans="1:6">
      <c r="A233" s="4" t="s">
        <v>278</v>
      </c>
      <c r="B233" s="4" t="s">
        <v>45</v>
      </c>
      <c r="C233" s="4">
        <v>33</v>
      </c>
      <c r="D233" s="8">
        <v>5.3</v>
      </c>
      <c r="E233" s="7">
        <v>515000</v>
      </c>
      <c r="F233" s="7">
        <v>0</v>
      </c>
    </row>
    <row r="234" spans="1:6">
      <c r="A234" s="4" t="s">
        <v>279</v>
      </c>
      <c r="B234" s="4" t="s">
        <v>45</v>
      </c>
      <c r="C234" s="4">
        <v>25</v>
      </c>
      <c r="D234" s="8">
        <v>1.6</v>
      </c>
      <c r="E234" s="7">
        <v>378000</v>
      </c>
      <c r="F234" s="7">
        <v>0</v>
      </c>
    </row>
    <row r="235" spans="1:6">
      <c r="A235" s="4" t="s">
        <v>280</v>
      </c>
      <c r="B235" s="4" t="s">
        <v>47</v>
      </c>
      <c r="C235" s="4">
        <v>79</v>
      </c>
      <c r="D235" s="8">
        <v>35.6</v>
      </c>
      <c r="E235" s="7">
        <v>0</v>
      </c>
      <c r="F235" s="7">
        <v>592000</v>
      </c>
    </row>
    <row r="236" spans="1:6">
      <c r="A236" s="4" t="s">
        <v>281</v>
      </c>
      <c r="B236" s="4" t="s">
        <v>47</v>
      </c>
      <c r="C236" s="4">
        <v>63</v>
      </c>
      <c r="D236" s="8">
        <v>24.1</v>
      </c>
      <c r="E236" s="7">
        <v>0</v>
      </c>
      <c r="F236" s="7">
        <v>332000</v>
      </c>
    </row>
    <row r="237" spans="1:6">
      <c r="A237" s="4" t="s">
        <v>282</v>
      </c>
      <c r="B237" s="4" t="s">
        <v>45</v>
      </c>
      <c r="C237" s="4">
        <v>49</v>
      </c>
      <c r="D237" s="8">
        <v>13.7</v>
      </c>
      <c r="E237" s="7">
        <v>1189000</v>
      </c>
      <c r="F237" s="7">
        <v>0</v>
      </c>
    </row>
    <row r="238" spans="1:6">
      <c r="A238" s="4" t="s">
        <v>283</v>
      </c>
      <c r="B238" s="4" t="s">
        <v>45</v>
      </c>
      <c r="C238" s="4">
        <v>37</v>
      </c>
      <c r="D238" s="8">
        <v>14.8</v>
      </c>
      <c r="E238" s="7">
        <v>601000</v>
      </c>
      <c r="F238" s="7">
        <v>0</v>
      </c>
    </row>
    <row r="239" spans="1:6">
      <c r="A239" s="4" t="s">
        <v>284</v>
      </c>
      <c r="B239" s="4" t="s">
        <v>45</v>
      </c>
      <c r="C239" s="4">
        <v>36</v>
      </c>
      <c r="D239" s="8">
        <v>6.7</v>
      </c>
      <c r="E239" s="7">
        <v>826000</v>
      </c>
      <c r="F239" s="7">
        <v>0</v>
      </c>
    </row>
    <row r="240" spans="1:6">
      <c r="A240" s="4" t="s">
        <v>285</v>
      </c>
      <c r="B240" s="4" t="s">
        <v>45</v>
      </c>
      <c r="C240" s="4">
        <v>28</v>
      </c>
      <c r="D240" s="8">
        <v>2.6</v>
      </c>
      <c r="E240" s="7">
        <v>663000</v>
      </c>
      <c r="F240" s="7">
        <v>0</v>
      </c>
    </row>
    <row r="241" spans="1:6">
      <c r="A241" s="4" t="s">
        <v>286</v>
      </c>
      <c r="B241" s="4" t="s">
        <v>45</v>
      </c>
      <c r="C241" s="4">
        <v>49</v>
      </c>
      <c r="D241" s="8">
        <v>18.8</v>
      </c>
      <c r="E241" s="7">
        <v>1602000</v>
      </c>
      <c r="F241" s="7">
        <v>0</v>
      </c>
    </row>
    <row r="242" spans="1:6">
      <c r="A242" s="4" t="s">
        <v>287</v>
      </c>
      <c r="B242" s="4" t="s">
        <v>57</v>
      </c>
      <c r="C242" s="4">
        <v>40</v>
      </c>
      <c r="D242" s="8">
        <v>5.3</v>
      </c>
      <c r="E242" s="7">
        <v>541000</v>
      </c>
      <c r="F242" s="7">
        <v>0</v>
      </c>
    </row>
    <row r="243" spans="1:6">
      <c r="A243" s="4" t="s">
        <v>288</v>
      </c>
      <c r="B243" s="4" t="s">
        <v>45</v>
      </c>
      <c r="C243" s="4">
        <v>23</v>
      </c>
      <c r="D243" s="8">
        <v>1</v>
      </c>
      <c r="E243" s="7">
        <v>332000</v>
      </c>
      <c r="F243" s="7">
        <v>0</v>
      </c>
    </row>
    <row r="244" spans="1:6">
      <c r="A244" s="4" t="s">
        <v>289</v>
      </c>
      <c r="B244" s="4" t="s">
        <v>47</v>
      </c>
      <c r="C244" s="4">
        <v>73</v>
      </c>
      <c r="D244" s="8">
        <v>22.3</v>
      </c>
      <c r="E244" s="7">
        <v>0</v>
      </c>
      <c r="F244" s="7">
        <v>425000</v>
      </c>
    </row>
    <row r="245" spans="1:6">
      <c r="A245" s="4" t="s">
        <v>290</v>
      </c>
      <c r="B245" s="4" t="s">
        <v>45</v>
      </c>
      <c r="C245" s="4">
        <v>30</v>
      </c>
      <c r="D245" s="8">
        <v>4.8</v>
      </c>
      <c r="E245" s="7">
        <v>637000</v>
      </c>
      <c r="F245" s="7">
        <v>0</v>
      </c>
    </row>
    <row r="246" spans="1:6">
      <c r="A246" s="4" t="s">
        <v>291</v>
      </c>
      <c r="B246" s="4" t="s">
        <v>45</v>
      </c>
      <c r="C246" s="4">
        <v>42</v>
      </c>
      <c r="D246" s="8">
        <v>3.8</v>
      </c>
      <c r="E246" s="7">
        <v>1224000</v>
      </c>
      <c r="F246" s="7">
        <v>0</v>
      </c>
    </row>
    <row r="247" spans="1:6">
      <c r="A247" s="4" t="s">
        <v>292</v>
      </c>
      <c r="B247" s="4" t="s">
        <v>45</v>
      </c>
      <c r="C247" s="4">
        <v>39</v>
      </c>
      <c r="D247" s="8">
        <v>4.0999999999999996</v>
      </c>
      <c r="E247" s="7">
        <v>997000</v>
      </c>
      <c r="F247" s="7">
        <v>0</v>
      </c>
    </row>
    <row r="248" spans="1:6">
      <c r="A248" s="4" t="s">
        <v>293</v>
      </c>
      <c r="B248" s="4" t="s">
        <v>45</v>
      </c>
      <c r="C248" s="4">
        <v>32</v>
      </c>
      <c r="D248" s="8">
        <v>8.6999999999999993</v>
      </c>
      <c r="E248" s="7">
        <v>458000</v>
      </c>
      <c r="F248" s="7">
        <v>0</v>
      </c>
    </row>
    <row r="249" spans="1:6">
      <c r="A249" s="4" t="s">
        <v>294</v>
      </c>
      <c r="B249" s="4" t="s">
        <v>57</v>
      </c>
      <c r="C249" s="4">
        <v>30</v>
      </c>
      <c r="D249" s="8">
        <v>2</v>
      </c>
      <c r="E249" s="7">
        <v>325000</v>
      </c>
      <c r="F249" s="7">
        <v>0</v>
      </c>
    </row>
    <row r="250" spans="1:6">
      <c r="A250" s="4" t="s">
        <v>295</v>
      </c>
      <c r="B250" s="4" t="s">
        <v>45</v>
      </c>
      <c r="C250" s="4">
        <v>42</v>
      </c>
      <c r="D250" s="8">
        <v>3.9</v>
      </c>
      <c r="E250" s="7">
        <v>726000</v>
      </c>
      <c r="F250" s="7">
        <v>0</v>
      </c>
    </row>
    <row r="251" spans="1:6">
      <c r="A251" s="4" t="s">
        <v>296</v>
      </c>
      <c r="B251" s="4" t="s">
        <v>47</v>
      </c>
      <c r="C251" s="4">
        <v>77</v>
      </c>
      <c r="D251" s="8">
        <v>29.2</v>
      </c>
      <c r="E251" s="7">
        <v>0</v>
      </c>
      <c r="F251" s="7">
        <v>240000</v>
      </c>
    </row>
    <row r="252" spans="1:6">
      <c r="A252" s="4" t="s">
        <v>297</v>
      </c>
      <c r="B252" s="4" t="s">
        <v>45</v>
      </c>
      <c r="C252" s="4">
        <v>57</v>
      </c>
      <c r="D252" s="8">
        <v>13.4</v>
      </c>
      <c r="E252" s="7">
        <v>1650000</v>
      </c>
      <c r="F252" s="7">
        <v>0</v>
      </c>
    </row>
    <row r="253" spans="1:6">
      <c r="A253" s="4" t="s">
        <v>298</v>
      </c>
      <c r="B253" s="4" t="s">
        <v>45</v>
      </c>
      <c r="C253" s="4">
        <v>30</v>
      </c>
      <c r="D253" s="8">
        <v>7.2</v>
      </c>
      <c r="E253" s="7">
        <v>442000</v>
      </c>
      <c r="F253" s="7">
        <v>0</v>
      </c>
    </row>
    <row r="254" spans="1:6">
      <c r="A254" s="4" t="s">
        <v>299</v>
      </c>
      <c r="B254" s="4" t="s">
        <v>45</v>
      </c>
      <c r="C254" s="4">
        <v>41</v>
      </c>
      <c r="D254" s="8">
        <v>16.8</v>
      </c>
      <c r="E254" s="7">
        <v>749000</v>
      </c>
      <c r="F254" s="7">
        <v>0</v>
      </c>
    </row>
    <row r="255" spans="1:6">
      <c r="A255" s="4" t="s">
        <v>300</v>
      </c>
      <c r="B255" s="4" t="s">
        <v>45</v>
      </c>
      <c r="C255" s="4">
        <v>43</v>
      </c>
      <c r="D255" s="8">
        <v>18.3</v>
      </c>
      <c r="E255" s="7">
        <v>1278000</v>
      </c>
      <c r="F255" s="7">
        <v>0</v>
      </c>
    </row>
    <row r="256" spans="1:6">
      <c r="A256" s="4" t="s">
        <v>301</v>
      </c>
      <c r="B256" s="4" t="s">
        <v>45</v>
      </c>
      <c r="C256" s="4">
        <v>52</v>
      </c>
      <c r="D256" s="8">
        <v>9.4</v>
      </c>
      <c r="E256" s="7">
        <v>1629000</v>
      </c>
      <c r="F256" s="7">
        <v>0</v>
      </c>
    </row>
    <row r="257" spans="1:6">
      <c r="A257" s="4" t="s">
        <v>302</v>
      </c>
      <c r="B257" s="4" t="s">
        <v>45</v>
      </c>
      <c r="C257" s="4">
        <v>36</v>
      </c>
      <c r="D257" s="8">
        <v>4</v>
      </c>
      <c r="E257" s="7">
        <v>583000</v>
      </c>
      <c r="F257" s="7">
        <v>0</v>
      </c>
    </row>
    <row r="258" spans="1:6">
      <c r="A258" s="4" t="s">
        <v>303</v>
      </c>
      <c r="B258" s="4" t="s">
        <v>45</v>
      </c>
      <c r="C258" s="4">
        <v>48</v>
      </c>
      <c r="D258" s="8">
        <v>6.3</v>
      </c>
      <c r="E258" s="7">
        <v>1371000</v>
      </c>
      <c r="F258" s="7">
        <v>0</v>
      </c>
    </row>
    <row r="259" spans="1:6">
      <c r="A259" s="4" t="s">
        <v>304</v>
      </c>
      <c r="B259" s="4" t="s">
        <v>47</v>
      </c>
      <c r="C259" s="4">
        <v>61</v>
      </c>
      <c r="D259" s="8">
        <v>28.6</v>
      </c>
      <c r="E259" s="7">
        <v>0</v>
      </c>
      <c r="F259" s="7">
        <v>274000</v>
      </c>
    </row>
    <row r="260" spans="1:6">
      <c r="A260" s="4" t="s">
        <v>305</v>
      </c>
      <c r="B260" s="4" t="s">
        <v>45</v>
      </c>
      <c r="C260" s="4">
        <v>35</v>
      </c>
      <c r="D260" s="8">
        <v>9.3000000000000007</v>
      </c>
      <c r="E260" s="7">
        <v>578000</v>
      </c>
      <c r="F260" s="7">
        <v>0</v>
      </c>
    </row>
    <row r="261" spans="1:6">
      <c r="A261" s="4" t="s">
        <v>306</v>
      </c>
      <c r="B261" s="4" t="s">
        <v>57</v>
      </c>
      <c r="C261" s="4">
        <v>55</v>
      </c>
      <c r="D261" s="8">
        <v>4.8</v>
      </c>
      <c r="E261" s="7">
        <v>1176000</v>
      </c>
      <c r="F261" s="7">
        <v>0</v>
      </c>
    </row>
    <row r="262" spans="1:6">
      <c r="A262" s="4" t="s">
        <v>307</v>
      </c>
      <c r="B262" s="4" t="s">
        <v>47</v>
      </c>
      <c r="C262" s="4">
        <v>87</v>
      </c>
      <c r="D262" s="8">
        <v>20.6</v>
      </c>
      <c r="E262" s="7">
        <v>0</v>
      </c>
      <c r="F262" s="7">
        <v>860000</v>
      </c>
    </row>
    <row r="263" spans="1:6">
      <c r="A263" s="4" t="s">
        <v>308</v>
      </c>
      <c r="B263" s="4" t="s">
        <v>45</v>
      </c>
      <c r="C263" s="4">
        <v>52</v>
      </c>
      <c r="D263" s="8">
        <v>24.5</v>
      </c>
      <c r="E263" s="7">
        <v>1709000</v>
      </c>
      <c r="F263" s="7">
        <v>0</v>
      </c>
    </row>
    <row r="264" spans="1:6">
      <c r="A264" s="4" t="s">
        <v>309</v>
      </c>
      <c r="B264" s="4" t="s">
        <v>57</v>
      </c>
      <c r="C264" s="4">
        <v>58</v>
      </c>
      <c r="D264" s="8">
        <v>14.1</v>
      </c>
      <c r="E264" s="7">
        <v>1243000</v>
      </c>
      <c r="F264" s="7">
        <v>0</v>
      </c>
    </row>
    <row r="265" spans="1:6">
      <c r="A265" s="4" t="s">
        <v>310</v>
      </c>
      <c r="B265" s="4" t="s">
        <v>45</v>
      </c>
      <c r="C265" s="4">
        <v>34</v>
      </c>
      <c r="D265" s="8">
        <v>11.5</v>
      </c>
      <c r="E265" s="7">
        <v>869000</v>
      </c>
      <c r="F265" s="7">
        <v>0</v>
      </c>
    </row>
    <row r="266" spans="1:6">
      <c r="A266" s="4" t="s">
        <v>311</v>
      </c>
      <c r="B266" s="4" t="s">
        <v>45</v>
      </c>
      <c r="C266" s="4">
        <v>31</v>
      </c>
      <c r="D266" s="8">
        <v>8.5</v>
      </c>
      <c r="E266" s="7">
        <v>542000</v>
      </c>
      <c r="F266" s="7">
        <v>0</v>
      </c>
    </row>
    <row r="267" spans="1:6">
      <c r="A267" s="4" t="s">
        <v>312</v>
      </c>
      <c r="B267" s="4" t="s">
        <v>45</v>
      </c>
      <c r="C267" s="4">
        <v>29</v>
      </c>
      <c r="D267" s="8">
        <v>1</v>
      </c>
      <c r="E267" s="7">
        <v>526000</v>
      </c>
      <c r="F267" s="7">
        <v>0</v>
      </c>
    </row>
    <row r="268" spans="1:6">
      <c r="A268" s="4" t="s">
        <v>313</v>
      </c>
      <c r="B268" s="4" t="s">
        <v>47</v>
      </c>
      <c r="C268" s="4">
        <v>74</v>
      </c>
      <c r="D268" s="8">
        <v>19.399999999999999</v>
      </c>
      <c r="E268" s="7">
        <v>0</v>
      </c>
      <c r="F268" s="7">
        <v>471000</v>
      </c>
    </row>
    <row r="269" spans="1:6">
      <c r="A269" s="4" t="s">
        <v>314</v>
      </c>
      <c r="B269" s="4" t="s">
        <v>45</v>
      </c>
      <c r="C269" s="4">
        <v>23</v>
      </c>
      <c r="D269" s="8">
        <v>1</v>
      </c>
      <c r="E269" s="7">
        <v>540000</v>
      </c>
      <c r="F269" s="7">
        <v>0</v>
      </c>
    </row>
    <row r="270" spans="1:6">
      <c r="A270" s="4" t="s">
        <v>315</v>
      </c>
      <c r="B270" s="4" t="s">
        <v>45</v>
      </c>
      <c r="C270" s="4">
        <v>49</v>
      </c>
      <c r="D270" s="8">
        <v>14.2</v>
      </c>
      <c r="E270" s="7">
        <v>1034000</v>
      </c>
      <c r="F270" s="7">
        <v>0</v>
      </c>
    </row>
    <row r="271" spans="1:6">
      <c r="A271" s="4" t="s">
        <v>316</v>
      </c>
      <c r="B271" s="4" t="s">
        <v>45</v>
      </c>
      <c r="C271" s="4">
        <v>55</v>
      </c>
      <c r="D271" s="8">
        <v>17.2</v>
      </c>
      <c r="E271" s="7">
        <v>2189000</v>
      </c>
      <c r="F271" s="7">
        <v>0</v>
      </c>
    </row>
    <row r="272" spans="1:6">
      <c r="A272" s="4" t="s">
        <v>317</v>
      </c>
      <c r="B272" s="4" t="s">
        <v>47</v>
      </c>
      <c r="C272" s="4">
        <v>65</v>
      </c>
      <c r="D272" s="8">
        <v>22.2</v>
      </c>
      <c r="E272" s="7">
        <v>0</v>
      </c>
      <c r="F272" s="7">
        <v>314000</v>
      </c>
    </row>
    <row r="273" spans="1:6">
      <c r="A273" s="4" t="s">
        <v>318</v>
      </c>
      <c r="B273" s="4" t="s">
        <v>57</v>
      </c>
      <c r="C273" s="4">
        <v>42</v>
      </c>
      <c r="D273" s="8">
        <v>4.9000000000000004</v>
      </c>
      <c r="E273" s="7">
        <v>762000</v>
      </c>
      <c r="F273" s="7">
        <v>0</v>
      </c>
    </row>
    <row r="274" spans="1:6">
      <c r="A274" s="4" t="s">
        <v>319</v>
      </c>
      <c r="B274" s="4" t="s">
        <v>47</v>
      </c>
      <c r="C274" s="4">
        <v>61</v>
      </c>
      <c r="D274" s="8">
        <v>28.5</v>
      </c>
      <c r="E274" s="7">
        <v>0</v>
      </c>
      <c r="F274" s="7">
        <v>165000</v>
      </c>
    </row>
    <row r="275" spans="1:6">
      <c r="A275" s="4" t="s">
        <v>320</v>
      </c>
      <c r="B275" s="4" t="s">
        <v>47</v>
      </c>
      <c r="C275" s="4">
        <v>67</v>
      </c>
      <c r="D275" s="8">
        <v>33.6</v>
      </c>
      <c r="E275" s="7">
        <v>0</v>
      </c>
      <c r="F275" s="7">
        <v>298000</v>
      </c>
    </row>
    <row r="276" spans="1:6">
      <c r="A276" s="4" t="s">
        <v>321</v>
      </c>
      <c r="B276" s="4" t="s">
        <v>45</v>
      </c>
      <c r="C276" s="4">
        <v>24</v>
      </c>
      <c r="D276" s="8">
        <v>1.6</v>
      </c>
      <c r="E276" s="7">
        <v>463000</v>
      </c>
      <c r="F276" s="7">
        <v>0</v>
      </c>
    </row>
    <row r="277" spans="1:6">
      <c r="A277" s="4" t="s">
        <v>322</v>
      </c>
      <c r="B277" s="4" t="s">
        <v>45</v>
      </c>
      <c r="C277" s="4">
        <v>24</v>
      </c>
      <c r="D277" s="8">
        <v>1</v>
      </c>
      <c r="E277" s="7">
        <v>549000</v>
      </c>
      <c r="F277" s="7">
        <v>0</v>
      </c>
    </row>
    <row r="278" spans="1:6">
      <c r="A278" s="4" t="s">
        <v>323</v>
      </c>
      <c r="B278" s="4" t="s">
        <v>45</v>
      </c>
      <c r="C278" s="4">
        <v>22</v>
      </c>
      <c r="D278" s="8">
        <v>1</v>
      </c>
      <c r="E278" s="7">
        <v>388000</v>
      </c>
      <c r="F278" s="7">
        <v>0</v>
      </c>
    </row>
    <row r="279" spans="1:6">
      <c r="A279" s="4" t="s">
        <v>324</v>
      </c>
      <c r="B279" s="4" t="s">
        <v>47</v>
      </c>
      <c r="C279" s="4">
        <v>79</v>
      </c>
      <c r="D279" s="8">
        <v>22.9</v>
      </c>
      <c r="E279" s="7">
        <v>0</v>
      </c>
      <c r="F279" s="7">
        <v>369000</v>
      </c>
    </row>
    <row r="280" spans="1:6">
      <c r="A280" s="4" t="s">
        <v>325</v>
      </c>
      <c r="B280" s="4" t="s">
        <v>45</v>
      </c>
      <c r="C280" s="4">
        <v>57</v>
      </c>
      <c r="D280" s="8">
        <v>26</v>
      </c>
      <c r="E280" s="7">
        <v>2256000</v>
      </c>
      <c r="F280" s="7">
        <v>0</v>
      </c>
    </row>
    <row r="281" spans="1:6">
      <c r="A281" s="4" t="s">
        <v>326</v>
      </c>
      <c r="B281" s="4" t="s">
        <v>45</v>
      </c>
      <c r="C281" s="4">
        <v>32</v>
      </c>
      <c r="D281" s="8">
        <v>1.9</v>
      </c>
      <c r="E281" s="7">
        <v>574000</v>
      </c>
      <c r="F281" s="7">
        <v>0</v>
      </c>
    </row>
    <row r="282" spans="1:6">
      <c r="A282" s="4" t="s">
        <v>327</v>
      </c>
      <c r="B282" s="4" t="s">
        <v>45</v>
      </c>
      <c r="C282" s="4">
        <v>55</v>
      </c>
      <c r="D282" s="8">
        <v>29</v>
      </c>
      <c r="E282" s="7">
        <v>1669000</v>
      </c>
      <c r="F282" s="7">
        <v>0</v>
      </c>
    </row>
    <row r="283" spans="1:6">
      <c r="A283" s="4" t="s">
        <v>328</v>
      </c>
      <c r="B283" s="4" t="s">
        <v>47</v>
      </c>
      <c r="C283" s="4">
        <v>73</v>
      </c>
      <c r="D283" s="8">
        <v>30.8</v>
      </c>
      <c r="E283" s="7">
        <v>0</v>
      </c>
      <c r="F283" s="7">
        <v>545000</v>
      </c>
    </row>
    <row r="284" spans="1:6">
      <c r="A284" s="4" t="s">
        <v>329</v>
      </c>
      <c r="B284" s="4" t="s">
        <v>45</v>
      </c>
      <c r="C284" s="4">
        <v>53</v>
      </c>
      <c r="D284" s="8">
        <v>2</v>
      </c>
      <c r="E284" s="7">
        <v>1967000</v>
      </c>
      <c r="F284" s="7">
        <v>0</v>
      </c>
    </row>
    <row r="285" spans="1:6">
      <c r="A285" s="4" t="s">
        <v>330</v>
      </c>
      <c r="B285" s="4" t="s">
        <v>45</v>
      </c>
      <c r="C285" s="4">
        <v>39</v>
      </c>
      <c r="D285" s="8">
        <v>7</v>
      </c>
      <c r="E285" s="7">
        <v>1094000</v>
      </c>
      <c r="F285" s="7">
        <v>0</v>
      </c>
    </row>
    <row r="286" spans="1:6">
      <c r="A286" s="4" t="s">
        <v>331</v>
      </c>
      <c r="B286" s="4" t="s">
        <v>45</v>
      </c>
      <c r="C286" s="4">
        <v>33</v>
      </c>
      <c r="D286" s="8">
        <v>1.1000000000000001</v>
      </c>
      <c r="E286" s="7">
        <v>839000</v>
      </c>
      <c r="F286" s="7">
        <v>0</v>
      </c>
    </row>
    <row r="287" spans="1:6">
      <c r="A287" s="4" t="s">
        <v>332</v>
      </c>
      <c r="B287" s="4" t="s">
        <v>57</v>
      </c>
      <c r="C287" s="4">
        <v>55</v>
      </c>
      <c r="D287" s="8">
        <v>11.3</v>
      </c>
      <c r="E287" s="7">
        <v>1286000</v>
      </c>
      <c r="F287" s="7">
        <v>0</v>
      </c>
    </row>
    <row r="288" spans="1:6">
      <c r="A288" s="4" t="s">
        <v>333</v>
      </c>
      <c r="B288" s="4" t="s">
        <v>45</v>
      </c>
      <c r="C288" s="4">
        <v>23</v>
      </c>
      <c r="D288" s="8">
        <v>1</v>
      </c>
      <c r="E288" s="7">
        <v>547000</v>
      </c>
      <c r="F288" s="7">
        <v>0</v>
      </c>
    </row>
    <row r="289" spans="1:6">
      <c r="A289" s="4" t="s">
        <v>334</v>
      </c>
      <c r="B289" s="4" t="s">
        <v>47</v>
      </c>
      <c r="C289" s="4">
        <v>89</v>
      </c>
      <c r="D289" s="8">
        <v>22.8</v>
      </c>
      <c r="E289" s="7">
        <v>0</v>
      </c>
      <c r="F289" s="7">
        <v>566000</v>
      </c>
    </row>
    <row r="290" spans="1:6">
      <c r="A290" s="4" t="s">
        <v>335</v>
      </c>
      <c r="B290" s="4" t="s">
        <v>45</v>
      </c>
      <c r="C290" s="4">
        <v>54</v>
      </c>
      <c r="D290" s="8">
        <v>11.7</v>
      </c>
      <c r="E290" s="7">
        <v>1365000</v>
      </c>
      <c r="F290" s="7">
        <v>0</v>
      </c>
    </row>
    <row r="291" spans="1:6">
      <c r="A291" s="4" t="s">
        <v>336</v>
      </c>
      <c r="B291" s="4" t="s">
        <v>45</v>
      </c>
      <c r="C291" s="4">
        <v>47</v>
      </c>
      <c r="D291" s="8">
        <v>17.7</v>
      </c>
      <c r="E291" s="7">
        <v>1488000</v>
      </c>
      <c r="F291" s="7">
        <v>0</v>
      </c>
    </row>
    <row r="292" spans="1:6">
      <c r="A292" s="4" t="s">
        <v>337</v>
      </c>
      <c r="B292" s="4" t="s">
        <v>45</v>
      </c>
      <c r="C292" s="4">
        <v>39</v>
      </c>
      <c r="D292" s="8">
        <v>9.1999999999999993</v>
      </c>
      <c r="E292" s="7">
        <v>850000</v>
      </c>
      <c r="F292" s="7">
        <v>0</v>
      </c>
    </row>
    <row r="293" spans="1:6">
      <c r="A293" s="4" t="s">
        <v>338</v>
      </c>
      <c r="B293" s="4" t="s">
        <v>45</v>
      </c>
      <c r="C293" s="4">
        <v>41</v>
      </c>
      <c r="D293" s="8">
        <v>15.6</v>
      </c>
      <c r="E293" s="7">
        <v>873000</v>
      </c>
      <c r="F293" s="7">
        <v>0</v>
      </c>
    </row>
    <row r="294" spans="1:6">
      <c r="A294" s="4" t="s">
        <v>339</v>
      </c>
      <c r="B294" s="4" t="s">
        <v>45</v>
      </c>
      <c r="C294" s="4">
        <v>54</v>
      </c>
      <c r="D294" s="8">
        <v>26.6</v>
      </c>
      <c r="E294" s="7">
        <v>1546000</v>
      </c>
      <c r="F294" s="7">
        <v>0</v>
      </c>
    </row>
    <row r="295" spans="1:6">
      <c r="A295" s="4" t="s">
        <v>340</v>
      </c>
      <c r="B295" s="4" t="s">
        <v>45</v>
      </c>
      <c r="C295" s="4">
        <v>22</v>
      </c>
      <c r="D295" s="8">
        <v>1</v>
      </c>
      <c r="E295" s="7">
        <v>557000</v>
      </c>
      <c r="F295" s="7">
        <v>0</v>
      </c>
    </row>
    <row r="296" spans="1:6">
      <c r="A296" s="4" t="s">
        <v>341</v>
      </c>
      <c r="B296" s="4" t="s">
        <v>45</v>
      </c>
      <c r="C296" s="4">
        <v>51</v>
      </c>
      <c r="D296" s="8">
        <v>23.9</v>
      </c>
      <c r="E296" s="7">
        <v>1558000</v>
      </c>
      <c r="F296" s="7">
        <v>0</v>
      </c>
    </row>
    <row r="297" spans="1:6">
      <c r="A297" s="4" t="s">
        <v>342</v>
      </c>
      <c r="B297" s="4" t="s">
        <v>45</v>
      </c>
      <c r="C297" s="4">
        <v>36</v>
      </c>
      <c r="D297" s="8">
        <v>9.1999999999999993</v>
      </c>
      <c r="E297" s="7">
        <v>621000</v>
      </c>
      <c r="F297" s="7">
        <v>0</v>
      </c>
    </row>
    <row r="298" spans="1:6">
      <c r="A298" s="4" t="s">
        <v>343</v>
      </c>
      <c r="B298" s="4" t="s">
        <v>45</v>
      </c>
      <c r="C298" s="4">
        <v>28</v>
      </c>
      <c r="D298" s="8">
        <v>2.2000000000000002</v>
      </c>
      <c r="E298" s="7">
        <v>447000</v>
      </c>
      <c r="F298" s="7">
        <v>0</v>
      </c>
    </row>
    <row r="299" spans="1:6">
      <c r="A299" s="4" t="s">
        <v>344</v>
      </c>
      <c r="B299" s="4" t="s">
        <v>45</v>
      </c>
      <c r="C299" s="4">
        <v>31</v>
      </c>
      <c r="D299" s="8">
        <v>5.9</v>
      </c>
      <c r="E299" s="7">
        <v>609000</v>
      </c>
      <c r="F299" s="7">
        <v>0</v>
      </c>
    </row>
    <row r="300" spans="1:6">
      <c r="A300" s="4" t="s">
        <v>345</v>
      </c>
      <c r="B300" s="4" t="s">
        <v>47</v>
      </c>
      <c r="C300" s="4">
        <v>64</v>
      </c>
      <c r="D300" s="8">
        <v>36.799999999999997</v>
      </c>
      <c r="E300" s="7">
        <v>0</v>
      </c>
      <c r="F300" s="7">
        <v>376000</v>
      </c>
    </row>
    <row r="301" spans="1:6">
      <c r="A301" s="4" t="s">
        <v>346</v>
      </c>
      <c r="B301" s="4" t="s">
        <v>45</v>
      </c>
      <c r="C301" s="4">
        <v>33</v>
      </c>
      <c r="D301" s="8">
        <v>3.5</v>
      </c>
      <c r="E301" s="7">
        <v>574000</v>
      </c>
      <c r="F301" s="7">
        <v>0</v>
      </c>
    </row>
    <row r="302" spans="1:6">
      <c r="A302" s="4" t="s">
        <v>347</v>
      </c>
      <c r="B302" s="4" t="s">
        <v>47</v>
      </c>
      <c r="C302" s="4">
        <v>84</v>
      </c>
      <c r="D302" s="8">
        <v>21.4</v>
      </c>
      <c r="E302" s="7">
        <v>0</v>
      </c>
      <c r="F302" s="7">
        <v>669000</v>
      </c>
    </row>
    <row r="303" spans="1:6">
      <c r="A303" s="4" t="s">
        <v>348</v>
      </c>
      <c r="B303" s="4" t="s">
        <v>47</v>
      </c>
      <c r="C303" s="4">
        <v>64</v>
      </c>
      <c r="D303" s="8">
        <v>37.700000000000003</v>
      </c>
      <c r="E303" s="7">
        <v>0</v>
      </c>
      <c r="F303" s="7">
        <v>384000</v>
      </c>
    </row>
    <row r="304" spans="1:6">
      <c r="A304" s="4" t="s">
        <v>349</v>
      </c>
      <c r="B304" s="4" t="s">
        <v>45</v>
      </c>
      <c r="C304" s="4">
        <v>54</v>
      </c>
      <c r="D304" s="8">
        <v>21.4</v>
      </c>
      <c r="E304" s="7">
        <v>1649000</v>
      </c>
      <c r="F304" s="7">
        <v>0</v>
      </c>
    </row>
    <row r="305" spans="1:6">
      <c r="A305" s="4" t="s">
        <v>350</v>
      </c>
      <c r="B305" s="4" t="s">
        <v>45</v>
      </c>
      <c r="C305" s="4">
        <v>58</v>
      </c>
      <c r="D305" s="8">
        <v>1.5</v>
      </c>
      <c r="E305" s="7">
        <v>1481000</v>
      </c>
      <c r="F305" s="7">
        <v>0</v>
      </c>
    </row>
    <row r="306" spans="1:6">
      <c r="A306" s="4" t="s">
        <v>351</v>
      </c>
      <c r="B306" s="4" t="s">
        <v>45</v>
      </c>
      <c r="C306" s="4">
        <v>31</v>
      </c>
      <c r="D306" s="8">
        <v>1.3</v>
      </c>
      <c r="E306" s="7">
        <v>498000</v>
      </c>
      <c r="F306" s="7">
        <v>0</v>
      </c>
    </row>
    <row r="307" spans="1:6">
      <c r="A307" s="4" t="s">
        <v>352</v>
      </c>
      <c r="B307" s="4" t="s">
        <v>47</v>
      </c>
      <c r="C307" s="4">
        <v>68</v>
      </c>
      <c r="D307" s="8">
        <v>23.8</v>
      </c>
      <c r="E307" s="7">
        <v>0</v>
      </c>
      <c r="F307" s="7">
        <v>461000</v>
      </c>
    </row>
    <row r="308" spans="1:6">
      <c r="A308" s="4" t="s">
        <v>353</v>
      </c>
      <c r="B308" s="4" t="s">
        <v>45</v>
      </c>
      <c r="C308" s="4">
        <v>37</v>
      </c>
      <c r="D308" s="8">
        <v>13.8</v>
      </c>
      <c r="E308" s="7">
        <v>718000</v>
      </c>
      <c r="F308" s="7">
        <v>0</v>
      </c>
    </row>
    <row r="309" spans="1:6">
      <c r="A309" s="4" t="s">
        <v>354</v>
      </c>
      <c r="B309" s="4" t="s">
        <v>45</v>
      </c>
      <c r="C309" s="4">
        <v>55</v>
      </c>
      <c r="D309" s="8">
        <v>24.8</v>
      </c>
      <c r="E309" s="7">
        <v>1950000</v>
      </c>
      <c r="F309" s="7">
        <v>0</v>
      </c>
    </row>
    <row r="310" spans="1:6">
      <c r="A310" s="4" t="s">
        <v>355</v>
      </c>
      <c r="B310" s="4" t="s">
        <v>45</v>
      </c>
      <c r="C310" s="4">
        <v>54</v>
      </c>
      <c r="D310" s="8">
        <v>4.5999999999999996</v>
      </c>
      <c r="E310" s="7">
        <v>1653000</v>
      </c>
      <c r="F310" s="7">
        <v>0</v>
      </c>
    </row>
    <row r="311" spans="1:6">
      <c r="A311" s="4" t="s">
        <v>356</v>
      </c>
      <c r="B311" s="4" t="s">
        <v>45</v>
      </c>
      <c r="C311" s="4">
        <v>53</v>
      </c>
      <c r="D311" s="8">
        <v>22.4</v>
      </c>
      <c r="E311" s="7">
        <v>1725000</v>
      </c>
      <c r="F311" s="7">
        <v>0</v>
      </c>
    </row>
    <row r="312" spans="1:6">
      <c r="A312" s="4" t="s">
        <v>357</v>
      </c>
      <c r="B312" s="4" t="s">
        <v>45</v>
      </c>
      <c r="C312" s="4">
        <v>51</v>
      </c>
      <c r="D312" s="8">
        <v>1.7</v>
      </c>
      <c r="E312" s="7">
        <v>1621000</v>
      </c>
      <c r="F312" s="7">
        <v>0</v>
      </c>
    </row>
    <row r="313" spans="1:6">
      <c r="A313" s="4" t="s">
        <v>358</v>
      </c>
      <c r="B313" s="4" t="s">
        <v>47</v>
      </c>
      <c r="C313" s="4">
        <v>83</v>
      </c>
      <c r="D313" s="8">
        <v>34.799999999999997</v>
      </c>
      <c r="E313" s="7">
        <v>0</v>
      </c>
      <c r="F313" s="7">
        <v>593000</v>
      </c>
    </row>
    <row r="314" spans="1:6">
      <c r="A314" s="4" t="s">
        <v>359</v>
      </c>
      <c r="B314" s="4" t="s">
        <v>47</v>
      </c>
      <c r="C314" s="4">
        <v>71</v>
      </c>
      <c r="D314" s="8">
        <v>38.1</v>
      </c>
      <c r="E314" s="7">
        <v>0</v>
      </c>
      <c r="F314" s="7">
        <v>213000</v>
      </c>
    </row>
    <row r="315" spans="1:6">
      <c r="A315" s="4" t="s">
        <v>360</v>
      </c>
      <c r="B315" s="4" t="s">
        <v>45</v>
      </c>
      <c r="C315" s="4">
        <v>27</v>
      </c>
      <c r="D315" s="8">
        <v>6.6</v>
      </c>
      <c r="E315" s="7">
        <v>507000</v>
      </c>
      <c r="F315" s="7">
        <v>0</v>
      </c>
    </row>
    <row r="316" spans="1:6">
      <c r="A316" s="4" t="s">
        <v>361</v>
      </c>
      <c r="B316" s="4" t="s">
        <v>57</v>
      </c>
      <c r="C316" s="4">
        <v>41</v>
      </c>
      <c r="D316" s="8">
        <v>6.7</v>
      </c>
      <c r="E316" s="7">
        <v>753000</v>
      </c>
      <c r="F316" s="7">
        <v>0</v>
      </c>
    </row>
    <row r="317" spans="1:6">
      <c r="A317" s="4" t="s">
        <v>362</v>
      </c>
      <c r="B317" s="4" t="s">
        <v>57</v>
      </c>
      <c r="C317" s="4">
        <v>53</v>
      </c>
      <c r="D317" s="8">
        <v>22.7</v>
      </c>
      <c r="E317" s="7">
        <v>847000</v>
      </c>
      <c r="F317" s="7">
        <v>0</v>
      </c>
    </row>
    <row r="318" spans="1:6">
      <c r="A318" s="4" t="s">
        <v>363</v>
      </c>
      <c r="B318" s="4" t="s">
        <v>45</v>
      </c>
      <c r="C318" s="4">
        <v>54</v>
      </c>
      <c r="D318" s="8">
        <v>28.3</v>
      </c>
      <c r="E318" s="7">
        <v>1330000</v>
      </c>
      <c r="F318" s="7">
        <v>0</v>
      </c>
    </row>
    <row r="319" spans="1:6">
      <c r="A319" s="4" t="s">
        <v>364</v>
      </c>
      <c r="B319" s="4" t="s">
        <v>47</v>
      </c>
      <c r="C319" s="4">
        <v>68</v>
      </c>
      <c r="D319" s="8">
        <v>16.899999999999999</v>
      </c>
      <c r="E319" s="7">
        <v>0</v>
      </c>
      <c r="F319" s="7">
        <v>346000</v>
      </c>
    </row>
    <row r="320" spans="1:6">
      <c r="A320" s="4" t="s">
        <v>365</v>
      </c>
      <c r="B320" s="4" t="s">
        <v>45</v>
      </c>
      <c r="C320" s="4">
        <v>30</v>
      </c>
      <c r="D320" s="8">
        <v>2.5</v>
      </c>
      <c r="E320" s="7">
        <v>564000</v>
      </c>
      <c r="F320" s="7">
        <v>0</v>
      </c>
    </row>
    <row r="321" spans="1:6">
      <c r="A321" s="4" t="s">
        <v>366</v>
      </c>
      <c r="B321" s="4" t="s">
        <v>57</v>
      </c>
      <c r="C321" s="4">
        <v>56</v>
      </c>
      <c r="D321" s="8">
        <v>23.2</v>
      </c>
      <c r="E321" s="7">
        <v>982000</v>
      </c>
      <c r="F321" s="7">
        <v>0</v>
      </c>
    </row>
    <row r="322" spans="1:6">
      <c r="A322" s="4" t="s">
        <v>367</v>
      </c>
      <c r="B322" s="4" t="s">
        <v>45</v>
      </c>
      <c r="C322" s="4">
        <v>34</v>
      </c>
      <c r="D322" s="8">
        <v>8.3000000000000007</v>
      </c>
      <c r="E322" s="7">
        <v>746000</v>
      </c>
      <c r="F322" s="7">
        <v>0</v>
      </c>
    </row>
    <row r="323" spans="1:6">
      <c r="A323" s="4" t="s">
        <v>368</v>
      </c>
      <c r="B323" s="4" t="s">
        <v>45</v>
      </c>
      <c r="C323" s="4">
        <v>46</v>
      </c>
      <c r="D323" s="8">
        <v>2.2000000000000002</v>
      </c>
      <c r="E323" s="7">
        <v>1345000</v>
      </c>
      <c r="F323" s="7">
        <v>0</v>
      </c>
    </row>
    <row r="324" spans="1:6">
      <c r="A324" s="4" t="s">
        <v>369</v>
      </c>
      <c r="B324" s="4" t="s">
        <v>45</v>
      </c>
      <c r="C324" s="4">
        <v>45</v>
      </c>
      <c r="D324" s="8">
        <v>18.899999999999999</v>
      </c>
      <c r="E324" s="7">
        <v>1011000</v>
      </c>
      <c r="F324" s="7">
        <v>0</v>
      </c>
    </row>
    <row r="325" spans="1:6">
      <c r="A325" s="4" t="s">
        <v>370</v>
      </c>
      <c r="B325" s="4" t="s">
        <v>57</v>
      </c>
      <c r="C325" s="4">
        <v>45</v>
      </c>
      <c r="D325" s="8">
        <v>16.399999999999999</v>
      </c>
      <c r="E325" s="7">
        <v>546000</v>
      </c>
      <c r="F325" s="7">
        <v>0</v>
      </c>
    </row>
    <row r="326" spans="1:6">
      <c r="A326" s="4" t="s">
        <v>371</v>
      </c>
      <c r="B326" s="4" t="s">
        <v>45</v>
      </c>
      <c r="C326" s="4">
        <v>27</v>
      </c>
      <c r="D326" s="8">
        <v>5.9</v>
      </c>
      <c r="E326" s="7">
        <v>537000</v>
      </c>
      <c r="F326" s="7">
        <v>0</v>
      </c>
    </row>
    <row r="327" spans="1:6">
      <c r="A327" s="4" t="s">
        <v>372</v>
      </c>
      <c r="B327" s="4" t="s">
        <v>57</v>
      </c>
      <c r="C327" s="4">
        <v>46</v>
      </c>
      <c r="D327" s="8">
        <v>9.5</v>
      </c>
      <c r="E327" s="7">
        <v>818000</v>
      </c>
      <c r="F327" s="7">
        <v>0</v>
      </c>
    </row>
    <row r="328" spans="1:6">
      <c r="A328" s="4" t="s">
        <v>373</v>
      </c>
      <c r="B328" s="4" t="s">
        <v>47</v>
      </c>
      <c r="C328" s="4">
        <v>86</v>
      </c>
      <c r="D328" s="8">
        <v>36.1</v>
      </c>
      <c r="E328" s="7">
        <v>0</v>
      </c>
      <c r="F328" s="7">
        <v>311000</v>
      </c>
    </row>
    <row r="329" spans="1:6">
      <c r="A329" s="4" t="s">
        <v>374</v>
      </c>
      <c r="B329" s="4" t="s">
        <v>45</v>
      </c>
      <c r="C329" s="4">
        <v>32</v>
      </c>
      <c r="D329" s="8">
        <v>3</v>
      </c>
      <c r="E329" s="7">
        <v>769000</v>
      </c>
      <c r="F329" s="7">
        <v>0</v>
      </c>
    </row>
    <row r="330" spans="1:6">
      <c r="A330" s="4" t="s">
        <v>375</v>
      </c>
      <c r="B330" s="4" t="s">
        <v>57</v>
      </c>
      <c r="C330" s="4">
        <v>57</v>
      </c>
      <c r="D330" s="8">
        <v>17.3</v>
      </c>
      <c r="E330" s="7">
        <v>1392000</v>
      </c>
      <c r="F330" s="7">
        <v>0</v>
      </c>
    </row>
    <row r="331" spans="1:6">
      <c r="A331" s="4" t="s">
        <v>376</v>
      </c>
      <c r="B331" s="4" t="s">
        <v>45</v>
      </c>
      <c r="C331" s="4">
        <v>29</v>
      </c>
      <c r="D331" s="8">
        <v>2</v>
      </c>
      <c r="E331" s="7">
        <v>619000</v>
      </c>
      <c r="F331" s="7">
        <v>0</v>
      </c>
    </row>
    <row r="332" spans="1:6">
      <c r="A332" s="4" t="s">
        <v>377</v>
      </c>
      <c r="B332" s="4" t="s">
        <v>45</v>
      </c>
      <c r="C332" s="4">
        <v>30</v>
      </c>
      <c r="D332" s="8">
        <v>8.5</v>
      </c>
      <c r="E332" s="7">
        <v>478000</v>
      </c>
      <c r="F332" s="7">
        <v>0</v>
      </c>
    </row>
    <row r="333" spans="1:6">
      <c r="A333" s="4" t="s">
        <v>378</v>
      </c>
      <c r="B333" s="4" t="s">
        <v>45</v>
      </c>
      <c r="C333" s="4">
        <v>59</v>
      </c>
      <c r="D333" s="8">
        <v>23.8</v>
      </c>
      <c r="E333" s="7">
        <v>1923000</v>
      </c>
      <c r="F333" s="7">
        <v>0</v>
      </c>
    </row>
    <row r="334" spans="1:6">
      <c r="A334" s="4" t="s">
        <v>379</v>
      </c>
      <c r="B334" s="4" t="s">
        <v>47</v>
      </c>
      <c r="C334" s="4">
        <v>65</v>
      </c>
      <c r="D334" s="8">
        <v>24.2</v>
      </c>
      <c r="E334" s="7">
        <v>0</v>
      </c>
      <c r="F334" s="7">
        <v>412000</v>
      </c>
    </row>
    <row r="335" spans="1:6">
      <c r="A335" s="4" t="s">
        <v>380</v>
      </c>
      <c r="B335" s="4" t="s">
        <v>45</v>
      </c>
      <c r="C335" s="4">
        <v>35</v>
      </c>
      <c r="D335" s="8">
        <v>7.9</v>
      </c>
      <c r="E335" s="7">
        <v>849000</v>
      </c>
      <c r="F335" s="7">
        <v>0</v>
      </c>
    </row>
    <row r="336" spans="1:6">
      <c r="A336" s="4" t="s">
        <v>381</v>
      </c>
      <c r="B336" s="4" t="s">
        <v>57</v>
      </c>
      <c r="C336" s="4">
        <v>42</v>
      </c>
      <c r="D336" s="8">
        <v>7.1</v>
      </c>
      <c r="E336" s="7">
        <v>795000</v>
      </c>
      <c r="F336" s="7">
        <v>0</v>
      </c>
    </row>
    <row r="337" spans="1:6">
      <c r="A337" s="4" t="s">
        <v>382</v>
      </c>
      <c r="B337" s="4" t="s">
        <v>45</v>
      </c>
      <c r="C337" s="4">
        <v>29</v>
      </c>
      <c r="D337" s="8">
        <v>1.4</v>
      </c>
      <c r="E337" s="7">
        <v>572000</v>
      </c>
      <c r="F337" s="7">
        <v>0</v>
      </c>
    </row>
    <row r="338" spans="1:6">
      <c r="A338" s="4" t="s">
        <v>383</v>
      </c>
      <c r="B338" s="4" t="s">
        <v>57</v>
      </c>
      <c r="C338" s="4">
        <v>55</v>
      </c>
      <c r="D338" s="8">
        <v>23.3</v>
      </c>
      <c r="E338" s="7">
        <v>1002000</v>
      </c>
      <c r="F338" s="7">
        <v>0</v>
      </c>
    </row>
    <row r="339" spans="1:6">
      <c r="A339" s="4" t="s">
        <v>384</v>
      </c>
      <c r="B339" s="4" t="s">
        <v>45</v>
      </c>
      <c r="C339" s="4">
        <v>32</v>
      </c>
      <c r="D339" s="8">
        <v>4.2</v>
      </c>
      <c r="E339" s="7">
        <v>559000</v>
      </c>
      <c r="F339" s="7">
        <v>0</v>
      </c>
    </row>
    <row r="340" spans="1:6">
      <c r="A340" s="4" t="s">
        <v>385</v>
      </c>
      <c r="B340" s="4" t="s">
        <v>45</v>
      </c>
      <c r="C340" s="4">
        <v>41</v>
      </c>
      <c r="D340" s="8">
        <v>4.8</v>
      </c>
      <c r="E340" s="7">
        <v>888000</v>
      </c>
      <c r="F340" s="7">
        <v>0</v>
      </c>
    </row>
    <row r="341" spans="1:6">
      <c r="A341" s="4" t="s">
        <v>386</v>
      </c>
      <c r="B341" s="4" t="s">
        <v>47</v>
      </c>
      <c r="C341" s="4">
        <v>76</v>
      </c>
      <c r="D341" s="8">
        <v>25.5</v>
      </c>
      <c r="E341" s="7">
        <v>0</v>
      </c>
      <c r="F341" s="7">
        <v>437000</v>
      </c>
    </row>
    <row r="342" spans="1:6">
      <c r="A342" s="4" t="s">
        <v>387</v>
      </c>
      <c r="B342" s="4" t="s">
        <v>47</v>
      </c>
      <c r="C342" s="4">
        <v>64</v>
      </c>
      <c r="D342" s="8">
        <v>15.3</v>
      </c>
      <c r="E342" s="7">
        <v>0</v>
      </c>
      <c r="F342" s="7">
        <v>338000</v>
      </c>
    </row>
    <row r="343" spans="1:6">
      <c r="A343" s="4" t="s">
        <v>388</v>
      </c>
      <c r="B343" s="4" t="s">
        <v>47</v>
      </c>
      <c r="C343" s="4">
        <v>63</v>
      </c>
      <c r="D343" s="8">
        <v>29.7</v>
      </c>
      <c r="E343" s="7">
        <v>0</v>
      </c>
      <c r="F343" s="7">
        <v>361000</v>
      </c>
    </row>
    <row r="344" spans="1:6">
      <c r="A344" s="4" t="s">
        <v>389</v>
      </c>
      <c r="B344" s="4" t="s">
        <v>45</v>
      </c>
      <c r="C344" s="4">
        <v>37</v>
      </c>
      <c r="D344" s="8">
        <v>4.8</v>
      </c>
      <c r="E344" s="7">
        <v>606000</v>
      </c>
      <c r="F344" s="7">
        <v>0</v>
      </c>
    </row>
    <row r="345" spans="1:6">
      <c r="A345" s="4" t="s">
        <v>390</v>
      </c>
      <c r="B345" s="4" t="s">
        <v>57</v>
      </c>
      <c r="C345" s="4">
        <v>46</v>
      </c>
      <c r="D345" s="8">
        <v>16.399999999999999</v>
      </c>
      <c r="E345" s="7">
        <v>601000</v>
      </c>
      <c r="F345" s="7">
        <v>0</v>
      </c>
    </row>
    <row r="346" spans="1:6">
      <c r="A346" s="4" t="s">
        <v>391</v>
      </c>
      <c r="B346" s="4" t="s">
        <v>47</v>
      </c>
      <c r="C346" s="4">
        <v>89</v>
      </c>
      <c r="D346" s="8">
        <v>32.200000000000003</v>
      </c>
      <c r="E346" s="7">
        <v>0</v>
      </c>
      <c r="F346" s="7">
        <v>865000</v>
      </c>
    </row>
    <row r="347" spans="1:6">
      <c r="A347" s="4" t="s">
        <v>392</v>
      </c>
      <c r="B347" s="4" t="s">
        <v>45</v>
      </c>
      <c r="C347" s="4">
        <v>50</v>
      </c>
      <c r="D347" s="8">
        <v>14.5</v>
      </c>
      <c r="E347" s="7">
        <v>1133000</v>
      </c>
      <c r="F347" s="7">
        <v>0</v>
      </c>
    </row>
    <row r="348" spans="1:6">
      <c r="A348" s="4" t="s">
        <v>393</v>
      </c>
      <c r="B348" s="4" t="s">
        <v>45</v>
      </c>
      <c r="C348" s="4">
        <v>27</v>
      </c>
      <c r="D348" s="8">
        <v>1.6</v>
      </c>
      <c r="E348" s="7">
        <v>546000</v>
      </c>
      <c r="F348" s="7">
        <v>0</v>
      </c>
    </row>
    <row r="349" spans="1:6">
      <c r="A349" s="4" t="s">
        <v>394</v>
      </c>
      <c r="B349" s="4" t="s">
        <v>57</v>
      </c>
      <c r="C349" s="4">
        <v>33</v>
      </c>
      <c r="D349" s="8">
        <v>2.6</v>
      </c>
      <c r="E349" s="7">
        <v>459000</v>
      </c>
      <c r="F349" s="7">
        <v>0</v>
      </c>
    </row>
    <row r="350" spans="1:6">
      <c r="A350" s="4" t="s">
        <v>395</v>
      </c>
      <c r="B350" s="4" t="s">
        <v>57</v>
      </c>
      <c r="C350" s="4">
        <v>48</v>
      </c>
      <c r="D350" s="8">
        <v>11.2</v>
      </c>
      <c r="E350" s="7">
        <v>889000</v>
      </c>
      <c r="F350" s="7">
        <v>0</v>
      </c>
    </row>
    <row r="351" spans="1:6">
      <c r="A351" s="4" t="s">
        <v>396</v>
      </c>
      <c r="B351" s="4" t="s">
        <v>45</v>
      </c>
      <c r="C351" s="4">
        <v>51</v>
      </c>
      <c r="D351" s="8">
        <v>3.8</v>
      </c>
      <c r="E351" s="7">
        <v>1660000</v>
      </c>
      <c r="F351" s="7">
        <v>0</v>
      </c>
    </row>
    <row r="352" spans="1:6">
      <c r="A352" s="4" t="s">
        <v>397</v>
      </c>
      <c r="B352" s="4" t="s">
        <v>45</v>
      </c>
      <c r="C352" s="4">
        <v>32</v>
      </c>
      <c r="D352" s="8">
        <v>7.3</v>
      </c>
      <c r="E352" s="7">
        <v>671000</v>
      </c>
      <c r="F352" s="7">
        <v>0</v>
      </c>
    </row>
    <row r="353" spans="1:6">
      <c r="A353" s="4" t="s">
        <v>398</v>
      </c>
      <c r="B353" s="4" t="s">
        <v>47</v>
      </c>
      <c r="C353" s="4">
        <v>90</v>
      </c>
      <c r="D353" s="8">
        <v>23.2</v>
      </c>
      <c r="E353" s="7">
        <v>0</v>
      </c>
      <c r="F353" s="7">
        <v>625000</v>
      </c>
    </row>
    <row r="354" spans="1:6">
      <c r="A354" s="4" t="s">
        <v>399</v>
      </c>
      <c r="B354" s="4" t="s">
        <v>45</v>
      </c>
      <c r="C354" s="4">
        <v>41</v>
      </c>
      <c r="D354" s="8">
        <v>12.6</v>
      </c>
      <c r="E354" s="7">
        <v>1103000</v>
      </c>
      <c r="F354" s="7">
        <v>0</v>
      </c>
    </row>
    <row r="355" spans="1:6">
      <c r="A355" s="4" t="s">
        <v>400</v>
      </c>
      <c r="B355" s="4" t="s">
        <v>45</v>
      </c>
      <c r="C355" s="4">
        <v>28</v>
      </c>
      <c r="D355" s="8">
        <v>1</v>
      </c>
      <c r="E355" s="7">
        <v>595000</v>
      </c>
      <c r="F355" s="7">
        <v>0</v>
      </c>
    </row>
    <row r="356" spans="1:6">
      <c r="A356" s="4" t="s">
        <v>401</v>
      </c>
      <c r="B356" s="4" t="s">
        <v>47</v>
      </c>
      <c r="C356" s="4">
        <v>77</v>
      </c>
      <c r="D356" s="8">
        <v>22.7</v>
      </c>
      <c r="E356" s="7">
        <v>0</v>
      </c>
      <c r="F356" s="7">
        <v>625000</v>
      </c>
    </row>
    <row r="357" spans="1:6">
      <c r="A357" s="4" t="s">
        <v>402</v>
      </c>
      <c r="B357" s="4" t="s">
        <v>45</v>
      </c>
      <c r="C357" s="4">
        <v>39</v>
      </c>
      <c r="D357" s="8">
        <v>11.9</v>
      </c>
      <c r="E357" s="7">
        <v>812000</v>
      </c>
      <c r="F357" s="7">
        <v>0</v>
      </c>
    </row>
    <row r="358" spans="1:6">
      <c r="A358" s="4" t="s">
        <v>403</v>
      </c>
      <c r="B358" s="4" t="s">
        <v>45</v>
      </c>
      <c r="C358" s="4">
        <v>37</v>
      </c>
      <c r="D358" s="8">
        <v>7.1</v>
      </c>
      <c r="E358" s="7">
        <v>835000</v>
      </c>
      <c r="F358" s="7">
        <v>0</v>
      </c>
    </row>
    <row r="359" spans="1:6">
      <c r="A359" s="4" t="s">
        <v>404</v>
      </c>
      <c r="B359" s="4" t="s">
        <v>45</v>
      </c>
      <c r="C359" s="4">
        <v>23</v>
      </c>
      <c r="D359" s="8">
        <v>1</v>
      </c>
      <c r="E359" s="7">
        <v>456000</v>
      </c>
      <c r="F359" s="7">
        <v>0</v>
      </c>
    </row>
    <row r="360" spans="1:6">
      <c r="A360" s="4" t="s">
        <v>405</v>
      </c>
      <c r="B360" s="4" t="s">
        <v>47</v>
      </c>
      <c r="C360" s="4">
        <v>73</v>
      </c>
      <c r="D360" s="8">
        <v>18.899999999999999</v>
      </c>
      <c r="E360" s="7">
        <v>0</v>
      </c>
      <c r="F360" s="7">
        <v>406000</v>
      </c>
    </row>
    <row r="361" spans="1:6">
      <c r="A361" s="4" t="s">
        <v>406</v>
      </c>
      <c r="B361" s="4" t="s">
        <v>57</v>
      </c>
      <c r="C361" s="4">
        <v>44</v>
      </c>
      <c r="D361" s="8">
        <v>12.3</v>
      </c>
      <c r="E361" s="7">
        <v>655000</v>
      </c>
      <c r="F361" s="7">
        <v>0</v>
      </c>
    </row>
    <row r="362" spans="1:6">
      <c r="A362" s="4" t="s">
        <v>407</v>
      </c>
      <c r="B362" s="4" t="s">
        <v>47</v>
      </c>
      <c r="C362" s="4">
        <v>76</v>
      </c>
      <c r="D362" s="8">
        <v>30.6</v>
      </c>
      <c r="E362" s="7">
        <v>0</v>
      </c>
      <c r="F362" s="7">
        <v>384000</v>
      </c>
    </row>
    <row r="363" spans="1:6">
      <c r="A363" s="4" t="s">
        <v>408</v>
      </c>
      <c r="B363" s="4" t="s">
        <v>45</v>
      </c>
      <c r="C363" s="4">
        <v>27</v>
      </c>
      <c r="D363" s="8">
        <v>5.7</v>
      </c>
      <c r="E363" s="7">
        <v>556000</v>
      </c>
      <c r="F363" s="7">
        <v>0</v>
      </c>
    </row>
    <row r="364" spans="1:6">
      <c r="A364" s="4" t="s">
        <v>409</v>
      </c>
      <c r="B364" s="4" t="s">
        <v>57</v>
      </c>
      <c r="C364" s="4">
        <v>51</v>
      </c>
      <c r="D364" s="8">
        <v>15.2</v>
      </c>
      <c r="E364" s="7">
        <v>906000</v>
      </c>
      <c r="F364" s="7">
        <v>0</v>
      </c>
    </row>
    <row r="365" spans="1:6">
      <c r="A365" s="4" t="s">
        <v>410</v>
      </c>
      <c r="B365" s="4" t="s">
        <v>57</v>
      </c>
      <c r="C365" s="4">
        <v>42</v>
      </c>
      <c r="D365" s="8">
        <v>9.5</v>
      </c>
      <c r="E365" s="7">
        <v>742000</v>
      </c>
      <c r="F365" s="7">
        <v>0</v>
      </c>
    </row>
    <row r="366" spans="1:6">
      <c r="A366" s="4" t="s">
        <v>411</v>
      </c>
      <c r="B366" s="4" t="s">
        <v>45</v>
      </c>
      <c r="C366" s="4">
        <v>54</v>
      </c>
      <c r="D366" s="8">
        <v>11.1</v>
      </c>
      <c r="E366" s="7">
        <v>1790000</v>
      </c>
      <c r="F366" s="7">
        <v>0</v>
      </c>
    </row>
    <row r="367" spans="1:6">
      <c r="A367" s="4" t="s">
        <v>412</v>
      </c>
      <c r="B367" s="4" t="s">
        <v>45</v>
      </c>
      <c r="C367" s="4">
        <v>45</v>
      </c>
      <c r="D367" s="8">
        <v>15.7</v>
      </c>
      <c r="E367" s="7">
        <v>1372000</v>
      </c>
      <c r="F367" s="7">
        <v>0</v>
      </c>
    </row>
    <row r="368" spans="1:6">
      <c r="A368" s="4" t="s">
        <v>413</v>
      </c>
      <c r="B368" s="4" t="s">
        <v>45</v>
      </c>
      <c r="C368" s="4">
        <v>25</v>
      </c>
      <c r="D368" s="8">
        <v>1.3</v>
      </c>
      <c r="E368" s="7">
        <v>337000</v>
      </c>
      <c r="F368" s="7">
        <v>0</v>
      </c>
    </row>
    <row r="369" spans="1:6">
      <c r="A369" s="4" t="s">
        <v>414</v>
      </c>
      <c r="B369" s="4" t="s">
        <v>45</v>
      </c>
      <c r="C369" s="4">
        <v>35</v>
      </c>
      <c r="D369" s="8">
        <v>14.8</v>
      </c>
      <c r="E369" s="7">
        <v>805000</v>
      </c>
      <c r="F369" s="7">
        <v>0</v>
      </c>
    </row>
    <row r="370" spans="1:6">
      <c r="A370" s="4" t="s">
        <v>415</v>
      </c>
      <c r="B370" s="4" t="s">
        <v>45</v>
      </c>
      <c r="C370" s="4">
        <v>37</v>
      </c>
      <c r="D370" s="8">
        <v>14.5</v>
      </c>
      <c r="E370" s="7">
        <v>811000</v>
      </c>
      <c r="F370" s="7">
        <v>0</v>
      </c>
    </row>
    <row r="371" spans="1:6">
      <c r="A371" s="4" t="s">
        <v>416</v>
      </c>
      <c r="B371" s="4" t="s">
        <v>45</v>
      </c>
      <c r="C371" s="4">
        <v>35</v>
      </c>
      <c r="D371" s="8">
        <v>7.6</v>
      </c>
      <c r="E371" s="7">
        <v>721000</v>
      </c>
      <c r="F371" s="7">
        <v>0</v>
      </c>
    </row>
    <row r="372" spans="1:6">
      <c r="A372" s="4" t="s">
        <v>417</v>
      </c>
      <c r="B372" s="4" t="s">
        <v>45</v>
      </c>
      <c r="C372" s="4">
        <v>54</v>
      </c>
      <c r="D372" s="8">
        <v>24</v>
      </c>
      <c r="E372" s="7">
        <v>1379000</v>
      </c>
      <c r="F372" s="7">
        <v>0</v>
      </c>
    </row>
    <row r="373" spans="1:6">
      <c r="A373" s="4" t="s">
        <v>418</v>
      </c>
      <c r="B373" s="4" t="s">
        <v>45</v>
      </c>
      <c r="C373" s="4">
        <v>36</v>
      </c>
      <c r="D373" s="8">
        <v>2</v>
      </c>
      <c r="E373" s="7">
        <v>772000</v>
      </c>
      <c r="F373" s="7">
        <v>0</v>
      </c>
    </row>
    <row r="374" spans="1:6">
      <c r="A374" s="4" t="s">
        <v>419</v>
      </c>
      <c r="B374" s="4" t="s">
        <v>47</v>
      </c>
      <c r="C374" s="4">
        <v>77</v>
      </c>
      <c r="D374" s="8">
        <v>22.6</v>
      </c>
      <c r="E374" s="7">
        <v>0</v>
      </c>
      <c r="F374" s="7">
        <v>325000</v>
      </c>
    </row>
    <row r="375" spans="1:6">
      <c r="A375" s="4" t="s">
        <v>420</v>
      </c>
      <c r="B375" s="4" t="s">
        <v>47</v>
      </c>
      <c r="C375" s="4">
        <v>89</v>
      </c>
      <c r="D375" s="8">
        <v>37</v>
      </c>
      <c r="E375" s="7">
        <v>0</v>
      </c>
      <c r="F375" s="7">
        <v>893000</v>
      </c>
    </row>
    <row r="376" spans="1:6">
      <c r="A376" s="4" t="s">
        <v>421</v>
      </c>
      <c r="B376" s="4" t="s">
        <v>45</v>
      </c>
      <c r="C376" s="4">
        <v>51</v>
      </c>
      <c r="D376" s="8">
        <v>5.8</v>
      </c>
      <c r="E376" s="7">
        <v>1338000</v>
      </c>
      <c r="F376" s="7">
        <v>0</v>
      </c>
    </row>
    <row r="377" spans="1:6">
      <c r="A377" s="4" t="s">
        <v>422</v>
      </c>
      <c r="B377" s="4" t="s">
        <v>45</v>
      </c>
      <c r="C377" s="4">
        <v>52</v>
      </c>
      <c r="D377" s="8">
        <v>19</v>
      </c>
      <c r="E377" s="7">
        <v>1287000</v>
      </c>
      <c r="F377" s="7">
        <v>0</v>
      </c>
    </row>
    <row r="378" spans="1:6">
      <c r="A378" s="4" t="s">
        <v>423</v>
      </c>
      <c r="B378" s="4" t="s">
        <v>45</v>
      </c>
      <c r="C378" s="4">
        <v>26</v>
      </c>
      <c r="D378" s="8">
        <v>1</v>
      </c>
      <c r="E378" s="7">
        <v>379000</v>
      </c>
      <c r="F378" s="7">
        <v>0</v>
      </c>
    </row>
    <row r="379" spans="1:6">
      <c r="A379" s="4" t="s">
        <v>424</v>
      </c>
      <c r="B379" s="4" t="s">
        <v>47</v>
      </c>
      <c r="C379" s="4">
        <v>81</v>
      </c>
      <c r="D379" s="8">
        <v>29.9</v>
      </c>
      <c r="E379" s="7">
        <v>0</v>
      </c>
      <c r="F379" s="7">
        <v>541000</v>
      </c>
    </row>
    <row r="380" spans="1:6">
      <c r="A380" s="4" t="s">
        <v>425</v>
      </c>
      <c r="B380" s="4" t="s">
        <v>45</v>
      </c>
      <c r="C380" s="4">
        <v>51</v>
      </c>
      <c r="D380" s="8">
        <v>22.1</v>
      </c>
      <c r="E380" s="7">
        <v>1620000</v>
      </c>
      <c r="F380" s="7">
        <v>0</v>
      </c>
    </row>
    <row r="381" spans="1:6">
      <c r="A381" s="4" t="s">
        <v>426</v>
      </c>
      <c r="B381" s="4" t="s">
        <v>47</v>
      </c>
      <c r="C381" s="4">
        <v>75</v>
      </c>
      <c r="D381" s="8">
        <v>15.1</v>
      </c>
      <c r="E381" s="7">
        <v>0</v>
      </c>
      <c r="F381" s="7">
        <v>372000</v>
      </c>
    </row>
    <row r="382" spans="1:6">
      <c r="A382" s="4" t="s">
        <v>427</v>
      </c>
      <c r="B382" s="4" t="s">
        <v>45</v>
      </c>
      <c r="C382" s="4">
        <v>33</v>
      </c>
      <c r="D382" s="8">
        <v>6.2</v>
      </c>
      <c r="E382" s="7">
        <v>678000</v>
      </c>
      <c r="F382" s="7">
        <v>0</v>
      </c>
    </row>
    <row r="383" spans="1:6">
      <c r="A383" s="4" t="s">
        <v>428</v>
      </c>
      <c r="B383" s="4" t="s">
        <v>47</v>
      </c>
      <c r="C383" s="4">
        <v>75</v>
      </c>
      <c r="D383" s="8">
        <v>25.8</v>
      </c>
      <c r="E383" s="7">
        <v>0</v>
      </c>
      <c r="F383" s="7">
        <v>488000</v>
      </c>
    </row>
    <row r="384" spans="1:6">
      <c r="A384" s="4" t="s">
        <v>429</v>
      </c>
      <c r="B384" s="4" t="s">
        <v>45</v>
      </c>
      <c r="C384" s="4">
        <v>40</v>
      </c>
      <c r="D384" s="8">
        <v>17.899999999999999</v>
      </c>
      <c r="E384" s="7">
        <v>1005000</v>
      </c>
      <c r="F384" s="7">
        <v>0</v>
      </c>
    </row>
    <row r="385" spans="1:6">
      <c r="A385" s="4" t="s">
        <v>430</v>
      </c>
      <c r="B385" s="4" t="s">
        <v>47</v>
      </c>
      <c r="C385" s="4">
        <v>84</v>
      </c>
      <c r="D385" s="8">
        <v>21.9</v>
      </c>
      <c r="E385" s="7">
        <v>0</v>
      </c>
      <c r="F385" s="7">
        <v>632000</v>
      </c>
    </row>
    <row r="386" spans="1:6">
      <c r="A386" s="4" t="s">
        <v>431</v>
      </c>
      <c r="B386" s="4" t="s">
        <v>47</v>
      </c>
      <c r="C386" s="4">
        <v>74</v>
      </c>
      <c r="D386" s="8">
        <v>12.8</v>
      </c>
      <c r="E386" s="7">
        <v>0</v>
      </c>
      <c r="F386" s="7">
        <v>341000</v>
      </c>
    </row>
    <row r="387" spans="1:6">
      <c r="A387" s="4" t="s">
        <v>432</v>
      </c>
      <c r="B387" s="4" t="s">
        <v>45</v>
      </c>
      <c r="C387" s="4">
        <v>29</v>
      </c>
      <c r="D387" s="8">
        <v>2.9</v>
      </c>
      <c r="E387" s="7">
        <v>566000</v>
      </c>
      <c r="F387" s="7">
        <v>0</v>
      </c>
    </row>
    <row r="388" spans="1:6">
      <c r="A388" s="4" t="s">
        <v>433</v>
      </c>
      <c r="B388" s="4" t="s">
        <v>45</v>
      </c>
      <c r="C388" s="4">
        <v>29</v>
      </c>
      <c r="D388" s="8">
        <v>3</v>
      </c>
      <c r="E388" s="7">
        <v>672000</v>
      </c>
      <c r="F388" s="7">
        <v>0</v>
      </c>
    </row>
    <row r="389" spans="1:6">
      <c r="A389" s="4" t="s">
        <v>434</v>
      </c>
      <c r="B389" s="4" t="s">
        <v>57</v>
      </c>
      <c r="C389" s="4">
        <v>53</v>
      </c>
      <c r="D389" s="8">
        <v>3.3</v>
      </c>
      <c r="E389" s="7">
        <v>953000</v>
      </c>
      <c r="F389" s="7">
        <v>0</v>
      </c>
    </row>
    <row r="390" spans="1:6">
      <c r="A390" s="4" t="s">
        <v>435</v>
      </c>
      <c r="B390" s="4" t="s">
        <v>57</v>
      </c>
      <c r="C390" s="4">
        <v>57</v>
      </c>
      <c r="D390" s="8">
        <v>12.5</v>
      </c>
      <c r="E390" s="7">
        <v>1533000</v>
      </c>
      <c r="F390" s="7">
        <v>0</v>
      </c>
    </row>
    <row r="391" spans="1:6">
      <c r="A391" s="4" t="s">
        <v>436</v>
      </c>
      <c r="B391" s="4" t="s">
        <v>57</v>
      </c>
      <c r="C391" s="4">
        <v>46</v>
      </c>
      <c r="D391" s="8">
        <v>12.6</v>
      </c>
      <c r="E391" s="7">
        <v>568000</v>
      </c>
      <c r="F391" s="7">
        <v>0</v>
      </c>
    </row>
    <row r="392" spans="1:6">
      <c r="A392" s="4" t="s">
        <v>437</v>
      </c>
      <c r="B392" s="4" t="s">
        <v>45</v>
      </c>
      <c r="C392" s="4">
        <v>31</v>
      </c>
      <c r="D392" s="8">
        <v>6.5</v>
      </c>
      <c r="E392" s="7">
        <v>695000</v>
      </c>
      <c r="F392" s="7">
        <v>0</v>
      </c>
    </row>
    <row r="393" spans="1:6">
      <c r="A393" s="4" t="s">
        <v>438</v>
      </c>
      <c r="B393" s="4" t="s">
        <v>45</v>
      </c>
      <c r="C393" s="4">
        <v>23</v>
      </c>
      <c r="D393" s="8">
        <v>2.8</v>
      </c>
      <c r="E393" s="7">
        <v>507000</v>
      </c>
      <c r="F393" s="7">
        <v>0</v>
      </c>
    </row>
    <row r="394" spans="1:6">
      <c r="A394" s="4" t="s">
        <v>439</v>
      </c>
      <c r="B394" s="4" t="s">
        <v>45</v>
      </c>
      <c r="C394" s="4">
        <v>53</v>
      </c>
      <c r="D394" s="8">
        <v>21.5</v>
      </c>
      <c r="E394" s="7">
        <v>1277000</v>
      </c>
      <c r="F394" s="7">
        <v>0</v>
      </c>
    </row>
    <row r="395" spans="1:6">
      <c r="A395" s="4" t="s">
        <v>440</v>
      </c>
      <c r="B395" s="4" t="s">
        <v>47</v>
      </c>
      <c r="C395" s="4">
        <v>78</v>
      </c>
      <c r="D395" s="8">
        <v>35.200000000000003</v>
      </c>
      <c r="E395" s="7">
        <v>0</v>
      </c>
      <c r="F395" s="7">
        <v>508000</v>
      </c>
    </row>
    <row r="396" spans="1:6">
      <c r="A396" s="4" t="s">
        <v>441</v>
      </c>
      <c r="B396" s="4" t="s">
        <v>45</v>
      </c>
      <c r="C396" s="4">
        <v>44</v>
      </c>
      <c r="D396" s="8">
        <v>14.7</v>
      </c>
      <c r="E396" s="7">
        <v>936000</v>
      </c>
      <c r="F396" s="7">
        <v>0</v>
      </c>
    </row>
    <row r="397" spans="1:6">
      <c r="A397" s="4" t="s">
        <v>442</v>
      </c>
      <c r="B397" s="4" t="s">
        <v>45</v>
      </c>
      <c r="C397" s="4">
        <v>31</v>
      </c>
      <c r="D397" s="8">
        <v>3.7</v>
      </c>
      <c r="E397" s="7">
        <v>518000</v>
      </c>
      <c r="F397" s="7">
        <v>0</v>
      </c>
    </row>
    <row r="398" spans="1:6">
      <c r="A398" s="4" t="s">
        <v>443</v>
      </c>
      <c r="B398" s="4" t="s">
        <v>47</v>
      </c>
      <c r="C398" s="4">
        <v>60</v>
      </c>
      <c r="D398" s="8">
        <v>27.2</v>
      </c>
      <c r="E398" s="7">
        <v>0</v>
      </c>
      <c r="F398" s="7">
        <v>164000</v>
      </c>
    </row>
    <row r="399" spans="1:6">
      <c r="A399" s="4" t="s">
        <v>444</v>
      </c>
      <c r="B399" s="4" t="s">
        <v>47</v>
      </c>
      <c r="C399" s="4">
        <v>67</v>
      </c>
      <c r="D399" s="8">
        <v>39.299999999999997</v>
      </c>
      <c r="E399" s="7">
        <v>0</v>
      </c>
      <c r="F399" s="7">
        <v>432000</v>
      </c>
    </row>
    <row r="400" spans="1:6">
      <c r="A400" s="4" t="s">
        <v>445</v>
      </c>
      <c r="B400" s="4" t="s">
        <v>47</v>
      </c>
      <c r="C400" s="4">
        <v>76</v>
      </c>
      <c r="D400" s="8">
        <v>19.3</v>
      </c>
      <c r="E400" s="7">
        <v>0</v>
      </c>
      <c r="F400" s="7">
        <v>495000</v>
      </c>
    </row>
    <row r="401" spans="1:6">
      <c r="A401" s="4" t="s">
        <v>446</v>
      </c>
      <c r="B401" s="4" t="s">
        <v>45</v>
      </c>
      <c r="C401" s="4">
        <v>39</v>
      </c>
      <c r="D401" s="8">
        <v>5.6</v>
      </c>
      <c r="E401" s="7">
        <v>842000</v>
      </c>
      <c r="F401" s="7">
        <v>0</v>
      </c>
    </row>
    <row r="402" spans="1:6">
      <c r="A402" s="4" t="s">
        <v>447</v>
      </c>
      <c r="B402" s="4" t="s">
        <v>45</v>
      </c>
      <c r="C402" s="4">
        <v>31</v>
      </c>
      <c r="D402" s="8">
        <v>8.1</v>
      </c>
      <c r="E402" s="7">
        <v>445000</v>
      </c>
      <c r="F402" s="7">
        <v>0</v>
      </c>
    </row>
    <row r="403" spans="1:6">
      <c r="A403" s="4" t="s">
        <v>448</v>
      </c>
      <c r="B403" s="4" t="s">
        <v>45</v>
      </c>
      <c r="C403" s="4">
        <v>57</v>
      </c>
      <c r="D403" s="8">
        <v>25</v>
      </c>
      <c r="E403" s="7">
        <v>1421000</v>
      </c>
      <c r="F403" s="7">
        <v>0</v>
      </c>
    </row>
    <row r="404" spans="1:6">
      <c r="A404" s="4" t="s">
        <v>449</v>
      </c>
      <c r="B404" s="4" t="s">
        <v>45</v>
      </c>
      <c r="C404" s="4">
        <v>32</v>
      </c>
      <c r="D404" s="8">
        <v>8</v>
      </c>
      <c r="E404" s="7">
        <v>454000</v>
      </c>
      <c r="F404" s="7">
        <v>0</v>
      </c>
    </row>
    <row r="405" spans="1:6">
      <c r="A405" s="4" t="s">
        <v>450</v>
      </c>
      <c r="B405" s="4" t="s">
        <v>45</v>
      </c>
      <c r="C405" s="4">
        <v>28</v>
      </c>
      <c r="D405" s="8">
        <v>5</v>
      </c>
      <c r="E405" s="7">
        <v>619000</v>
      </c>
      <c r="F405" s="7">
        <v>0</v>
      </c>
    </row>
    <row r="406" spans="1:6">
      <c r="A406" s="4" t="s">
        <v>451</v>
      </c>
      <c r="B406" s="4" t="s">
        <v>45</v>
      </c>
      <c r="C406" s="4">
        <v>43</v>
      </c>
      <c r="D406" s="8">
        <v>15.9</v>
      </c>
      <c r="E406" s="7">
        <v>1269000</v>
      </c>
      <c r="F406" s="7">
        <v>0</v>
      </c>
    </row>
    <row r="407" spans="1:6">
      <c r="A407" s="4" t="s">
        <v>452</v>
      </c>
      <c r="B407" s="4" t="s">
        <v>45</v>
      </c>
      <c r="C407" s="4">
        <v>39</v>
      </c>
      <c r="D407" s="8">
        <v>8.6</v>
      </c>
      <c r="E407" s="7">
        <v>642000</v>
      </c>
      <c r="F407" s="7">
        <v>0</v>
      </c>
    </row>
    <row r="408" spans="1:6">
      <c r="A408" s="4" t="s">
        <v>453</v>
      </c>
      <c r="B408" s="4" t="s">
        <v>47</v>
      </c>
      <c r="C408" s="4">
        <v>88</v>
      </c>
      <c r="D408" s="8">
        <v>36.200000000000003</v>
      </c>
      <c r="E408" s="7">
        <v>0</v>
      </c>
      <c r="F408" s="7">
        <v>705000</v>
      </c>
    </row>
    <row r="409" spans="1:6">
      <c r="A409" s="4" t="s">
        <v>454</v>
      </c>
      <c r="B409" s="4" t="s">
        <v>45</v>
      </c>
      <c r="C409" s="4">
        <v>50</v>
      </c>
      <c r="D409" s="8">
        <v>9.1</v>
      </c>
      <c r="E409" s="7">
        <v>1334000</v>
      </c>
      <c r="F409" s="7">
        <v>0</v>
      </c>
    </row>
    <row r="410" spans="1:6">
      <c r="A410" s="4" t="s">
        <v>455</v>
      </c>
      <c r="B410" s="4" t="s">
        <v>45</v>
      </c>
      <c r="C410" s="4">
        <v>58</v>
      </c>
      <c r="D410" s="8">
        <v>4.5999999999999996</v>
      </c>
      <c r="E410" s="7">
        <v>2228000</v>
      </c>
      <c r="F410" s="7">
        <v>0</v>
      </c>
    </row>
    <row r="411" spans="1:6">
      <c r="A411" s="4" t="s">
        <v>456</v>
      </c>
      <c r="B411" s="4" t="s">
        <v>45</v>
      </c>
      <c r="C411" s="4">
        <v>49</v>
      </c>
      <c r="D411" s="8">
        <v>22.3</v>
      </c>
      <c r="E411" s="7">
        <v>1301000</v>
      </c>
      <c r="F411" s="7">
        <v>0</v>
      </c>
    </row>
    <row r="412" spans="1:6">
      <c r="A412" s="4" t="s">
        <v>457</v>
      </c>
      <c r="B412" s="4" t="s">
        <v>45</v>
      </c>
      <c r="C412" s="4">
        <v>37</v>
      </c>
      <c r="D412" s="8">
        <v>6.8</v>
      </c>
      <c r="E412" s="7">
        <v>660000</v>
      </c>
      <c r="F412" s="7">
        <v>0</v>
      </c>
    </row>
    <row r="413" spans="1:6">
      <c r="A413" s="4" t="s">
        <v>458</v>
      </c>
      <c r="B413" s="4" t="s">
        <v>47</v>
      </c>
      <c r="C413" s="4">
        <v>78</v>
      </c>
      <c r="D413" s="8">
        <v>17.3</v>
      </c>
      <c r="E413" s="7">
        <v>0</v>
      </c>
      <c r="F413" s="7">
        <v>316000</v>
      </c>
    </row>
    <row r="414" spans="1:6">
      <c r="A414" s="4" t="s">
        <v>459</v>
      </c>
      <c r="B414" s="4" t="s">
        <v>45</v>
      </c>
      <c r="C414" s="4">
        <v>53</v>
      </c>
      <c r="D414" s="8">
        <v>14.1</v>
      </c>
      <c r="E414" s="7">
        <v>1663000</v>
      </c>
      <c r="F414" s="7">
        <v>0</v>
      </c>
    </row>
    <row r="415" spans="1:6">
      <c r="A415" s="4" t="s">
        <v>460</v>
      </c>
      <c r="B415" s="4" t="s">
        <v>45</v>
      </c>
      <c r="C415" s="4">
        <v>26</v>
      </c>
      <c r="D415" s="8">
        <v>1.4</v>
      </c>
      <c r="E415" s="7">
        <v>428000</v>
      </c>
      <c r="F415" s="7">
        <v>0</v>
      </c>
    </row>
    <row r="416" spans="1:6">
      <c r="A416" s="4" t="s">
        <v>461</v>
      </c>
      <c r="B416" s="4" t="s">
        <v>47</v>
      </c>
      <c r="C416" s="4">
        <v>65</v>
      </c>
      <c r="D416" s="8">
        <v>20.100000000000001</v>
      </c>
      <c r="E416" s="7">
        <v>0</v>
      </c>
      <c r="F416" s="7">
        <v>196000</v>
      </c>
    </row>
    <row r="417" spans="1:6">
      <c r="A417" s="4" t="s">
        <v>462</v>
      </c>
      <c r="B417" s="4" t="s">
        <v>45</v>
      </c>
      <c r="C417" s="4">
        <v>39</v>
      </c>
      <c r="D417" s="8">
        <v>12.6</v>
      </c>
      <c r="E417" s="7">
        <v>994000</v>
      </c>
      <c r="F417" s="7">
        <v>0</v>
      </c>
    </row>
    <row r="418" spans="1:6">
      <c r="A418" s="4" t="s">
        <v>463</v>
      </c>
      <c r="B418" s="4" t="s">
        <v>47</v>
      </c>
      <c r="C418" s="4">
        <v>70</v>
      </c>
      <c r="D418" s="8">
        <v>25.2</v>
      </c>
      <c r="E418" s="7">
        <v>0</v>
      </c>
      <c r="F418" s="7">
        <v>351000</v>
      </c>
    </row>
    <row r="419" spans="1:6">
      <c r="A419" s="4" t="s">
        <v>464</v>
      </c>
      <c r="B419" s="4" t="s">
        <v>47</v>
      </c>
      <c r="C419" s="4">
        <v>86</v>
      </c>
      <c r="D419" s="8">
        <v>19.8</v>
      </c>
      <c r="E419" s="7">
        <v>0</v>
      </c>
      <c r="F419" s="7">
        <v>356000</v>
      </c>
    </row>
    <row r="420" spans="1:6">
      <c r="A420" s="4" t="s">
        <v>465</v>
      </c>
      <c r="B420" s="4" t="s">
        <v>45</v>
      </c>
      <c r="C420" s="4">
        <v>38</v>
      </c>
      <c r="D420" s="8">
        <v>2.8</v>
      </c>
      <c r="E420" s="7">
        <v>1024000</v>
      </c>
      <c r="F420" s="7">
        <v>0</v>
      </c>
    </row>
    <row r="421" spans="1:6">
      <c r="A421" s="4" t="s">
        <v>466</v>
      </c>
      <c r="B421" s="4" t="s">
        <v>45</v>
      </c>
      <c r="C421" s="4">
        <v>32</v>
      </c>
      <c r="D421" s="8">
        <v>6.6</v>
      </c>
      <c r="E421" s="7">
        <v>736000</v>
      </c>
      <c r="F421" s="7">
        <v>0</v>
      </c>
    </row>
    <row r="422" spans="1:6">
      <c r="A422" s="4" t="s">
        <v>467</v>
      </c>
      <c r="B422" s="4" t="s">
        <v>45</v>
      </c>
      <c r="C422" s="4">
        <v>54</v>
      </c>
      <c r="D422" s="8">
        <v>25.6</v>
      </c>
      <c r="E422" s="7">
        <v>1650000</v>
      </c>
      <c r="F422" s="7">
        <v>0</v>
      </c>
    </row>
    <row r="423" spans="1:6">
      <c r="A423" s="4" t="s">
        <v>468</v>
      </c>
      <c r="B423" s="4" t="s">
        <v>45</v>
      </c>
      <c r="C423" s="4">
        <v>50</v>
      </c>
      <c r="D423" s="8">
        <v>1</v>
      </c>
      <c r="E423" s="7">
        <v>1533000</v>
      </c>
      <c r="F423" s="7">
        <v>0</v>
      </c>
    </row>
    <row r="424" spans="1:6">
      <c r="A424" s="4" t="s">
        <v>469</v>
      </c>
      <c r="B424" s="4" t="s">
        <v>47</v>
      </c>
      <c r="C424" s="4">
        <v>79</v>
      </c>
      <c r="D424" s="8">
        <v>12.4</v>
      </c>
      <c r="E424" s="7">
        <v>0</v>
      </c>
      <c r="F424" s="7">
        <v>636000</v>
      </c>
    </row>
    <row r="425" spans="1:6">
      <c r="A425" s="4" t="s">
        <v>470</v>
      </c>
      <c r="B425" s="4" t="s">
        <v>47</v>
      </c>
      <c r="C425" s="4">
        <v>82</v>
      </c>
      <c r="D425" s="8">
        <v>36.200000000000003</v>
      </c>
      <c r="E425" s="7">
        <v>0</v>
      </c>
      <c r="F425" s="7">
        <v>528000</v>
      </c>
    </row>
    <row r="426" spans="1:6">
      <c r="A426" s="4" t="s">
        <v>471</v>
      </c>
      <c r="B426" s="4" t="s">
        <v>45</v>
      </c>
      <c r="C426" s="4">
        <v>23</v>
      </c>
      <c r="D426" s="8">
        <v>2.8</v>
      </c>
      <c r="E426" s="7">
        <v>480000</v>
      </c>
      <c r="F426" s="7">
        <v>0</v>
      </c>
    </row>
    <row r="427" spans="1:6">
      <c r="A427" s="4" t="s">
        <v>472</v>
      </c>
      <c r="B427" s="4" t="s">
        <v>45</v>
      </c>
      <c r="C427" s="4">
        <v>46</v>
      </c>
      <c r="D427" s="8">
        <v>14.7</v>
      </c>
      <c r="E427" s="7">
        <v>1382000</v>
      </c>
      <c r="F427" s="7">
        <v>0</v>
      </c>
    </row>
    <row r="428" spans="1:6">
      <c r="A428" s="4" t="s">
        <v>473</v>
      </c>
      <c r="B428" s="4" t="s">
        <v>47</v>
      </c>
      <c r="C428" s="4">
        <v>80</v>
      </c>
      <c r="D428" s="8">
        <v>25.3</v>
      </c>
      <c r="E428" s="7">
        <v>0</v>
      </c>
      <c r="F428" s="7">
        <v>467000</v>
      </c>
    </row>
    <row r="429" spans="1:6">
      <c r="A429" s="4" t="s">
        <v>474</v>
      </c>
      <c r="B429" s="4" t="s">
        <v>45</v>
      </c>
      <c r="C429" s="4">
        <v>47</v>
      </c>
      <c r="D429" s="8">
        <v>16.899999999999999</v>
      </c>
      <c r="E429" s="7">
        <v>1185000</v>
      </c>
      <c r="F429" s="7">
        <v>0</v>
      </c>
    </row>
    <row r="430" spans="1:6">
      <c r="A430" s="4" t="s">
        <v>475</v>
      </c>
      <c r="B430" s="4" t="s">
        <v>45</v>
      </c>
      <c r="C430" s="4">
        <v>59</v>
      </c>
      <c r="D430" s="8">
        <v>1.9</v>
      </c>
      <c r="E430" s="7">
        <v>1544000</v>
      </c>
      <c r="F430" s="7">
        <v>0</v>
      </c>
    </row>
    <row r="431" spans="1:6">
      <c r="A431" s="4" t="s">
        <v>476</v>
      </c>
      <c r="B431" s="4" t="s">
        <v>45</v>
      </c>
      <c r="C431" s="4">
        <v>40</v>
      </c>
      <c r="D431" s="8">
        <v>11.1</v>
      </c>
      <c r="E431" s="7">
        <v>879000</v>
      </c>
      <c r="F431" s="7">
        <v>0</v>
      </c>
    </row>
    <row r="432" spans="1:6">
      <c r="A432" s="4" t="s">
        <v>477</v>
      </c>
      <c r="B432" s="4" t="s">
        <v>45</v>
      </c>
      <c r="C432" s="4">
        <v>38</v>
      </c>
      <c r="D432" s="8">
        <v>3.6</v>
      </c>
      <c r="E432" s="7">
        <v>696000</v>
      </c>
      <c r="F432" s="7">
        <v>0</v>
      </c>
    </row>
    <row r="433" spans="1:6">
      <c r="A433" s="4" t="s">
        <v>478</v>
      </c>
      <c r="B433" s="4" t="s">
        <v>45</v>
      </c>
      <c r="C433" s="4">
        <v>26</v>
      </c>
      <c r="D433" s="8">
        <v>3.5</v>
      </c>
      <c r="E433" s="7">
        <v>475000</v>
      </c>
      <c r="F433" s="7">
        <v>0</v>
      </c>
    </row>
    <row r="434" spans="1:6">
      <c r="A434" s="4" t="s">
        <v>479</v>
      </c>
      <c r="B434" s="4" t="s">
        <v>57</v>
      </c>
      <c r="C434" s="4">
        <v>52</v>
      </c>
      <c r="D434" s="8">
        <v>10.9</v>
      </c>
      <c r="E434" s="7">
        <v>721000</v>
      </c>
      <c r="F434" s="7">
        <v>0</v>
      </c>
    </row>
    <row r="435" spans="1:6">
      <c r="A435" s="4" t="s">
        <v>480</v>
      </c>
      <c r="B435" s="4" t="s">
        <v>47</v>
      </c>
      <c r="C435" s="4">
        <v>67</v>
      </c>
      <c r="D435" s="8">
        <v>26.3</v>
      </c>
      <c r="E435" s="7">
        <v>0</v>
      </c>
      <c r="F435" s="7">
        <v>271000</v>
      </c>
    </row>
    <row r="436" spans="1:6">
      <c r="A436" s="4" t="s">
        <v>481</v>
      </c>
      <c r="B436" s="4" t="s">
        <v>47</v>
      </c>
      <c r="C436" s="4">
        <v>83</v>
      </c>
      <c r="D436" s="8">
        <v>26.3</v>
      </c>
      <c r="E436" s="7">
        <v>0</v>
      </c>
      <c r="F436" s="7">
        <v>767000</v>
      </c>
    </row>
    <row r="437" spans="1:6">
      <c r="A437" s="4" t="s">
        <v>482</v>
      </c>
      <c r="B437" s="4" t="s">
        <v>45</v>
      </c>
      <c r="C437" s="4">
        <v>24</v>
      </c>
      <c r="D437" s="8">
        <v>1.5</v>
      </c>
      <c r="E437" s="7">
        <v>343000</v>
      </c>
      <c r="F437" s="7">
        <v>0</v>
      </c>
    </row>
    <row r="438" spans="1:6">
      <c r="A438" s="4" t="s">
        <v>483</v>
      </c>
      <c r="B438" s="4" t="s">
        <v>45</v>
      </c>
      <c r="C438" s="4">
        <v>46</v>
      </c>
      <c r="D438" s="8">
        <v>10.9</v>
      </c>
      <c r="E438" s="7">
        <v>1150000</v>
      </c>
      <c r="F438" s="7">
        <v>0</v>
      </c>
    </row>
    <row r="439" spans="1:6">
      <c r="A439" s="4" t="s">
        <v>484</v>
      </c>
      <c r="B439" s="4" t="s">
        <v>47</v>
      </c>
      <c r="C439" s="4">
        <v>78</v>
      </c>
      <c r="D439" s="8">
        <v>14.5</v>
      </c>
      <c r="E439" s="7">
        <v>0</v>
      </c>
      <c r="F439" s="7">
        <v>270000</v>
      </c>
    </row>
    <row r="440" spans="1:6">
      <c r="A440" s="4" t="s">
        <v>485</v>
      </c>
      <c r="B440" s="4" t="s">
        <v>57</v>
      </c>
      <c r="C440" s="4">
        <v>37</v>
      </c>
      <c r="D440" s="8">
        <v>7.1</v>
      </c>
      <c r="E440" s="7">
        <v>544000</v>
      </c>
      <c r="F440" s="7">
        <v>0</v>
      </c>
    </row>
    <row r="441" spans="1:6">
      <c r="A441" s="4" t="s">
        <v>486</v>
      </c>
      <c r="B441" s="4" t="s">
        <v>45</v>
      </c>
      <c r="C441" s="4">
        <v>26</v>
      </c>
      <c r="D441" s="8">
        <v>1</v>
      </c>
      <c r="E441" s="7">
        <v>472000</v>
      </c>
      <c r="F441" s="7">
        <v>0</v>
      </c>
    </row>
    <row r="442" spans="1:6">
      <c r="A442" s="4" t="s">
        <v>487</v>
      </c>
      <c r="B442" s="4" t="s">
        <v>45</v>
      </c>
      <c r="C442" s="4">
        <v>57</v>
      </c>
      <c r="D442" s="8">
        <v>24.8</v>
      </c>
      <c r="E442" s="7">
        <v>2133000</v>
      </c>
      <c r="F442" s="7">
        <v>0</v>
      </c>
    </row>
    <row r="443" spans="1:6">
      <c r="A443" s="4" t="s">
        <v>488</v>
      </c>
      <c r="B443" s="4" t="s">
        <v>47</v>
      </c>
      <c r="C443" s="4">
        <v>61</v>
      </c>
      <c r="D443" s="8">
        <v>22.5</v>
      </c>
      <c r="E443" s="7">
        <v>0</v>
      </c>
      <c r="F443" s="7">
        <v>242000</v>
      </c>
    </row>
    <row r="444" spans="1:6">
      <c r="A444" s="4" t="s">
        <v>489</v>
      </c>
      <c r="B444" s="4" t="s">
        <v>45</v>
      </c>
      <c r="C444" s="4">
        <v>57</v>
      </c>
      <c r="D444" s="8">
        <v>27.4</v>
      </c>
      <c r="E444" s="7">
        <v>1769000</v>
      </c>
      <c r="F444" s="7">
        <v>0</v>
      </c>
    </row>
    <row r="445" spans="1:6">
      <c r="A445" s="4" t="s">
        <v>490</v>
      </c>
      <c r="B445" s="4" t="s">
        <v>45</v>
      </c>
      <c r="C445" s="4">
        <v>36</v>
      </c>
      <c r="D445" s="8">
        <v>12.5</v>
      </c>
      <c r="E445" s="7">
        <v>928000</v>
      </c>
      <c r="F445" s="7">
        <v>0</v>
      </c>
    </row>
    <row r="446" spans="1:6">
      <c r="A446" s="4" t="s">
        <v>491</v>
      </c>
      <c r="B446" s="4" t="s">
        <v>47</v>
      </c>
      <c r="C446" s="4">
        <v>74</v>
      </c>
      <c r="D446" s="8">
        <v>18.8</v>
      </c>
      <c r="E446" s="7">
        <v>0</v>
      </c>
      <c r="F446" s="7">
        <v>409000</v>
      </c>
    </row>
    <row r="447" spans="1:6">
      <c r="A447" s="4" t="s">
        <v>492</v>
      </c>
      <c r="B447" s="4" t="s">
        <v>57</v>
      </c>
      <c r="C447" s="4">
        <v>41</v>
      </c>
      <c r="D447" s="8">
        <v>6.1</v>
      </c>
      <c r="E447" s="7">
        <v>500000</v>
      </c>
      <c r="F447" s="7">
        <v>0</v>
      </c>
    </row>
    <row r="448" spans="1:6">
      <c r="A448" s="4" t="s">
        <v>493</v>
      </c>
      <c r="B448" s="4" t="s">
        <v>57</v>
      </c>
      <c r="C448" s="4">
        <v>53</v>
      </c>
      <c r="D448" s="8">
        <v>5.3</v>
      </c>
      <c r="E448" s="7">
        <v>1114000</v>
      </c>
      <c r="F448" s="7">
        <v>0</v>
      </c>
    </row>
    <row r="449" spans="1:6">
      <c r="A449" s="4" t="s">
        <v>494</v>
      </c>
      <c r="B449" s="4" t="s">
        <v>47</v>
      </c>
      <c r="C449" s="4">
        <v>71</v>
      </c>
      <c r="D449" s="8">
        <v>13.6</v>
      </c>
      <c r="E449" s="7">
        <v>0</v>
      </c>
      <c r="F449" s="7">
        <v>467000</v>
      </c>
    </row>
    <row r="450" spans="1:6">
      <c r="A450" s="4" t="s">
        <v>495</v>
      </c>
      <c r="B450" s="4" t="s">
        <v>45</v>
      </c>
      <c r="C450" s="4">
        <v>47</v>
      </c>
      <c r="D450" s="8">
        <v>1.6</v>
      </c>
      <c r="E450" s="7">
        <v>1036000</v>
      </c>
      <c r="F450" s="7">
        <v>0</v>
      </c>
    </row>
    <row r="451" spans="1:6">
      <c r="A451" s="4" t="s">
        <v>496</v>
      </c>
      <c r="B451" s="4" t="s">
        <v>47</v>
      </c>
      <c r="C451" s="4">
        <v>70</v>
      </c>
      <c r="D451" s="8">
        <v>28.6</v>
      </c>
      <c r="E451" s="7">
        <v>0</v>
      </c>
      <c r="F451" s="7">
        <v>351000</v>
      </c>
    </row>
    <row r="452" spans="1:6">
      <c r="A452" s="4" t="s">
        <v>497</v>
      </c>
      <c r="B452" s="4" t="s">
        <v>47</v>
      </c>
      <c r="C452" s="4">
        <v>64</v>
      </c>
      <c r="D452" s="8">
        <v>21.1</v>
      </c>
      <c r="E452" s="7">
        <v>0</v>
      </c>
      <c r="F452" s="7">
        <v>249000</v>
      </c>
    </row>
    <row r="453" spans="1:6">
      <c r="A453" s="4" t="s">
        <v>498</v>
      </c>
      <c r="B453" s="4" t="s">
        <v>45</v>
      </c>
      <c r="C453" s="4">
        <v>51</v>
      </c>
      <c r="D453" s="8">
        <v>1.8</v>
      </c>
      <c r="E453" s="7">
        <v>1557000</v>
      </c>
      <c r="F453" s="7">
        <v>0</v>
      </c>
    </row>
    <row r="454" spans="1:6">
      <c r="A454" s="4" t="s">
        <v>499</v>
      </c>
      <c r="B454" s="4" t="s">
        <v>45</v>
      </c>
      <c r="C454" s="4">
        <v>26</v>
      </c>
      <c r="D454" s="8">
        <v>2.2000000000000002</v>
      </c>
      <c r="E454" s="7">
        <v>448000</v>
      </c>
      <c r="F454" s="7">
        <v>0</v>
      </c>
    </row>
    <row r="455" spans="1:6">
      <c r="A455" s="4" t="s">
        <v>500</v>
      </c>
      <c r="B455" s="4" t="s">
        <v>45</v>
      </c>
      <c r="C455" s="4">
        <v>25</v>
      </c>
      <c r="D455" s="8">
        <v>1</v>
      </c>
      <c r="E455" s="7">
        <v>526000</v>
      </c>
      <c r="F455" s="7">
        <v>0</v>
      </c>
    </row>
    <row r="456" spans="1:6">
      <c r="A456" s="4" t="s">
        <v>501</v>
      </c>
      <c r="B456" s="4" t="s">
        <v>45</v>
      </c>
      <c r="C456" s="4">
        <v>51</v>
      </c>
      <c r="D456" s="8">
        <v>9.9</v>
      </c>
      <c r="E456" s="7">
        <v>1538000</v>
      </c>
      <c r="F456" s="7">
        <v>0</v>
      </c>
    </row>
    <row r="457" spans="1:6">
      <c r="A457" s="4" t="s">
        <v>502</v>
      </c>
      <c r="B457" s="4" t="s">
        <v>47</v>
      </c>
      <c r="C457" s="4">
        <v>75</v>
      </c>
      <c r="D457" s="8">
        <v>24.3</v>
      </c>
      <c r="E457" s="7">
        <v>0</v>
      </c>
      <c r="F457" s="7">
        <v>519000</v>
      </c>
    </row>
    <row r="458" spans="1:6">
      <c r="A458" s="4" t="s">
        <v>503</v>
      </c>
      <c r="B458" s="4" t="s">
        <v>57</v>
      </c>
      <c r="C458" s="4">
        <v>55</v>
      </c>
      <c r="D458" s="8">
        <v>10.6</v>
      </c>
      <c r="E458" s="7">
        <v>1175000</v>
      </c>
      <c r="F458" s="7">
        <v>0</v>
      </c>
    </row>
    <row r="459" spans="1:6">
      <c r="A459" s="4" t="s">
        <v>504</v>
      </c>
      <c r="B459" s="4" t="s">
        <v>45</v>
      </c>
      <c r="C459" s="4">
        <v>42</v>
      </c>
      <c r="D459" s="8">
        <v>10.6</v>
      </c>
      <c r="E459" s="7">
        <v>1038000</v>
      </c>
      <c r="F459" s="7">
        <v>0</v>
      </c>
    </row>
    <row r="460" spans="1:6">
      <c r="A460" s="4" t="s">
        <v>505</v>
      </c>
      <c r="B460" s="4" t="s">
        <v>45</v>
      </c>
      <c r="C460" s="4">
        <v>56</v>
      </c>
      <c r="D460" s="8">
        <v>4</v>
      </c>
      <c r="E460" s="7">
        <v>1576000</v>
      </c>
      <c r="F460" s="7">
        <v>0</v>
      </c>
    </row>
    <row r="461" spans="1:6">
      <c r="A461" s="4" t="s">
        <v>506</v>
      </c>
      <c r="B461" s="4" t="s">
        <v>47</v>
      </c>
      <c r="C461" s="4">
        <v>72</v>
      </c>
      <c r="D461" s="8">
        <v>13.5</v>
      </c>
      <c r="E461" s="7">
        <v>0</v>
      </c>
      <c r="F461" s="7">
        <v>476000</v>
      </c>
    </row>
    <row r="462" spans="1:6">
      <c r="A462" s="4" t="s">
        <v>507</v>
      </c>
      <c r="B462" s="4" t="s">
        <v>47</v>
      </c>
      <c r="C462" s="4">
        <v>68</v>
      </c>
      <c r="D462" s="8">
        <v>20.100000000000001</v>
      </c>
      <c r="E462" s="7">
        <v>0</v>
      </c>
      <c r="F462" s="7">
        <v>463000</v>
      </c>
    </row>
    <row r="463" spans="1:6">
      <c r="A463" s="4" t="s">
        <v>508</v>
      </c>
      <c r="B463" s="4" t="s">
        <v>57</v>
      </c>
      <c r="C463" s="4">
        <v>46</v>
      </c>
      <c r="D463" s="8">
        <v>7</v>
      </c>
      <c r="E463" s="7">
        <v>593000</v>
      </c>
      <c r="F463" s="7">
        <v>0</v>
      </c>
    </row>
    <row r="464" spans="1:6">
      <c r="A464" s="4" t="s">
        <v>509</v>
      </c>
      <c r="B464" s="4" t="s">
        <v>45</v>
      </c>
      <c r="C464" s="4">
        <v>28</v>
      </c>
      <c r="D464" s="8">
        <v>1.9</v>
      </c>
      <c r="E464" s="7">
        <v>412000</v>
      </c>
      <c r="F464" s="7">
        <v>0</v>
      </c>
    </row>
    <row r="465" spans="1:6">
      <c r="A465" s="4" t="s">
        <v>510</v>
      </c>
      <c r="B465" s="4" t="s">
        <v>45</v>
      </c>
      <c r="C465" s="4">
        <v>48</v>
      </c>
      <c r="D465" s="8">
        <v>3</v>
      </c>
      <c r="E465" s="7">
        <v>1180000</v>
      </c>
      <c r="F465" s="7">
        <v>0</v>
      </c>
    </row>
    <row r="466" spans="1:6">
      <c r="A466" s="4" t="s">
        <v>511</v>
      </c>
      <c r="B466" s="4" t="s">
        <v>47</v>
      </c>
      <c r="C466" s="4">
        <v>85</v>
      </c>
      <c r="D466" s="8">
        <v>12.4</v>
      </c>
      <c r="E466" s="7">
        <v>0</v>
      </c>
      <c r="F466" s="7">
        <v>819000</v>
      </c>
    </row>
    <row r="467" spans="1:6">
      <c r="A467" s="4" t="s">
        <v>512</v>
      </c>
      <c r="B467" s="4" t="s">
        <v>45</v>
      </c>
      <c r="C467" s="4">
        <v>53</v>
      </c>
      <c r="D467" s="8">
        <v>2.2000000000000002</v>
      </c>
      <c r="E467" s="7">
        <v>1445000</v>
      </c>
      <c r="F467" s="7">
        <v>0</v>
      </c>
    </row>
    <row r="468" spans="1:6">
      <c r="A468" s="4" t="s">
        <v>513</v>
      </c>
      <c r="B468" s="4" t="s">
        <v>45</v>
      </c>
      <c r="C468" s="4">
        <v>46</v>
      </c>
      <c r="D468" s="8">
        <v>15.4</v>
      </c>
      <c r="E468" s="7">
        <v>967000</v>
      </c>
      <c r="F468" s="7">
        <v>0</v>
      </c>
    </row>
    <row r="469" spans="1:6">
      <c r="A469" s="4" t="s">
        <v>514</v>
      </c>
      <c r="B469" s="4" t="s">
        <v>45</v>
      </c>
      <c r="C469" s="4">
        <v>25</v>
      </c>
      <c r="D469" s="8">
        <v>1.1000000000000001</v>
      </c>
      <c r="E469" s="7">
        <v>584000</v>
      </c>
      <c r="F469" s="7">
        <v>0</v>
      </c>
    </row>
    <row r="470" spans="1:6">
      <c r="A470" s="4" t="s">
        <v>515</v>
      </c>
      <c r="B470" s="4" t="s">
        <v>45</v>
      </c>
      <c r="C470" s="4">
        <v>50</v>
      </c>
      <c r="D470" s="8">
        <v>10</v>
      </c>
      <c r="E470" s="7">
        <v>1177000</v>
      </c>
      <c r="F470" s="7">
        <v>0</v>
      </c>
    </row>
    <row r="471" spans="1:6">
      <c r="A471" s="4" t="s">
        <v>516</v>
      </c>
      <c r="B471" s="4" t="s">
        <v>47</v>
      </c>
      <c r="C471" s="4">
        <v>66</v>
      </c>
      <c r="D471" s="8">
        <v>35.299999999999997</v>
      </c>
      <c r="E471" s="7">
        <v>0</v>
      </c>
      <c r="F471" s="7">
        <v>214000</v>
      </c>
    </row>
    <row r="472" spans="1:6">
      <c r="A472" s="4" t="s">
        <v>517</v>
      </c>
      <c r="B472" s="4" t="s">
        <v>57</v>
      </c>
      <c r="C472" s="4">
        <v>50</v>
      </c>
      <c r="D472" s="8">
        <v>11.1</v>
      </c>
      <c r="E472" s="7">
        <v>995000</v>
      </c>
      <c r="F472" s="7">
        <v>0</v>
      </c>
    </row>
    <row r="473" spans="1:6">
      <c r="A473" s="4" t="s">
        <v>518</v>
      </c>
      <c r="B473" s="4" t="s">
        <v>57</v>
      </c>
      <c r="C473" s="4">
        <v>47</v>
      </c>
      <c r="D473" s="8">
        <v>2.5</v>
      </c>
      <c r="E473" s="7">
        <v>942000</v>
      </c>
      <c r="F473" s="7">
        <v>0</v>
      </c>
    </row>
    <row r="474" spans="1:6">
      <c r="A474" s="4" t="s">
        <v>519</v>
      </c>
      <c r="B474" s="4" t="s">
        <v>57</v>
      </c>
      <c r="C474" s="4">
        <v>40</v>
      </c>
      <c r="D474" s="8">
        <v>15.6</v>
      </c>
      <c r="E474" s="7">
        <v>668000</v>
      </c>
      <c r="F474" s="7">
        <v>0</v>
      </c>
    </row>
    <row r="475" spans="1:6">
      <c r="A475" s="4" t="s">
        <v>520</v>
      </c>
      <c r="B475" s="4" t="s">
        <v>45</v>
      </c>
      <c r="C475" s="4">
        <v>42</v>
      </c>
      <c r="D475" s="8">
        <v>14.9</v>
      </c>
      <c r="E475" s="7">
        <v>773000</v>
      </c>
      <c r="F475" s="7">
        <v>0</v>
      </c>
    </row>
    <row r="476" spans="1:6">
      <c r="A476" s="4" t="s">
        <v>521</v>
      </c>
      <c r="B476" s="4" t="s">
        <v>47</v>
      </c>
      <c r="C476" s="4">
        <v>82</v>
      </c>
      <c r="D476" s="8">
        <v>13.7</v>
      </c>
      <c r="E476" s="7">
        <v>0</v>
      </c>
      <c r="F476" s="7">
        <v>419000</v>
      </c>
    </row>
    <row r="477" spans="1:6">
      <c r="A477" s="4" t="s">
        <v>522</v>
      </c>
      <c r="B477" s="4" t="s">
        <v>45</v>
      </c>
      <c r="C477" s="4">
        <v>37</v>
      </c>
      <c r="D477" s="8">
        <v>5.2</v>
      </c>
      <c r="E477" s="7">
        <v>979000</v>
      </c>
      <c r="F477" s="7">
        <v>0</v>
      </c>
    </row>
    <row r="478" spans="1:6">
      <c r="A478" s="4" t="s">
        <v>523</v>
      </c>
      <c r="B478" s="4" t="s">
        <v>47</v>
      </c>
      <c r="C478" s="4">
        <v>70</v>
      </c>
      <c r="D478" s="8">
        <v>30.7</v>
      </c>
      <c r="E478" s="7">
        <v>0</v>
      </c>
      <c r="F478" s="7">
        <v>277000</v>
      </c>
    </row>
    <row r="479" spans="1:6">
      <c r="A479" s="4" t="s">
        <v>524</v>
      </c>
      <c r="B479" s="4" t="s">
        <v>47</v>
      </c>
      <c r="C479" s="4">
        <v>83</v>
      </c>
      <c r="D479" s="8">
        <v>21.1</v>
      </c>
      <c r="E479" s="7">
        <v>0</v>
      </c>
      <c r="F479" s="7">
        <v>790000</v>
      </c>
    </row>
    <row r="480" spans="1:6">
      <c r="A480" s="4" t="s">
        <v>525</v>
      </c>
      <c r="B480" s="4" t="s">
        <v>45</v>
      </c>
      <c r="C480" s="4">
        <v>41</v>
      </c>
      <c r="D480" s="8">
        <v>14</v>
      </c>
      <c r="E480" s="7">
        <v>736000</v>
      </c>
      <c r="F480" s="7">
        <v>0</v>
      </c>
    </row>
    <row r="481" spans="1:6">
      <c r="A481" s="4" t="s">
        <v>526</v>
      </c>
      <c r="B481" s="4" t="s">
        <v>45</v>
      </c>
      <c r="C481" s="4">
        <v>46</v>
      </c>
      <c r="D481" s="8">
        <v>23.5</v>
      </c>
      <c r="E481" s="7">
        <v>1448000</v>
      </c>
      <c r="F481" s="7">
        <v>0</v>
      </c>
    </row>
    <row r="482" spans="1:6">
      <c r="A482" s="4" t="s">
        <v>527</v>
      </c>
      <c r="B482" s="4" t="s">
        <v>45</v>
      </c>
      <c r="C482" s="4">
        <v>42</v>
      </c>
      <c r="D482" s="8">
        <v>7.6</v>
      </c>
      <c r="E482" s="7">
        <v>1113000</v>
      </c>
      <c r="F482" s="7">
        <v>0</v>
      </c>
    </row>
    <row r="483" spans="1:6">
      <c r="A483" s="4" t="s">
        <v>528</v>
      </c>
      <c r="B483" s="4" t="s">
        <v>57</v>
      </c>
      <c r="C483" s="4">
        <v>49</v>
      </c>
      <c r="D483" s="8">
        <v>9.1</v>
      </c>
      <c r="E483" s="7">
        <v>882000</v>
      </c>
      <c r="F483" s="7">
        <v>0</v>
      </c>
    </row>
    <row r="484" spans="1:6">
      <c r="A484" s="4" t="s">
        <v>529</v>
      </c>
      <c r="B484" s="4" t="s">
        <v>45</v>
      </c>
      <c r="C484" s="4">
        <v>52</v>
      </c>
      <c r="D484" s="8">
        <v>5.5</v>
      </c>
      <c r="E484" s="7">
        <v>1485000</v>
      </c>
      <c r="F484" s="7">
        <v>0</v>
      </c>
    </row>
    <row r="485" spans="1:6">
      <c r="A485" s="4" t="s">
        <v>530</v>
      </c>
      <c r="B485" s="4" t="s">
        <v>57</v>
      </c>
      <c r="C485" s="4">
        <v>57</v>
      </c>
      <c r="D485" s="8">
        <v>8.9</v>
      </c>
      <c r="E485" s="7">
        <v>1167000</v>
      </c>
      <c r="F485" s="7">
        <v>0</v>
      </c>
    </row>
    <row r="486" spans="1:6">
      <c r="A486" s="4" t="s">
        <v>531</v>
      </c>
      <c r="B486" s="4" t="s">
        <v>47</v>
      </c>
      <c r="C486" s="4">
        <v>60</v>
      </c>
      <c r="D486" s="8">
        <v>14.8</v>
      </c>
      <c r="E486" s="7">
        <v>0</v>
      </c>
      <c r="F486" s="7">
        <v>206000</v>
      </c>
    </row>
    <row r="487" spans="1:6">
      <c r="A487" s="4" t="s">
        <v>532</v>
      </c>
      <c r="B487" s="4" t="s">
        <v>45</v>
      </c>
      <c r="C487" s="4">
        <v>48</v>
      </c>
      <c r="D487" s="8">
        <v>9.9</v>
      </c>
      <c r="E487" s="7">
        <v>1541000</v>
      </c>
      <c r="F487" s="7">
        <v>0</v>
      </c>
    </row>
    <row r="488" spans="1:6">
      <c r="A488" s="4" t="s">
        <v>533</v>
      </c>
      <c r="B488" s="4" t="s">
        <v>47</v>
      </c>
      <c r="C488" s="4">
        <v>77</v>
      </c>
      <c r="D488" s="8">
        <v>31.3</v>
      </c>
      <c r="E488" s="7">
        <v>0</v>
      </c>
      <c r="F488" s="7">
        <v>404000</v>
      </c>
    </row>
    <row r="489" spans="1:6">
      <c r="A489" s="4" t="s">
        <v>534</v>
      </c>
      <c r="B489" s="4" t="s">
        <v>57</v>
      </c>
      <c r="C489" s="4">
        <v>55</v>
      </c>
      <c r="D489" s="8">
        <v>19.5</v>
      </c>
      <c r="E489" s="7">
        <v>1387000</v>
      </c>
      <c r="F489" s="7">
        <v>0</v>
      </c>
    </row>
    <row r="490" spans="1:6">
      <c r="A490" s="4" t="s">
        <v>535</v>
      </c>
      <c r="B490" s="4" t="s">
        <v>47</v>
      </c>
      <c r="C490" s="4">
        <v>88</v>
      </c>
      <c r="D490" s="8">
        <v>26.2</v>
      </c>
      <c r="E490" s="7">
        <v>0</v>
      </c>
      <c r="F490" s="7">
        <v>375000</v>
      </c>
    </row>
    <row r="491" spans="1:6">
      <c r="A491" s="4" t="s">
        <v>536</v>
      </c>
      <c r="B491" s="4" t="s">
        <v>57</v>
      </c>
      <c r="C491" s="4">
        <v>55</v>
      </c>
      <c r="D491" s="8">
        <v>24.7</v>
      </c>
      <c r="E491" s="7">
        <v>989000</v>
      </c>
      <c r="F491" s="7">
        <v>0</v>
      </c>
    </row>
    <row r="492" spans="1:6">
      <c r="A492" s="4" t="s">
        <v>537</v>
      </c>
      <c r="B492" s="4" t="s">
        <v>45</v>
      </c>
      <c r="C492" s="4">
        <v>39</v>
      </c>
      <c r="D492" s="8">
        <v>9</v>
      </c>
      <c r="E492" s="7">
        <v>784000</v>
      </c>
      <c r="F492" s="7">
        <v>0</v>
      </c>
    </row>
    <row r="493" spans="1:6">
      <c r="A493" s="4" t="s">
        <v>538</v>
      </c>
      <c r="B493" s="4" t="s">
        <v>45</v>
      </c>
      <c r="C493" s="4">
        <v>48</v>
      </c>
      <c r="D493" s="8">
        <v>13.1</v>
      </c>
      <c r="E493" s="7">
        <v>1237000</v>
      </c>
      <c r="F493" s="7">
        <v>0</v>
      </c>
    </row>
    <row r="494" spans="1:6">
      <c r="A494" s="4" t="s">
        <v>539</v>
      </c>
      <c r="B494" s="4" t="s">
        <v>45</v>
      </c>
      <c r="C494" s="4">
        <v>34</v>
      </c>
      <c r="D494" s="8">
        <v>7.7</v>
      </c>
      <c r="E494" s="7">
        <v>551000</v>
      </c>
      <c r="F494" s="7">
        <v>0</v>
      </c>
    </row>
    <row r="495" spans="1:6">
      <c r="A495" s="4" t="s">
        <v>540</v>
      </c>
      <c r="B495" s="4" t="s">
        <v>57</v>
      </c>
      <c r="C495" s="4">
        <v>43</v>
      </c>
      <c r="D495" s="8">
        <v>11.8</v>
      </c>
      <c r="E495" s="7">
        <v>728000</v>
      </c>
      <c r="F495" s="7">
        <v>0</v>
      </c>
    </row>
    <row r="496" spans="1:6">
      <c r="A496" s="4" t="s">
        <v>541</v>
      </c>
      <c r="B496" s="4" t="s">
        <v>45</v>
      </c>
      <c r="C496" s="4">
        <v>48</v>
      </c>
      <c r="D496" s="8">
        <v>1.5</v>
      </c>
      <c r="E496" s="7">
        <v>944000</v>
      </c>
      <c r="F496" s="7">
        <v>0</v>
      </c>
    </row>
    <row r="497" spans="1:6">
      <c r="A497" s="4" t="s">
        <v>542</v>
      </c>
      <c r="B497" s="4" t="s">
        <v>57</v>
      </c>
      <c r="C497" s="4">
        <v>37</v>
      </c>
      <c r="D497" s="8">
        <v>14.5</v>
      </c>
      <c r="E497" s="7">
        <v>567000</v>
      </c>
      <c r="F497" s="7">
        <v>0</v>
      </c>
    </row>
    <row r="498" spans="1:6">
      <c r="A498" s="4" t="s">
        <v>543</v>
      </c>
      <c r="B498" s="4" t="s">
        <v>45</v>
      </c>
      <c r="C498" s="4">
        <v>38</v>
      </c>
      <c r="D498" s="8">
        <v>4.3</v>
      </c>
      <c r="E498" s="7">
        <v>726000</v>
      </c>
      <c r="F498" s="7">
        <v>0</v>
      </c>
    </row>
    <row r="499" spans="1:6">
      <c r="A499" s="4" t="s">
        <v>544</v>
      </c>
      <c r="B499" s="4" t="s">
        <v>45</v>
      </c>
      <c r="C499" s="4">
        <v>53</v>
      </c>
      <c r="D499" s="8">
        <v>4.2</v>
      </c>
      <c r="E499" s="7">
        <v>1840000</v>
      </c>
      <c r="F499" s="7">
        <v>0</v>
      </c>
    </row>
    <row r="500" spans="1:6">
      <c r="A500" s="4" t="s">
        <v>545</v>
      </c>
      <c r="B500" s="4" t="s">
        <v>45</v>
      </c>
      <c r="C500" s="4">
        <v>36</v>
      </c>
      <c r="D500" s="8">
        <v>4.3</v>
      </c>
      <c r="E500" s="7">
        <v>935000</v>
      </c>
      <c r="F500" s="7">
        <v>0</v>
      </c>
    </row>
    <row r="501" spans="1:6">
      <c r="A501" s="4" t="s">
        <v>546</v>
      </c>
      <c r="B501" s="4" t="s">
        <v>45</v>
      </c>
      <c r="C501" s="4">
        <v>33</v>
      </c>
      <c r="D501" s="8">
        <v>2.8</v>
      </c>
      <c r="E501" s="7">
        <v>768000</v>
      </c>
      <c r="F501" s="7">
        <v>0</v>
      </c>
    </row>
    <row r="502" spans="1:6">
      <c r="A502" s="4" t="s">
        <v>547</v>
      </c>
      <c r="B502" s="4" t="s">
        <v>57</v>
      </c>
      <c r="C502" s="4">
        <v>42</v>
      </c>
      <c r="D502" s="8">
        <v>4</v>
      </c>
      <c r="E502" s="7">
        <v>479000</v>
      </c>
      <c r="F502" s="7">
        <v>0</v>
      </c>
    </row>
    <row r="503" spans="1:6">
      <c r="A503" s="4" t="s">
        <v>548</v>
      </c>
      <c r="B503" s="4" t="s">
        <v>45</v>
      </c>
      <c r="C503" s="4">
        <v>36</v>
      </c>
      <c r="D503" s="8">
        <v>5.2</v>
      </c>
      <c r="E503" s="7">
        <v>538000</v>
      </c>
      <c r="F503" s="7">
        <v>0</v>
      </c>
    </row>
    <row r="504" spans="1:6">
      <c r="A504" s="4" t="s">
        <v>549</v>
      </c>
      <c r="B504" s="4" t="s">
        <v>45</v>
      </c>
      <c r="C504" s="4">
        <v>58</v>
      </c>
      <c r="D504" s="8">
        <v>9.4</v>
      </c>
      <c r="E504" s="7">
        <v>1416000</v>
      </c>
      <c r="F504" s="7">
        <v>0</v>
      </c>
    </row>
    <row r="505" spans="1:6">
      <c r="A505" s="4" t="s">
        <v>550</v>
      </c>
      <c r="B505" s="4" t="s">
        <v>47</v>
      </c>
      <c r="C505" s="4">
        <v>65</v>
      </c>
      <c r="D505" s="8">
        <v>15.1</v>
      </c>
      <c r="E505" s="7">
        <v>0</v>
      </c>
      <c r="F505" s="7">
        <v>204000</v>
      </c>
    </row>
    <row r="506" spans="1:6">
      <c r="A506" s="4" t="s">
        <v>551</v>
      </c>
      <c r="B506" s="4" t="s">
        <v>57</v>
      </c>
      <c r="C506" s="4">
        <v>32</v>
      </c>
      <c r="D506" s="8">
        <v>3.8</v>
      </c>
      <c r="E506" s="7">
        <v>503000</v>
      </c>
      <c r="F506" s="7">
        <v>0</v>
      </c>
    </row>
    <row r="507" spans="1:6">
      <c r="A507" s="4" t="s">
        <v>552</v>
      </c>
      <c r="B507" s="4" t="s">
        <v>45</v>
      </c>
      <c r="C507" s="4">
        <v>31</v>
      </c>
      <c r="D507" s="8">
        <v>5.3</v>
      </c>
      <c r="E507" s="7">
        <v>430000</v>
      </c>
      <c r="F507" s="7">
        <v>0</v>
      </c>
    </row>
    <row r="508" spans="1:6">
      <c r="A508" s="4" t="s">
        <v>553</v>
      </c>
      <c r="B508" s="4" t="s">
        <v>45</v>
      </c>
      <c r="C508" s="4">
        <v>40</v>
      </c>
      <c r="D508" s="8">
        <v>10.9</v>
      </c>
      <c r="E508" s="7">
        <v>891000</v>
      </c>
      <c r="F508" s="7">
        <v>0</v>
      </c>
    </row>
    <row r="509" spans="1:6">
      <c r="A509" s="4" t="s">
        <v>554</v>
      </c>
      <c r="B509" s="4" t="s">
        <v>47</v>
      </c>
      <c r="C509" s="4">
        <v>70</v>
      </c>
      <c r="D509" s="8">
        <v>32.1</v>
      </c>
      <c r="E509" s="7">
        <v>0</v>
      </c>
      <c r="F509" s="7">
        <v>346000</v>
      </c>
    </row>
    <row r="510" spans="1:6">
      <c r="A510" s="4" t="s">
        <v>555</v>
      </c>
      <c r="B510" s="4" t="s">
        <v>47</v>
      </c>
      <c r="C510" s="4">
        <v>61</v>
      </c>
      <c r="D510" s="8">
        <v>33.4</v>
      </c>
      <c r="E510" s="7">
        <v>0</v>
      </c>
      <c r="F510" s="7">
        <v>300000</v>
      </c>
    </row>
    <row r="511" spans="1:6">
      <c r="A511" s="4" t="s">
        <v>556</v>
      </c>
      <c r="B511" s="4" t="s">
        <v>47</v>
      </c>
      <c r="C511" s="4">
        <v>83</v>
      </c>
      <c r="D511" s="8">
        <v>19.3</v>
      </c>
      <c r="E511" s="7">
        <v>0</v>
      </c>
      <c r="F511" s="7">
        <v>706000</v>
      </c>
    </row>
    <row r="512" spans="1:6">
      <c r="A512" s="4" t="s">
        <v>557</v>
      </c>
      <c r="B512" s="4" t="s">
        <v>45</v>
      </c>
      <c r="C512" s="4">
        <v>58</v>
      </c>
      <c r="D512" s="8">
        <v>20.9</v>
      </c>
      <c r="E512" s="7">
        <v>2507000</v>
      </c>
      <c r="F512" s="7">
        <v>0</v>
      </c>
    </row>
    <row r="513" spans="1:6">
      <c r="A513" s="4" t="s">
        <v>558</v>
      </c>
      <c r="B513" s="4" t="s">
        <v>45</v>
      </c>
      <c r="C513" s="4">
        <v>56</v>
      </c>
      <c r="D513" s="8">
        <v>5.0999999999999996</v>
      </c>
      <c r="E513" s="7">
        <v>1593000</v>
      </c>
      <c r="F513" s="7">
        <v>0</v>
      </c>
    </row>
    <row r="514" spans="1:6">
      <c r="A514" s="4" t="s">
        <v>559</v>
      </c>
      <c r="B514" s="4" t="s">
        <v>57</v>
      </c>
      <c r="C514" s="4">
        <v>36</v>
      </c>
      <c r="D514" s="8">
        <v>5.4</v>
      </c>
      <c r="E514" s="7">
        <v>528000</v>
      </c>
      <c r="F514" s="7">
        <v>0</v>
      </c>
    </row>
    <row r="515" spans="1:6">
      <c r="A515" s="4" t="s">
        <v>560</v>
      </c>
      <c r="B515" s="4" t="s">
        <v>45</v>
      </c>
      <c r="C515" s="4">
        <v>54</v>
      </c>
      <c r="D515" s="8">
        <v>11.9</v>
      </c>
      <c r="E515" s="7">
        <v>2063000</v>
      </c>
      <c r="F515" s="7">
        <v>0</v>
      </c>
    </row>
    <row r="516" spans="1:6">
      <c r="A516" s="4" t="s">
        <v>561</v>
      </c>
      <c r="B516" s="4" t="s">
        <v>45</v>
      </c>
      <c r="C516" s="4">
        <v>59</v>
      </c>
      <c r="D516" s="8">
        <v>16.399999999999999</v>
      </c>
      <c r="E516" s="7">
        <v>2317000</v>
      </c>
      <c r="F516" s="7">
        <v>0</v>
      </c>
    </row>
    <row r="517" spans="1:6">
      <c r="A517" s="4" t="s">
        <v>562</v>
      </c>
      <c r="B517" s="4" t="s">
        <v>57</v>
      </c>
      <c r="C517" s="4">
        <v>36</v>
      </c>
      <c r="D517" s="8">
        <v>6.5</v>
      </c>
      <c r="E517" s="7">
        <v>628000</v>
      </c>
      <c r="F517" s="7">
        <v>0</v>
      </c>
    </row>
    <row r="518" spans="1:6">
      <c r="A518" s="4" t="s">
        <v>563</v>
      </c>
      <c r="B518" s="4" t="s">
        <v>57</v>
      </c>
      <c r="C518" s="4">
        <v>47</v>
      </c>
      <c r="D518" s="8">
        <v>16.5</v>
      </c>
      <c r="E518" s="7">
        <v>747000</v>
      </c>
      <c r="F518" s="7">
        <v>0</v>
      </c>
    </row>
    <row r="519" spans="1:6">
      <c r="A519" s="4" t="s">
        <v>564</v>
      </c>
      <c r="B519" s="4" t="s">
        <v>45</v>
      </c>
      <c r="C519" s="4">
        <v>33</v>
      </c>
      <c r="D519" s="8">
        <v>2.1</v>
      </c>
      <c r="E519" s="7">
        <v>830000</v>
      </c>
      <c r="F519" s="7">
        <v>0</v>
      </c>
    </row>
    <row r="520" spans="1:6">
      <c r="A520" s="4" t="s">
        <v>565</v>
      </c>
      <c r="B520" s="4" t="s">
        <v>45</v>
      </c>
      <c r="C520" s="4">
        <v>51</v>
      </c>
      <c r="D520" s="8">
        <v>19</v>
      </c>
      <c r="E520" s="7">
        <v>1088000</v>
      </c>
      <c r="F520" s="7">
        <v>0</v>
      </c>
    </row>
    <row r="521" spans="1:6">
      <c r="A521" s="4" t="s">
        <v>566</v>
      </c>
      <c r="B521" s="4" t="s">
        <v>45</v>
      </c>
      <c r="C521" s="4">
        <v>44</v>
      </c>
      <c r="D521" s="8">
        <v>21.4</v>
      </c>
      <c r="E521" s="7">
        <v>1049000</v>
      </c>
      <c r="F521" s="7">
        <v>0</v>
      </c>
    </row>
    <row r="522" spans="1:6">
      <c r="A522" s="4" t="s">
        <v>567</v>
      </c>
      <c r="B522" s="4" t="s">
        <v>45</v>
      </c>
      <c r="C522" s="4">
        <v>38</v>
      </c>
      <c r="D522" s="8">
        <v>7.1</v>
      </c>
      <c r="E522" s="7">
        <v>925000</v>
      </c>
      <c r="F522" s="7">
        <v>0</v>
      </c>
    </row>
    <row r="523" spans="1:6">
      <c r="A523" s="4" t="s">
        <v>568</v>
      </c>
      <c r="B523" s="4" t="s">
        <v>47</v>
      </c>
      <c r="C523" s="4">
        <v>74</v>
      </c>
      <c r="D523" s="8">
        <v>36.700000000000003</v>
      </c>
      <c r="E523" s="7">
        <v>0</v>
      </c>
      <c r="F523" s="7">
        <v>382000</v>
      </c>
    </row>
    <row r="524" spans="1:6">
      <c r="A524" s="4" t="s">
        <v>569</v>
      </c>
      <c r="B524" s="4" t="s">
        <v>45</v>
      </c>
      <c r="C524" s="4">
        <v>52</v>
      </c>
      <c r="D524" s="8">
        <v>29.3</v>
      </c>
      <c r="E524" s="7">
        <v>1193000</v>
      </c>
      <c r="F524" s="7">
        <v>0</v>
      </c>
    </row>
    <row r="525" spans="1:6">
      <c r="A525" s="4" t="s">
        <v>570</v>
      </c>
      <c r="B525" s="4" t="s">
        <v>57</v>
      </c>
      <c r="C525" s="4">
        <v>57</v>
      </c>
      <c r="D525" s="8">
        <v>22.2</v>
      </c>
      <c r="E525" s="7">
        <v>1220000</v>
      </c>
      <c r="F525" s="7">
        <v>0</v>
      </c>
    </row>
    <row r="526" spans="1:6">
      <c r="A526" s="4" t="s">
        <v>571</v>
      </c>
      <c r="B526" s="4" t="s">
        <v>57</v>
      </c>
      <c r="C526" s="4">
        <v>43</v>
      </c>
      <c r="D526" s="8">
        <v>5.8</v>
      </c>
      <c r="E526" s="7">
        <v>738000</v>
      </c>
      <c r="F526" s="7">
        <v>0</v>
      </c>
    </row>
    <row r="527" spans="1:6">
      <c r="A527" s="4" t="s">
        <v>572</v>
      </c>
      <c r="B527" s="4" t="s">
        <v>45</v>
      </c>
      <c r="C527" s="4">
        <v>30</v>
      </c>
      <c r="D527" s="8">
        <v>1.9</v>
      </c>
      <c r="E527" s="7">
        <v>585000</v>
      </c>
      <c r="F527" s="7">
        <v>0</v>
      </c>
    </row>
    <row r="528" spans="1:6">
      <c r="A528" s="4" t="s">
        <v>573</v>
      </c>
      <c r="B528" s="4" t="s">
        <v>45</v>
      </c>
      <c r="C528" s="4">
        <v>27</v>
      </c>
      <c r="D528" s="8">
        <v>1.1000000000000001</v>
      </c>
      <c r="E528" s="7">
        <v>563000</v>
      </c>
      <c r="F528" s="7">
        <v>0</v>
      </c>
    </row>
    <row r="529" spans="1:6">
      <c r="A529" s="4" t="s">
        <v>574</v>
      </c>
      <c r="B529" s="4" t="s">
        <v>45</v>
      </c>
      <c r="C529" s="4">
        <v>38</v>
      </c>
      <c r="D529" s="8">
        <v>14.3</v>
      </c>
      <c r="E529" s="7">
        <v>621000</v>
      </c>
      <c r="F529" s="7">
        <v>0</v>
      </c>
    </row>
    <row r="530" spans="1:6">
      <c r="A530" s="4" t="s">
        <v>575</v>
      </c>
      <c r="B530" s="4" t="s">
        <v>45</v>
      </c>
      <c r="C530" s="4">
        <v>57</v>
      </c>
      <c r="D530" s="8">
        <v>29.5</v>
      </c>
      <c r="E530" s="7">
        <v>2109000</v>
      </c>
      <c r="F530" s="7">
        <v>0</v>
      </c>
    </row>
    <row r="531" spans="1:6">
      <c r="A531" s="4" t="s">
        <v>576</v>
      </c>
      <c r="B531" s="4" t="s">
        <v>57</v>
      </c>
      <c r="C531" s="4">
        <v>37</v>
      </c>
      <c r="D531" s="8">
        <v>6.2</v>
      </c>
      <c r="E531" s="7">
        <v>395000</v>
      </c>
      <c r="F531" s="7">
        <v>0</v>
      </c>
    </row>
    <row r="532" spans="1:6">
      <c r="A532" s="4" t="s">
        <v>577</v>
      </c>
      <c r="B532" s="4" t="s">
        <v>47</v>
      </c>
      <c r="C532" s="4">
        <v>89</v>
      </c>
      <c r="D532" s="8">
        <v>29.7</v>
      </c>
      <c r="E532" s="7">
        <v>0</v>
      </c>
      <c r="F532" s="7">
        <v>794000</v>
      </c>
    </row>
    <row r="533" spans="1:6">
      <c r="A533" s="4" t="s">
        <v>578</v>
      </c>
      <c r="B533" s="4" t="s">
        <v>47</v>
      </c>
      <c r="C533" s="4">
        <v>60</v>
      </c>
      <c r="D533" s="8">
        <v>22.8</v>
      </c>
      <c r="E533" s="7">
        <v>0</v>
      </c>
      <c r="F533" s="7">
        <v>141000</v>
      </c>
    </row>
    <row r="534" spans="1:6">
      <c r="A534" s="4" t="s">
        <v>579</v>
      </c>
      <c r="B534" s="4" t="s">
        <v>45</v>
      </c>
      <c r="C534" s="4">
        <v>58</v>
      </c>
      <c r="D534" s="8">
        <v>7.5</v>
      </c>
      <c r="E534" s="7">
        <v>1444000</v>
      </c>
      <c r="F534" s="7">
        <v>0</v>
      </c>
    </row>
    <row r="535" spans="1:6">
      <c r="A535" s="4" t="s">
        <v>580</v>
      </c>
      <c r="B535" s="4" t="s">
        <v>45</v>
      </c>
      <c r="C535" s="4">
        <v>36</v>
      </c>
      <c r="D535" s="8">
        <v>3.1</v>
      </c>
      <c r="E535" s="7">
        <v>914000</v>
      </c>
      <c r="F535" s="7">
        <v>0</v>
      </c>
    </row>
    <row r="536" spans="1:6">
      <c r="A536" s="4" t="s">
        <v>581</v>
      </c>
      <c r="B536" s="4" t="s">
        <v>45</v>
      </c>
      <c r="C536" s="4">
        <v>30</v>
      </c>
      <c r="D536" s="8">
        <v>1.5</v>
      </c>
      <c r="E536" s="7">
        <v>639000</v>
      </c>
      <c r="F536" s="7">
        <v>0</v>
      </c>
    </row>
    <row r="537" spans="1:6">
      <c r="A537" s="4" t="s">
        <v>582</v>
      </c>
      <c r="B537" s="4" t="s">
        <v>47</v>
      </c>
      <c r="C537" s="4">
        <v>64</v>
      </c>
      <c r="D537" s="8">
        <v>19.2</v>
      </c>
      <c r="E537" s="7">
        <v>0</v>
      </c>
      <c r="F537" s="7">
        <v>278000</v>
      </c>
    </row>
    <row r="538" spans="1:6">
      <c r="A538" s="4" t="s">
        <v>583</v>
      </c>
      <c r="B538" s="4" t="s">
        <v>47</v>
      </c>
      <c r="C538" s="4">
        <v>87</v>
      </c>
      <c r="D538" s="8">
        <v>33.1</v>
      </c>
      <c r="E538" s="7">
        <v>0</v>
      </c>
      <c r="F538" s="7">
        <v>451000</v>
      </c>
    </row>
    <row r="539" spans="1:6">
      <c r="A539" s="4" t="s">
        <v>584</v>
      </c>
      <c r="B539" s="4" t="s">
        <v>57</v>
      </c>
      <c r="C539" s="4">
        <v>48</v>
      </c>
      <c r="D539" s="8">
        <v>8.3000000000000007</v>
      </c>
      <c r="E539" s="7">
        <v>860000</v>
      </c>
      <c r="F539" s="7">
        <v>0</v>
      </c>
    </row>
    <row r="540" spans="1:6">
      <c r="A540" s="4" t="s">
        <v>585</v>
      </c>
      <c r="B540" s="4" t="s">
        <v>45</v>
      </c>
      <c r="C540" s="4">
        <v>24</v>
      </c>
      <c r="D540" s="8">
        <v>1.8</v>
      </c>
      <c r="E540" s="7">
        <v>340000</v>
      </c>
      <c r="F540" s="7">
        <v>0</v>
      </c>
    </row>
    <row r="541" spans="1:6">
      <c r="A541" s="4" t="s">
        <v>586</v>
      </c>
      <c r="B541" s="4" t="s">
        <v>57</v>
      </c>
      <c r="C541" s="4">
        <v>54</v>
      </c>
      <c r="D541" s="8">
        <v>23.6</v>
      </c>
      <c r="E541" s="7">
        <v>1202000</v>
      </c>
      <c r="F541" s="7">
        <v>0</v>
      </c>
    </row>
    <row r="542" spans="1:6">
      <c r="A542" s="4" t="s">
        <v>587</v>
      </c>
      <c r="B542" s="4" t="s">
        <v>45</v>
      </c>
      <c r="C542" s="4">
        <v>46</v>
      </c>
      <c r="D542" s="8">
        <v>1.7</v>
      </c>
      <c r="E542" s="7">
        <v>1343000</v>
      </c>
      <c r="F542" s="7">
        <v>0</v>
      </c>
    </row>
    <row r="543" spans="1:6">
      <c r="A543" s="4" t="s">
        <v>588</v>
      </c>
      <c r="B543" s="4" t="s">
        <v>45</v>
      </c>
      <c r="C543" s="4">
        <v>51</v>
      </c>
      <c r="D543" s="8">
        <v>25.9</v>
      </c>
      <c r="E543" s="7">
        <v>1479000</v>
      </c>
      <c r="F543" s="7">
        <v>0</v>
      </c>
    </row>
    <row r="544" spans="1:6">
      <c r="A544" s="4" t="s">
        <v>589</v>
      </c>
      <c r="B544" s="4" t="s">
        <v>57</v>
      </c>
      <c r="C544" s="4">
        <v>36</v>
      </c>
      <c r="D544" s="8">
        <v>7.4</v>
      </c>
      <c r="E544" s="7">
        <v>384000</v>
      </c>
      <c r="F544" s="7">
        <v>0</v>
      </c>
    </row>
    <row r="545" spans="1:6">
      <c r="A545" s="4" t="s">
        <v>590</v>
      </c>
      <c r="B545" s="4" t="s">
        <v>45</v>
      </c>
      <c r="C545" s="4">
        <v>43</v>
      </c>
      <c r="D545" s="8">
        <v>7.8</v>
      </c>
      <c r="E545" s="7">
        <v>956000</v>
      </c>
      <c r="F545" s="7">
        <v>0</v>
      </c>
    </row>
    <row r="546" spans="1:6">
      <c r="A546" s="4" t="s">
        <v>591</v>
      </c>
      <c r="B546" s="4" t="s">
        <v>45</v>
      </c>
      <c r="C546" s="4">
        <v>25</v>
      </c>
      <c r="D546" s="8">
        <v>1</v>
      </c>
      <c r="E546" s="7">
        <v>561000</v>
      </c>
      <c r="F546" s="7">
        <v>0</v>
      </c>
    </row>
    <row r="547" spans="1:6">
      <c r="A547" s="4" t="s">
        <v>592</v>
      </c>
      <c r="B547" s="4" t="s">
        <v>45</v>
      </c>
      <c r="C547" s="4">
        <v>39</v>
      </c>
      <c r="D547" s="8">
        <v>17</v>
      </c>
      <c r="E547" s="7">
        <v>624000</v>
      </c>
      <c r="F547" s="7">
        <v>0</v>
      </c>
    </row>
    <row r="548" spans="1:6">
      <c r="A548" s="4" t="s">
        <v>593</v>
      </c>
      <c r="B548" s="4" t="s">
        <v>57</v>
      </c>
      <c r="C548" s="4">
        <v>36</v>
      </c>
      <c r="D548" s="8">
        <v>4.3</v>
      </c>
      <c r="E548" s="7">
        <v>523000</v>
      </c>
      <c r="F548" s="7">
        <v>0</v>
      </c>
    </row>
    <row r="549" spans="1:6">
      <c r="A549" s="4" t="s">
        <v>594</v>
      </c>
      <c r="B549" s="4" t="s">
        <v>45</v>
      </c>
      <c r="C549" s="4">
        <v>46</v>
      </c>
      <c r="D549" s="8">
        <v>21.6</v>
      </c>
      <c r="E549" s="7">
        <v>849000</v>
      </c>
      <c r="F549" s="7">
        <v>0</v>
      </c>
    </row>
    <row r="550" spans="1:6">
      <c r="A550" s="4" t="s">
        <v>595</v>
      </c>
      <c r="B550" s="4" t="s">
        <v>47</v>
      </c>
      <c r="C550" s="4">
        <v>69</v>
      </c>
      <c r="D550" s="8">
        <v>38.9</v>
      </c>
      <c r="E550" s="7">
        <v>0</v>
      </c>
      <c r="F550" s="7">
        <v>178000</v>
      </c>
    </row>
    <row r="551" spans="1:6">
      <c r="A551" s="4" t="s">
        <v>596</v>
      </c>
      <c r="B551" s="4" t="s">
        <v>45</v>
      </c>
      <c r="C551" s="4">
        <v>25</v>
      </c>
      <c r="D551" s="8">
        <v>1.3</v>
      </c>
      <c r="E551" s="7">
        <v>520000</v>
      </c>
      <c r="F551" s="7">
        <v>0</v>
      </c>
    </row>
    <row r="552" spans="1:6">
      <c r="A552" s="4" t="s">
        <v>597</v>
      </c>
      <c r="B552" s="4" t="s">
        <v>57</v>
      </c>
      <c r="C552" s="4">
        <v>44</v>
      </c>
      <c r="D552" s="8">
        <v>10.9</v>
      </c>
      <c r="E552" s="7">
        <v>710000</v>
      </c>
      <c r="F552" s="7">
        <v>0</v>
      </c>
    </row>
    <row r="553" spans="1:6">
      <c r="A553" s="4" t="s">
        <v>598</v>
      </c>
      <c r="B553" s="4" t="s">
        <v>45</v>
      </c>
      <c r="C553" s="4">
        <v>55</v>
      </c>
      <c r="D553" s="8">
        <v>1.2</v>
      </c>
      <c r="E553" s="7">
        <v>1810000</v>
      </c>
      <c r="F553" s="7">
        <v>0</v>
      </c>
    </row>
    <row r="554" spans="1:6">
      <c r="A554" s="4" t="s">
        <v>599</v>
      </c>
      <c r="B554" s="4" t="s">
        <v>45</v>
      </c>
      <c r="C554" s="4">
        <v>57</v>
      </c>
      <c r="D554" s="8">
        <v>1.4</v>
      </c>
      <c r="E554" s="7">
        <v>2247000</v>
      </c>
      <c r="F554" s="7">
        <v>0</v>
      </c>
    </row>
    <row r="555" spans="1:6">
      <c r="A555" s="4" t="s">
        <v>600</v>
      </c>
      <c r="B555" s="4" t="s">
        <v>45</v>
      </c>
      <c r="C555" s="4">
        <v>55</v>
      </c>
      <c r="D555" s="8">
        <v>6.1</v>
      </c>
      <c r="E555" s="7">
        <v>2079000</v>
      </c>
      <c r="F555" s="7">
        <v>0</v>
      </c>
    </row>
    <row r="556" spans="1:6">
      <c r="A556" s="4" t="s">
        <v>601</v>
      </c>
      <c r="B556" s="4" t="s">
        <v>47</v>
      </c>
      <c r="C556" s="4">
        <v>88</v>
      </c>
      <c r="D556" s="8">
        <v>21.5</v>
      </c>
      <c r="E556" s="7">
        <v>0</v>
      </c>
      <c r="F556" s="7">
        <v>555000</v>
      </c>
    </row>
    <row r="557" spans="1:6">
      <c r="A557" s="4" t="s">
        <v>602</v>
      </c>
      <c r="B557" s="4" t="s">
        <v>45</v>
      </c>
      <c r="C557" s="4">
        <v>57</v>
      </c>
      <c r="D557" s="8">
        <v>2.5</v>
      </c>
      <c r="E557" s="7">
        <v>1858000</v>
      </c>
      <c r="F557" s="7">
        <v>0</v>
      </c>
    </row>
    <row r="558" spans="1:6">
      <c r="A558" s="4" t="s">
        <v>603</v>
      </c>
      <c r="B558" s="4" t="s">
        <v>45</v>
      </c>
      <c r="C558" s="4">
        <v>57</v>
      </c>
      <c r="D558" s="8">
        <v>9.1999999999999993</v>
      </c>
      <c r="E558" s="7">
        <v>2052000</v>
      </c>
      <c r="F558" s="7">
        <v>0</v>
      </c>
    </row>
    <row r="559" spans="1:6">
      <c r="A559" s="4" t="s">
        <v>604</v>
      </c>
      <c r="B559" s="4" t="s">
        <v>47</v>
      </c>
      <c r="C559" s="4">
        <v>74</v>
      </c>
      <c r="D559" s="8">
        <v>31.4</v>
      </c>
      <c r="E559" s="7">
        <v>0</v>
      </c>
      <c r="F559" s="7">
        <v>444000</v>
      </c>
    </row>
    <row r="560" spans="1:6">
      <c r="A560" s="4" t="s">
        <v>605</v>
      </c>
      <c r="B560" s="4" t="s">
        <v>57</v>
      </c>
      <c r="C560" s="4">
        <v>50</v>
      </c>
      <c r="D560" s="8">
        <v>9.3000000000000007</v>
      </c>
      <c r="E560" s="7">
        <v>986000</v>
      </c>
      <c r="F560" s="7">
        <v>0</v>
      </c>
    </row>
    <row r="561" spans="1:6">
      <c r="A561" s="4" t="s">
        <v>606</v>
      </c>
      <c r="B561" s="4" t="s">
        <v>45</v>
      </c>
      <c r="C561" s="4">
        <v>55</v>
      </c>
      <c r="D561" s="8">
        <v>14.2</v>
      </c>
      <c r="E561" s="7">
        <v>1475000</v>
      </c>
      <c r="F561" s="7">
        <v>0</v>
      </c>
    </row>
    <row r="562" spans="1:6">
      <c r="A562" s="4" t="s">
        <v>607</v>
      </c>
      <c r="B562" s="4" t="s">
        <v>57</v>
      </c>
      <c r="C562" s="4">
        <v>41</v>
      </c>
      <c r="D562" s="8">
        <v>10.8</v>
      </c>
      <c r="E562" s="7">
        <v>782000</v>
      </c>
      <c r="F562" s="7">
        <v>0</v>
      </c>
    </row>
    <row r="563" spans="1:6">
      <c r="A563" s="4" t="s">
        <v>608</v>
      </c>
      <c r="B563" s="4" t="s">
        <v>45</v>
      </c>
      <c r="C563" s="4">
        <v>34</v>
      </c>
      <c r="D563" s="8">
        <v>5.5</v>
      </c>
      <c r="E563" s="7">
        <v>702000</v>
      </c>
      <c r="F563" s="7">
        <v>0</v>
      </c>
    </row>
    <row r="564" spans="1:6">
      <c r="A564" s="4" t="s">
        <v>609</v>
      </c>
      <c r="B564" s="4" t="s">
        <v>45</v>
      </c>
      <c r="C564" s="4">
        <v>25</v>
      </c>
      <c r="D564" s="8">
        <v>1</v>
      </c>
      <c r="E564" s="7">
        <v>538000</v>
      </c>
      <c r="F564" s="7">
        <v>0</v>
      </c>
    </row>
    <row r="565" spans="1:6">
      <c r="A565" s="4" t="s">
        <v>610</v>
      </c>
      <c r="B565" s="4" t="s">
        <v>45</v>
      </c>
      <c r="C565" s="4">
        <v>26</v>
      </c>
      <c r="D565" s="8">
        <v>4.5</v>
      </c>
      <c r="E565" s="7">
        <v>433000</v>
      </c>
      <c r="F565" s="7">
        <v>0</v>
      </c>
    </row>
    <row r="566" spans="1:6">
      <c r="A566" s="4" t="s">
        <v>611</v>
      </c>
      <c r="B566" s="4" t="s">
        <v>57</v>
      </c>
      <c r="C566" s="4">
        <v>35</v>
      </c>
      <c r="D566" s="8">
        <v>4.2</v>
      </c>
      <c r="E566" s="7">
        <v>490000</v>
      </c>
      <c r="F566" s="7">
        <v>0</v>
      </c>
    </row>
    <row r="567" spans="1:6">
      <c r="A567" s="4" t="s">
        <v>612</v>
      </c>
      <c r="B567" s="4" t="s">
        <v>45</v>
      </c>
      <c r="C567" s="4">
        <v>33</v>
      </c>
      <c r="D567" s="8">
        <v>1.8</v>
      </c>
      <c r="E567" s="7">
        <v>706000</v>
      </c>
      <c r="F567" s="7">
        <v>0</v>
      </c>
    </row>
    <row r="568" spans="1:6">
      <c r="A568" s="4" t="s">
        <v>613</v>
      </c>
      <c r="B568" s="4" t="s">
        <v>45</v>
      </c>
      <c r="C568" s="4">
        <v>44</v>
      </c>
      <c r="D568" s="8">
        <v>12.7</v>
      </c>
      <c r="E568" s="7">
        <v>934000</v>
      </c>
      <c r="F568" s="7">
        <v>0</v>
      </c>
    </row>
    <row r="569" spans="1:6">
      <c r="A569" s="4" t="s">
        <v>614</v>
      </c>
      <c r="B569" s="4" t="s">
        <v>45</v>
      </c>
      <c r="C569" s="4">
        <v>53</v>
      </c>
      <c r="D569" s="8">
        <v>19.600000000000001</v>
      </c>
      <c r="E569" s="7">
        <v>1803000</v>
      </c>
      <c r="F569" s="7">
        <v>0</v>
      </c>
    </row>
    <row r="570" spans="1:6">
      <c r="A570" s="4" t="s">
        <v>615</v>
      </c>
      <c r="B570" s="4" t="s">
        <v>45</v>
      </c>
      <c r="C570" s="4">
        <v>38</v>
      </c>
      <c r="D570" s="8">
        <v>9.8000000000000007</v>
      </c>
      <c r="E570" s="7">
        <v>615000</v>
      </c>
      <c r="F570" s="7">
        <v>0</v>
      </c>
    </row>
    <row r="571" spans="1:6">
      <c r="A571" s="4" t="s">
        <v>616</v>
      </c>
      <c r="B571" s="4" t="s">
        <v>45</v>
      </c>
      <c r="C571" s="4">
        <v>43</v>
      </c>
      <c r="D571" s="8">
        <v>7.5</v>
      </c>
      <c r="E571" s="7">
        <v>992000</v>
      </c>
      <c r="F571" s="7">
        <v>0</v>
      </c>
    </row>
    <row r="572" spans="1:6">
      <c r="A572" s="4" t="s">
        <v>617</v>
      </c>
      <c r="B572" s="4" t="s">
        <v>47</v>
      </c>
      <c r="C572" s="4">
        <v>81</v>
      </c>
      <c r="D572" s="8">
        <v>15.6</v>
      </c>
      <c r="E572" s="7">
        <v>0</v>
      </c>
      <c r="F572" s="7">
        <v>429000</v>
      </c>
    </row>
    <row r="573" spans="1:6">
      <c r="A573" s="4" t="s">
        <v>618</v>
      </c>
      <c r="B573" s="4" t="s">
        <v>45</v>
      </c>
      <c r="C573" s="4">
        <v>23</v>
      </c>
      <c r="D573" s="8">
        <v>2.2999999999999998</v>
      </c>
      <c r="E573" s="7">
        <v>425000</v>
      </c>
      <c r="F573" s="7">
        <v>0</v>
      </c>
    </row>
    <row r="574" spans="1:6">
      <c r="A574" s="4" t="s">
        <v>619</v>
      </c>
      <c r="B574" s="4" t="s">
        <v>45</v>
      </c>
      <c r="C574" s="4">
        <v>35</v>
      </c>
      <c r="D574" s="8">
        <v>11.4</v>
      </c>
      <c r="E574" s="7">
        <v>679000</v>
      </c>
      <c r="F574" s="7">
        <v>0</v>
      </c>
    </row>
    <row r="575" spans="1:6">
      <c r="A575" s="4" t="s">
        <v>620</v>
      </c>
      <c r="B575" s="4" t="s">
        <v>45</v>
      </c>
      <c r="C575" s="4">
        <v>57</v>
      </c>
      <c r="D575" s="8">
        <v>19.100000000000001</v>
      </c>
      <c r="E575" s="7">
        <v>1378000</v>
      </c>
      <c r="F575" s="7">
        <v>0</v>
      </c>
    </row>
    <row r="576" spans="1:6">
      <c r="A576" s="4" t="s">
        <v>621</v>
      </c>
      <c r="B576" s="4" t="s">
        <v>47</v>
      </c>
      <c r="C576" s="4">
        <v>81</v>
      </c>
      <c r="D576" s="8">
        <v>35.5</v>
      </c>
      <c r="E576" s="7">
        <v>0</v>
      </c>
      <c r="F576" s="7">
        <v>612000</v>
      </c>
    </row>
    <row r="577" spans="1:6">
      <c r="A577" s="4" t="s">
        <v>622</v>
      </c>
      <c r="B577" s="4" t="s">
        <v>45</v>
      </c>
      <c r="C577" s="4">
        <v>32</v>
      </c>
      <c r="D577" s="8">
        <v>4</v>
      </c>
      <c r="E577" s="7">
        <v>574000</v>
      </c>
      <c r="F577" s="7">
        <v>0</v>
      </c>
    </row>
    <row r="578" spans="1:6">
      <c r="A578" s="4" t="s">
        <v>623</v>
      </c>
      <c r="B578" s="4" t="s">
        <v>57</v>
      </c>
      <c r="C578" s="4">
        <v>35</v>
      </c>
      <c r="D578" s="8">
        <v>9.5</v>
      </c>
      <c r="E578" s="7">
        <v>538000</v>
      </c>
      <c r="F578" s="7">
        <v>0</v>
      </c>
    </row>
    <row r="579" spans="1:6">
      <c r="A579" s="4" t="s">
        <v>624</v>
      </c>
      <c r="B579" s="4" t="s">
        <v>47</v>
      </c>
      <c r="C579" s="4">
        <v>62</v>
      </c>
      <c r="D579" s="8">
        <v>29.7</v>
      </c>
      <c r="E579" s="7">
        <v>0</v>
      </c>
      <c r="F579" s="7">
        <v>184000</v>
      </c>
    </row>
    <row r="580" spans="1:6">
      <c r="A580" s="4" t="s">
        <v>625</v>
      </c>
      <c r="B580" s="4" t="s">
        <v>57</v>
      </c>
      <c r="C580" s="4">
        <v>49</v>
      </c>
      <c r="D580" s="8">
        <v>2.9</v>
      </c>
      <c r="E580" s="7">
        <v>803000</v>
      </c>
      <c r="F580" s="7">
        <v>0</v>
      </c>
    </row>
    <row r="581" spans="1:6">
      <c r="A581" s="4" t="s">
        <v>626</v>
      </c>
      <c r="B581" s="4" t="s">
        <v>45</v>
      </c>
      <c r="C581" s="4">
        <v>56</v>
      </c>
      <c r="D581" s="8">
        <v>24.1</v>
      </c>
      <c r="E581" s="7">
        <v>1966000</v>
      </c>
      <c r="F581" s="7">
        <v>0</v>
      </c>
    </row>
    <row r="582" spans="1:6">
      <c r="A582" s="4" t="s">
        <v>627</v>
      </c>
      <c r="B582" s="4" t="s">
        <v>57</v>
      </c>
      <c r="C582" s="4">
        <v>58</v>
      </c>
      <c r="D582" s="8">
        <v>17</v>
      </c>
      <c r="E582" s="7">
        <v>1164000</v>
      </c>
      <c r="F582" s="7">
        <v>0</v>
      </c>
    </row>
    <row r="583" spans="1:6">
      <c r="A583" s="4" t="s">
        <v>628</v>
      </c>
      <c r="B583" s="4" t="s">
        <v>45</v>
      </c>
      <c r="C583" s="4">
        <v>45</v>
      </c>
      <c r="D583" s="8">
        <v>4.5</v>
      </c>
      <c r="E583" s="7">
        <v>970000</v>
      </c>
      <c r="F583" s="7">
        <v>0</v>
      </c>
    </row>
    <row r="584" spans="1:6">
      <c r="A584" s="4" t="s">
        <v>629</v>
      </c>
      <c r="B584" s="4" t="s">
        <v>45</v>
      </c>
      <c r="C584" s="4">
        <v>51</v>
      </c>
      <c r="D584" s="8">
        <v>16.600000000000001</v>
      </c>
      <c r="E584" s="7">
        <v>1124000</v>
      </c>
      <c r="F584" s="7">
        <v>0</v>
      </c>
    </row>
    <row r="585" spans="1:6">
      <c r="A585" s="4" t="s">
        <v>630</v>
      </c>
      <c r="B585" s="4" t="s">
        <v>45</v>
      </c>
      <c r="C585" s="4">
        <v>36</v>
      </c>
      <c r="D585" s="8">
        <v>5.5</v>
      </c>
      <c r="E585" s="7">
        <v>735000</v>
      </c>
      <c r="F585" s="7">
        <v>0</v>
      </c>
    </row>
    <row r="586" spans="1:6">
      <c r="A586" s="4" t="s">
        <v>631</v>
      </c>
      <c r="B586" s="4" t="s">
        <v>57</v>
      </c>
      <c r="C586" s="4">
        <v>46</v>
      </c>
      <c r="D586" s="8">
        <v>13.5</v>
      </c>
      <c r="E586" s="7">
        <v>813000</v>
      </c>
      <c r="F586" s="7">
        <v>0</v>
      </c>
    </row>
    <row r="587" spans="1:6">
      <c r="A587" s="4" t="s">
        <v>632</v>
      </c>
      <c r="B587" s="4" t="s">
        <v>57</v>
      </c>
      <c r="C587" s="4">
        <v>37</v>
      </c>
      <c r="D587" s="8">
        <v>11</v>
      </c>
      <c r="E587" s="7">
        <v>481000</v>
      </c>
      <c r="F587" s="7">
        <v>0</v>
      </c>
    </row>
    <row r="588" spans="1:6">
      <c r="A588" s="4" t="s">
        <v>633</v>
      </c>
      <c r="B588" s="4" t="s">
        <v>45</v>
      </c>
      <c r="C588" s="4">
        <v>58</v>
      </c>
      <c r="D588" s="8">
        <v>7.9</v>
      </c>
      <c r="E588" s="7">
        <v>1977000</v>
      </c>
      <c r="F588" s="7">
        <v>0</v>
      </c>
    </row>
    <row r="589" spans="1:6">
      <c r="A589" s="4" t="s">
        <v>634</v>
      </c>
      <c r="B589" s="4" t="s">
        <v>45</v>
      </c>
      <c r="C589" s="4">
        <v>55</v>
      </c>
      <c r="D589" s="8">
        <v>2.5</v>
      </c>
      <c r="E589" s="7">
        <v>2194000</v>
      </c>
      <c r="F589" s="7">
        <v>0</v>
      </c>
    </row>
    <row r="590" spans="1:6">
      <c r="A590" s="4" t="s">
        <v>635</v>
      </c>
      <c r="B590" s="4" t="s">
        <v>45</v>
      </c>
      <c r="C590" s="4">
        <v>50</v>
      </c>
      <c r="D590" s="8">
        <v>8.6</v>
      </c>
      <c r="E590" s="7">
        <v>1388000</v>
      </c>
      <c r="F590" s="7">
        <v>0</v>
      </c>
    </row>
    <row r="591" spans="1:6">
      <c r="A591" s="4" t="s">
        <v>636</v>
      </c>
      <c r="B591" s="4" t="s">
        <v>45</v>
      </c>
      <c r="C591" s="4">
        <v>26</v>
      </c>
      <c r="D591" s="8">
        <v>3.9</v>
      </c>
      <c r="E591" s="7">
        <v>381000</v>
      </c>
      <c r="F591" s="7">
        <v>0</v>
      </c>
    </row>
    <row r="592" spans="1:6">
      <c r="A592" s="4" t="s">
        <v>637</v>
      </c>
      <c r="B592" s="4" t="s">
        <v>47</v>
      </c>
      <c r="C592" s="4">
        <v>83</v>
      </c>
      <c r="D592" s="8">
        <v>12.7</v>
      </c>
      <c r="E592" s="7">
        <v>0</v>
      </c>
      <c r="F592" s="7">
        <v>684000</v>
      </c>
    </row>
    <row r="593" spans="1:6">
      <c r="A593" s="4" t="s">
        <v>638</v>
      </c>
      <c r="B593" s="4" t="s">
        <v>47</v>
      </c>
      <c r="C593" s="4">
        <v>61</v>
      </c>
      <c r="D593" s="8">
        <v>32.799999999999997</v>
      </c>
      <c r="E593" s="7">
        <v>0</v>
      </c>
      <c r="F593" s="7">
        <v>267000</v>
      </c>
    </row>
    <row r="594" spans="1:6">
      <c r="A594" s="4" t="s">
        <v>639</v>
      </c>
      <c r="B594" s="4" t="s">
        <v>45</v>
      </c>
      <c r="C594" s="4">
        <v>27</v>
      </c>
      <c r="D594" s="8">
        <v>1.1000000000000001</v>
      </c>
      <c r="E594" s="7">
        <v>489000</v>
      </c>
      <c r="F594" s="7">
        <v>0</v>
      </c>
    </row>
    <row r="595" spans="1:6">
      <c r="A595" s="4" t="s">
        <v>640</v>
      </c>
      <c r="B595" s="4" t="s">
        <v>47</v>
      </c>
      <c r="C595" s="4">
        <v>74</v>
      </c>
      <c r="D595" s="8">
        <v>26.2</v>
      </c>
      <c r="E595" s="7">
        <v>0</v>
      </c>
      <c r="F595" s="7">
        <v>555000</v>
      </c>
    </row>
    <row r="596" spans="1:6">
      <c r="A596" s="4" t="s">
        <v>641</v>
      </c>
      <c r="B596" s="4" t="s">
        <v>47</v>
      </c>
      <c r="C596" s="4">
        <v>82</v>
      </c>
      <c r="D596" s="8">
        <v>14.4</v>
      </c>
      <c r="E596" s="7">
        <v>0</v>
      </c>
      <c r="F596" s="7">
        <v>277000</v>
      </c>
    </row>
    <row r="597" spans="1:6">
      <c r="A597" s="4" t="s">
        <v>642</v>
      </c>
      <c r="B597" s="4" t="s">
        <v>45</v>
      </c>
      <c r="C597" s="4">
        <v>48</v>
      </c>
      <c r="D597" s="8">
        <v>4</v>
      </c>
      <c r="E597" s="7">
        <v>978000</v>
      </c>
      <c r="F597" s="7">
        <v>0</v>
      </c>
    </row>
    <row r="598" spans="1:6">
      <c r="A598" s="4" t="s">
        <v>643</v>
      </c>
      <c r="B598" s="4" t="s">
        <v>47</v>
      </c>
      <c r="C598" s="4">
        <v>78</v>
      </c>
      <c r="D598" s="8">
        <v>16.3</v>
      </c>
      <c r="E598" s="7">
        <v>0</v>
      </c>
      <c r="F598" s="7">
        <v>556000</v>
      </c>
    </row>
    <row r="599" spans="1:6">
      <c r="A599" s="4" t="s">
        <v>644</v>
      </c>
      <c r="B599" s="4" t="s">
        <v>45</v>
      </c>
      <c r="C599" s="4">
        <v>26</v>
      </c>
      <c r="D599" s="8">
        <v>4.7</v>
      </c>
      <c r="E599" s="7">
        <v>502000</v>
      </c>
      <c r="F599" s="7">
        <v>0</v>
      </c>
    </row>
    <row r="600" spans="1:6">
      <c r="A600" s="4" t="s">
        <v>645</v>
      </c>
      <c r="B600" s="4" t="s">
        <v>45</v>
      </c>
      <c r="C600" s="4">
        <v>38</v>
      </c>
      <c r="D600" s="8">
        <v>7.3</v>
      </c>
      <c r="E600" s="7">
        <v>768000</v>
      </c>
      <c r="F600" s="7">
        <v>0</v>
      </c>
    </row>
    <row r="601" spans="1:6">
      <c r="A601" s="4" t="s">
        <v>646</v>
      </c>
      <c r="B601" s="4" t="s">
        <v>47</v>
      </c>
      <c r="C601" s="4">
        <v>89</v>
      </c>
      <c r="D601" s="8">
        <v>20.5</v>
      </c>
      <c r="E601" s="7">
        <v>0</v>
      </c>
      <c r="F601" s="7">
        <v>538000</v>
      </c>
    </row>
    <row r="602" spans="1:6">
      <c r="A602" s="4" t="s">
        <v>647</v>
      </c>
      <c r="B602" s="4" t="s">
        <v>57</v>
      </c>
      <c r="C602" s="4">
        <v>56</v>
      </c>
      <c r="D602" s="8">
        <v>7.9</v>
      </c>
      <c r="E602" s="7">
        <v>1472000</v>
      </c>
      <c r="F602" s="7">
        <v>0</v>
      </c>
    </row>
    <row r="603" spans="1:6">
      <c r="A603" s="4" t="s">
        <v>648</v>
      </c>
      <c r="B603" s="4" t="s">
        <v>47</v>
      </c>
      <c r="C603" s="4">
        <v>85</v>
      </c>
      <c r="D603" s="8">
        <v>39.799999999999997</v>
      </c>
      <c r="E603" s="7">
        <v>0</v>
      </c>
      <c r="F603" s="7">
        <v>395000</v>
      </c>
    </row>
    <row r="604" spans="1:6">
      <c r="A604" s="4" t="s">
        <v>649</v>
      </c>
      <c r="B604" s="4" t="s">
        <v>47</v>
      </c>
      <c r="C604" s="4">
        <v>62</v>
      </c>
      <c r="D604" s="8">
        <v>34.1</v>
      </c>
      <c r="E604" s="7">
        <v>0</v>
      </c>
      <c r="F604" s="7">
        <v>372000</v>
      </c>
    </row>
    <row r="605" spans="1:6">
      <c r="A605" s="4" t="s">
        <v>650</v>
      </c>
      <c r="B605" s="4" t="s">
        <v>45</v>
      </c>
      <c r="C605" s="4">
        <v>58</v>
      </c>
      <c r="D605" s="8">
        <v>29.9</v>
      </c>
      <c r="E605" s="7">
        <v>1740000</v>
      </c>
      <c r="F605" s="7">
        <v>0</v>
      </c>
    </row>
    <row r="606" spans="1:6">
      <c r="A606" s="4" t="s">
        <v>651</v>
      </c>
      <c r="B606" s="4" t="s">
        <v>45</v>
      </c>
      <c r="C606" s="4">
        <v>29</v>
      </c>
      <c r="D606" s="8">
        <v>5.7</v>
      </c>
      <c r="E606" s="7">
        <v>588000</v>
      </c>
      <c r="F606" s="7">
        <v>0</v>
      </c>
    </row>
    <row r="607" spans="1:6">
      <c r="A607" s="4" t="s">
        <v>652</v>
      </c>
      <c r="B607" s="4" t="s">
        <v>47</v>
      </c>
      <c r="C607" s="4">
        <v>61</v>
      </c>
      <c r="D607" s="8">
        <v>17.3</v>
      </c>
      <c r="E607" s="7">
        <v>0</v>
      </c>
      <c r="F607" s="7">
        <v>368000</v>
      </c>
    </row>
    <row r="608" spans="1:6">
      <c r="A608" s="4" t="s">
        <v>653</v>
      </c>
      <c r="B608" s="4" t="s">
        <v>45</v>
      </c>
      <c r="C608" s="4">
        <v>39</v>
      </c>
      <c r="D608" s="8">
        <v>8</v>
      </c>
      <c r="E608" s="7">
        <v>977000</v>
      </c>
      <c r="F608" s="7">
        <v>0</v>
      </c>
    </row>
    <row r="609" spans="1:6">
      <c r="A609" s="4" t="s">
        <v>654</v>
      </c>
      <c r="B609" s="4" t="s">
        <v>45</v>
      </c>
      <c r="C609" s="4">
        <v>57</v>
      </c>
      <c r="D609" s="8">
        <v>25.2</v>
      </c>
      <c r="E609" s="7">
        <v>1831000</v>
      </c>
      <c r="F609" s="7">
        <v>0</v>
      </c>
    </row>
    <row r="610" spans="1:6">
      <c r="A610" s="4" t="s">
        <v>655</v>
      </c>
      <c r="B610" s="4" t="s">
        <v>45</v>
      </c>
      <c r="C610" s="4">
        <v>43</v>
      </c>
      <c r="D610" s="8">
        <v>13.3</v>
      </c>
      <c r="E610" s="7">
        <v>1236000</v>
      </c>
      <c r="F610" s="7">
        <v>0</v>
      </c>
    </row>
    <row r="611" spans="1:6">
      <c r="A611" s="4" t="s">
        <v>656</v>
      </c>
      <c r="B611" s="4" t="s">
        <v>47</v>
      </c>
      <c r="C611" s="4">
        <v>88</v>
      </c>
      <c r="D611" s="8">
        <v>20.5</v>
      </c>
      <c r="E611" s="7">
        <v>0</v>
      </c>
      <c r="F611" s="7">
        <v>917000</v>
      </c>
    </row>
    <row r="612" spans="1:6">
      <c r="A612" s="4" t="s">
        <v>657</v>
      </c>
      <c r="B612" s="4" t="s">
        <v>47</v>
      </c>
      <c r="C612" s="4">
        <v>73</v>
      </c>
      <c r="D612" s="8">
        <v>16.600000000000001</v>
      </c>
      <c r="E612" s="7">
        <v>0</v>
      </c>
      <c r="F612" s="7">
        <v>241000</v>
      </c>
    </row>
    <row r="613" spans="1:6">
      <c r="A613" s="4" t="s">
        <v>658</v>
      </c>
      <c r="B613" s="4" t="s">
        <v>45</v>
      </c>
      <c r="C613" s="4">
        <v>50</v>
      </c>
      <c r="D613" s="8">
        <v>1.8</v>
      </c>
      <c r="E613" s="7">
        <v>1704000</v>
      </c>
      <c r="F613" s="7">
        <v>0</v>
      </c>
    </row>
    <row r="614" spans="1:6">
      <c r="A614" s="4" t="s">
        <v>659</v>
      </c>
      <c r="B614" s="4" t="s">
        <v>45</v>
      </c>
      <c r="C614" s="4">
        <v>42</v>
      </c>
      <c r="D614" s="8">
        <v>11.3</v>
      </c>
      <c r="E614" s="7">
        <v>1163000</v>
      </c>
      <c r="F614" s="7">
        <v>0</v>
      </c>
    </row>
    <row r="615" spans="1:6">
      <c r="A615" s="4" t="s">
        <v>660</v>
      </c>
      <c r="B615" s="4" t="s">
        <v>45</v>
      </c>
      <c r="C615" s="4">
        <v>49</v>
      </c>
      <c r="D615" s="8">
        <v>21.9</v>
      </c>
      <c r="E615" s="7">
        <v>1148000</v>
      </c>
      <c r="F615" s="7">
        <v>0</v>
      </c>
    </row>
    <row r="616" spans="1:6">
      <c r="A616" s="4" t="s">
        <v>661</v>
      </c>
      <c r="B616" s="4" t="s">
        <v>47</v>
      </c>
      <c r="C616" s="4">
        <v>63</v>
      </c>
      <c r="D616" s="8">
        <v>25</v>
      </c>
      <c r="E616" s="7">
        <v>0</v>
      </c>
      <c r="F616" s="7">
        <v>164000</v>
      </c>
    </row>
    <row r="617" spans="1:6">
      <c r="A617" s="4" t="s">
        <v>662</v>
      </c>
      <c r="B617" s="4" t="s">
        <v>45</v>
      </c>
      <c r="C617" s="4">
        <v>58</v>
      </c>
      <c r="D617" s="8">
        <v>12.3</v>
      </c>
      <c r="E617" s="7">
        <v>1676000</v>
      </c>
      <c r="F617" s="7">
        <v>0</v>
      </c>
    </row>
    <row r="618" spans="1:6">
      <c r="A618" s="4" t="s">
        <v>663</v>
      </c>
      <c r="B618" s="4" t="s">
        <v>45</v>
      </c>
      <c r="C618" s="4">
        <v>25</v>
      </c>
      <c r="D618" s="8">
        <v>1</v>
      </c>
      <c r="E618" s="7">
        <v>368000</v>
      </c>
      <c r="F618" s="7">
        <v>0</v>
      </c>
    </row>
    <row r="619" spans="1:6">
      <c r="A619" s="4" t="s">
        <v>664</v>
      </c>
      <c r="B619" s="4" t="s">
        <v>57</v>
      </c>
      <c r="C619" s="4">
        <v>42</v>
      </c>
      <c r="D619" s="8">
        <v>13.4</v>
      </c>
      <c r="E619" s="7">
        <v>607000</v>
      </c>
      <c r="F619" s="7">
        <v>0</v>
      </c>
    </row>
    <row r="620" spans="1:6">
      <c r="A620" s="4" t="s">
        <v>665</v>
      </c>
      <c r="B620" s="4" t="s">
        <v>45</v>
      </c>
      <c r="C620" s="4">
        <v>42</v>
      </c>
      <c r="D620" s="8">
        <v>13.1</v>
      </c>
      <c r="E620" s="7">
        <v>787000</v>
      </c>
      <c r="F620" s="7">
        <v>0</v>
      </c>
    </row>
    <row r="621" spans="1:6">
      <c r="A621" s="4" t="s">
        <v>666</v>
      </c>
      <c r="B621" s="4" t="s">
        <v>45</v>
      </c>
      <c r="C621" s="4">
        <v>44</v>
      </c>
      <c r="D621" s="8">
        <v>3.9</v>
      </c>
      <c r="E621" s="7">
        <v>1365000</v>
      </c>
      <c r="F621" s="7">
        <v>0</v>
      </c>
    </row>
    <row r="622" spans="1:6">
      <c r="A622" s="4" t="s">
        <v>667</v>
      </c>
      <c r="B622" s="4" t="s">
        <v>45</v>
      </c>
      <c r="C622" s="4">
        <v>22</v>
      </c>
      <c r="D622" s="8">
        <v>1</v>
      </c>
      <c r="E622" s="7">
        <v>445000</v>
      </c>
      <c r="F622" s="7">
        <v>0</v>
      </c>
    </row>
    <row r="623" spans="1:6">
      <c r="A623" s="4" t="s">
        <v>668</v>
      </c>
      <c r="B623" s="4" t="s">
        <v>45</v>
      </c>
      <c r="C623" s="4">
        <v>30</v>
      </c>
      <c r="D623" s="8">
        <v>4.8</v>
      </c>
      <c r="E623" s="7">
        <v>682000</v>
      </c>
      <c r="F623" s="7">
        <v>0</v>
      </c>
    </row>
    <row r="624" spans="1:6">
      <c r="A624" s="4" t="s">
        <v>669</v>
      </c>
      <c r="B624" s="4" t="s">
        <v>57</v>
      </c>
      <c r="C624" s="4">
        <v>30</v>
      </c>
      <c r="D624" s="8">
        <v>2.6</v>
      </c>
      <c r="E624" s="7">
        <v>333000</v>
      </c>
      <c r="F624" s="7">
        <v>0</v>
      </c>
    </row>
    <row r="625" spans="1:6">
      <c r="A625" s="4" t="s">
        <v>670</v>
      </c>
      <c r="B625" s="4" t="s">
        <v>47</v>
      </c>
      <c r="C625" s="4">
        <v>61</v>
      </c>
      <c r="D625" s="8">
        <v>20.5</v>
      </c>
      <c r="E625" s="7">
        <v>0</v>
      </c>
      <c r="F625" s="7">
        <v>240000</v>
      </c>
    </row>
    <row r="626" spans="1:6">
      <c r="A626" s="4" t="s">
        <v>671</v>
      </c>
      <c r="B626" s="4" t="s">
        <v>45</v>
      </c>
      <c r="C626" s="4">
        <v>39</v>
      </c>
      <c r="D626" s="8">
        <v>14.9</v>
      </c>
      <c r="E626" s="7">
        <v>857000</v>
      </c>
      <c r="F626" s="7">
        <v>0</v>
      </c>
    </row>
    <row r="627" spans="1:6">
      <c r="A627" s="4" t="s">
        <v>672</v>
      </c>
      <c r="B627" s="4" t="s">
        <v>45</v>
      </c>
      <c r="C627" s="4">
        <v>24</v>
      </c>
      <c r="D627" s="8">
        <v>1</v>
      </c>
      <c r="E627" s="7">
        <v>488000</v>
      </c>
      <c r="F627" s="7">
        <v>0</v>
      </c>
    </row>
    <row r="628" spans="1:6">
      <c r="A628" s="4" t="s">
        <v>673</v>
      </c>
      <c r="B628" s="4" t="s">
        <v>45</v>
      </c>
      <c r="C628" s="4">
        <v>48</v>
      </c>
      <c r="D628" s="8">
        <v>9.1999999999999993</v>
      </c>
      <c r="E628" s="7">
        <v>1402000</v>
      </c>
      <c r="F628" s="7">
        <v>0</v>
      </c>
    </row>
    <row r="629" spans="1:6">
      <c r="A629" s="4" t="s">
        <v>674</v>
      </c>
      <c r="B629" s="4" t="s">
        <v>45</v>
      </c>
      <c r="C629" s="4">
        <v>58</v>
      </c>
      <c r="D629" s="8">
        <v>24.7</v>
      </c>
      <c r="E629" s="7">
        <v>1439000</v>
      </c>
      <c r="F629" s="7">
        <v>0</v>
      </c>
    </row>
    <row r="630" spans="1:6">
      <c r="A630" s="4" t="s">
        <v>675</v>
      </c>
      <c r="B630" s="4" t="s">
        <v>45</v>
      </c>
      <c r="C630" s="4">
        <v>27</v>
      </c>
      <c r="D630" s="8">
        <v>2.7</v>
      </c>
      <c r="E630" s="7">
        <v>391000</v>
      </c>
      <c r="F630" s="7">
        <v>0</v>
      </c>
    </row>
    <row r="631" spans="1:6">
      <c r="A631" s="4" t="s">
        <v>676</v>
      </c>
      <c r="B631" s="4" t="s">
        <v>45</v>
      </c>
      <c r="C631" s="4">
        <v>33</v>
      </c>
      <c r="D631" s="8">
        <v>2.6</v>
      </c>
      <c r="E631" s="7">
        <v>681000</v>
      </c>
      <c r="F631" s="7">
        <v>0</v>
      </c>
    </row>
    <row r="632" spans="1:6">
      <c r="A632" s="4" t="s">
        <v>677</v>
      </c>
      <c r="B632" s="4" t="s">
        <v>45</v>
      </c>
      <c r="C632" s="4">
        <v>22</v>
      </c>
      <c r="D632" s="8">
        <v>1.4</v>
      </c>
      <c r="E632" s="7">
        <v>562000</v>
      </c>
      <c r="F632" s="7">
        <v>0</v>
      </c>
    </row>
    <row r="633" spans="1:6">
      <c r="A633" s="4" t="s">
        <v>678</v>
      </c>
      <c r="B633" s="4" t="s">
        <v>47</v>
      </c>
      <c r="C633" s="4">
        <v>87</v>
      </c>
      <c r="D633" s="8">
        <v>26.2</v>
      </c>
      <c r="E633" s="7">
        <v>0</v>
      </c>
      <c r="F633" s="7">
        <v>423000</v>
      </c>
    </row>
    <row r="634" spans="1:6">
      <c r="A634" s="4" t="s">
        <v>679</v>
      </c>
      <c r="B634" s="4" t="s">
        <v>45</v>
      </c>
      <c r="C634" s="4">
        <v>40</v>
      </c>
      <c r="D634" s="8">
        <v>18.5</v>
      </c>
      <c r="E634" s="7">
        <v>678000</v>
      </c>
      <c r="F634" s="7">
        <v>0</v>
      </c>
    </row>
    <row r="635" spans="1:6">
      <c r="A635" s="4" t="s">
        <v>680</v>
      </c>
      <c r="B635" s="4" t="s">
        <v>45</v>
      </c>
      <c r="C635" s="4">
        <v>39</v>
      </c>
      <c r="D635" s="8">
        <v>8.3000000000000007</v>
      </c>
      <c r="E635" s="7">
        <v>698000</v>
      </c>
      <c r="F635" s="7">
        <v>0</v>
      </c>
    </row>
    <row r="636" spans="1:6">
      <c r="A636" s="4" t="s">
        <v>681</v>
      </c>
      <c r="B636" s="4" t="s">
        <v>57</v>
      </c>
      <c r="C636" s="4">
        <v>40</v>
      </c>
      <c r="D636" s="8">
        <v>13.9</v>
      </c>
      <c r="E636" s="7">
        <v>526000</v>
      </c>
      <c r="F636" s="7">
        <v>0</v>
      </c>
    </row>
    <row r="637" spans="1:6">
      <c r="A637" s="4" t="s">
        <v>682</v>
      </c>
      <c r="B637" s="4" t="s">
        <v>45</v>
      </c>
      <c r="C637" s="4">
        <v>50</v>
      </c>
      <c r="D637" s="8">
        <v>29.3</v>
      </c>
      <c r="E637" s="7">
        <v>1633000</v>
      </c>
      <c r="F637" s="7">
        <v>0</v>
      </c>
    </row>
    <row r="638" spans="1:6">
      <c r="A638" s="4" t="s">
        <v>683</v>
      </c>
      <c r="B638" s="4" t="s">
        <v>45</v>
      </c>
      <c r="C638" s="4">
        <v>23</v>
      </c>
      <c r="D638" s="8">
        <v>1.8</v>
      </c>
      <c r="E638" s="7">
        <v>507000</v>
      </c>
      <c r="F638" s="7">
        <v>0</v>
      </c>
    </row>
    <row r="639" spans="1:6">
      <c r="A639" s="4" t="s">
        <v>684</v>
      </c>
      <c r="B639" s="4" t="s">
        <v>45</v>
      </c>
      <c r="C639" s="4">
        <v>56</v>
      </c>
      <c r="D639" s="8">
        <v>2.8</v>
      </c>
      <c r="E639" s="7">
        <v>1546000</v>
      </c>
      <c r="F639" s="7">
        <v>0</v>
      </c>
    </row>
    <row r="640" spans="1:6">
      <c r="A640" s="4" t="s">
        <v>685</v>
      </c>
      <c r="B640" s="4" t="s">
        <v>45</v>
      </c>
      <c r="C640" s="4">
        <v>47</v>
      </c>
      <c r="D640" s="8">
        <v>12.8</v>
      </c>
      <c r="E640" s="7">
        <v>1327000</v>
      </c>
      <c r="F640" s="7">
        <v>0</v>
      </c>
    </row>
    <row r="641" spans="1:6">
      <c r="A641" s="4" t="s">
        <v>686</v>
      </c>
      <c r="B641" s="4" t="s">
        <v>47</v>
      </c>
      <c r="C641" s="4">
        <v>90</v>
      </c>
      <c r="D641" s="8">
        <v>31.5</v>
      </c>
      <c r="E641" s="7">
        <v>0</v>
      </c>
      <c r="F641" s="7">
        <v>754000</v>
      </c>
    </row>
    <row r="642" spans="1:6">
      <c r="A642" s="4" t="s">
        <v>687</v>
      </c>
      <c r="B642" s="4" t="s">
        <v>45</v>
      </c>
      <c r="C642" s="4">
        <v>28</v>
      </c>
      <c r="D642" s="8">
        <v>1.4</v>
      </c>
      <c r="E642" s="7">
        <v>423000</v>
      </c>
      <c r="F642" s="7">
        <v>0</v>
      </c>
    </row>
    <row r="643" spans="1:6">
      <c r="A643" s="4" t="s">
        <v>688</v>
      </c>
      <c r="B643" s="4" t="s">
        <v>45</v>
      </c>
      <c r="C643" s="4">
        <v>31</v>
      </c>
      <c r="D643" s="8">
        <v>6.8</v>
      </c>
      <c r="E643" s="7">
        <v>656000</v>
      </c>
      <c r="F643" s="7">
        <v>0</v>
      </c>
    </row>
    <row r="644" spans="1:6">
      <c r="A644" s="4" t="s">
        <v>689</v>
      </c>
      <c r="B644" s="4" t="s">
        <v>57</v>
      </c>
      <c r="C644" s="4">
        <v>45</v>
      </c>
      <c r="D644" s="8">
        <v>17.8</v>
      </c>
      <c r="E644" s="7">
        <v>537000</v>
      </c>
      <c r="F644" s="7">
        <v>0</v>
      </c>
    </row>
    <row r="645" spans="1:6">
      <c r="A645" s="4" t="s">
        <v>690</v>
      </c>
      <c r="B645" s="4" t="s">
        <v>45</v>
      </c>
      <c r="C645" s="4">
        <v>37</v>
      </c>
      <c r="D645" s="8">
        <v>2.1</v>
      </c>
      <c r="E645" s="7">
        <v>765000</v>
      </c>
      <c r="F645" s="7">
        <v>0</v>
      </c>
    </row>
    <row r="646" spans="1:6">
      <c r="A646" s="4" t="s">
        <v>691</v>
      </c>
      <c r="B646" s="4" t="s">
        <v>57</v>
      </c>
      <c r="C646" s="4">
        <v>53</v>
      </c>
      <c r="D646" s="8">
        <v>15.1</v>
      </c>
      <c r="E646" s="7">
        <v>1129000</v>
      </c>
      <c r="F646" s="7">
        <v>0</v>
      </c>
    </row>
    <row r="647" spans="1:6">
      <c r="A647" s="4" t="s">
        <v>692</v>
      </c>
      <c r="B647" s="4" t="s">
        <v>45</v>
      </c>
      <c r="C647" s="4">
        <v>50</v>
      </c>
      <c r="D647" s="8">
        <v>4.7</v>
      </c>
      <c r="E647" s="7">
        <v>1023000</v>
      </c>
      <c r="F647" s="7">
        <v>0</v>
      </c>
    </row>
    <row r="648" spans="1:6">
      <c r="A648" s="4" t="s">
        <v>693</v>
      </c>
      <c r="B648" s="4" t="s">
        <v>45</v>
      </c>
      <c r="C648" s="4">
        <v>55</v>
      </c>
      <c r="D648" s="8">
        <v>13.8</v>
      </c>
      <c r="E648" s="7">
        <v>1815000</v>
      </c>
      <c r="F648" s="7">
        <v>0</v>
      </c>
    </row>
    <row r="649" spans="1:6">
      <c r="A649" s="4" t="s">
        <v>694</v>
      </c>
      <c r="B649" s="4" t="s">
        <v>45</v>
      </c>
      <c r="C649" s="4">
        <v>30</v>
      </c>
      <c r="D649" s="8">
        <v>5</v>
      </c>
      <c r="E649" s="7">
        <v>505000</v>
      </c>
      <c r="F649" s="7">
        <v>0</v>
      </c>
    </row>
    <row r="650" spans="1:6">
      <c r="A650" s="4" t="s">
        <v>695</v>
      </c>
      <c r="B650" s="4" t="s">
        <v>45</v>
      </c>
      <c r="C650" s="4">
        <v>39</v>
      </c>
      <c r="D650" s="8">
        <v>9.9</v>
      </c>
      <c r="E650" s="7">
        <v>991000</v>
      </c>
      <c r="F650" s="7">
        <v>0</v>
      </c>
    </row>
    <row r="651" spans="1:6">
      <c r="A651" s="4" t="s">
        <v>696</v>
      </c>
      <c r="B651" s="4" t="s">
        <v>45</v>
      </c>
      <c r="C651" s="4">
        <v>41</v>
      </c>
      <c r="D651" s="8">
        <v>3.6</v>
      </c>
      <c r="E651" s="7">
        <v>722000</v>
      </c>
      <c r="F651" s="7">
        <v>0</v>
      </c>
    </row>
    <row r="652" spans="1:6">
      <c r="A652" s="4" t="s">
        <v>697</v>
      </c>
      <c r="B652" s="4" t="s">
        <v>45</v>
      </c>
      <c r="C652" s="4">
        <v>33</v>
      </c>
      <c r="D652" s="8">
        <v>7.7</v>
      </c>
      <c r="E652" s="7">
        <v>713000</v>
      </c>
      <c r="F652" s="7">
        <v>0</v>
      </c>
    </row>
    <row r="653" spans="1:6">
      <c r="A653" s="4" t="s">
        <v>698</v>
      </c>
      <c r="B653" s="4" t="s">
        <v>47</v>
      </c>
      <c r="C653" s="4">
        <v>83</v>
      </c>
      <c r="D653" s="8">
        <v>37.299999999999997</v>
      </c>
      <c r="E653" s="7">
        <v>0</v>
      </c>
      <c r="F653" s="7">
        <v>355000</v>
      </c>
    </row>
    <row r="654" spans="1:6">
      <c r="A654" s="4" t="s">
        <v>699</v>
      </c>
      <c r="B654" s="4" t="s">
        <v>45</v>
      </c>
      <c r="C654" s="4">
        <v>28</v>
      </c>
      <c r="D654" s="8">
        <v>3.4</v>
      </c>
      <c r="E654" s="7">
        <v>532000</v>
      </c>
      <c r="F654" s="7">
        <v>0</v>
      </c>
    </row>
    <row r="655" spans="1:6">
      <c r="A655" s="4" t="s">
        <v>700</v>
      </c>
      <c r="B655" s="4" t="s">
        <v>45</v>
      </c>
      <c r="C655" s="4">
        <v>34</v>
      </c>
      <c r="D655" s="8">
        <v>9.6999999999999993</v>
      </c>
      <c r="E655" s="7">
        <v>725000</v>
      </c>
      <c r="F655" s="7">
        <v>0</v>
      </c>
    </row>
    <row r="656" spans="1:6">
      <c r="A656" s="4" t="s">
        <v>701</v>
      </c>
      <c r="B656" s="4" t="s">
        <v>45</v>
      </c>
      <c r="C656" s="4">
        <v>26</v>
      </c>
      <c r="D656" s="8">
        <v>1.1000000000000001</v>
      </c>
      <c r="E656" s="7">
        <v>425000</v>
      </c>
      <c r="F656" s="7">
        <v>0</v>
      </c>
    </row>
    <row r="657" spans="1:6">
      <c r="A657" s="4" t="s">
        <v>702</v>
      </c>
      <c r="B657" s="4" t="s">
        <v>45</v>
      </c>
      <c r="C657" s="4">
        <v>41</v>
      </c>
      <c r="D657" s="8">
        <v>5.9</v>
      </c>
      <c r="E657" s="7">
        <v>855000</v>
      </c>
      <c r="F657" s="7">
        <v>0</v>
      </c>
    </row>
    <row r="658" spans="1:6">
      <c r="A658" s="4" t="s">
        <v>703</v>
      </c>
      <c r="B658" s="4" t="s">
        <v>45</v>
      </c>
      <c r="C658" s="4">
        <v>53</v>
      </c>
      <c r="D658" s="8">
        <v>1.6</v>
      </c>
      <c r="E658" s="7">
        <v>1533000</v>
      </c>
      <c r="F658" s="7">
        <v>0</v>
      </c>
    </row>
    <row r="659" spans="1:6">
      <c r="A659" s="4" t="s">
        <v>704</v>
      </c>
      <c r="B659" s="4" t="s">
        <v>47</v>
      </c>
      <c r="C659" s="4">
        <v>69</v>
      </c>
      <c r="D659" s="8">
        <v>27.7</v>
      </c>
      <c r="E659" s="7">
        <v>0</v>
      </c>
      <c r="F659" s="7">
        <v>472000</v>
      </c>
    </row>
    <row r="660" spans="1:6">
      <c r="A660" s="4" t="s">
        <v>705</v>
      </c>
      <c r="B660" s="4" t="s">
        <v>45</v>
      </c>
      <c r="C660" s="4">
        <v>27</v>
      </c>
      <c r="D660" s="8">
        <v>5.0999999999999996</v>
      </c>
      <c r="E660" s="7">
        <v>645000</v>
      </c>
      <c r="F660" s="7">
        <v>0</v>
      </c>
    </row>
    <row r="661" spans="1:6">
      <c r="A661" s="4" t="s">
        <v>706</v>
      </c>
      <c r="B661" s="4" t="s">
        <v>57</v>
      </c>
      <c r="C661" s="4">
        <v>58</v>
      </c>
      <c r="D661" s="8">
        <v>3</v>
      </c>
      <c r="E661" s="7">
        <v>1364000</v>
      </c>
      <c r="F661" s="7">
        <v>0</v>
      </c>
    </row>
    <row r="662" spans="1:6">
      <c r="A662" s="4" t="s">
        <v>707</v>
      </c>
      <c r="B662" s="4" t="s">
        <v>57</v>
      </c>
      <c r="C662" s="4">
        <v>58</v>
      </c>
      <c r="D662" s="8">
        <v>13.6</v>
      </c>
      <c r="E662" s="7">
        <v>1111000</v>
      </c>
      <c r="F662" s="7">
        <v>0</v>
      </c>
    </row>
    <row r="663" spans="1:6">
      <c r="A663" s="4" t="s">
        <v>708</v>
      </c>
      <c r="B663" s="4" t="s">
        <v>45</v>
      </c>
      <c r="C663" s="4">
        <v>25</v>
      </c>
      <c r="D663" s="8">
        <v>1</v>
      </c>
      <c r="E663" s="7">
        <v>343000</v>
      </c>
      <c r="F663" s="7">
        <v>0</v>
      </c>
    </row>
    <row r="664" spans="1:6">
      <c r="A664" s="4" t="s">
        <v>709</v>
      </c>
      <c r="B664" s="4" t="s">
        <v>47</v>
      </c>
      <c r="C664" s="4">
        <v>75</v>
      </c>
      <c r="D664" s="8">
        <v>18.399999999999999</v>
      </c>
      <c r="E664" s="7">
        <v>0</v>
      </c>
      <c r="F664" s="7">
        <v>500000</v>
      </c>
    </row>
    <row r="665" spans="1:6">
      <c r="A665" s="4" t="s">
        <v>710</v>
      </c>
      <c r="B665" s="4" t="s">
        <v>45</v>
      </c>
      <c r="C665" s="4">
        <v>44</v>
      </c>
      <c r="D665" s="8">
        <v>1.3</v>
      </c>
      <c r="E665" s="7">
        <v>1282000</v>
      </c>
      <c r="F665" s="7">
        <v>0</v>
      </c>
    </row>
    <row r="666" spans="1:6">
      <c r="A666" s="4" t="s">
        <v>711</v>
      </c>
      <c r="B666" s="4" t="s">
        <v>45</v>
      </c>
      <c r="C666" s="4">
        <v>26</v>
      </c>
      <c r="D666" s="8">
        <v>1</v>
      </c>
      <c r="E666" s="7">
        <v>411000</v>
      </c>
      <c r="F666" s="7">
        <v>0</v>
      </c>
    </row>
    <row r="667" spans="1:6">
      <c r="A667" s="4" t="s">
        <v>712</v>
      </c>
      <c r="B667" s="4" t="s">
        <v>45</v>
      </c>
      <c r="C667" s="4">
        <v>35</v>
      </c>
      <c r="D667" s="8">
        <v>5.6</v>
      </c>
      <c r="E667" s="7">
        <v>827000</v>
      </c>
      <c r="F667" s="7">
        <v>0</v>
      </c>
    </row>
    <row r="668" spans="1:6">
      <c r="A668" s="4" t="s">
        <v>713</v>
      </c>
      <c r="B668" s="4" t="s">
        <v>45</v>
      </c>
      <c r="C668" s="4">
        <v>34</v>
      </c>
      <c r="D668" s="8">
        <v>8</v>
      </c>
      <c r="E668" s="7">
        <v>677000</v>
      </c>
      <c r="F668" s="7">
        <v>0</v>
      </c>
    </row>
    <row r="669" spans="1:6">
      <c r="A669" s="4" t="s">
        <v>714</v>
      </c>
      <c r="B669" s="4" t="s">
        <v>45</v>
      </c>
      <c r="C669" s="4">
        <v>53</v>
      </c>
      <c r="D669" s="8">
        <v>9.1999999999999993</v>
      </c>
      <c r="E669" s="7">
        <v>1679000</v>
      </c>
      <c r="F669" s="7">
        <v>0</v>
      </c>
    </row>
    <row r="670" spans="1:6">
      <c r="A670" s="4" t="s">
        <v>715</v>
      </c>
      <c r="B670" s="4" t="s">
        <v>45</v>
      </c>
      <c r="C670" s="4">
        <v>32</v>
      </c>
      <c r="D670" s="8">
        <v>2.7</v>
      </c>
      <c r="E670" s="7">
        <v>557000</v>
      </c>
      <c r="F670" s="7">
        <v>0</v>
      </c>
    </row>
    <row r="671" spans="1:6">
      <c r="A671" s="4" t="s">
        <v>716</v>
      </c>
      <c r="B671" s="4" t="s">
        <v>45</v>
      </c>
      <c r="C671" s="4">
        <v>51</v>
      </c>
      <c r="D671" s="8">
        <v>23.4</v>
      </c>
      <c r="E671" s="7">
        <v>1585000</v>
      </c>
      <c r="F671" s="7">
        <v>0</v>
      </c>
    </row>
    <row r="672" spans="1:6">
      <c r="A672" s="4" t="s">
        <v>717</v>
      </c>
      <c r="B672" s="4" t="s">
        <v>45</v>
      </c>
      <c r="C672" s="4">
        <v>58</v>
      </c>
      <c r="D672" s="8">
        <v>26.8</v>
      </c>
      <c r="E672" s="7">
        <v>1508000</v>
      </c>
      <c r="F672" s="7">
        <v>0</v>
      </c>
    </row>
    <row r="673" spans="1:6">
      <c r="A673" s="4" t="s">
        <v>718</v>
      </c>
      <c r="B673" s="4" t="s">
        <v>45</v>
      </c>
      <c r="C673" s="4">
        <v>56</v>
      </c>
      <c r="D673" s="8">
        <v>2.2999999999999998</v>
      </c>
      <c r="E673" s="7">
        <v>2030000</v>
      </c>
      <c r="F673" s="7">
        <v>0</v>
      </c>
    </row>
    <row r="674" spans="1:6">
      <c r="A674" s="4" t="s">
        <v>719</v>
      </c>
      <c r="B674" s="4" t="s">
        <v>45</v>
      </c>
      <c r="C674" s="4">
        <v>46</v>
      </c>
      <c r="D674" s="8">
        <v>17.7</v>
      </c>
      <c r="E674" s="7">
        <v>849000</v>
      </c>
      <c r="F674" s="7">
        <v>0</v>
      </c>
    </row>
    <row r="675" spans="1:6">
      <c r="A675" s="4" t="s">
        <v>720</v>
      </c>
      <c r="B675" s="4" t="s">
        <v>45</v>
      </c>
      <c r="C675" s="4">
        <v>45</v>
      </c>
      <c r="D675" s="8">
        <v>17.7</v>
      </c>
      <c r="E675" s="7">
        <v>1154000</v>
      </c>
      <c r="F675" s="7">
        <v>0</v>
      </c>
    </row>
    <row r="676" spans="1:6">
      <c r="A676" s="4" t="s">
        <v>721</v>
      </c>
      <c r="B676" s="4" t="s">
        <v>47</v>
      </c>
      <c r="C676" s="4">
        <v>84</v>
      </c>
      <c r="D676" s="8">
        <v>28.8</v>
      </c>
      <c r="E676" s="7">
        <v>0</v>
      </c>
      <c r="F676" s="7">
        <v>536000</v>
      </c>
    </row>
    <row r="677" spans="1:6">
      <c r="A677" s="4" t="s">
        <v>722</v>
      </c>
      <c r="B677" s="4" t="s">
        <v>47</v>
      </c>
      <c r="C677" s="4">
        <v>68</v>
      </c>
      <c r="D677" s="8">
        <v>32.4</v>
      </c>
      <c r="E677" s="7">
        <v>0</v>
      </c>
      <c r="F677" s="7">
        <v>212000</v>
      </c>
    </row>
    <row r="678" spans="1:6">
      <c r="A678" s="4" t="s">
        <v>723</v>
      </c>
      <c r="B678" s="4" t="s">
        <v>47</v>
      </c>
      <c r="C678" s="4">
        <v>61</v>
      </c>
      <c r="D678" s="8">
        <v>23.8</v>
      </c>
      <c r="E678" s="7">
        <v>0</v>
      </c>
      <c r="F678" s="7">
        <v>252000</v>
      </c>
    </row>
    <row r="679" spans="1:6">
      <c r="A679" s="4" t="s">
        <v>724</v>
      </c>
      <c r="B679" s="4" t="s">
        <v>47</v>
      </c>
      <c r="C679" s="4">
        <v>64</v>
      </c>
      <c r="D679" s="8">
        <v>15.2</v>
      </c>
      <c r="E679" s="7">
        <v>0</v>
      </c>
      <c r="F679" s="7">
        <v>270000</v>
      </c>
    </row>
    <row r="680" spans="1:6">
      <c r="A680" s="4" t="s">
        <v>725</v>
      </c>
      <c r="B680" s="4" t="s">
        <v>57</v>
      </c>
      <c r="C680" s="4">
        <v>40</v>
      </c>
      <c r="D680" s="8">
        <v>10</v>
      </c>
      <c r="E680" s="7">
        <v>445000</v>
      </c>
      <c r="F680" s="7">
        <v>0</v>
      </c>
    </row>
    <row r="681" spans="1:6">
      <c r="A681" s="4" t="s">
        <v>726</v>
      </c>
      <c r="B681" s="4" t="s">
        <v>45</v>
      </c>
      <c r="C681" s="4">
        <v>51</v>
      </c>
      <c r="D681" s="8">
        <v>15.5</v>
      </c>
      <c r="E681" s="7">
        <v>1602000</v>
      </c>
      <c r="F681" s="7">
        <v>0</v>
      </c>
    </row>
    <row r="682" spans="1:6">
      <c r="A682" s="4" t="s">
        <v>727</v>
      </c>
      <c r="B682" s="4" t="s">
        <v>45</v>
      </c>
      <c r="C682" s="4">
        <v>42</v>
      </c>
      <c r="D682" s="8">
        <v>7.1</v>
      </c>
      <c r="E682" s="7">
        <v>830000</v>
      </c>
      <c r="F682" s="7">
        <v>0</v>
      </c>
    </row>
    <row r="683" spans="1:6">
      <c r="A683" s="4" t="s">
        <v>728</v>
      </c>
      <c r="B683" s="4" t="s">
        <v>47</v>
      </c>
      <c r="C683" s="4">
        <v>69</v>
      </c>
      <c r="D683" s="8">
        <v>15.8</v>
      </c>
      <c r="E683" s="7">
        <v>0</v>
      </c>
      <c r="F683" s="7">
        <v>305000</v>
      </c>
    </row>
    <row r="684" spans="1:6">
      <c r="A684" s="4" t="s">
        <v>729</v>
      </c>
      <c r="B684" s="4" t="s">
        <v>47</v>
      </c>
      <c r="C684" s="4">
        <v>86</v>
      </c>
      <c r="D684" s="8">
        <v>36.200000000000003</v>
      </c>
      <c r="E684" s="7">
        <v>0</v>
      </c>
      <c r="F684" s="7">
        <v>383000</v>
      </c>
    </row>
    <row r="685" spans="1:6">
      <c r="A685" s="4" t="s">
        <v>730</v>
      </c>
      <c r="B685" s="4" t="s">
        <v>45</v>
      </c>
      <c r="C685" s="4">
        <v>41</v>
      </c>
      <c r="D685" s="8">
        <v>10.1</v>
      </c>
      <c r="E685" s="7">
        <v>1152000</v>
      </c>
      <c r="F685" s="7">
        <v>0</v>
      </c>
    </row>
    <row r="686" spans="1:6">
      <c r="A686" s="4" t="s">
        <v>731</v>
      </c>
      <c r="B686" s="4" t="s">
        <v>45</v>
      </c>
      <c r="C686" s="4">
        <v>51</v>
      </c>
      <c r="D686" s="8">
        <v>20.2</v>
      </c>
      <c r="E686" s="7">
        <v>1788000</v>
      </c>
      <c r="F686" s="7">
        <v>0</v>
      </c>
    </row>
    <row r="687" spans="1:6">
      <c r="A687" s="4" t="s">
        <v>732</v>
      </c>
      <c r="B687" s="4" t="s">
        <v>45</v>
      </c>
      <c r="C687" s="4">
        <v>39</v>
      </c>
      <c r="D687" s="8">
        <v>15</v>
      </c>
      <c r="E687" s="7">
        <v>620000</v>
      </c>
      <c r="F687" s="7">
        <v>0</v>
      </c>
    </row>
    <row r="688" spans="1:6">
      <c r="A688" s="4" t="s">
        <v>733</v>
      </c>
      <c r="B688" s="4" t="s">
        <v>45</v>
      </c>
      <c r="C688" s="4">
        <v>22</v>
      </c>
      <c r="D688" s="8">
        <v>1</v>
      </c>
      <c r="E688" s="7">
        <v>416000</v>
      </c>
      <c r="F688" s="7">
        <v>0</v>
      </c>
    </row>
    <row r="689" spans="1:6">
      <c r="A689" s="4" t="s">
        <v>734</v>
      </c>
      <c r="B689" s="4" t="s">
        <v>45</v>
      </c>
      <c r="C689" s="4">
        <v>24</v>
      </c>
      <c r="D689" s="8">
        <v>2.2000000000000002</v>
      </c>
      <c r="E689" s="7">
        <v>328000</v>
      </c>
      <c r="F689" s="7">
        <v>0</v>
      </c>
    </row>
    <row r="690" spans="1:6">
      <c r="A690" s="4" t="s">
        <v>735</v>
      </c>
      <c r="B690" s="4" t="s">
        <v>45</v>
      </c>
      <c r="C690" s="4">
        <v>33</v>
      </c>
      <c r="D690" s="8">
        <v>1.6</v>
      </c>
      <c r="E690" s="7">
        <v>742000</v>
      </c>
      <c r="F690" s="7">
        <v>0</v>
      </c>
    </row>
    <row r="691" spans="1:6">
      <c r="A691" s="4" t="s">
        <v>736</v>
      </c>
      <c r="B691" s="4" t="s">
        <v>45</v>
      </c>
      <c r="C691" s="4">
        <v>38</v>
      </c>
      <c r="D691" s="8">
        <v>7.4</v>
      </c>
      <c r="E691" s="7">
        <v>1007000</v>
      </c>
      <c r="F691" s="7">
        <v>0</v>
      </c>
    </row>
    <row r="692" spans="1:6">
      <c r="A692" s="4" t="s">
        <v>737</v>
      </c>
      <c r="B692" s="4" t="s">
        <v>45</v>
      </c>
      <c r="C692" s="4">
        <v>55</v>
      </c>
      <c r="D692" s="8">
        <v>2.9</v>
      </c>
      <c r="E692" s="7">
        <v>1237000</v>
      </c>
      <c r="F692" s="7">
        <v>0</v>
      </c>
    </row>
    <row r="693" spans="1:6">
      <c r="A693" s="4" t="s">
        <v>738</v>
      </c>
      <c r="B693" s="4" t="s">
        <v>45</v>
      </c>
      <c r="C693" s="4">
        <v>33</v>
      </c>
      <c r="D693" s="8">
        <v>5.2</v>
      </c>
      <c r="E693" s="7">
        <v>527000</v>
      </c>
      <c r="F693" s="7">
        <v>0</v>
      </c>
    </row>
    <row r="694" spans="1:6">
      <c r="A694" s="4" t="s">
        <v>739</v>
      </c>
      <c r="B694" s="4" t="s">
        <v>45</v>
      </c>
      <c r="C694" s="4">
        <v>41</v>
      </c>
      <c r="D694" s="8">
        <v>8.3000000000000007</v>
      </c>
      <c r="E694" s="7">
        <v>912000</v>
      </c>
      <c r="F694" s="7">
        <v>0</v>
      </c>
    </row>
    <row r="695" spans="1:6">
      <c r="A695" s="4" t="s">
        <v>740</v>
      </c>
      <c r="B695" s="4" t="s">
        <v>47</v>
      </c>
      <c r="C695" s="4">
        <v>71</v>
      </c>
      <c r="D695" s="8">
        <v>15.3</v>
      </c>
      <c r="E695" s="7">
        <v>0</v>
      </c>
      <c r="F695" s="7">
        <v>230000</v>
      </c>
    </row>
    <row r="696" spans="1:6">
      <c r="A696" s="4" t="s">
        <v>741</v>
      </c>
      <c r="B696" s="4" t="s">
        <v>47</v>
      </c>
      <c r="C696" s="4">
        <v>76</v>
      </c>
      <c r="D696" s="8">
        <v>37.4</v>
      </c>
      <c r="E696" s="7">
        <v>0</v>
      </c>
      <c r="F696" s="7">
        <v>526000</v>
      </c>
    </row>
    <row r="697" spans="1:6">
      <c r="A697" s="4" t="s">
        <v>742</v>
      </c>
      <c r="B697" s="4" t="s">
        <v>45</v>
      </c>
      <c r="C697" s="4">
        <v>34</v>
      </c>
      <c r="D697" s="8">
        <v>4.9000000000000004</v>
      </c>
      <c r="E697" s="7">
        <v>799000</v>
      </c>
      <c r="F697" s="7">
        <v>0</v>
      </c>
    </row>
    <row r="698" spans="1:6">
      <c r="A698" s="4" t="s">
        <v>743</v>
      </c>
      <c r="B698" s="4" t="s">
        <v>45</v>
      </c>
      <c r="C698" s="4">
        <v>22</v>
      </c>
      <c r="D698" s="8">
        <v>1.6</v>
      </c>
      <c r="E698" s="7">
        <v>440000</v>
      </c>
      <c r="F698" s="7">
        <v>0</v>
      </c>
    </row>
    <row r="699" spans="1:6">
      <c r="A699" s="4" t="s">
        <v>744</v>
      </c>
      <c r="B699" s="4" t="s">
        <v>45</v>
      </c>
      <c r="C699" s="4">
        <v>39</v>
      </c>
      <c r="D699" s="8">
        <v>3.2</v>
      </c>
      <c r="E699" s="7">
        <v>629000</v>
      </c>
      <c r="F699" s="7">
        <v>0</v>
      </c>
    </row>
    <row r="700" spans="1:6">
      <c r="A700" s="4" t="s">
        <v>745</v>
      </c>
      <c r="B700" s="4" t="s">
        <v>45</v>
      </c>
      <c r="C700" s="4">
        <v>30</v>
      </c>
      <c r="D700" s="8">
        <v>7.6</v>
      </c>
      <c r="E700" s="7">
        <v>649000</v>
      </c>
      <c r="F700" s="7">
        <v>0</v>
      </c>
    </row>
    <row r="701" spans="1:6">
      <c r="A701" s="4" t="s">
        <v>746</v>
      </c>
      <c r="B701" s="4" t="s">
        <v>45</v>
      </c>
      <c r="C701" s="4">
        <v>35</v>
      </c>
      <c r="D701" s="8">
        <v>6.7</v>
      </c>
      <c r="E701" s="7">
        <v>914000</v>
      </c>
      <c r="F701" s="7">
        <v>0</v>
      </c>
    </row>
    <row r="702" spans="1:6">
      <c r="A702" s="4" t="s">
        <v>747</v>
      </c>
      <c r="B702" s="4" t="s">
        <v>45</v>
      </c>
      <c r="C702" s="4">
        <v>55</v>
      </c>
      <c r="D702" s="8">
        <v>28.4</v>
      </c>
      <c r="E702" s="7">
        <v>1658000</v>
      </c>
      <c r="F702" s="7">
        <v>0</v>
      </c>
    </row>
    <row r="703" spans="1:6">
      <c r="A703" s="4" t="s">
        <v>748</v>
      </c>
      <c r="B703" s="4" t="s">
        <v>45</v>
      </c>
      <c r="C703" s="4">
        <v>27</v>
      </c>
      <c r="D703" s="8">
        <v>1.7</v>
      </c>
      <c r="E703" s="7">
        <v>390000</v>
      </c>
      <c r="F703" s="7">
        <v>0</v>
      </c>
    </row>
    <row r="704" spans="1:6">
      <c r="A704" s="4" t="s">
        <v>749</v>
      </c>
      <c r="B704" s="4" t="s">
        <v>45</v>
      </c>
      <c r="C704" s="4">
        <v>35</v>
      </c>
      <c r="D704" s="8">
        <v>2.8</v>
      </c>
      <c r="E704" s="7">
        <v>513000</v>
      </c>
      <c r="F704" s="7">
        <v>0</v>
      </c>
    </row>
    <row r="705" spans="1:6">
      <c r="A705" s="4" t="s">
        <v>750</v>
      </c>
      <c r="B705" s="4" t="s">
        <v>45</v>
      </c>
      <c r="C705" s="4">
        <v>53</v>
      </c>
      <c r="D705" s="8">
        <v>24.3</v>
      </c>
      <c r="E705" s="7">
        <v>1233000</v>
      </c>
      <c r="F705" s="7">
        <v>0</v>
      </c>
    </row>
    <row r="706" spans="1:6">
      <c r="A706" s="4" t="s">
        <v>751</v>
      </c>
      <c r="B706" s="4" t="s">
        <v>47</v>
      </c>
      <c r="C706" s="4">
        <v>87</v>
      </c>
      <c r="D706" s="8">
        <v>18.399999999999999</v>
      </c>
      <c r="E706" s="7">
        <v>0</v>
      </c>
      <c r="F706" s="7">
        <v>652000</v>
      </c>
    </row>
    <row r="707" spans="1:6">
      <c r="A707" s="4" t="s">
        <v>752</v>
      </c>
      <c r="B707" s="4" t="s">
        <v>45</v>
      </c>
      <c r="C707" s="4">
        <v>44</v>
      </c>
      <c r="D707" s="8">
        <v>2.2999999999999998</v>
      </c>
      <c r="E707" s="7">
        <v>998000</v>
      </c>
      <c r="F707" s="7">
        <v>0</v>
      </c>
    </row>
    <row r="708" spans="1:6">
      <c r="A708" s="4" t="s">
        <v>753</v>
      </c>
      <c r="B708" s="4" t="s">
        <v>45</v>
      </c>
      <c r="C708" s="4">
        <v>25</v>
      </c>
      <c r="D708" s="8">
        <v>4.0999999999999996</v>
      </c>
      <c r="E708" s="7">
        <v>532000</v>
      </c>
      <c r="F708" s="7">
        <v>0</v>
      </c>
    </row>
    <row r="709" spans="1:6">
      <c r="A709" s="4" t="s">
        <v>754</v>
      </c>
      <c r="B709" s="4" t="s">
        <v>45</v>
      </c>
      <c r="C709" s="4">
        <v>52</v>
      </c>
      <c r="D709" s="8">
        <v>15.4</v>
      </c>
      <c r="E709" s="7">
        <v>1194000</v>
      </c>
      <c r="F709" s="7">
        <v>0</v>
      </c>
    </row>
    <row r="710" spans="1:6">
      <c r="A710" s="4" t="s">
        <v>755</v>
      </c>
      <c r="B710" s="4" t="s">
        <v>45</v>
      </c>
      <c r="C710" s="4">
        <v>49</v>
      </c>
      <c r="D710" s="8">
        <v>13.7</v>
      </c>
      <c r="E710" s="7">
        <v>1391000</v>
      </c>
      <c r="F710" s="7">
        <v>0</v>
      </c>
    </row>
    <row r="711" spans="1:6">
      <c r="A711" s="4" t="s">
        <v>756</v>
      </c>
      <c r="B711" s="4" t="s">
        <v>45</v>
      </c>
      <c r="C711" s="4">
        <v>49</v>
      </c>
      <c r="D711" s="8">
        <v>17.2</v>
      </c>
      <c r="E711" s="7">
        <v>1276000</v>
      </c>
      <c r="F711" s="7">
        <v>0</v>
      </c>
    </row>
    <row r="712" spans="1:6">
      <c r="A712" s="4" t="s">
        <v>757</v>
      </c>
      <c r="B712" s="4" t="s">
        <v>45</v>
      </c>
      <c r="C712" s="4">
        <v>31</v>
      </c>
      <c r="D712" s="8">
        <v>4</v>
      </c>
      <c r="E712" s="7">
        <v>462000</v>
      </c>
      <c r="F712" s="7">
        <v>0</v>
      </c>
    </row>
    <row r="713" spans="1:6">
      <c r="A713" s="4" t="s">
        <v>758</v>
      </c>
      <c r="B713" s="4" t="s">
        <v>45</v>
      </c>
      <c r="C713" s="4">
        <v>34</v>
      </c>
      <c r="D713" s="8">
        <v>6.9</v>
      </c>
      <c r="E713" s="7">
        <v>605000</v>
      </c>
      <c r="F713" s="7">
        <v>0</v>
      </c>
    </row>
    <row r="714" spans="1:6">
      <c r="A714" s="4" t="s">
        <v>759</v>
      </c>
      <c r="B714" s="4" t="s">
        <v>47</v>
      </c>
      <c r="C714" s="4">
        <v>87</v>
      </c>
      <c r="D714" s="8">
        <v>27</v>
      </c>
      <c r="E714" s="7">
        <v>0</v>
      </c>
      <c r="F714" s="7">
        <v>543000</v>
      </c>
    </row>
    <row r="715" spans="1:6">
      <c r="A715" s="4" t="s">
        <v>760</v>
      </c>
      <c r="B715" s="4" t="s">
        <v>45</v>
      </c>
      <c r="C715" s="4">
        <v>31</v>
      </c>
      <c r="D715" s="8">
        <v>2.6</v>
      </c>
      <c r="E715" s="7">
        <v>516000</v>
      </c>
      <c r="F715" s="7">
        <v>0</v>
      </c>
    </row>
    <row r="716" spans="1:6">
      <c r="A716" s="4" t="s">
        <v>761</v>
      </c>
      <c r="B716" s="4" t="s">
        <v>47</v>
      </c>
      <c r="C716" s="4">
        <v>68</v>
      </c>
      <c r="D716" s="8">
        <v>29.6</v>
      </c>
      <c r="E716" s="7">
        <v>0</v>
      </c>
      <c r="F716" s="7">
        <v>269000</v>
      </c>
    </row>
    <row r="717" spans="1:6">
      <c r="A717" s="4" t="s">
        <v>762</v>
      </c>
      <c r="B717" s="4" t="s">
        <v>45</v>
      </c>
      <c r="C717" s="4">
        <v>44</v>
      </c>
      <c r="D717" s="8">
        <v>18.600000000000001</v>
      </c>
      <c r="E717" s="7">
        <v>1272000</v>
      </c>
      <c r="F717" s="7">
        <v>0</v>
      </c>
    </row>
    <row r="718" spans="1:6">
      <c r="A718" s="4" t="s">
        <v>763</v>
      </c>
      <c r="B718" s="4" t="s">
        <v>45</v>
      </c>
      <c r="C718" s="4">
        <v>29</v>
      </c>
      <c r="D718" s="8">
        <v>7.1</v>
      </c>
      <c r="E718" s="7">
        <v>594000</v>
      </c>
      <c r="F718" s="7">
        <v>0</v>
      </c>
    </row>
    <row r="719" spans="1:6">
      <c r="A719" s="4" t="s">
        <v>764</v>
      </c>
      <c r="B719" s="4" t="s">
        <v>45</v>
      </c>
      <c r="C719" s="4">
        <v>57</v>
      </c>
      <c r="D719" s="8">
        <v>29.7</v>
      </c>
      <c r="E719" s="7">
        <v>1734000</v>
      </c>
      <c r="F719" s="7">
        <v>0</v>
      </c>
    </row>
    <row r="720" spans="1:6">
      <c r="A720" s="4" t="s">
        <v>765</v>
      </c>
      <c r="B720" s="4" t="s">
        <v>45</v>
      </c>
      <c r="C720" s="4">
        <v>26</v>
      </c>
      <c r="D720" s="8">
        <v>1</v>
      </c>
      <c r="E720" s="7">
        <v>527000</v>
      </c>
      <c r="F720" s="7">
        <v>0</v>
      </c>
    </row>
    <row r="721" spans="1:6">
      <c r="A721" s="4" t="s">
        <v>766</v>
      </c>
      <c r="B721" s="4" t="s">
        <v>57</v>
      </c>
      <c r="C721" s="4">
        <v>58</v>
      </c>
      <c r="D721" s="8">
        <v>22.5</v>
      </c>
      <c r="E721" s="7">
        <v>1327000</v>
      </c>
      <c r="F721" s="7">
        <v>0</v>
      </c>
    </row>
    <row r="722" spans="1:6">
      <c r="A722" s="4" t="s">
        <v>767</v>
      </c>
      <c r="B722" s="4" t="s">
        <v>45</v>
      </c>
      <c r="C722" s="4">
        <v>33</v>
      </c>
      <c r="D722" s="8">
        <v>2.2999999999999998</v>
      </c>
      <c r="E722" s="7">
        <v>624000</v>
      </c>
      <c r="F722" s="7">
        <v>0</v>
      </c>
    </row>
    <row r="723" spans="1:6">
      <c r="A723" s="4" t="s">
        <v>768</v>
      </c>
      <c r="B723" s="4" t="s">
        <v>57</v>
      </c>
      <c r="C723" s="4">
        <v>45</v>
      </c>
      <c r="D723" s="8">
        <v>13.3</v>
      </c>
      <c r="E723" s="7">
        <v>850000</v>
      </c>
      <c r="F723" s="7">
        <v>0</v>
      </c>
    </row>
    <row r="724" spans="1:6">
      <c r="A724" s="4" t="s">
        <v>769</v>
      </c>
      <c r="B724" s="4" t="s">
        <v>47</v>
      </c>
      <c r="C724" s="4">
        <v>66</v>
      </c>
      <c r="D724" s="8">
        <v>17.399999999999999</v>
      </c>
      <c r="E724" s="7">
        <v>0</v>
      </c>
      <c r="F724" s="7">
        <v>278000</v>
      </c>
    </row>
    <row r="725" spans="1:6">
      <c r="A725" s="4" t="s">
        <v>770</v>
      </c>
      <c r="B725" s="4" t="s">
        <v>45</v>
      </c>
      <c r="C725" s="4">
        <v>42</v>
      </c>
      <c r="D725" s="8">
        <v>3.3</v>
      </c>
      <c r="E725" s="7">
        <v>967000</v>
      </c>
      <c r="F725" s="7">
        <v>0</v>
      </c>
    </row>
    <row r="726" spans="1:6">
      <c r="A726" s="4" t="s">
        <v>771</v>
      </c>
      <c r="B726" s="4" t="s">
        <v>47</v>
      </c>
      <c r="C726" s="4">
        <v>88</v>
      </c>
      <c r="D726" s="8">
        <v>36.200000000000003</v>
      </c>
      <c r="E726" s="7">
        <v>0</v>
      </c>
      <c r="F726" s="7">
        <v>616000</v>
      </c>
    </row>
    <row r="727" spans="1:6">
      <c r="A727" s="4" t="s">
        <v>772</v>
      </c>
      <c r="B727" s="4" t="s">
        <v>45</v>
      </c>
      <c r="C727" s="4">
        <v>36</v>
      </c>
      <c r="D727" s="8">
        <v>2.1</v>
      </c>
      <c r="E727" s="7">
        <v>643000</v>
      </c>
      <c r="F727" s="7">
        <v>0</v>
      </c>
    </row>
    <row r="728" spans="1:6">
      <c r="A728" s="4" t="s">
        <v>773</v>
      </c>
      <c r="B728" s="4" t="s">
        <v>45</v>
      </c>
      <c r="C728" s="4">
        <v>44</v>
      </c>
      <c r="D728" s="8">
        <v>16.899999999999999</v>
      </c>
      <c r="E728" s="7">
        <v>1244000</v>
      </c>
      <c r="F728" s="7">
        <v>0</v>
      </c>
    </row>
    <row r="729" spans="1:6">
      <c r="A729" s="4" t="s">
        <v>774</v>
      </c>
      <c r="B729" s="4" t="s">
        <v>45</v>
      </c>
      <c r="C729" s="4">
        <v>43</v>
      </c>
      <c r="D729" s="8">
        <v>18.399999999999999</v>
      </c>
      <c r="E729" s="7">
        <v>1281000</v>
      </c>
      <c r="F729" s="7">
        <v>0</v>
      </c>
    </row>
    <row r="730" spans="1:6">
      <c r="A730" s="4" t="s">
        <v>775</v>
      </c>
      <c r="B730" s="4" t="s">
        <v>45</v>
      </c>
      <c r="C730" s="4">
        <v>25</v>
      </c>
      <c r="D730" s="8">
        <v>1</v>
      </c>
      <c r="E730" s="7">
        <v>360000</v>
      </c>
      <c r="F730" s="7">
        <v>0</v>
      </c>
    </row>
    <row r="731" spans="1:6">
      <c r="A731" s="4" t="s">
        <v>776</v>
      </c>
      <c r="B731" s="4" t="s">
        <v>47</v>
      </c>
      <c r="C731" s="4">
        <v>72</v>
      </c>
      <c r="D731" s="8">
        <v>22.6</v>
      </c>
      <c r="E731" s="7">
        <v>0</v>
      </c>
      <c r="F731" s="7">
        <v>416000</v>
      </c>
    </row>
    <row r="732" spans="1:6">
      <c r="A732" s="4" t="s">
        <v>777</v>
      </c>
      <c r="B732" s="4" t="s">
        <v>45</v>
      </c>
      <c r="C732" s="4">
        <v>24</v>
      </c>
      <c r="D732" s="8">
        <v>1.2</v>
      </c>
      <c r="E732" s="7">
        <v>465000</v>
      </c>
      <c r="F732" s="7">
        <v>0</v>
      </c>
    </row>
    <row r="733" spans="1:6">
      <c r="A733" s="4" t="s">
        <v>778</v>
      </c>
      <c r="B733" s="4" t="s">
        <v>45</v>
      </c>
      <c r="C733" s="4">
        <v>34</v>
      </c>
      <c r="D733" s="8">
        <v>2.1</v>
      </c>
      <c r="E733" s="7">
        <v>767000</v>
      </c>
      <c r="F733" s="7">
        <v>0</v>
      </c>
    </row>
    <row r="734" spans="1:6">
      <c r="A734" s="4" t="s">
        <v>779</v>
      </c>
      <c r="B734" s="4" t="s">
        <v>57</v>
      </c>
      <c r="C734" s="4">
        <v>47</v>
      </c>
      <c r="D734" s="8">
        <v>10.5</v>
      </c>
      <c r="E734" s="7">
        <v>1011000</v>
      </c>
      <c r="F734" s="7">
        <v>0</v>
      </c>
    </row>
    <row r="735" spans="1:6">
      <c r="A735" s="4" t="s">
        <v>780</v>
      </c>
      <c r="B735" s="4" t="s">
        <v>45</v>
      </c>
      <c r="C735" s="4">
        <v>45</v>
      </c>
      <c r="D735" s="8">
        <v>2.7</v>
      </c>
      <c r="E735" s="7">
        <v>1336000</v>
      </c>
      <c r="F735" s="7">
        <v>0</v>
      </c>
    </row>
    <row r="736" spans="1:6">
      <c r="A736" s="4" t="s">
        <v>781</v>
      </c>
      <c r="B736" s="4" t="s">
        <v>45</v>
      </c>
      <c r="C736" s="4">
        <v>41</v>
      </c>
      <c r="D736" s="8">
        <v>6.3</v>
      </c>
      <c r="E736" s="7">
        <v>754000</v>
      </c>
      <c r="F736" s="7">
        <v>0</v>
      </c>
    </row>
    <row r="737" spans="1:6">
      <c r="A737" s="4" t="s">
        <v>782</v>
      </c>
      <c r="B737" s="4" t="s">
        <v>57</v>
      </c>
      <c r="C737" s="4">
        <v>30</v>
      </c>
      <c r="D737" s="8">
        <v>2.6</v>
      </c>
      <c r="E737" s="7">
        <v>434000</v>
      </c>
      <c r="F737" s="7">
        <v>0</v>
      </c>
    </row>
    <row r="738" spans="1:6">
      <c r="A738" s="4" t="s">
        <v>783</v>
      </c>
      <c r="B738" s="4" t="s">
        <v>45</v>
      </c>
      <c r="C738" s="4">
        <v>59</v>
      </c>
      <c r="D738" s="8">
        <v>18</v>
      </c>
      <c r="E738" s="7">
        <v>2098000</v>
      </c>
      <c r="F738" s="7">
        <v>0</v>
      </c>
    </row>
    <row r="739" spans="1:6">
      <c r="A739" s="4" t="s">
        <v>784</v>
      </c>
      <c r="B739" s="4" t="s">
        <v>45</v>
      </c>
      <c r="C739" s="4">
        <v>45</v>
      </c>
      <c r="D739" s="8">
        <v>5.5</v>
      </c>
      <c r="E739" s="7">
        <v>1253000</v>
      </c>
      <c r="F739" s="7">
        <v>0</v>
      </c>
    </row>
    <row r="740" spans="1:6">
      <c r="A740" s="4" t="s">
        <v>785</v>
      </c>
      <c r="B740" s="4" t="s">
        <v>45</v>
      </c>
      <c r="C740" s="4">
        <v>34</v>
      </c>
      <c r="D740" s="8">
        <v>3</v>
      </c>
      <c r="E740" s="7">
        <v>505000</v>
      </c>
      <c r="F740" s="7">
        <v>0</v>
      </c>
    </row>
    <row r="741" spans="1:6">
      <c r="A741" s="4" t="s">
        <v>786</v>
      </c>
      <c r="B741" s="4" t="s">
        <v>45</v>
      </c>
      <c r="C741" s="4">
        <v>45</v>
      </c>
      <c r="D741" s="8">
        <v>19.3</v>
      </c>
      <c r="E741" s="7">
        <v>1408000</v>
      </c>
      <c r="F741" s="7">
        <v>0</v>
      </c>
    </row>
    <row r="742" spans="1:6">
      <c r="A742" s="4" t="s">
        <v>787</v>
      </c>
      <c r="B742" s="4" t="s">
        <v>45</v>
      </c>
      <c r="C742" s="4">
        <v>27</v>
      </c>
      <c r="D742" s="8">
        <v>2</v>
      </c>
      <c r="E742" s="7">
        <v>363000</v>
      </c>
      <c r="F742" s="7">
        <v>0</v>
      </c>
    </row>
    <row r="743" spans="1:6">
      <c r="A743" s="4" t="s">
        <v>788</v>
      </c>
      <c r="B743" s="4" t="s">
        <v>45</v>
      </c>
      <c r="C743" s="4">
        <v>45</v>
      </c>
      <c r="D743" s="8">
        <v>8.9</v>
      </c>
      <c r="E743" s="7">
        <v>1217000</v>
      </c>
      <c r="F743" s="7">
        <v>0</v>
      </c>
    </row>
    <row r="744" spans="1:6">
      <c r="A744" s="4" t="s">
        <v>789</v>
      </c>
      <c r="B744" s="4" t="s">
        <v>47</v>
      </c>
      <c r="C744" s="4">
        <v>83</v>
      </c>
      <c r="D744" s="8">
        <v>18.8</v>
      </c>
      <c r="E744" s="7">
        <v>0</v>
      </c>
      <c r="F744" s="7">
        <v>541000</v>
      </c>
    </row>
    <row r="745" spans="1:6">
      <c r="A745" s="4" t="s">
        <v>790</v>
      </c>
      <c r="B745" s="4" t="s">
        <v>57</v>
      </c>
      <c r="C745" s="4">
        <v>34</v>
      </c>
      <c r="D745" s="8">
        <v>3</v>
      </c>
      <c r="E745" s="7">
        <v>555000</v>
      </c>
      <c r="F745" s="7">
        <v>0</v>
      </c>
    </row>
    <row r="746" spans="1:6">
      <c r="A746" s="4" t="s">
        <v>791</v>
      </c>
      <c r="B746" s="4" t="s">
        <v>47</v>
      </c>
      <c r="C746" s="4">
        <v>60</v>
      </c>
      <c r="D746" s="8">
        <v>37.6</v>
      </c>
      <c r="E746" s="7">
        <v>0</v>
      </c>
      <c r="F746" s="7">
        <v>168000</v>
      </c>
    </row>
    <row r="747" spans="1:6">
      <c r="A747" s="4" t="s">
        <v>792</v>
      </c>
      <c r="B747" s="4" t="s">
        <v>47</v>
      </c>
      <c r="C747" s="4">
        <v>83</v>
      </c>
      <c r="D747" s="8">
        <v>18.7</v>
      </c>
      <c r="E747" s="7">
        <v>0</v>
      </c>
      <c r="F747" s="7">
        <v>642000</v>
      </c>
    </row>
    <row r="748" spans="1:6">
      <c r="A748" s="4" t="s">
        <v>793</v>
      </c>
      <c r="B748" s="4" t="s">
        <v>57</v>
      </c>
      <c r="C748" s="4">
        <v>43</v>
      </c>
      <c r="D748" s="8">
        <v>17.8</v>
      </c>
      <c r="E748" s="7">
        <v>822000</v>
      </c>
      <c r="F748" s="7">
        <v>0</v>
      </c>
    </row>
    <row r="749" spans="1:6">
      <c r="A749" s="4" t="s">
        <v>794</v>
      </c>
      <c r="B749" s="4" t="s">
        <v>45</v>
      </c>
      <c r="C749" s="4">
        <v>43</v>
      </c>
      <c r="D749" s="8">
        <v>15.1</v>
      </c>
      <c r="E749" s="7">
        <v>1290000</v>
      </c>
      <c r="F749" s="7">
        <v>0</v>
      </c>
    </row>
    <row r="750" spans="1:6">
      <c r="A750" s="4" t="s">
        <v>795</v>
      </c>
      <c r="B750" s="4" t="s">
        <v>45</v>
      </c>
      <c r="C750" s="4">
        <v>24</v>
      </c>
      <c r="D750" s="8">
        <v>1</v>
      </c>
      <c r="E750" s="7">
        <v>536000</v>
      </c>
      <c r="F750" s="7">
        <v>0</v>
      </c>
    </row>
    <row r="751" spans="1:6">
      <c r="A751" s="4" t="s">
        <v>796</v>
      </c>
      <c r="B751" s="4" t="s">
        <v>47</v>
      </c>
      <c r="C751" s="4">
        <v>86</v>
      </c>
      <c r="D751" s="8">
        <v>30.9</v>
      </c>
      <c r="E751" s="7">
        <v>0</v>
      </c>
      <c r="F751" s="7">
        <v>400000</v>
      </c>
    </row>
    <row r="752" spans="1:6">
      <c r="A752" s="4" t="s">
        <v>797</v>
      </c>
      <c r="B752" s="4" t="s">
        <v>57</v>
      </c>
      <c r="C752" s="4">
        <v>44</v>
      </c>
      <c r="D752" s="8">
        <v>2.2000000000000002</v>
      </c>
      <c r="E752" s="7">
        <v>803000</v>
      </c>
      <c r="F752" s="7">
        <v>0</v>
      </c>
    </row>
    <row r="753" spans="1:6">
      <c r="A753" s="4" t="s">
        <v>798</v>
      </c>
      <c r="B753" s="4" t="s">
        <v>57</v>
      </c>
      <c r="C753" s="4">
        <v>30</v>
      </c>
      <c r="D753" s="8">
        <v>2</v>
      </c>
      <c r="E753" s="7">
        <v>319000</v>
      </c>
      <c r="F753" s="7">
        <v>0</v>
      </c>
    </row>
    <row r="754" spans="1:6">
      <c r="A754" s="4" t="s">
        <v>799</v>
      </c>
      <c r="B754" s="4" t="s">
        <v>45</v>
      </c>
      <c r="C754" s="4">
        <v>51</v>
      </c>
      <c r="D754" s="8">
        <v>4.5999999999999996</v>
      </c>
      <c r="E754" s="7">
        <v>1273000</v>
      </c>
      <c r="F754" s="7">
        <v>0</v>
      </c>
    </row>
    <row r="755" spans="1:6">
      <c r="A755" s="4" t="s">
        <v>800</v>
      </c>
      <c r="B755" s="4" t="s">
        <v>45</v>
      </c>
      <c r="C755" s="4">
        <v>43</v>
      </c>
      <c r="D755" s="8">
        <v>9.8000000000000007</v>
      </c>
      <c r="E755" s="7">
        <v>1108000</v>
      </c>
      <c r="F755" s="7">
        <v>0</v>
      </c>
    </row>
    <row r="756" spans="1:6">
      <c r="A756" s="4" t="s">
        <v>801</v>
      </c>
      <c r="B756" s="4" t="s">
        <v>47</v>
      </c>
      <c r="C756" s="4">
        <v>61</v>
      </c>
      <c r="D756" s="8">
        <v>17.8</v>
      </c>
      <c r="E756" s="7">
        <v>0</v>
      </c>
      <c r="F756" s="7">
        <v>231000</v>
      </c>
    </row>
    <row r="757" spans="1:6">
      <c r="A757" s="4" t="s">
        <v>802</v>
      </c>
      <c r="B757" s="4" t="s">
        <v>45</v>
      </c>
      <c r="C757" s="4">
        <v>28</v>
      </c>
      <c r="D757" s="8">
        <v>1.1000000000000001</v>
      </c>
      <c r="E757" s="7">
        <v>447000</v>
      </c>
      <c r="F757" s="7">
        <v>0</v>
      </c>
    </row>
    <row r="758" spans="1:6">
      <c r="A758" s="4" t="s">
        <v>803</v>
      </c>
      <c r="B758" s="4" t="s">
        <v>45</v>
      </c>
      <c r="C758" s="4">
        <v>49</v>
      </c>
      <c r="D758" s="8">
        <v>10.7</v>
      </c>
      <c r="E758" s="7">
        <v>1295000</v>
      </c>
      <c r="F758" s="7">
        <v>0</v>
      </c>
    </row>
    <row r="759" spans="1:6">
      <c r="A759" s="4" t="s">
        <v>804</v>
      </c>
      <c r="B759" s="4" t="s">
        <v>47</v>
      </c>
      <c r="C759" s="4">
        <v>78</v>
      </c>
      <c r="D759" s="8">
        <v>31.2</v>
      </c>
      <c r="E759" s="7">
        <v>0</v>
      </c>
      <c r="F759" s="7">
        <v>299000</v>
      </c>
    </row>
    <row r="760" spans="1:6">
      <c r="A760" s="4" t="s">
        <v>805</v>
      </c>
      <c r="B760" s="4" t="s">
        <v>47</v>
      </c>
      <c r="C760" s="4">
        <v>69</v>
      </c>
      <c r="D760" s="8">
        <v>29.5</v>
      </c>
      <c r="E760" s="7">
        <v>0</v>
      </c>
      <c r="F760" s="7">
        <v>334000</v>
      </c>
    </row>
    <row r="761" spans="1:6">
      <c r="A761" s="4" t="s">
        <v>806</v>
      </c>
      <c r="B761" s="4" t="s">
        <v>45</v>
      </c>
      <c r="C761" s="4">
        <v>22</v>
      </c>
      <c r="D761" s="8">
        <v>1</v>
      </c>
      <c r="E761" s="7">
        <v>455000</v>
      </c>
      <c r="F761" s="7">
        <v>0</v>
      </c>
    </row>
    <row r="762" spans="1:6">
      <c r="A762" s="4" t="s">
        <v>807</v>
      </c>
      <c r="B762" s="4" t="s">
        <v>45</v>
      </c>
      <c r="C762" s="4">
        <v>41</v>
      </c>
      <c r="D762" s="8">
        <v>7.5</v>
      </c>
      <c r="E762" s="7">
        <v>1136000</v>
      </c>
      <c r="F762" s="7">
        <v>0</v>
      </c>
    </row>
    <row r="763" spans="1:6">
      <c r="A763" s="4" t="s">
        <v>808</v>
      </c>
      <c r="B763" s="4" t="s">
        <v>47</v>
      </c>
      <c r="C763" s="4">
        <v>87</v>
      </c>
      <c r="D763" s="8">
        <v>17.5</v>
      </c>
      <c r="E763" s="7">
        <v>0</v>
      </c>
      <c r="F763" s="7">
        <v>451000</v>
      </c>
    </row>
    <row r="764" spans="1:6">
      <c r="A764" s="4" t="s">
        <v>809</v>
      </c>
      <c r="B764" s="4" t="s">
        <v>45</v>
      </c>
      <c r="C764" s="4">
        <v>34</v>
      </c>
      <c r="D764" s="8">
        <v>1.8</v>
      </c>
      <c r="E764" s="7">
        <v>666000</v>
      </c>
      <c r="F764" s="7">
        <v>0</v>
      </c>
    </row>
    <row r="765" spans="1:6">
      <c r="A765" s="4" t="s">
        <v>810</v>
      </c>
      <c r="B765" s="4" t="s">
        <v>47</v>
      </c>
      <c r="C765" s="4">
        <v>81</v>
      </c>
      <c r="D765" s="8">
        <v>29.6</v>
      </c>
      <c r="E765" s="7">
        <v>0</v>
      </c>
      <c r="F765" s="7">
        <v>310000</v>
      </c>
    </row>
    <row r="766" spans="1:6">
      <c r="A766" s="4" t="s">
        <v>811</v>
      </c>
      <c r="B766" s="4" t="s">
        <v>45</v>
      </c>
      <c r="C766" s="4">
        <v>49</v>
      </c>
      <c r="D766" s="8">
        <v>2.6</v>
      </c>
      <c r="E766" s="7">
        <v>1428000</v>
      </c>
      <c r="F766" s="7">
        <v>0</v>
      </c>
    </row>
    <row r="767" spans="1:6">
      <c r="A767" s="4" t="s">
        <v>812</v>
      </c>
      <c r="B767" s="4" t="s">
        <v>47</v>
      </c>
      <c r="C767" s="4">
        <v>83</v>
      </c>
      <c r="D767" s="8">
        <v>17.399999999999999</v>
      </c>
      <c r="E767" s="7">
        <v>0</v>
      </c>
      <c r="F767" s="7">
        <v>701000</v>
      </c>
    </row>
    <row r="768" spans="1:6">
      <c r="A768" s="4" t="s">
        <v>813</v>
      </c>
      <c r="B768" s="4" t="s">
        <v>45</v>
      </c>
      <c r="C768" s="4">
        <v>44</v>
      </c>
      <c r="D768" s="8">
        <v>21.7</v>
      </c>
      <c r="E768" s="7">
        <v>807000</v>
      </c>
      <c r="F768" s="7">
        <v>0</v>
      </c>
    </row>
    <row r="769" spans="1:6">
      <c r="A769" s="4" t="s">
        <v>814</v>
      </c>
      <c r="B769" s="4" t="s">
        <v>45</v>
      </c>
      <c r="C769" s="4">
        <v>29</v>
      </c>
      <c r="D769" s="8">
        <v>1.7</v>
      </c>
      <c r="E769" s="7">
        <v>472000</v>
      </c>
      <c r="F769" s="7">
        <v>0</v>
      </c>
    </row>
    <row r="770" spans="1:6">
      <c r="A770" s="4" t="s">
        <v>815</v>
      </c>
      <c r="B770" s="4" t="s">
        <v>45</v>
      </c>
      <c r="C770" s="4">
        <v>57</v>
      </c>
      <c r="D770" s="8">
        <v>31.2</v>
      </c>
      <c r="E770" s="7">
        <v>1845000</v>
      </c>
      <c r="F770" s="7">
        <v>0</v>
      </c>
    </row>
    <row r="771" spans="1:6">
      <c r="A771" s="4" t="s">
        <v>816</v>
      </c>
      <c r="B771" s="4" t="s">
        <v>45</v>
      </c>
      <c r="C771" s="4">
        <v>49</v>
      </c>
      <c r="D771" s="8">
        <v>24.6</v>
      </c>
      <c r="E771" s="7">
        <v>1164000</v>
      </c>
      <c r="F771" s="7">
        <v>0</v>
      </c>
    </row>
    <row r="772" spans="1:6">
      <c r="A772" s="4" t="s">
        <v>817</v>
      </c>
      <c r="B772" s="4" t="s">
        <v>47</v>
      </c>
      <c r="C772" s="4">
        <v>73</v>
      </c>
      <c r="D772" s="8">
        <v>20.399999999999999</v>
      </c>
      <c r="E772" s="7">
        <v>0</v>
      </c>
      <c r="F772" s="7">
        <v>460000</v>
      </c>
    </row>
    <row r="773" spans="1:6">
      <c r="A773" s="4" t="s">
        <v>818</v>
      </c>
      <c r="B773" s="4" t="s">
        <v>45</v>
      </c>
      <c r="C773" s="4">
        <v>51</v>
      </c>
      <c r="D773" s="8">
        <v>14.7</v>
      </c>
      <c r="E773" s="7">
        <v>1505000</v>
      </c>
      <c r="F773" s="7">
        <v>0</v>
      </c>
    </row>
    <row r="774" spans="1:6">
      <c r="A774" s="4" t="s">
        <v>819</v>
      </c>
      <c r="B774" s="4" t="s">
        <v>45</v>
      </c>
      <c r="C774" s="4">
        <v>32</v>
      </c>
      <c r="D774" s="8">
        <v>7.6</v>
      </c>
      <c r="E774" s="7">
        <v>598000</v>
      </c>
      <c r="F774" s="7">
        <v>0</v>
      </c>
    </row>
    <row r="775" spans="1:6">
      <c r="A775" s="4" t="s">
        <v>820</v>
      </c>
      <c r="B775" s="4" t="s">
        <v>45</v>
      </c>
      <c r="C775" s="4">
        <v>29</v>
      </c>
      <c r="D775" s="8">
        <v>1.3</v>
      </c>
      <c r="E775" s="7">
        <v>496000</v>
      </c>
      <c r="F775" s="7">
        <v>0</v>
      </c>
    </row>
    <row r="776" spans="1:6">
      <c r="A776" s="4" t="s">
        <v>821</v>
      </c>
      <c r="B776" s="4" t="s">
        <v>45</v>
      </c>
      <c r="C776" s="4">
        <v>40</v>
      </c>
      <c r="D776" s="8">
        <v>9.3000000000000007</v>
      </c>
      <c r="E776" s="7">
        <v>986000</v>
      </c>
      <c r="F776" s="7">
        <v>0</v>
      </c>
    </row>
    <row r="777" spans="1:6">
      <c r="A777" s="4" t="s">
        <v>822</v>
      </c>
      <c r="B777" s="4" t="s">
        <v>47</v>
      </c>
      <c r="C777" s="4">
        <v>87</v>
      </c>
      <c r="D777" s="8">
        <v>14</v>
      </c>
      <c r="E777" s="7">
        <v>0</v>
      </c>
      <c r="F777" s="7">
        <v>435000</v>
      </c>
    </row>
    <row r="778" spans="1:6">
      <c r="A778" s="4" t="s">
        <v>823</v>
      </c>
      <c r="B778" s="4" t="s">
        <v>47</v>
      </c>
      <c r="C778" s="4">
        <v>80</v>
      </c>
      <c r="D778" s="8">
        <v>16.600000000000001</v>
      </c>
      <c r="E778" s="7">
        <v>0</v>
      </c>
      <c r="F778" s="7">
        <v>695000</v>
      </c>
    </row>
    <row r="779" spans="1:6">
      <c r="A779" s="4" t="s">
        <v>824</v>
      </c>
      <c r="B779" s="4" t="s">
        <v>45</v>
      </c>
      <c r="C779" s="4">
        <v>49</v>
      </c>
      <c r="D779" s="8">
        <v>20.3</v>
      </c>
      <c r="E779" s="7">
        <v>1028000</v>
      </c>
      <c r="F779" s="7">
        <v>0</v>
      </c>
    </row>
    <row r="780" spans="1:6">
      <c r="A780" s="4" t="s">
        <v>825</v>
      </c>
      <c r="B780" s="4" t="s">
        <v>57</v>
      </c>
      <c r="C780" s="4">
        <v>30</v>
      </c>
      <c r="D780" s="8">
        <v>2.8</v>
      </c>
      <c r="E780" s="7">
        <v>311000</v>
      </c>
      <c r="F780" s="7">
        <v>0</v>
      </c>
    </row>
    <row r="781" spans="1:6">
      <c r="A781" s="4" t="s">
        <v>826</v>
      </c>
      <c r="B781" s="4" t="s">
        <v>45</v>
      </c>
      <c r="C781" s="4">
        <v>51</v>
      </c>
      <c r="D781" s="8">
        <v>22.5</v>
      </c>
      <c r="E781" s="7">
        <v>1308000</v>
      </c>
      <c r="F781" s="7">
        <v>0</v>
      </c>
    </row>
    <row r="782" spans="1:6">
      <c r="A782" s="4" t="s">
        <v>827</v>
      </c>
      <c r="B782" s="4" t="s">
        <v>45</v>
      </c>
      <c r="C782" s="4">
        <v>59</v>
      </c>
      <c r="D782" s="8">
        <v>23.1</v>
      </c>
      <c r="E782" s="7">
        <v>2136000</v>
      </c>
      <c r="F782" s="7">
        <v>0</v>
      </c>
    </row>
    <row r="783" spans="1:6">
      <c r="A783" s="4" t="s">
        <v>828</v>
      </c>
      <c r="B783" s="4" t="s">
        <v>45</v>
      </c>
      <c r="C783" s="4">
        <v>45</v>
      </c>
      <c r="D783" s="8">
        <v>12.8</v>
      </c>
      <c r="E783" s="7">
        <v>1277000</v>
      </c>
      <c r="F783" s="7">
        <v>0</v>
      </c>
    </row>
    <row r="784" spans="1:6">
      <c r="A784" s="4" t="s">
        <v>829</v>
      </c>
      <c r="B784" s="4" t="s">
        <v>45</v>
      </c>
      <c r="C784" s="4">
        <v>33</v>
      </c>
      <c r="D784" s="8">
        <v>2</v>
      </c>
      <c r="E784" s="7">
        <v>505000</v>
      </c>
      <c r="F784" s="7">
        <v>0</v>
      </c>
    </row>
    <row r="785" spans="1:6">
      <c r="A785" s="4" t="s">
        <v>830</v>
      </c>
      <c r="B785" s="4" t="s">
        <v>47</v>
      </c>
      <c r="C785" s="4">
        <v>72</v>
      </c>
      <c r="D785" s="8">
        <v>24.4</v>
      </c>
      <c r="E785" s="7">
        <v>0</v>
      </c>
      <c r="F785" s="7">
        <v>400000</v>
      </c>
    </row>
    <row r="786" spans="1:6">
      <c r="A786" s="4" t="s">
        <v>831</v>
      </c>
      <c r="B786" s="4" t="s">
        <v>45</v>
      </c>
      <c r="C786" s="4">
        <v>41</v>
      </c>
      <c r="D786" s="8">
        <v>19.3</v>
      </c>
      <c r="E786" s="7">
        <v>684000</v>
      </c>
      <c r="F786" s="7">
        <v>0</v>
      </c>
    </row>
    <row r="787" spans="1:6">
      <c r="A787" s="4" t="s">
        <v>832</v>
      </c>
      <c r="B787" s="4" t="s">
        <v>45</v>
      </c>
      <c r="C787" s="4">
        <v>36</v>
      </c>
      <c r="D787" s="8">
        <v>10.1</v>
      </c>
      <c r="E787" s="7">
        <v>535000</v>
      </c>
      <c r="F787" s="7">
        <v>0</v>
      </c>
    </row>
    <row r="788" spans="1:6">
      <c r="A788" s="4" t="s">
        <v>833</v>
      </c>
      <c r="B788" s="4" t="s">
        <v>57</v>
      </c>
      <c r="C788" s="4">
        <v>42</v>
      </c>
      <c r="D788" s="8">
        <v>17.8</v>
      </c>
      <c r="E788" s="7">
        <v>712000</v>
      </c>
      <c r="F788" s="7">
        <v>0</v>
      </c>
    </row>
    <row r="789" spans="1:6">
      <c r="A789" s="4" t="s">
        <v>834</v>
      </c>
      <c r="B789" s="4" t="s">
        <v>47</v>
      </c>
      <c r="C789" s="4">
        <v>86</v>
      </c>
      <c r="D789" s="8">
        <v>37.4</v>
      </c>
      <c r="E789" s="7">
        <v>0</v>
      </c>
      <c r="F789" s="7">
        <v>816000</v>
      </c>
    </row>
    <row r="790" spans="1:6">
      <c r="A790" s="4" t="s">
        <v>835</v>
      </c>
      <c r="B790" s="4" t="s">
        <v>45</v>
      </c>
      <c r="C790" s="4">
        <v>57</v>
      </c>
      <c r="D790" s="8">
        <v>18.899999999999999</v>
      </c>
      <c r="E790" s="7">
        <v>1709000</v>
      </c>
      <c r="F790" s="7">
        <v>0</v>
      </c>
    </row>
    <row r="791" spans="1:6">
      <c r="A791" s="4" t="s">
        <v>836</v>
      </c>
      <c r="B791" s="4" t="s">
        <v>47</v>
      </c>
      <c r="C791" s="4">
        <v>76</v>
      </c>
      <c r="D791" s="8">
        <v>17</v>
      </c>
      <c r="E791" s="7">
        <v>0</v>
      </c>
      <c r="F791" s="7">
        <v>477000</v>
      </c>
    </row>
    <row r="792" spans="1:6">
      <c r="A792" s="4" t="s">
        <v>837</v>
      </c>
      <c r="B792" s="4" t="s">
        <v>47</v>
      </c>
      <c r="C792" s="4">
        <v>89</v>
      </c>
      <c r="D792" s="8">
        <v>33.200000000000003</v>
      </c>
      <c r="E792" s="7">
        <v>0</v>
      </c>
      <c r="F792" s="7">
        <v>704000</v>
      </c>
    </row>
    <row r="793" spans="1:6">
      <c r="A793" s="4" t="s">
        <v>838</v>
      </c>
      <c r="B793" s="4" t="s">
        <v>57</v>
      </c>
      <c r="C793" s="4">
        <v>57</v>
      </c>
      <c r="D793" s="8">
        <v>6.1</v>
      </c>
      <c r="E793" s="7">
        <v>1479000</v>
      </c>
      <c r="F793" s="7">
        <v>0</v>
      </c>
    </row>
    <row r="794" spans="1:6">
      <c r="A794" s="4" t="s">
        <v>839</v>
      </c>
      <c r="B794" s="4" t="s">
        <v>45</v>
      </c>
      <c r="C794" s="4">
        <v>36</v>
      </c>
      <c r="D794" s="8">
        <v>8.6</v>
      </c>
      <c r="E794" s="7">
        <v>705000</v>
      </c>
      <c r="F794" s="7">
        <v>0</v>
      </c>
    </row>
    <row r="795" spans="1:6">
      <c r="A795" s="4" t="s">
        <v>840</v>
      </c>
      <c r="B795" s="4" t="s">
        <v>45</v>
      </c>
      <c r="C795" s="4">
        <v>28</v>
      </c>
      <c r="D795" s="8">
        <v>3.1</v>
      </c>
      <c r="E795" s="7">
        <v>665000</v>
      </c>
      <c r="F795" s="7">
        <v>0</v>
      </c>
    </row>
    <row r="796" spans="1:6">
      <c r="A796" s="4" t="s">
        <v>841</v>
      </c>
      <c r="B796" s="4" t="s">
        <v>45</v>
      </c>
      <c r="C796" s="4">
        <v>28</v>
      </c>
      <c r="D796" s="8">
        <v>4.0999999999999996</v>
      </c>
      <c r="E796" s="7">
        <v>560000</v>
      </c>
      <c r="F796" s="7">
        <v>0</v>
      </c>
    </row>
    <row r="797" spans="1:6">
      <c r="A797" s="4" t="s">
        <v>842</v>
      </c>
      <c r="B797" s="4" t="s">
        <v>45</v>
      </c>
      <c r="C797" s="4">
        <v>40</v>
      </c>
      <c r="D797" s="8">
        <v>8.4</v>
      </c>
      <c r="E797" s="7">
        <v>723000</v>
      </c>
      <c r="F797" s="7">
        <v>0</v>
      </c>
    </row>
    <row r="798" spans="1:6">
      <c r="A798" s="4" t="s">
        <v>843</v>
      </c>
      <c r="B798" s="4" t="s">
        <v>45</v>
      </c>
      <c r="C798" s="4">
        <v>43</v>
      </c>
      <c r="D798" s="8">
        <v>9</v>
      </c>
      <c r="E798" s="7">
        <v>920000</v>
      </c>
      <c r="F798" s="7">
        <v>0</v>
      </c>
    </row>
    <row r="799" spans="1:6">
      <c r="A799" s="4" t="s">
        <v>844</v>
      </c>
      <c r="B799" s="4" t="s">
        <v>45</v>
      </c>
      <c r="C799" s="4">
        <v>49</v>
      </c>
      <c r="D799" s="8">
        <v>16.5</v>
      </c>
      <c r="E799" s="7">
        <v>1377000</v>
      </c>
      <c r="F799" s="7">
        <v>0</v>
      </c>
    </row>
    <row r="800" spans="1:6">
      <c r="A800" s="4" t="s">
        <v>845</v>
      </c>
      <c r="B800" s="4" t="s">
        <v>45</v>
      </c>
      <c r="C800" s="4">
        <v>43</v>
      </c>
      <c r="D800" s="8">
        <v>3.3</v>
      </c>
      <c r="E800" s="7">
        <v>934000</v>
      </c>
      <c r="F800" s="7">
        <v>0</v>
      </c>
    </row>
    <row r="801" spans="1:6">
      <c r="A801" s="4" t="s">
        <v>846</v>
      </c>
      <c r="B801" s="4" t="s">
        <v>45</v>
      </c>
      <c r="C801" s="4">
        <v>32</v>
      </c>
      <c r="D801" s="8">
        <v>1.8</v>
      </c>
      <c r="E801" s="7">
        <v>776000</v>
      </c>
      <c r="F801" s="7">
        <v>0</v>
      </c>
    </row>
    <row r="802" spans="1:6">
      <c r="A802" s="4" t="s">
        <v>847</v>
      </c>
      <c r="B802" s="4" t="s">
        <v>47</v>
      </c>
      <c r="C802" s="4">
        <v>73</v>
      </c>
      <c r="D802" s="8">
        <v>26.4</v>
      </c>
      <c r="E802" s="7">
        <v>0</v>
      </c>
      <c r="F802" s="7">
        <v>298000</v>
      </c>
    </row>
    <row r="803" spans="1:6">
      <c r="A803" s="4" t="s">
        <v>848</v>
      </c>
      <c r="B803" s="4" t="s">
        <v>57</v>
      </c>
      <c r="C803" s="4">
        <v>45</v>
      </c>
      <c r="D803" s="8">
        <v>17</v>
      </c>
      <c r="E803" s="7">
        <v>623000</v>
      </c>
      <c r="F803" s="7">
        <v>0</v>
      </c>
    </row>
    <row r="804" spans="1:6">
      <c r="A804" s="4" t="s">
        <v>849</v>
      </c>
      <c r="B804" s="4" t="s">
        <v>47</v>
      </c>
      <c r="C804" s="4">
        <v>76</v>
      </c>
      <c r="D804" s="8">
        <v>23.1</v>
      </c>
      <c r="E804" s="7">
        <v>0</v>
      </c>
      <c r="F804" s="7">
        <v>407000</v>
      </c>
    </row>
    <row r="805" spans="1:6">
      <c r="A805" s="4" t="s">
        <v>850</v>
      </c>
      <c r="B805" s="4" t="s">
        <v>45</v>
      </c>
      <c r="C805" s="4">
        <v>37</v>
      </c>
      <c r="D805" s="8">
        <v>4.8</v>
      </c>
      <c r="E805" s="7">
        <v>584000</v>
      </c>
      <c r="F805" s="7">
        <v>0</v>
      </c>
    </row>
    <row r="806" spans="1:6">
      <c r="A806" s="4" t="s">
        <v>851</v>
      </c>
      <c r="B806" s="4" t="s">
        <v>45</v>
      </c>
      <c r="C806" s="4">
        <v>24</v>
      </c>
      <c r="D806" s="8">
        <v>1.8</v>
      </c>
      <c r="E806" s="7">
        <v>487000</v>
      </c>
      <c r="F806" s="7">
        <v>0</v>
      </c>
    </row>
    <row r="807" spans="1:6">
      <c r="A807" s="4" t="s">
        <v>852</v>
      </c>
      <c r="B807" s="4" t="s">
        <v>45</v>
      </c>
      <c r="C807" s="4">
        <v>35</v>
      </c>
      <c r="D807" s="8">
        <v>11.3</v>
      </c>
      <c r="E807" s="7">
        <v>828000</v>
      </c>
      <c r="F807" s="7">
        <v>0</v>
      </c>
    </row>
    <row r="808" spans="1:6">
      <c r="A808" s="4" t="s">
        <v>853</v>
      </c>
      <c r="B808" s="4" t="s">
        <v>47</v>
      </c>
      <c r="C808" s="4">
        <v>66</v>
      </c>
      <c r="D808" s="8">
        <v>39.200000000000003</v>
      </c>
      <c r="E808" s="7">
        <v>0</v>
      </c>
      <c r="F808" s="7">
        <v>181000</v>
      </c>
    </row>
    <row r="809" spans="1:6">
      <c r="A809" s="4" t="s">
        <v>854</v>
      </c>
      <c r="B809" s="4" t="s">
        <v>57</v>
      </c>
      <c r="C809" s="4">
        <v>53</v>
      </c>
      <c r="D809" s="8">
        <v>21.4</v>
      </c>
      <c r="E809" s="7">
        <v>1038000</v>
      </c>
      <c r="F809" s="7">
        <v>0</v>
      </c>
    </row>
    <row r="810" spans="1:6">
      <c r="A810" s="4" t="s">
        <v>855</v>
      </c>
      <c r="B810" s="4" t="s">
        <v>45</v>
      </c>
      <c r="C810" s="4">
        <v>33</v>
      </c>
      <c r="D810" s="8">
        <v>11.3</v>
      </c>
      <c r="E810" s="7">
        <v>641000</v>
      </c>
      <c r="F810" s="7">
        <v>0</v>
      </c>
    </row>
    <row r="811" spans="1:6">
      <c r="A811" s="4" t="s">
        <v>856</v>
      </c>
      <c r="B811" s="4" t="s">
        <v>45</v>
      </c>
      <c r="C811" s="4">
        <v>52</v>
      </c>
      <c r="D811" s="8">
        <v>16.899999999999999</v>
      </c>
      <c r="E811" s="7">
        <v>1875000</v>
      </c>
      <c r="F811" s="7">
        <v>0</v>
      </c>
    </row>
    <row r="812" spans="1:6">
      <c r="A812" s="4" t="s">
        <v>857</v>
      </c>
      <c r="B812" s="4" t="s">
        <v>45</v>
      </c>
      <c r="C812" s="4">
        <v>45</v>
      </c>
      <c r="D812" s="8">
        <v>8.5</v>
      </c>
      <c r="E812" s="7">
        <v>813000</v>
      </c>
      <c r="F812" s="7">
        <v>0</v>
      </c>
    </row>
    <row r="813" spans="1:6">
      <c r="A813" s="4" t="s">
        <v>858</v>
      </c>
      <c r="B813" s="4" t="s">
        <v>45</v>
      </c>
      <c r="C813" s="4">
        <v>26</v>
      </c>
      <c r="D813" s="8">
        <v>2.8</v>
      </c>
      <c r="E813" s="7">
        <v>383000</v>
      </c>
      <c r="F813" s="7">
        <v>0</v>
      </c>
    </row>
    <row r="814" spans="1:6">
      <c r="A814" s="4" t="s">
        <v>859</v>
      </c>
      <c r="B814" s="4" t="s">
        <v>45</v>
      </c>
      <c r="C814" s="4">
        <v>58</v>
      </c>
      <c r="D814" s="8">
        <v>25.9</v>
      </c>
      <c r="E814" s="7">
        <v>1841000</v>
      </c>
      <c r="F814" s="7">
        <v>0</v>
      </c>
    </row>
    <row r="815" spans="1:6">
      <c r="A815" s="4" t="s">
        <v>860</v>
      </c>
      <c r="B815" s="4" t="s">
        <v>45</v>
      </c>
      <c r="C815" s="4">
        <v>48</v>
      </c>
      <c r="D815" s="8">
        <v>14.5</v>
      </c>
      <c r="E815" s="7">
        <v>1453000</v>
      </c>
      <c r="F815" s="7">
        <v>0</v>
      </c>
    </row>
    <row r="816" spans="1:6">
      <c r="A816" s="4" t="s">
        <v>861</v>
      </c>
      <c r="B816" s="4" t="s">
        <v>47</v>
      </c>
      <c r="C816" s="4">
        <v>74</v>
      </c>
      <c r="D816" s="8">
        <v>36.5</v>
      </c>
      <c r="E816" s="7">
        <v>0</v>
      </c>
      <c r="F816" s="7">
        <v>389000</v>
      </c>
    </row>
    <row r="817" spans="1:6">
      <c r="A817" s="4" t="s">
        <v>862</v>
      </c>
      <c r="B817" s="4" t="s">
        <v>45</v>
      </c>
      <c r="C817" s="4">
        <v>47</v>
      </c>
      <c r="D817" s="8">
        <v>5.3</v>
      </c>
      <c r="E817" s="7">
        <v>1471000</v>
      </c>
      <c r="F817" s="7">
        <v>0</v>
      </c>
    </row>
    <row r="818" spans="1:6">
      <c r="A818" s="4" t="s">
        <v>863</v>
      </c>
      <c r="B818" s="4" t="s">
        <v>45</v>
      </c>
      <c r="C818" s="4">
        <v>26</v>
      </c>
      <c r="D818" s="8">
        <v>2</v>
      </c>
      <c r="E818" s="7">
        <v>348000</v>
      </c>
      <c r="F818" s="7">
        <v>0</v>
      </c>
    </row>
    <row r="819" spans="1:6">
      <c r="A819" s="4" t="s">
        <v>864</v>
      </c>
      <c r="B819" s="4" t="s">
        <v>45</v>
      </c>
      <c r="C819" s="4">
        <v>40</v>
      </c>
      <c r="D819" s="8">
        <v>2.5</v>
      </c>
      <c r="E819" s="7">
        <v>1107000</v>
      </c>
      <c r="F819" s="7">
        <v>0</v>
      </c>
    </row>
    <row r="820" spans="1:6">
      <c r="A820" s="4" t="s">
        <v>865</v>
      </c>
      <c r="B820" s="4" t="s">
        <v>45</v>
      </c>
      <c r="C820" s="4">
        <v>57</v>
      </c>
      <c r="D820" s="8">
        <v>11.3</v>
      </c>
      <c r="E820" s="7">
        <v>2416000</v>
      </c>
      <c r="F820" s="7">
        <v>0</v>
      </c>
    </row>
    <row r="821" spans="1:6">
      <c r="A821" s="4" t="s">
        <v>866</v>
      </c>
      <c r="B821" s="4" t="s">
        <v>47</v>
      </c>
      <c r="C821" s="4">
        <v>75</v>
      </c>
      <c r="D821" s="8">
        <v>24.3</v>
      </c>
      <c r="E821" s="7">
        <v>0</v>
      </c>
      <c r="F821" s="7">
        <v>311000</v>
      </c>
    </row>
    <row r="822" spans="1:6">
      <c r="A822" s="4" t="s">
        <v>867</v>
      </c>
      <c r="B822" s="4" t="s">
        <v>57</v>
      </c>
      <c r="C822" s="4">
        <v>37</v>
      </c>
      <c r="D822" s="8">
        <v>5.6</v>
      </c>
      <c r="E822" s="7">
        <v>435000</v>
      </c>
      <c r="F822" s="7">
        <v>0</v>
      </c>
    </row>
    <row r="823" spans="1:6">
      <c r="A823" s="4" t="s">
        <v>868</v>
      </c>
      <c r="B823" s="4" t="s">
        <v>45</v>
      </c>
      <c r="C823" s="4">
        <v>53</v>
      </c>
      <c r="D823" s="8">
        <v>1</v>
      </c>
      <c r="E823" s="7">
        <v>1435000</v>
      </c>
      <c r="F823" s="7">
        <v>0</v>
      </c>
    </row>
    <row r="824" spans="1:6">
      <c r="A824" s="4" t="s">
        <v>869</v>
      </c>
      <c r="B824" s="4" t="s">
        <v>47</v>
      </c>
      <c r="C824" s="4">
        <v>86</v>
      </c>
      <c r="D824" s="8">
        <v>26</v>
      </c>
      <c r="E824" s="7">
        <v>0</v>
      </c>
      <c r="F824" s="7">
        <v>387000</v>
      </c>
    </row>
    <row r="825" spans="1:6">
      <c r="A825" s="4" t="s">
        <v>870</v>
      </c>
      <c r="B825" s="4" t="s">
        <v>45</v>
      </c>
      <c r="C825" s="4">
        <v>49</v>
      </c>
      <c r="D825" s="8">
        <v>3.8</v>
      </c>
      <c r="E825" s="7">
        <v>1466000</v>
      </c>
      <c r="F825" s="7">
        <v>0</v>
      </c>
    </row>
    <row r="826" spans="1:6">
      <c r="A826" s="4" t="s">
        <v>871</v>
      </c>
      <c r="B826" s="4" t="s">
        <v>45</v>
      </c>
      <c r="C826" s="4">
        <v>44</v>
      </c>
      <c r="D826" s="8">
        <v>3.2</v>
      </c>
      <c r="E826" s="7">
        <v>1105000</v>
      </c>
      <c r="F826" s="7">
        <v>0</v>
      </c>
    </row>
    <row r="827" spans="1:6">
      <c r="A827" s="4" t="s">
        <v>872</v>
      </c>
      <c r="B827" s="4" t="s">
        <v>45</v>
      </c>
      <c r="C827" s="4">
        <v>42</v>
      </c>
      <c r="D827" s="8">
        <v>17.100000000000001</v>
      </c>
      <c r="E827" s="7">
        <v>1079000</v>
      </c>
      <c r="F827" s="7">
        <v>0</v>
      </c>
    </row>
    <row r="828" spans="1:6">
      <c r="A828" s="4" t="s">
        <v>873</v>
      </c>
      <c r="B828" s="4" t="s">
        <v>45</v>
      </c>
      <c r="C828" s="4">
        <v>34</v>
      </c>
      <c r="D828" s="8">
        <v>7.9</v>
      </c>
      <c r="E828" s="7">
        <v>505000</v>
      </c>
      <c r="F828" s="7">
        <v>0</v>
      </c>
    </row>
    <row r="829" spans="1:6">
      <c r="A829" s="4" t="s">
        <v>874</v>
      </c>
      <c r="B829" s="4" t="s">
        <v>47</v>
      </c>
      <c r="C829" s="4">
        <v>60</v>
      </c>
      <c r="D829" s="8">
        <v>25.1</v>
      </c>
      <c r="E829" s="7">
        <v>0</v>
      </c>
      <c r="F829" s="7">
        <v>200000</v>
      </c>
    </row>
    <row r="830" spans="1:6">
      <c r="A830" s="4" t="s">
        <v>875</v>
      </c>
      <c r="B830" s="4" t="s">
        <v>45</v>
      </c>
      <c r="C830" s="4">
        <v>53</v>
      </c>
      <c r="D830" s="8">
        <v>11.7</v>
      </c>
      <c r="E830" s="7">
        <v>1129000</v>
      </c>
      <c r="F830" s="7">
        <v>0</v>
      </c>
    </row>
    <row r="831" spans="1:6">
      <c r="A831" s="4" t="s">
        <v>876</v>
      </c>
      <c r="B831" s="4" t="s">
        <v>45</v>
      </c>
      <c r="C831" s="4">
        <v>40</v>
      </c>
      <c r="D831" s="8">
        <v>9.6999999999999993</v>
      </c>
      <c r="E831" s="7">
        <v>863000</v>
      </c>
      <c r="F831" s="7">
        <v>0</v>
      </c>
    </row>
    <row r="832" spans="1:6">
      <c r="A832" s="4" t="s">
        <v>877</v>
      </c>
      <c r="B832" s="4" t="s">
        <v>47</v>
      </c>
      <c r="C832" s="4">
        <v>82</v>
      </c>
      <c r="D832" s="8">
        <v>39.200000000000003</v>
      </c>
      <c r="E832" s="7">
        <v>0</v>
      </c>
      <c r="F832" s="7">
        <v>749000</v>
      </c>
    </row>
    <row r="833" spans="1:6">
      <c r="A833" s="4" t="s">
        <v>878</v>
      </c>
      <c r="B833" s="4" t="s">
        <v>45</v>
      </c>
      <c r="C833" s="4">
        <v>23</v>
      </c>
      <c r="D833" s="8">
        <v>1</v>
      </c>
      <c r="E833" s="7">
        <v>498000</v>
      </c>
      <c r="F833" s="7">
        <v>0</v>
      </c>
    </row>
    <row r="834" spans="1:6">
      <c r="A834" s="4" t="s">
        <v>879</v>
      </c>
      <c r="B834" s="4" t="s">
        <v>47</v>
      </c>
      <c r="C834" s="4">
        <v>69</v>
      </c>
      <c r="D834" s="8">
        <v>28</v>
      </c>
      <c r="E834" s="7">
        <v>0</v>
      </c>
      <c r="F834" s="7">
        <v>419000</v>
      </c>
    </row>
    <row r="835" spans="1:6">
      <c r="A835" s="4" t="s">
        <v>880</v>
      </c>
      <c r="B835" s="4" t="s">
        <v>45</v>
      </c>
      <c r="C835" s="4">
        <v>46</v>
      </c>
      <c r="D835" s="8">
        <v>16.899999999999999</v>
      </c>
      <c r="E835" s="7">
        <v>1092000</v>
      </c>
      <c r="F835" s="7">
        <v>0</v>
      </c>
    </row>
    <row r="836" spans="1:6">
      <c r="A836" s="4" t="s">
        <v>881</v>
      </c>
      <c r="B836" s="4" t="s">
        <v>45</v>
      </c>
      <c r="C836" s="4">
        <v>38</v>
      </c>
      <c r="D836" s="8">
        <v>6.1</v>
      </c>
      <c r="E836" s="7">
        <v>737000</v>
      </c>
      <c r="F836" s="7">
        <v>0</v>
      </c>
    </row>
    <row r="837" spans="1:6">
      <c r="A837" s="4" t="s">
        <v>882</v>
      </c>
      <c r="B837" s="4" t="s">
        <v>45</v>
      </c>
      <c r="C837" s="4">
        <v>49</v>
      </c>
      <c r="D837" s="8">
        <v>19.600000000000001</v>
      </c>
      <c r="E837" s="7">
        <v>1697000</v>
      </c>
      <c r="F837" s="7">
        <v>0</v>
      </c>
    </row>
    <row r="838" spans="1:6">
      <c r="A838" s="4" t="s">
        <v>883</v>
      </c>
      <c r="B838" s="4" t="s">
        <v>45</v>
      </c>
      <c r="C838" s="4">
        <v>24</v>
      </c>
      <c r="D838" s="8">
        <v>1</v>
      </c>
      <c r="E838" s="7">
        <v>496000</v>
      </c>
      <c r="F838" s="7">
        <v>0</v>
      </c>
    </row>
    <row r="839" spans="1:6">
      <c r="A839" s="4" t="s">
        <v>884</v>
      </c>
      <c r="B839" s="4" t="s">
        <v>57</v>
      </c>
      <c r="C839" s="4">
        <v>48</v>
      </c>
      <c r="D839" s="8">
        <v>16.600000000000001</v>
      </c>
      <c r="E839" s="7">
        <v>808000</v>
      </c>
      <c r="F839" s="7">
        <v>0</v>
      </c>
    </row>
    <row r="840" spans="1:6">
      <c r="A840" s="4" t="s">
        <v>885</v>
      </c>
      <c r="B840" s="4" t="s">
        <v>47</v>
      </c>
      <c r="C840" s="4">
        <v>81</v>
      </c>
      <c r="D840" s="8">
        <v>27.6</v>
      </c>
      <c r="E840" s="7">
        <v>0</v>
      </c>
      <c r="F840" s="7">
        <v>613000</v>
      </c>
    </row>
    <row r="841" spans="1:6">
      <c r="A841" s="4" t="s">
        <v>886</v>
      </c>
      <c r="B841" s="4" t="s">
        <v>47</v>
      </c>
      <c r="C841" s="4">
        <v>61</v>
      </c>
      <c r="D841" s="8">
        <v>34.1</v>
      </c>
      <c r="E841" s="7">
        <v>0</v>
      </c>
      <c r="F841" s="7">
        <v>226000</v>
      </c>
    </row>
    <row r="842" spans="1:6">
      <c r="A842" s="4" t="s">
        <v>887</v>
      </c>
      <c r="B842" s="4" t="s">
        <v>45</v>
      </c>
      <c r="C842" s="4">
        <v>44</v>
      </c>
      <c r="D842" s="8">
        <v>8.1</v>
      </c>
      <c r="E842" s="7">
        <v>1178000</v>
      </c>
      <c r="F842" s="7">
        <v>0</v>
      </c>
    </row>
    <row r="843" spans="1:6">
      <c r="A843" s="4" t="s">
        <v>888</v>
      </c>
      <c r="B843" s="4" t="s">
        <v>47</v>
      </c>
      <c r="C843" s="4">
        <v>85</v>
      </c>
      <c r="D843" s="8">
        <v>32.299999999999997</v>
      </c>
      <c r="E843" s="7">
        <v>0</v>
      </c>
      <c r="F843" s="7">
        <v>431000</v>
      </c>
    </row>
    <row r="844" spans="1:6">
      <c r="A844" s="4" t="s">
        <v>889</v>
      </c>
      <c r="B844" s="4" t="s">
        <v>45</v>
      </c>
      <c r="C844" s="4">
        <v>32</v>
      </c>
      <c r="D844" s="8">
        <v>2.1</v>
      </c>
      <c r="E844" s="7">
        <v>538000</v>
      </c>
      <c r="F844" s="7">
        <v>0</v>
      </c>
    </row>
    <row r="845" spans="1:6">
      <c r="A845" s="4" t="s">
        <v>890</v>
      </c>
      <c r="B845" s="4" t="s">
        <v>47</v>
      </c>
      <c r="C845" s="4">
        <v>86</v>
      </c>
      <c r="D845" s="8">
        <v>17</v>
      </c>
      <c r="E845" s="7">
        <v>0</v>
      </c>
      <c r="F845" s="7">
        <v>744000</v>
      </c>
    </row>
    <row r="846" spans="1:6">
      <c r="A846" s="4" t="s">
        <v>891</v>
      </c>
      <c r="B846" s="4" t="s">
        <v>45</v>
      </c>
      <c r="C846" s="4">
        <v>28</v>
      </c>
      <c r="D846" s="8">
        <v>4.3</v>
      </c>
      <c r="E846" s="7">
        <v>521000</v>
      </c>
      <c r="F846" s="7">
        <v>0</v>
      </c>
    </row>
    <row r="847" spans="1:6">
      <c r="A847" s="4" t="s">
        <v>892</v>
      </c>
      <c r="B847" s="4" t="s">
        <v>47</v>
      </c>
      <c r="C847" s="4">
        <v>79</v>
      </c>
      <c r="D847" s="8">
        <v>15.8</v>
      </c>
      <c r="E847" s="7">
        <v>0</v>
      </c>
      <c r="F847" s="7">
        <v>331000</v>
      </c>
    </row>
    <row r="848" spans="1:6">
      <c r="A848" s="4" t="s">
        <v>893</v>
      </c>
      <c r="B848" s="4" t="s">
        <v>45</v>
      </c>
      <c r="C848" s="4">
        <v>23</v>
      </c>
      <c r="D848" s="8">
        <v>1</v>
      </c>
      <c r="E848" s="7">
        <v>440000</v>
      </c>
      <c r="F848" s="7">
        <v>0</v>
      </c>
    </row>
    <row r="849" spans="1:6">
      <c r="A849" s="4" t="s">
        <v>894</v>
      </c>
      <c r="B849" s="4" t="s">
        <v>45</v>
      </c>
      <c r="C849" s="4">
        <v>36</v>
      </c>
      <c r="D849" s="8">
        <v>14.8</v>
      </c>
      <c r="E849" s="7">
        <v>578000</v>
      </c>
      <c r="F849" s="7">
        <v>0</v>
      </c>
    </row>
    <row r="850" spans="1:6">
      <c r="A850" s="4" t="s">
        <v>895</v>
      </c>
      <c r="B850" s="4" t="s">
        <v>45</v>
      </c>
      <c r="C850" s="4">
        <v>27</v>
      </c>
      <c r="D850" s="8">
        <v>3.1</v>
      </c>
      <c r="E850" s="7">
        <v>544000</v>
      </c>
      <c r="F850" s="7">
        <v>0</v>
      </c>
    </row>
    <row r="851" spans="1:6">
      <c r="A851" s="4" t="s">
        <v>896</v>
      </c>
      <c r="B851" s="4" t="s">
        <v>45</v>
      </c>
      <c r="C851" s="4">
        <v>52</v>
      </c>
      <c r="D851" s="8">
        <v>12.4</v>
      </c>
      <c r="E851" s="7">
        <v>1322000</v>
      </c>
      <c r="F851" s="7">
        <v>0</v>
      </c>
    </row>
    <row r="852" spans="1:6">
      <c r="A852" s="4" t="s">
        <v>897</v>
      </c>
      <c r="B852" s="4" t="s">
        <v>45</v>
      </c>
      <c r="C852" s="4">
        <v>39</v>
      </c>
      <c r="D852" s="8">
        <v>2.2999999999999998</v>
      </c>
      <c r="E852" s="7">
        <v>812000</v>
      </c>
      <c r="F852" s="7">
        <v>0</v>
      </c>
    </row>
    <row r="853" spans="1:6">
      <c r="A853" s="4" t="s">
        <v>898</v>
      </c>
      <c r="B853" s="4" t="s">
        <v>45</v>
      </c>
      <c r="C853" s="4">
        <v>35</v>
      </c>
      <c r="D853" s="8">
        <v>5.5</v>
      </c>
      <c r="E853" s="7">
        <v>545000</v>
      </c>
      <c r="F853" s="7">
        <v>0</v>
      </c>
    </row>
    <row r="854" spans="1:6">
      <c r="A854" s="4" t="s">
        <v>899</v>
      </c>
      <c r="B854" s="4" t="s">
        <v>45</v>
      </c>
      <c r="C854" s="4">
        <v>27</v>
      </c>
      <c r="D854" s="8">
        <v>2.2999999999999998</v>
      </c>
      <c r="E854" s="7">
        <v>537000</v>
      </c>
      <c r="F854" s="7">
        <v>0</v>
      </c>
    </row>
    <row r="855" spans="1:6">
      <c r="A855" s="4" t="s">
        <v>900</v>
      </c>
      <c r="B855" s="4" t="s">
        <v>47</v>
      </c>
      <c r="C855" s="4">
        <v>63</v>
      </c>
      <c r="D855" s="8">
        <v>27.9</v>
      </c>
      <c r="E855" s="7">
        <v>0</v>
      </c>
      <c r="F855" s="7">
        <v>393000</v>
      </c>
    </row>
    <row r="856" spans="1:6">
      <c r="A856" s="4" t="s">
        <v>901</v>
      </c>
      <c r="B856" s="4" t="s">
        <v>47</v>
      </c>
      <c r="C856" s="4">
        <v>85</v>
      </c>
      <c r="D856" s="8">
        <v>35.299999999999997</v>
      </c>
      <c r="E856" s="7">
        <v>0</v>
      </c>
      <c r="F856" s="7">
        <v>500000</v>
      </c>
    </row>
    <row r="857" spans="1:6">
      <c r="A857" s="4" t="s">
        <v>902</v>
      </c>
      <c r="B857" s="4" t="s">
        <v>45</v>
      </c>
      <c r="C857" s="4">
        <v>37</v>
      </c>
      <c r="D857" s="8">
        <v>10.3</v>
      </c>
      <c r="E857" s="7">
        <v>791000</v>
      </c>
      <c r="F857" s="7">
        <v>0</v>
      </c>
    </row>
    <row r="858" spans="1:6">
      <c r="A858" s="4" t="s">
        <v>903</v>
      </c>
      <c r="B858" s="4" t="s">
        <v>45</v>
      </c>
      <c r="C858" s="4">
        <v>55</v>
      </c>
      <c r="D858" s="8">
        <v>23.5</v>
      </c>
      <c r="E858" s="7">
        <v>1764000</v>
      </c>
      <c r="F858" s="7">
        <v>0</v>
      </c>
    </row>
    <row r="859" spans="1:6">
      <c r="A859" s="4" t="s">
        <v>904</v>
      </c>
      <c r="B859" s="4" t="s">
        <v>57</v>
      </c>
      <c r="C859" s="4">
        <v>31</v>
      </c>
      <c r="D859" s="8">
        <v>2.4</v>
      </c>
      <c r="E859" s="7">
        <v>467000</v>
      </c>
      <c r="F859" s="7">
        <v>0</v>
      </c>
    </row>
    <row r="860" spans="1:6">
      <c r="A860" s="4" t="s">
        <v>905</v>
      </c>
      <c r="B860" s="4" t="s">
        <v>45</v>
      </c>
      <c r="C860" s="4">
        <v>36</v>
      </c>
      <c r="D860" s="8">
        <v>12.8</v>
      </c>
      <c r="E860" s="7">
        <v>704000</v>
      </c>
      <c r="F860" s="7">
        <v>0</v>
      </c>
    </row>
    <row r="861" spans="1:6">
      <c r="A861" s="4" t="s">
        <v>906</v>
      </c>
      <c r="B861" s="4" t="s">
        <v>45</v>
      </c>
      <c r="C861" s="4">
        <v>46</v>
      </c>
      <c r="D861" s="8">
        <v>13.9</v>
      </c>
      <c r="E861" s="7">
        <v>1429000</v>
      </c>
      <c r="F861" s="7">
        <v>0</v>
      </c>
    </row>
    <row r="862" spans="1:6">
      <c r="A862" s="4" t="s">
        <v>907</v>
      </c>
      <c r="B862" s="4" t="s">
        <v>45</v>
      </c>
      <c r="C862" s="4">
        <v>32</v>
      </c>
      <c r="D862" s="8">
        <v>7.6</v>
      </c>
      <c r="E862" s="7">
        <v>716000</v>
      </c>
      <c r="F862" s="7">
        <v>0</v>
      </c>
    </row>
    <row r="863" spans="1:6">
      <c r="A863" s="4" t="s">
        <v>908</v>
      </c>
      <c r="B863" s="4" t="s">
        <v>45</v>
      </c>
      <c r="C863" s="4">
        <v>42</v>
      </c>
      <c r="D863" s="8">
        <v>2.2999999999999998</v>
      </c>
      <c r="E863" s="7">
        <v>952000</v>
      </c>
      <c r="F863" s="7">
        <v>0</v>
      </c>
    </row>
    <row r="864" spans="1:6">
      <c r="A864" s="4" t="s">
        <v>909</v>
      </c>
      <c r="B864" s="4" t="s">
        <v>45</v>
      </c>
      <c r="C864" s="4">
        <v>34</v>
      </c>
      <c r="D864" s="8">
        <v>2.7</v>
      </c>
      <c r="E864" s="7">
        <v>807000</v>
      </c>
      <c r="F864" s="7">
        <v>0</v>
      </c>
    </row>
    <row r="865" spans="1:6">
      <c r="A865" s="4" t="s">
        <v>910</v>
      </c>
      <c r="B865" s="4" t="s">
        <v>45</v>
      </c>
      <c r="C865" s="4">
        <v>43</v>
      </c>
      <c r="D865" s="8">
        <v>19.8</v>
      </c>
      <c r="E865" s="7">
        <v>1250000</v>
      </c>
      <c r="F865" s="7">
        <v>0</v>
      </c>
    </row>
    <row r="866" spans="1:6">
      <c r="A866" s="4" t="s">
        <v>911</v>
      </c>
      <c r="B866" s="4" t="s">
        <v>45</v>
      </c>
      <c r="C866" s="4">
        <v>56</v>
      </c>
      <c r="D866" s="8">
        <v>8.3000000000000007</v>
      </c>
      <c r="E866" s="7">
        <v>1558000</v>
      </c>
      <c r="F866" s="7">
        <v>0</v>
      </c>
    </row>
    <row r="867" spans="1:6">
      <c r="A867" s="4" t="s">
        <v>912</v>
      </c>
      <c r="B867" s="4" t="s">
        <v>45</v>
      </c>
      <c r="C867" s="4">
        <v>39</v>
      </c>
      <c r="D867" s="8">
        <v>8.5</v>
      </c>
      <c r="E867" s="7">
        <v>950000</v>
      </c>
      <c r="F867" s="7">
        <v>0</v>
      </c>
    </row>
    <row r="868" spans="1:6">
      <c r="A868" s="4" t="s">
        <v>913</v>
      </c>
      <c r="B868" s="4" t="s">
        <v>47</v>
      </c>
      <c r="C868" s="4">
        <v>75</v>
      </c>
      <c r="D868" s="8">
        <v>29.1</v>
      </c>
      <c r="E868" s="7">
        <v>0</v>
      </c>
      <c r="F868" s="7">
        <v>497000</v>
      </c>
    </row>
    <row r="869" spans="1:6">
      <c r="A869" s="4" t="s">
        <v>914</v>
      </c>
      <c r="B869" s="4" t="s">
        <v>47</v>
      </c>
      <c r="C869" s="4">
        <v>72</v>
      </c>
      <c r="D869" s="8">
        <v>31.9</v>
      </c>
      <c r="E869" s="7">
        <v>0</v>
      </c>
      <c r="F869" s="7">
        <v>211000</v>
      </c>
    </row>
    <row r="870" spans="1:6">
      <c r="A870" s="4" t="s">
        <v>915</v>
      </c>
      <c r="B870" s="4" t="s">
        <v>45</v>
      </c>
      <c r="C870" s="4">
        <v>26</v>
      </c>
      <c r="D870" s="8">
        <v>1</v>
      </c>
      <c r="E870" s="7">
        <v>465000</v>
      </c>
      <c r="F870" s="7">
        <v>0</v>
      </c>
    </row>
    <row r="871" spans="1:6">
      <c r="A871" s="4" t="s">
        <v>916</v>
      </c>
      <c r="B871" s="4" t="s">
        <v>45</v>
      </c>
      <c r="C871" s="4">
        <v>57</v>
      </c>
      <c r="D871" s="8">
        <v>23.7</v>
      </c>
      <c r="E871" s="7">
        <v>1416000</v>
      </c>
      <c r="F871" s="7">
        <v>0</v>
      </c>
    </row>
    <row r="872" spans="1:6">
      <c r="A872" s="4" t="s">
        <v>917</v>
      </c>
      <c r="B872" s="4" t="s">
        <v>47</v>
      </c>
      <c r="C872" s="4">
        <v>84</v>
      </c>
      <c r="D872" s="8">
        <v>12.6</v>
      </c>
      <c r="E872" s="7">
        <v>0</v>
      </c>
      <c r="F872" s="7">
        <v>673000</v>
      </c>
    </row>
    <row r="873" spans="1:6">
      <c r="A873" s="4" t="s">
        <v>918</v>
      </c>
      <c r="B873" s="4" t="s">
        <v>45</v>
      </c>
      <c r="C873" s="4">
        <v>35</v>
      </c>
      <c r="D873" s="8">
        <v>3</v>
      </c>
      <c r="E873" s="7">
        <v>526000</v>
      </c>
      <c r="F873" s="7">
        <v>0</v>
      </c>
    </row>
    <row r="874" spans="1:6">
      <c r="A874" s="4" t="s">
        <v>919</v>
      </c>
      <c r="B874" s="4" t="s">
        <v>47</v>
      </c>
      <c r="C874" s="4">
        <v>86</v>
      </c>
      <c r="D874" s="8">
        <v>20.399999999999999</v>
      </c>
      <c r="E874" s="7">
        <v>0</v>
      </c>
      <c r="F874" s="7">
        <v>659000</v>
      </c>
    </row>
    <row r="875" spans="1:6">
      <c r="A875" s="4" t="s">
        <v>920</v>
      </c>
      <c r="B875" s="4" t="s">
        <v>57</v>
      </c>
      <c r="C875" s="4">
        <v>31</v>
      </c>
      <c r="D875" s="8">
        <v>5</v>
      </c>
      <c r="E875" s="7">
        <v>536000</v>
      </c>
      <c r="F875" s="7">
        <v>0</v>
      </c>
    </row>
    <row r="876" spans="1:6">
      <c r="A876" s="4" t="s">
        <v>921</v>
      </c>
      <c r="B876" s="4" t="s">
        <v>47</v>
      </c>
      <c r="C876" s="4">
        <v>63</v>
      </c>
      <c r="D876" s="8">
        <v>30.2</v>
      </c>
      <c r="E876" s="7">
        <v>0</v>
      </c>
      <c r="F876" s="7">
        <v>144000</v>
      </c>
    </row>
    <row r="877" spans="1:6">
      <c r="A877" s="4" t="s">
        <v>922</v>
      </c>
      <c r="B877" s="4" t="s">
        <v>45</v>
      </c>
      <c r="C877" s="4">
        <v>53</v>
      </c>
      <c r="D877" s="8">
        <v>28.1</v>
      </c>
      <c r="E877" s="7">
        <v>1154000</v>
      </c>
      <c r="F877" s="7">
        <v>0</v>
      </c>
    </row>
    <row r="878" spans="1:6">
      <c r="A878" s="4" t="s">
        <v>923</v>
      </c>
      <c r="B878" s="4" t="s">
        <v>45</v>
      </c>
      <c r="C878" s="4">
        <v>50</v>
      </c>
      <c r="D878" s="8">
        <v>15.1</v>
      </c>
      <c r="E878" s="7">
        <v>1424000</v>
      </c>
      <c r="F878" s="7">
        <v>0</v>
      </c>
    </row>
    <row r="879" spans="1:6">
      <c r="A879" s="4" t="s">
        <v>924</v>
      </c>
      <c r="B879" s="4" t="s">
        <v>57</v>
      </c>
      <c r="C879" s="4">
        <v>53</v>
      </c>
      <c r="D879" s="8">
        <v>8.1999999999999993</v>
      </c>
      <c r="E879" s="7">
        <v>1093000</v>
      </c>
      <c r="F879" s="7">
        <v>0</v>
      </c>
    </row>
    <row r="880" spans="1:6">
      <c r="A880" s="4" t="s">
        <v>925</v>
      </c>
      <c r="B880" s="4" t="s">
        <v>45</v>
      </c>
      <c r="C880" s="4">
        <v>28</v>
      </c>
      <c r="D880" s="8">
        <v>4.2</v>
      </c>
      <c r="E880" s="7">
        <v>623000</v>
      </c>
      <c r="F880" s="7">
        <v>0</v>
      </c>
    </row>
    <row r="881" spans="1:6">
      <c r="A881" s="4" t="s">
        <v>926</v>
      </c>
      <c r="B881" s="4" t="s">
        <v>45</v>
      </c>
      <c r="C881" s="4">
        <v>45</v>
      </c>
      <c r="D881" s="8">
        <v>5.8</v>
      </c>
      <c r="E881" s="7">
        <v>855000</v>
      </c>
      <c r="F881" s="7">
        <v>0</v>
      </c>
    </row>
    <row r="882" spans="1:6">
      <c r="A882" s="4" t="s">
        <v>927</v>
      </c>
      <c r="B882" s="4" t="s">
        <v>47</v>
      </c>
      <c r="C882" s="4">
        <v>84</v>
      </c>
      <c r="D882" s="8">
        <v>12.4</v>
      </c>
      <c r="E882" s="7">
        <v>0</v>
      </c>
      <c r="F882" s="7">
        <v>658000</v>
      </c>
    </row>
    <row r="883" spans="1:6">
      <c r="A883" s="4" t="s">
        <v>928</v>
      </c>
      <c r="B883" s="4" t="s">
        <v>45</v>
      </c>
      <c r="C883" s="4">
        <v>36</v>
      </c>
      <c r="D883" s="8">
        <v>10.5</v>
      </c>
      <c r="E883" s="7">
        <v>619000</v>
      </c>
      <c r="F883" s="7">
        <v>0</v>
      </c>
    </row>
    <row r="884" spans="1:6">
      <c r="A884" s="4" t="s">
        <v>929</v>
      </c>
      <c r="B884" s="4" t="s">
        <v>45</v>
      </c>
      <c r="C884" s="4">
        <v>50</v>
      </c>
      <c r="D884" s="8">
        <v>21.2</v>
      </c>
      <c r="E884" s="7">
        <v>1345000</v>
      </c>
      <c r="F884" s="7">
        <v>0</v>
      </c>
    </row>
    <row r="885" spans="1:6">
      <c r="A885" s="4" t="s">
        <v>930</v>
      </c>
      <c r="B885" s="4" t="s">
        <v>45</v>
      </c>
      <c r="C885" s="4">
        <v>34</v>
      </c>
      <c r="D885" s="8">
        <v>5.7</v>
      </c>
      <c r="E885" s="7">
        <v>546000</v>
      </c>
      <c r="F885" s="7">
        <v>0</v>
      </c>
    </row>
    <row r="886" spans="1:6">
      <c r="A886" s="4" t="s">
        <v>931</v>
      </c>
      <c r="B886" s="4" t="s">
        <v>57</v>
      </c>
      <c r="C886" s="4">
        <v>34</v>
      </c>
      <c r="D886" s="8">
        <v>3</v>
      </c>
      <c r="E886" s="7">
        <v>425000</v>
      </c>
      <c r="F886" s="7">
        <v>0</v>
      </c>
    </row>
    <row r="887" spans="1:6">
      <c r="A887" s="4" t="s">
        <v>932</v>
      </c>
      <c r="B887" s="4" t="s">
        <v>45</v>
      </c>
      <c r="C887" s="4">
        <v>45</v>
      </c>
      <c r="D887" s="8">
        <v>18.100000000000001</v>
      </c>
      <c r="E887" s="7">
        <v>1353000</v>
      </c>
      <c r="F887" s="7">
        <v>0</v>
      </c>
    </row>
    <row r="888" spans="1:6">
      <c r="A888" s="4" t="s">
        <v>933</v>
      </c>
      <c r="B888" s="4" t="s">
        <v>57</v>
      </c>
      <c r="C888" s="4">
        <v>59</v>
      </c>
      <c r="D888" s="8">
        <v>20.8</v>
      </c>
      <c r="E888" s="7">
        <v>1560000</v>
      </c>
      <c r="F888" s="7">
        <v>0</v>
      </c>
    </row>
    <row r="889" spans="1:6">
      <c r="A889" s="4" t="s">
        <v>934</v>
      </c>
      <c r="B889" s="4" t="s">
        <v>45</v>
      </c>
      <c r="C889" s="4">
        <v>50</v>
      </c>
      <c r="D889" s="8">
        <v>16.100000000000001</v>
      </c>
      <c r="E889" s="7">
        <v>1407000</v>
      </c>
      <c r="F889" s="7">
        <v>0</v>
      </c>
    </row>
    <row r="890" spans="1:6">
      <c r="A890" s="4" t="s">
        <v>935</v>
      </c>
      <c r="B890" s="4" t="s">
        <v>45</v>
      </c>
      <c r="C890" s="4">
        <v>57</v>
      </c>
      <c r="D890" s="8">
        <v>15.2</v>
      </c>
      <c r="E890" s="7">
        <v>2266000</v>
      </c>
      <c r="F890" s="7">
        <v>0</v>
      </c>
    </row>
    <row r="891" spans="1:6">
      <c r="A891" s="4" t="s">
        <v>936</v>
      </c>
      <c r="B891" s="4" t="s">
        <v>47</v>
      </c>
      <c r="C891" s="4">
        <v>86</v>
      </c>
      <c r="D891" s="8">
        <v>34.799999999999997</v>
      </c>
      <c r="E891" s="7">
        <v>0</v>
      </c>
      <c r="F891" s="7">
        <v>482000</v>
      </c>
    </row>
    <row r="892" spans="1:6">
      <c r="A892" s="4" t="s">
        <v>937</v>
      </c>
      <c r="B892" s="4" t="s">
        <v>47</v>
      </c>
      <c r="C892" s="4">
        <v>77</v>
      </c>
      <c r="D892" s="8">
        <v>23.7</v>
      </c>
      <c r="E892" s="7">
        <v>0</v>
      </c>
      <c r="F892" s="7">
        <v>312000</v>
      </c>
    </row>
    <row r="893" spans="1:6">
      <c r="A893" s="4" t="s">
        <v>938</v>
      </c>
      <c r="B893" s="4" t="s">
        <v>45</v>
      </c>
      <c r="C893" s="4">
        <v>42</v>
      </c>
      <c r="D893" s="8">
        <v>4.5999999999999996</v>
      </c>
      <c r="E893" s="7">
        <v>1033000</v>
      </c>
      <c r="F893" s="7">
        <v>0</v>
      </c>
    </row>
    <row r="894" spans="1:6">
      <c r="A894" s="4" t="s">
        <v>939</v>
      </c>
      <c r="B894" s="4" t="s">
        <v>45</v>
      </c>
      <c r="C894" s="4">
        <v>54</v>
      </c>
      <c r="D894" s="8">
        <v>19.5</v>
      </c>
      <c r="E894" s="7">
        <v>1260000</v>
      </c>
      <c r="F894" s="7">
        <v>0</v>
      </c>
    </row>
    <row r="895" spans="1:6">
      <c r="A895" s="4" t="s">
        <v>940</v>
      </c>
      <c r="B895" s="4" t="s">
        <v>57</v>
      </c>
      <c r="C895" s="4">
        <v>37</v>
      </c>
      <c r="D895" s="8">
        <v>8</v>
      </c>
      <c r="E895" s="7">
        <v>595000</v>
      </c>
      <c r="F895" s="7">
        <v>0</v>
      </c>
    </row>
    <row r="896" spans="1:6">
      <c r="A896" s="4" t="s">
        <v>941</v>
      </c>
      <c r="B896" s="4" t="s">
        <v>45</v>
      </c>
      <c r="C896" s="4">
        <v>47</v>
      </c>
      <c r="D896" s="8">
        <v>12.2</v>
      </c>
      <c r="E896" s="7">
        <v>1116000</v>
      </c>
      <c r="F896" s="7">
        <v>0</v>
      </c>
    </row>
    <row r="897" spans="1:6">
      <c r="A897" s="4" t="s">
        <v>942</v>
      </c>
      <c r="B897" s="4" t="s">
        <v>45</v>
      </c>
      <c r="C897" s="4">
        <v>28</v>
      </c>
      <c r="D897" s="8">
        <v>1.5</v>
      </c>
      <c r="E897" s="7">
        <v>586000</v>
      </c>
      <c r="F897" s="7">
        <v>0</v>
      </c>
    </row>
    <row r="898" spans="1:6">
      <c r="A898" s="4" t="s">
        <v>943</v>
      </c>
      <c r="B898" s="4" t="s">
        <v>45</v>
      </c>
      <c r="C898" s="4">
        <v>44</v>
      </c>
      <c r="D898" s="8">
        <v>7.3</v>
      </c>
      <c r="E898" s="7">
        <v>1187000</v>
      </c>
      <c r="F898" s="7">
        <v>0</v>
      </c>
    </row>
    <row r="899" spans="1:6">
      <c r="A899" s="4" t="s">
        <v>944</v>
      </c>
      <c r="B899" s="4" t="s">
        <v>45</v>
      </c>
      <c r="C899" s="4">
        <v>29</v>
      </c>
      <c r="D899" s="8">
        <v>2.9</v>
      </c>
      <c r="E899" s="7">
        <v>482000</v>
      </c>
      <c r="F899" s="7">
        <v>0</v>
      </c>
    </row>
    <row r="900" spans="1:6">
      <c r="A900" s="4" t="s">
        <v>945</v>
      </c>
      <c r="B900" s="4" t="s">
        <v>45</v>
      </c>
      <c r="C900" s="4">
        <v>59</v>
      </c>
      <c r="D900" s="8">
        <v>11.1</v>
      </c>
      <c r="E900" s="7">
        <v>2092000</v>
      </c>
      <c r="F900" s="7">
        <v>0</v>
      </c>
    </row>
    <row r="901" spans="1:6">
      <c r="A901" s="4" t="s">
        <v>946</v>
      </c>
      <c r="B901" s="4" t="s">
        <v>45</v>
      </c>
      <c r="C901" s="4">
        <v>40</v>
      </c>
      <c r="D901" s="8">
        <v>12.5</v>
      </c>
      <c r="E901" s="7">
        <v>939000</v>
      </c>
      <c r="F901" s="7">
        <v>0</v>
      </c>
    </row>
    <row r="902" spans="1:6">
      <c r="A902" s="4" t="s">
        <v>947</v>
      </c>
      <c r="B902" s="4" t="s">
        <v>45</v>
      </c>
      <c r="C902" s="4">
        <v>32</v>
      </c>
      <c r="D902" s="8">
        <v>4.9000000000000004</v>
      </c>
      <c r="E902" s="7">
        <v>636000</v>
      </c>
      <c r="F902" s="7">
        <v>0</v>
      </c>
    </row>
    <row r="903" spans="1:6">
      <c r="A903" s="4" t="s">
        <v>948</v>
      </c>
      <c r="B903" s="4" t="s">
        <v>45</v>
      </c>
      <c r="C903" s="4">
        <v>29</v>
      </c>
      <c r="D903" s="8">
        <v>2.9</v>
      </c>
      <c r="E903" s="7">
        <v>495000</v>
      </c>
      <c r="F903" s="7">
        <v>0</v>
      </c>
    </row>
    <row r="904" spans="1:6">
      <c r="A904" s="4" t="s">
        <v>949</v>
      </c>
      <c r="B904" s="4" t="s">
        <v>45</v>
      </c>
      <c r="C904" s="4">
        <v>46</v>
      </c>
      <c r="D904" s="8">
        <v>12.4</v>
      </c>
      <c r="E904" s="7">
        <v>964000</v>
      </c>
      <c r="F904" s="7">
        <v>0</v>
      </c>
    </row>
    <row r="905" spans="1:6">
      <c r="A905" s="4" t="s">
        <v>950</v>
      </c>
      <c r="B905" s="4" t="s">
        <v>45</v>
      </c>
      <c r="C905" s="4">
        <v>24</v>
      </c>
      <c r="D905" s="8">
        <v>1</v>
      </c>
      <c r="E905" s="7">
        <v>506000</v>
      </c>
      <c r="F905" s="7">
        <v>0</v>
      </c>
    </row>
    <row r="906" spans="1:6">
      <c r="A906" s="4" t="s">
        <v>951</v>
      </c>
      <c r="B906" s="4" t="s">
        <v>45</v>
      </c>
      <c r="C906" s="4">
        <v>42</v>
      </c>
      <c r="D906" s="8">
        <v>15.7</v>
      </c>
      <c r="E906" s="7">
        <v>1050000</v>
      </c>
      <c r="F906" s="7">
        <v>0</v>
      </c>
    </row>
    <row r="907" spans="1:6">
      <c r="A907" s="4" t="s">
        <v>952</v>
      </c>
      <c r="B907" s="4" t="s">
        <v>45</v>
      </c>
      <c r="C907" s="4">
        <v>54</v>
      </c>
      <c r="D907" s="8">
        <v>16.8</v>
      </c>
      <c r="E907" s="7">
        <v>1851000</v>
      </c>
      <c r="F907" s="7">
        <v>0</v>
      </c>
    </row>
    <row r="908" spans="1:6">
      <c r="A908" s="4" t="s">
        <v>953</v>
      </c>
      <c r="B908" s="4" t="s">
        <v>45</v>
      </c>
      <c r="C908" s="4">
        <v>50</v>
      </c>
      <c r="D908" s="8">
        <v>15.7</v>
      </c>
      <c r="E908" s="7">
        <v>1332000</v>
      </c>
      <c r="F908" s="7">
        <v>0</v>
      </c>
    </row>
    <row r="909" spans="1:6">
      <c r="A909" s="4" t="s">
        <v>954</v>
      </c>
      <c r="B909" s="4" t="s">
        <v>45</v>
      </c>
      <c r="C909" s="4">
        <v>43</v>
      </c>
      <c r="D909" s="8">
        <v>21.4</v>
      </c>
      <c r="E909" s="7">
        <v>989000</v>
      </c>
      <c r="F909" s="7">
        <v>0</v>
      </c>
    </row>
    <row r="910" spans="1:6">
      <c r="A910" s="4" t="s">
        <v>955</v>
      </c>
      <c r="B910" s="4" t="s">
        <v>57</v>
      </c>
      <c r="C910" s="4">
        <v>50</v>
      </c>
      <c r="D910" s="8">
        <v>15.2</v>
      </c>
      <c r="E910" s="7">
        <v>833000</v>
      </c>
      <c r="F910" s="7">
        <v>0</v>
      </c>
    </row>
    <row r="911" spans="1:6">
      <c r="A911" s="4" t="s">
        <v>956</v>
      </c>
      <c r="B911" s="4" t="s">
        <v>47</v>
      </c>
      <c r="C911" s="4">
        <v>84</v>
      </c>
      <c r="D911" s="8">
        <v>27.8</v>
      </c>
      <c r="E911" s="7">
        <v>0</v>
      </c>
      <c r="F911" s="7">
        <v>363000</v>
      </c>
    </row>
    <row r="912" spans="1:6">
      <c r="A912" s="4" t="s">
        <v>957</v>
      </c>
      <c r="B912" s="4" t="s">
        <v>45</v>
      </c>
      <c r="C912" s="4">
        <v>30</v>
      </c>
      <c r="D912" s="8">
        <v>1.5</v>
      </c>
      <c r="E912" s="7">
        <v>659000</v>
      </c>
      <c r="F912" s="7">
        <v>0</v>
      </c>
    </row>
    <row r="913" spans="1:6">
      <c r="A913" s="4" t="s">
        <v>958</v>
      </c>
      <c r="B913" s="4" t="s">
        <v>45</v>
      </c>
      <c r="C913" s="4">
        <v>44</v>
      </c>
      <c r="D913" s="8">
        <v>17.899999999999999</v>
      </c>
      <c r="E913" s="7">
        <v>978000</v>
      </c>
      <c r="F913" s="7">
        <v>0</v>
      </c>
    </row>
    <row r="914" spans="1:6">
      <c r="A914" s="4" t="s">
        <v>959</v>
      </c>
      <c r="B914" s="4" t="s">
        <v>57</v>
      </c>
      <c r="C914" s="4">
        <v>38</v>
      </c>
      <c r="D914" s="8">
        <v>6.9</v>
      </c>
      <c r="E914" s="7">
        <v>481000</v>
      </c>
      <c r="F914" s="7">
        <v>0</v>
      </c>
    </row>
    <row r="915" spans="1:6">
      <c r="A915" s="4" t="s">
        <v>960</v>
      </c>
      <c r="B915" s="4" t="s">
        <v>45</v>
      </c>
      <c r="C915" s="4">
        <v>48</v>
      </c>
      <c r="D915" s="8">
        <v>6.5</v>
      </c>
      <c r="E915" s="7">
        <v>1536000</v>
      </c>
      <c r="F915" s="7">
        <v>0</v>
      </c>
    </row>
    <row r="916" spans="1:6">
      <c r="A916" s="4" t="s">
        <v>961</v>
      </c>
      <c r="B916" s="4" t="s">
        <v>45</v>
      </c>
      <c r="C916" s="4">
        <v>53</v>
      </c>
      <c r="D916" s="8">
        <v>11</v>
      </c>
      <c r="E916" s="7">
        <v>1814000</v>
      </c>
      <c r="F916" s="7">
        <v>0</v>
      </c>
    </row>
    <row r="917" spans="1:6">
      <c r="A917" s="4" t="s">
        <v>962</v>
      </c>
      <c r="B917" s="4" t="s">
        <v>47</v>
      </c>
      <c r="C917" s="4">
        <v>63</v>
      </c>
      <c r="D917" s="8">
        <v>33.700000000000003</v>
      </c>
      <c r="E917" s="7">
        <v>0</v>
      </c>
      <c r="F917" s="7">
        <v>185000</v>
      </c>
    </row>
    <row r="918" spans="1:6">
      <c r="A918" s="4" t="s">
        <v>963</v>
      </c>
      <c r="B918" s="4" t="s">
        <v>57</v>
      </c>
      <c r="C918" s="4">
        <v>50</v>
      </c>
      <c r="D918" s="8">
        <v>4.9000000000000004</v>
      </c>
      <c r="E918" s="7">
        <v>953000</v>
      </c>
      <c r="F918" s="7">
        <v>0</v>
      </c>
    </row>
    <row r="919" spans="1:6">
      <c r="A919" s="4" t="s">
        <v>964</v>
      </c>
      <c r="B919" s="4" t="s">
        <v>57</v>
      </c>
      <c r="C919" s="4">
        <v>51</v>
      </c>
      <c r="D919" s="8">
        <v>24.1</v>
      </c>
      <c r="E919" s="7">
        <v>816000</v>
      </c>
      <c r="F919" s="7">
        <v>0</v>
      </c>
    </row>
    <row r="920" spans="1:6">
      <c r="A920" s="4" t="s">
        <v>965</v>
      </c>
      <c r="B920" s="4" t="s">
        <v>45</v>
      </c>
      <c r="C920" s="4">
        <v>59</v>
      </c>
      <c r="D920" s="8">
        <v>11</v>
      </c>
      <c r="E920" s="7">
        <v>1989000</v>
      </c>
      <c r="F920" s="7">
        <v>0</v>
      </c>
    </row>
    <row r="921" spans="1:6">
      <c r="A921" s="4" t="s">
        <v>966</v>
      </c>
      <c r="B921" s="4" t="s">
        <v>57</v>
      </c>
      <c r="C921" s="4">
        <v>45</v>
      </c>
      <c r="D921" s="8">
        <v>7</v>
      </c>
      <c r="E921" s="7">
        <v>662000</v>
      </c>
      <c r="F921" s="7">
        <v>0</v>
      </c>
    </row>
    <row r="922" spans="1:6">
      <c r="A922" s="4" t="s">
        <v>967</v>
      </c>
      <c r="B922" s="4" t="s">
        <v>45</v>
      </c>
      <c r="C922" s="4">
        <v>44</v>
      </c>
      <c r="D922" s="8">
        <v>18.7</v>
      </c>
      <c r="E922" s="7">
        <v>1108000</v>
      </c>
      <c r="F922" s="7">
        <v>0</v>
      </c>
    </row>
    <row r="923" spans="1:6">
      <c r="A923" s="4" t="s">
        <v>968</v>
      </c>
      <c r="B923" s="4" t="s">
        <v>45</v>
      </c>
      <c r="C923" s="4">
        <v>38</v>
      </c>
      <c r="D923" s="8">
        <v>12.4</v>
      </c>
      <c r="E923" s="7">
        <v>605000</v>
      </c>
      <c r="F923" s="7">
        <v>0</v>
      </c>
    </row>
    <row r="924" spans="1:6">
      <c r="A924" s="4" t="s">
        <v>969</v>
      </c>
      <c r="B924" s="4" t="s">
        <v>45</v>
      </c>
      <c r="C924" s="4">
        <v>29</v>
      </c>
      <c r="D924" s="8">
        <v>1.9</v>
      </c>
      <c r="E924" s="7">
        <v>519000</v>
      </c>
      <c r="F924" s="7">
        <v>0</v>
      </c>
    </row>
    <row r="925" spans="1:6">
      <c r="A925" s="4" t="s">
        <v>970</v>
      </c>
      <c r="B925" s="4" t="s">
        <v>45</v>
      </c>
      <c r="C925" s="4">
        <v>31</v>
      </c>
      <c r="D925" s="8">
        <v>2.7</v>
      </c>
      <c r="E925" s="7">
        <v>615000</v>
      </c>
      <c r="F925" s="7">
        <v>0</v>
      </c>
    </row>
    <row r="926" spans="1:6">
      <c r="A926" s="4" t="s">
        <v>971</v>
      </c>
      <c r="B926" s="4" t="s">
        <v>45</v>
      </c>
      <c r="C926" s="4">
        <v>37</v>
      </c>
      <c r="D926" s="8">
        <v>7.5</v>
      </c>
      <c r="E926" s="7">
        <v>967000</v>
      </c>
      <c r="F926" s="7">
        <v>0</v>
      </c>
    </row>
    <row r="927" spans="1:6">
      <c r="A927" s="4" t="s">
        <v>972</v>
      </c>
      <c r="B927" s="4" t="s">
        <v>45</v>
      </c>
      <c r="C927" s="4">
        <v>37</v>
      </c>
      <c r="D927" s="8">
        <v>1.7</v>
      </c>
      <c r="E927" s="7">
        <v>878000</v>
      </c>
      <c r="F927" s="7">
        <v>0</v>
      </c>
    </row>
    <row r="928" spans="1:6">
      <c r="A928" s="4" t="s">
        <v>973</v>
      </c>
      <c r="B928" s="4" t="s">
        <v>45</v>
      </c>
      <c r="C928" s="4">
        <v>22</v>
      </c>
      <c r="D928" s="8">
        <v>1</v>
      </c>
      <c r="E928" s="7">
        <v>503000</v>
      </c>
      <c r="F928" s="7">
        <v>0</v>
      </c>
    </row>
    <row r="929" spans="1:6">
      <c r="A929" s="4" t="s">
        <v>974</v>
      </c>
      <c r="B929" s="4" t="s">
        <v>47</v>
      </c>
      <c r="C929" s="4">
        <v>82</v>
      </c>
      <c r="D929" s="8">
        <v>22.3</v>
      </c>
      <c r="E929" s="7">
        <v>0</v>
      </c>
      <c r="F929" s="7">
        <v>334000</v>
      </c>
    </row>
    <row r="930" spans="1:6">
      <c r="A930" s="4" t="s">
        <v>975</v>
      </c>
      <c r="B930" s="4" t="s">
        <v>47</v>
      </c>
      <c r="C930" s="4">
        <v>87</v>
      </c>
      <c r="D930" s="8">
        <v>14.4</v>
      </c>
      <c r="E930" s="7">
        <v>0</v>
      </c>
      <c r="F930" s="7">
        <v>383000</v>
      </c>
    </row>
    <row r="931" spans="1:6">
      <c r="A931" s="4" t="s">
        <v>976</v>
      </c>
      <c r="B931" s="4" t="s">
        <v>45</v>
      </c>
      <c r="C931" s="4">
        <v>27</v>
      </c>
      <c r="D931" s="8">
        <v>1.5</v>
      </c>
      <c r="E931" s="7">
        <v>429000</v>
      </c>
      <c r="F931" s="7">
        <v>0</v>
      </c>
    </row>
    <row r="932" spans="1:6">
      <c r="A932" s="4" t="s">
        <v>977</v>
      </c>
      <c r="B932" s="4" t="s">
        <v>47</v>
      </c>
      <c r="C932" s="4">
        <v>61</v>
      </c>
      <c r="D932" s="8">
        <v>14.2</v>
      </c>
      <c r="E932" s="7">
        <v>0</v>
      </c>
      <c r="F932" s="7">
        <v>257000</v>
      </c>
    </row>
    <row r="933" spans="1:6">
      <c r="A933" s="4" t="s">
        <v>978</v>
      </c>
      <c r="B933" s="4" t="s">
        <v>57</v>
      </c>
      <c r="C933" s="4">
        <v>33</v>
      </c>
      <c r="D933" s="8">
        <v>5.8</v>
      </c>
      <c r="E933" s="7">
        <v>522000</v>
      </c>
      <c r="F933" s="7">
        <v>0</v>
      </c>
    </row>
    <row r="934" spans="1:6">
      <c r="A934" s="4" t="s">
        <v>979</v>
      </c>
      <c r="B934" s="4" t="s">
        <v>45</v>
      </c>
      <c r="C934" s="4">
        <v>31</v>
      </c>
      <c r="D934" s="8">
        <v>10</v>
      </c>
      <c r="E934" s="7">
        <v>553000</v>
      </c>
      <c r="F934" s="7">
        <v>0</v>
      </c>
    </row>
    <row r="935" spans="1:6">
      <c r="A935" s="4" t="s">
        <v>980</v>
      </c>
      <c r="B935" s="4" t="s">
        <v>45</v>
      </c>
      <c r="C935" s="4">
        <v>49</v>
      </c>
      <c r="D935" s="8">
        <v>16.100000000000001</v>
      </c>
      <c r="E935" s="7">
        <v>1587000</v>
      </c>
      <c r="F935" s="7">
        <v>0</v>
      </c>
    </row>
    <row r="936" spans="1:6">
      <c r="A936" s="4" t="s">
        <v>981</v>
      </c>
      <c r="B936" s="4" t="s">
        <v>45</v>
      </c>
      <c r="C936" s="4">
        <v>57</v>
      </c>
      <c r="D936" s="8">
        <v>32.200000000000003</v>
      </c>
      <c r="E936" s="7">
        <v>2332000</v>
      </c>
      <c r="F936" s="7">
        <v>0</v>
      </c>
    </row>
    <row r="937" spans="1:6">
      <c r="A937" s="4" t="s">
        <v>982</v>
      </c>
      <c r="B937" s="4" t="s">
        <v>45</v>
      </c>
      <c r="C937" s="4">
        <v>51</v>
      </c>
      <c r="D937" s="8">
        <v>23.2</v>
      </c>
      <c r="E937" s="7">
        <v>1180000</v>
      </c>
      <c r="F937" s="7">
        <v>0</v>
      </c>
    </row>
    <row r="938" spans="1:6">
      <c r="A938" s="4" t="s">
        <v>983</v>
      </c>
      <c r="B938" s="4" t="s">
        <v>45</v>
      </c>
      <c r="C938" s="4">
        <v>24</v>
      </c>
      <c r="D938" s="8">
        <v>1.8</v>
      </c>
      <c r="E938" s="7">
        <v>397000</v>
      </c>
      <c r="F938" s="7">
        <v>0</v>
      </c>
    </row>
    <row r="939" spans="1:6">
      <c r="A939" s="4" t="s">
        <v>984</v>
      </c>
      <c r="B939" s="4" t="s">
        <v>45</v>
      </c>
      <c r="C939" s="4">
        <v>52</v>
      </c>
      <c r="D939" s="8">
        <v>30</v>
      </c>
      <c r="E939" s="7">
        <v>1520000</v>
      </c>
      <c r="F939" s="7">
        <v>0</v>
      </c>
    </row>
    <row r="940" spans="1:6">
      <c r="A940" s="4" t="s">
        <v>985</v>
      </c>
      <c r="B940" s="4" t="s">
        <v>45</v>
      </c>
      <c r="C940" s="4">
        <v>44</v>
      </c>
      <c r="D940" s="8">
        <v>17.7</v>
      </c>
      <c r="E940" s="7">
        <v>1190000</v>
      </c>
      <c r="F940" s="7">
        <v>0</v>
      </c>
    </row>
    <row r="941" spans="1:6">
      <c r="A941" s="4" t="s">
        <v>986</v>
      </c>
      <c r="B941" s="4" t="s">
        <v>45</v>
      </c>
      <c r="C941" s="4">
        <v>55</v>
      </c>
      <c r="D941" s="8">
        <v>24.9</v>
      </c>
      <c r="E941" s="7">
        <v>2038000</v>
      </c>
      <c r="F941" s="7">
        <v>0</v>
      </c>
    </row>
    <row r="942" spans="1:6">
      <c r="A942" s="4" t="s">
        <v>987</v>
      </c>
      <c r="B942" s="4" t="s">
        <v>47</v>
      </c>
      <c r="C942" s="4">
        <v>68</v>
      </c>
      <c r="D942" s="8">
        <v>25.1</v>
      </c>
      <c r="E942" s="7">
        <v>0</v>
      </c>
      <c r="F942" s="7">
        <v>321000</v>
      </c>
    </row>
    <row r="943" spans="1:6">
      <c r="A943" s="4" t="s">
        <v>988</v>
      </c>
      <c r="B943" s="4" t="s">
        <v>47</v>
      </c>
      <c r="C943" s="4">
        <v>88</v>
      </c>
      <c r="D943" s="8">
        <v>39.200000000000003</v>
      </c>
      <c r="E943" s="7">
        <v>0</v>
      </c>
      <c r="F943" s="7">
        <v>590000</v>
      </c>
    </row>
    <row r="944" spans="1:6">
      <c r="A944" s="4" t="s">
        <v>989</v>
      </c>
      <c r="B944" s="4" t="s">
        <v>45</v>
      </c>
      <c r="C944" s="4">
        <v>43</v>
      </c>
      <c r="D944" s="8">
        <v>16.100000000000001</v>
      </c>
      <c r="E944" s="7">
        <v>834000</v>
      </c>
      <c r="F944" s="7">
        <v>0</v>
      </c>
    </row>
    <row r="945" spans="1:6">
      <c r="A945" s="4" t="s">
        <v>990</v>
      </c>
      <c r="B945" s="4" t="s">
        <v>45</v>
      </c>
      <c r="C945" s="4">
        <v>35</v>
      </c>
      <c r="D945" s="8">
        <v>8.8000000000000007</v>
      </c>
      <c r="E945" s="7">
        <v>810000</v>
      </c>
      <c r="F945" s="7">
        <v>0</v>
      </c>
    </row>
    <row r="946" spans="1:6">
      <c r="A946" s="4" t="s">
        <v>991</v>
      </c>
      <c r="B946" s="4" t="s">
        <v>57</v>
      </c>
      <c r="C946" s="4">
        <v>36</v>
      </c>
      <c r="D946" s="8">
        <v>3.5</v>
      </c>
      <c r="E946" s="7">
        <v>598000</v>
      </c>
      <c r="F946" s="7">
        <v>0</v>
      </c>
    </row>
    <row r="947" spans="1:6">
      <c r="A947" s="4" t="s">
        <v>992</v>
      </c>
      <c r="B947" s="4" t="s">
        <v>57</v>
      </c>
      <c r="C947" s="4">
        <v>55</v>
      </c>
      <c r="D947" s="8">
        <v>3.6</v>
      </c>
      <c r="E947" s="7">
        <v>1176000</v>
      </c>
      <c r="F947" s="7">
        <v>0</v>
      </c>
    </row>
    <row r="948" spans="1:6">
      <c r="A948" s="4" t="s">
        <v>993</v>
      </c>
      <c r="B948" s="4" t="s">
        <v>45</v>
      </c>
      <c r="C948" s="4">
        <v>41</v>
      </c>
      <c r="D948" s="8">
        <v>4.5999999999999996</v>
      </c>
      <c r="E948" s="7">
        <v>824000</v>
      </c>
      <c r="F948" s="7">
        <v>0</v>
      </c>
    </row>
    <row r="949" spans="1:6">
      <c r="A949" s="4" t="s">
        <v>994</v>
      </c>
      <c r="B949" s="4" t="s">
        <v>45</v>
      </c>
      <c r="C949" s="4">
        <v>47</v>
      </c>
      <c r="D949" s="8">
        <v>24.9</v>
      </c>
      <c r="E949" s="7">
        <v>1324000</v>
      </c>
      <c r="F949" s="7">
        <v>0</v>
      </c>
    </row>
    <row r="950" spans="1:6">
      <c r="A950" s="4" t="s">
        <v>995</v>
      </c>
      <c r="B950" s="4" t="s">
        <v>45</v>
      </c>
      <c r="C950" s="4">
        <v>30</v>
      </c>
      <c r="D950" s="8">
        <v>3</v>
      </c>
      <c r="E950" s="7">
        <v>657000</v>
      </c>
      <c r="F950" s="7">
        <v>0</v>
      </c>
    </row>
    <row r="951" spans="1:6">
      <c r="A951" s="4" t="s">
        <v>996</v>
      </c>
      <c r="B951" s="4" t="s">
        <v>47</v>
      </c>
      <c r="C951" s="4">
        <v>84</v>
      </c>
      <c r="D951" s="8">
        <v>21.9</v>
      </c>
      <c r="E951" s="7">
        <v>0</v>
      </c>
      <c r="F951" s="7">
        <v>564000</v>
      </c>
    </row>
    <row r="952" spans="1:6">
      <c r="A952" s="4" t="s">
        <v>997</v>
      </c>
      <c r="B952" s="4" t="s">
        <v>45</v>
      </c>
      <c r="C952" s="4">
        <v>31</v>
      </c>
      <c r="D952" s="8">
        <v>4.3</v>
      </c>
      <c r="E952" s="7">
        <v>484000</v>
      </c>
      <c r="F952" s="7">
        <v>0</v>
      </c>
    </row>
    <row r="953" spans="1:6">
      <c r="A953" s="4" t="s">
        <v>998</v>
      </c>
      <c r="B953" s="4" t="s">
        <v>47</v>
      </c>
      <c r="C953" s="4">
        <v>79</v>
      </c>
      <c r="D953" s="8">
        <v>12.5</v>
      </c>
      <c r="E953" s="7">
        <v>0</v>
      </c>
      <c r="F953" s="7">
        <v>552000</v>
      </c>
    </row>
    <row r="954" spans="1:6">
      <c r="A954" s="4" t="s">
        <v>999</v>
      </c>
      <c r="B954" s="4" t="s">
        <v>47</v>
      </c>
      <c r="C954" s="4">
        <v>71</v>
      </c>
      <c r="D954" s="8">
        <v>37.299999999999997</v>
      </c>
      <c r="E954" s="7">
        <v>0</v>
      </c>
      <c r="F954" s="7">
        <v>374000</v>
      </c>
    </row>
    <row r="955" spans="1:6">
      <c r="A955" s="4" t="s">
        <v>1000</v>
      </c>
      <c r="B955" s="4" t="s">
        <v>45</v>
      </c>
      <c r="C955" s="4">
        <v>42</v>
      </c>
      <c r="D955" s="8">
        <v>5.9</v>
      </c>
      <c r="E955" s="7">
        <v>847000</v>
      </c>
      <c r="F955" s="7">
        <v>0</v>
      </c>
    </row>
    <row r="956" spans="1:6">
      <c r="A956" s="4" t="s">
        <v>1001</v>
      </c>
      <c r="B956" s="4" t="s">
        <v>47</v>
      </c>
      <c r="C956" s="4">
        <v>78</v>
      </c>
      <c r="D956" s="8">
        <v>30.4</v>
      </c>
      <c r="E956" s="7">
        <v>0</v>
      </c>
      <c r="F956" s="7">
        <v>579000</v>
      </c>
    </row>
    <row r="957" spans="1:6">
      <c r="A957" s="4" t="s">
        <v>1002</v>
      </c>
      <c r="B957" s="4" t="s">
        <v>57</v>
      </c>
      <c r="C957" s="4">
        <v>42</v>
      </c>
      <c r="D957" s="8">
        <v>12.9</v>
      </c>
      <c r="E957" s="7">
        <v>731000</v>
      </c>
      <c r="F957" s="7">
        <v>0</v>
      </c>
    </row>
    <row r="958" spans="1:6">
      <c r="A958" s="4" t="s">
        <v>1003</v>
      </c>
      <c r="B958" s="4" t="s">
        <v>45</v>
      </c>
      <c r="C958" s="4">
        <v>35</v>
      </c>
      <c r="D958" s="8">
        <v>7.6</v>
      </c>
      <c r="E958" s="7">
        <v>917000</v>
      </c>
      <c r="F958" s="7">
        <v>0</v>
      </c>
    </row>
    <row r="959" spans="1:6">
      <c r="A959" s="4" t="s">
        <v>1004</v>
      </c>
      <c r="B959" s="4" t="s">
        <v>45</v>
      </c>
      <c r="C959" s="4">
        <v>50</v>
      </c>
      <c r="D959" s="8">
        <v>21</v>
      </c>
      <c r="E959" s="7">
        <v>1271000</v>
      </c>
      <c r="F959" s="7">
        <v>0</v>
      </c>
    </row>
    <row r="960" spans="1:6">
      <c r="A960" s="4" t="s">
        <v>1005</v>
      </c>
      <c r="B960" s="4" t="s">
        <v>45</v>
      </c>
      <c r="C960" s="4">
        <v>52</v>
      </c>
      <c r="D960" s="8">
        <v>16.5</v>
      </c>
      <c r="E960" s="7">
        <v>1756000</v>
      </c>
      <c r="F960" s="7">
        <v>0</v>
      </c>
    </row>
    <row r="961" spans="1:6">
      <c r="A961" s="4" t="s">
        <v>1006</v>
      </c>
      <c r="B961" s="4" t="s">
        <v>47</v>
      </c>
      <c r="C961" s="4">
        <v>65</v>
      </c>
      <c r="D961" s="8">
        <v>15.9</v>
      </c>
      <c r="E961" s="7">
        <v>0</v>
      </c>
      <c r="F961" s="7">
        <v>323000</v>
      </c>
    </row>
    <row r="962" spans="1:6">
      <c r="A962" s="4" t="s">
        <v>1007</v>
      </c>
      <c r="B962" s="4" t="s">
        <v>47</v>
      </c>
      <c r="C962" s="4">
        <v>74</v>
      </c>
      <c r="D962" s="8">
        <v>28.6</v>
      </c>
      <c r="E962" s="7">
        <v>0</v>
      </c>
      <c r="F962" s="7">
        <v>238000</v>
      </c>
    </row>
    <row r="963" spans="1:6">
      <c r="A963" s="4" t="s">
        <v>1008</v>
      </c>
      <c r="B963" s="4" t="s">
        <v>45</v>
      </c>
      <c r="C963" s="4">
        <v>34</v>
      </c>
      <c r="D963" s="8">
        <v>3.9</v>
      </c>
      <c r="E963" s="7">
        <v>513000</v>
      </c>
      <c r="F963" s="7">
        <v>0</v>
      </c>
    </row>
    <row r="964" spans="1:6">
      <c r="A964" s="4" t="s">
        <v>1009</v>
      </c>
      <c r="B964" s="4" t="s">
        <v>47</v>
      </c>
      <c r="C964" s="4">
        <v>85</v>
      </c>
      <c r="D964" s="8">
        <v>19.600000000000001</v>
      </c>
      <c r="E964" s="7">
        <v>0</v>
      </c>
      <c r="F964" s="7">
        <v>645000</v>
      </c>
    </row>
    <row r="965" spans="1:6">
      <c r="A965" s="4" t="s">
        <v>1010</v>
      </c>
      <c r="B965" s="4" t="s">
        <v>45</v>
      </c>
      <c r="C965" s="4">
        <v>51</v>
      </c>
      <c r="D965" s="8">
        <v>11.3</v>
      </c>
      <c r="E965" s="7">
        <v>1788000</v>
      </c>
      <c r="F965" s="7">
        <v>0</v>
      </c>
    </row>
    <row r="966" spans="1:6">
      <c r="A966" s="4" t="s">
        <v>1011</v>
      </c>
      <c r="B966" s="4" t="s">
        <v>45</v>
      </c>
      <c r="C966" s="4">
        <v>30</v>
      </c>
      <c r="D966" s="8">
        <v>6.3</v>
      </c>
      <c r="E966" s="7">
        <v>680000</v>
      </c>
      <c r="F966" s="7">
        <v>0</v>
      </c>
    </row>
    <row r="967" spans="1:6">
      <c r="A967" s="4" t="s">
        <v>1012</v>
      </c>
      <c r="B967" s="4" t="s">
        <v>47</v>
      </c>
      <c r="C967" s="4">
        <v>66</v>
      </c>
      <c r="D967" s="8">
        <v>33.200000000000003</v>
      </c>
      <c r="E967" s="7">
        <v>0</v>
      </c>
      <c r="F967" s="7">
        <v>437000</v>
      </c>
    </row>
    <row r="968" spans="1:6">
      <c r="A968" s="4" t="s">
        <v>1013</v>
      </c>
      <c r="B968" s="4" t="s">
        <v>57</v>
      </c>
      <c r="C968" s="4">
        <v>45</v>
      </c>
      <c r="D968" s="8">
        <v>6.7</v>
      </c>
      <c r="E968" s="7">
        <v>926000</v>
      </c>
      <c r="F968" s="7">
        <v>0</v>
      </c>
    </row>
    <row r="969" spans="1:6">
      <c r="A969" s="4" t="s">
        <v>1014</v>
      </c>
      <c r="B969" s="4" t="s">
        <v>47</v>
      </c>
      <c r="C969" s="4">
        <v>85</v>
      </c>
      <c r="D969" s="8">
        <v>33.700000000000003</v>
      </c>
      <c r="E969" s="7">
        <v>0</v>
      </c>
      <c r="F969" s="7">
        <v>386000</v>
      </c>
    </row>
    <row r="970" spans="1:6">
      <c r="A970" s="4" t="s">
        <v>1015</v>
      </c>
      <c r="B970" s="4" t="s">
        <v>47</v>
      </c>
      <c r="C970" s="4">
        <v>77</v>
      </c>
      <c r="D970" s="8">
        <v>24.9</v>
      </c>
      <c r="E970" s="7">
        <v>0</v>
      </c>
      <c r="F970" s="7">
        <v>345000</v>
      </c>
    </row>
    <row r="971" spans="1:6">
      <c r="A971" s="4" t="s">
        <v>1016</v>
      </c>
      <c r="B971" s="4" t="s">
        <v>57</v>
      </c>
      <c r="C971" s="4">
        <v>41</v>
      </c>
      <c r="D971" s="8">
        <v>2.9</v>
      </c>
      <c r="E971" s="7">
        <v>574000</v>
      </c>
      <c r="F971" s="7">
        <v>0</v>
      </c>
    </row>
    <row r="972" spans="1:6">
      <c r="A972" s="4" t="s">
        <v>1017</v>
      </c>
      <c r="B972" s="4" t="s">
        <v>45</v>
      </c>
      <c r="C972" s="4">
        <v>56</v>
      </c>
      <c r="D972" s="8">
        <v>9.6</v>
      </c>
      <c r="E972" s="7">
        <v>1742000</v>
      </c>
      <c r="F972" s="7">
        <v>0</v>
      </c>
    </row>
    <row r="973" spans="1:6">
      <c r="A973" s="4" t="s">
        <v>1018</v>
      </c>
      <c r="B973" s="4" t="s">
        <v>45</v>
      </c>
      <c r="C973" s="4">
        <v>26</v>
      </c>
      <c r="D973" s="8">
        <v>3</v>
      </c>
      <c r="E973" s="7">
        <v>353000</v>
      </c>
      <c r="F973" s="7">
        <v>0</v>
      </c>
    </row>
    <row r="974" spans="1:6">
      <c r="A974" s="4" t="s">
        <v>1019</v>
      </c>
      <c r="B974" s="4" t="s">
        <v>47</v>
      </c>
      <c r="C974" s="4">
        <v>78</v>
      </c>
      <c r="D974" s="8">
        <v>33.4</v>
      </c>
      <c r="E974" s="7">
        <v>0</v>
      </c>
      <c r="F974" s="7">
        <v>644000</v>
      </c>
    </row>
    <row r="975" spans="1:6">
      <c r="A975" s="4" t="s">
        <v>1020</v>
      </c>
      <c r="B975" s="4" t="s">
        <v>47</v>
      </c>
      <c r="C975" s="4">
        <v>79</v>
      </c>
      <c r="D975" s="8">
        <v>23.6</v>
      </c>
      <c r="E975" s="7">
        <v>0</v>
      </c>
      <c r="F975" s="7">
        <v>322000</v>
      </c>
    </row>
    <row r="976" spans="1:6">
      <c r="A976" s="4" t="s">
        <v>1021</v>
      </c>
      <c r="B976" s="4" t="s">
        <v>47</v>
      </c>
      <c r="C976" s="4">
        <v>80</v>
      </c>
      <c r="D976" s="8">
        <v>30.1</v>
      </c>
      <c r="E976" s="7">
        <v>0</v>
      </c>
      <c r="F976" s="7">
        <v>650000</v>
      </c>
    </row>
    <row r="977" spans="1:6">
      <c r="A977" s="4" t="s">
        <v>1022</v>
      </c>
      <c r="B977" s="4" t="s">
        <v>57</v>
      </c>
      <c r="C977" s="4">
        <v>51</v>
      </c>
      <c r="D977" s="8">
        <v>13.4</v>
      </c>
      <c r="E977" s="7">
        <v>1115000</v>
      </c>
      <c r="F977" s="7">
        <v>0</v>
      </c>
    </row>
    <row r="978" spans="1:6">
      <c r="A978" s="4" t="s">
        <v>1023</v>
      </c>
      <c r="B978" s="4" t="s">
        <v>47</v>
      </c>
      <c r="C978" s="4">
        <v>81</v>
      </c>
      <c r="D978" s="8">
        <v>36.9</v>
      </c>
      <c r="E978" s="7">
        <v>0</v>
      </c>
      <c r="F978" s="7">
        <v>263000</v>
      </c>
    </row>
    <row r="979" spans="1:6">
      <c r="A979" s="4" t="s">
        <v>1024</v>
      </c>
      <c r="B979" s="4" t="s">
        <v>47</v>
      </c>
      <c r="C979" s="4">
        <v>75</v>
      </c>
      <c r="D979" s="8">
        <v>38</v>
      </c>
      <c r="E979" s="7">
        <v>0</v>
      </c>
      <c r="F979" s="7">
        <v>308000</v>
      </c>
    </row>
    <row r="980" spans="1:6">
      <c r="A980" s="4" t="s">
        <v>1025</v>
      </c>
      <c r="B980" s="4" t="s">
        <v>57</v>
      </c>
      <c r="C980" s="4">
        <v>39</v>
      </c>
      <c r="D980" s="8">
        <v>13.6</v>
      </c>
      <c r="E980" s="7">
        <v>675000</v>
      </c>
      <c r="F980" s="7">
        <v>0</v>
      </c>
    </row>
    <row r="981" spans="1:6">
      <c r="A981" s="4" t="s">
        <v>1026</v>
      </c>
      <c r="B981" s="4" t="s">
        <v>45</v>
      </c>
      <c r="C981" s="4">
        <v>52</v>
      </c>
      <c r="D981" s="8">
        <v>13</v>
      </c>
      <c r="E981" s="7">
        <v>1442000</v>
      </c>
      <c r="F981" s="7">
        <v>0</v>
      </c>
    </row>
    <row r="982" spans="1:6">
      <c r="A982" s="4" t="s">
        <v>1027</v>
      </c>
      <c r="B982" s="4" t="s">
        <v>47</v>
      </c>
      <c r="C982" s="4">
        <v>77</v>
      </c>
      <c r="D982" s="8">
        <v>15.8</v>
      </c>
      <c r="E982" s="7">
        <v>0</v>
      </c>
      <c r="F982" s="7">
        <v>455000</v>
      </c>
    </row>
    <row r="983" spans="1:6">
      <c r="A983" s="4" t="s">
        <v>1028</v>
      </c>
      <c r="B983" s="4" t="s">
        <v>57</v>
      </c>
      <c r="C983" s="4">
        <v>35</v>
      </c>
      <c r="D983" s="8">
        <v>12</v>
      </c>
      <c r="E983" s="7">
        <v>367000</v>
      </c>
      <c r="F983" s="7">
        <v>0</v>
      </c>
    </row>
    <row r="984" spans="1:6">
      <c r="A984" s="4" t="s">
        <v>1029</v>
      </c>
      <c r="B984" s="4" t="s">
        <v>57</v>
      </c>
      <c r="C984" s="4">
        <v>32</v>
      </c>
      <c r="D984" s="8">
        <v>5.9</v>
      </c>
      <c r="E984" s="7">
        <v>384000</v>
      </c>
      <c r="F984" s="7">
        <v>0</v>
      </c>
    </row>
    <row r="985" spans="1:6">
      <c r="A985" s="4" t="s">
        <v>1030</v>
      </c>
      <c r="B985" s="4" t="s">
        <v>47</v>
      </c>
      <c r="C985" s="4">
        <v>67</v>
      </c>
      <c r="D985" s="8">
        <v>22.7</v>
      </c>
      <c r="E985" s="7">
        <v>0</v>
      </c>
      <c r="F985" s="7">
        <v>224000</v>
      </c>
    </row>
    <row r="986" spans="1:6">
      <c r="A986" s="4" t="s">
        <v>1031</v>
      </c>
      <c r="B986" s="4" t="s">
        <v>45</v>
      </c>
      <c r="C986" s="4">
        <v>24</v>
      </c>
      <c r="D986" s="8">
        <v>1</v>
      </c>
      <c r="E986" s="7">
        <v>508000</v>
      </c>
      <c r="F986" s="7">
        <v>0</v>
      </c>
    </row>
    <row r="987" spans="1:6">
      <c r="A987" s="4" t="s">
        <v>1032</v>
      </c>
      <c r="B987" s="4" t="s">
        <v>45</v>
      </c>
      <c r="C987" s="4">
        <v>33</v>
      </c>
      <c r="D987" s="8">
        <v>9.5</v>
      </c>
      <c r="E987" s="7">
        <v>732000</v>
      </c>
      <c r="F987" s="7">
        <v>0</v>
      </c>
    </row>
    <row r="988" spans="1:6">
      <c r="A988" s="4" t="s">
        <v>1033</v>
      </c>
      <c r="B988" s="4" t="s">
        <v>45</v>
      </c>
      <c r="C988" s="4">
        <v>31</v>
      </c>
      <c r="D988" s="8">
        <v>6.7</v>
      </c>
      <c r="E988" s="7">
        <v>731000</v>
      </c>
      <c r="F988" s="7">
        <v>0</v>
      </c>
    </row>
    <row r="989" spans="1:6">
      <c r="A989" s="4" t="s">
        <v>1034</v>
      </c>
      <c r="B989" s="4" t="s">
        <v>45</v>
      </c>
      <c r="C989" s="4">
        <v>51</v>
      </c>
      <c r="D989" s="8">
        <v>19.5</v>
      </c>
      <c r="E989" s="7">
        <v>1390000</v>
      </c>
      <c r="F989" s="7">
        <v>0</v>
      </c>
    </row>
    <row r="990" spans="1:6">
      <c r="A990" s="4" t="s">
        <v>1035</v>
      </c>
      <c r="B990" s="4" t="s">
        <v>45</v>
      </c>
      <c r="C990" s="4">
        <v>56</v>
      </c>
      <c r="D990" s="8">
        <v>12.4</v>
      </c>
      <c r="E990" s="7">
        <v>1292000</v>
      </c>
      <c r="F990" s="7">
        <v>0</v>
      </c>
    </row>
    <row r="991" spans="1:6">
      <c r="A991" s="4" t="s">
        <v>1036</v>
      </c>
      <c r="B991" s="4" t="s">
        <v>45</v>
      </c>
      <c r="C991" s="4">
        <v>27</v>
      </c>
      <c r="D991" s="8">
        <v>1.5</v>
      </c>
      <c r="E991" s="7">
        <v>384000</v>
      </c>
      <c r="F991" s="7">
        <v>0</v>
      </c>
    </row>
    <row r="992" spans="1:6">
      <c r="A992" s="4" t="s">
        <v>1037</v>
      </c>
      <c r="B992" s="4" t="s">
        <v>47</v>
      </c>
      <c r="C992" s="4">
        <v>81</v>
      </c>
      <c r="D992" s="8">
        <v>20.8</v>
      </c>
      <c r="E992" s="7">
        <v>0</v>
      </c>
      <c r="F992" s="7">
        <v>314000</v>
      </c>
    </row>
    <row r="993" spans="1:6">
      <c r="A993" s="4" t="s">
        <v>1038</v>
      </c>
      <c r="B993" s="4" t="s">
        <v>45</v>
      </c>
      <c r="C993" s="4">
        <v>46</v>
      </c>
      <c r="D993" s="8">
        <v>10.8</v>
      </c>
      <c r="E993" s="7">
        <v>1290000</v>
      </c>
      <c r="F993" s="7">
        <v>0</v>
      </c>
    </row>
    <row r="994" spans="1:6">
      <c r="A994" s="4" t="s">
        <v>1039</v>
      </c>
      <c r="B994" s="4" t="s">
        <v>47</v>
      </c>
      <c r="C994" s="4">
        <v>84</v>
      </c>
      <c r="D994" s="8">
        <v>13.3</v>
      </c>
      <c r="E994" s="7">
        <v>0</v>
      </c>
      <c r="F994" s="7">
        <v>690000</v>
      </c>
    </row>
    <row r="995" spans="1:6">
      <c r="A995" s="4" t="s">
        <v>1040</v>
      </c>
      <c r="B995" s="4" t="s">
        <v>45</v>
      </c>
      <c r="C995" s="4">
        <v>48</v>
      </c>
      <c r="D995" s="8">
        <v>20.9</v>
      </c>
      <c r="E995" s="7">
        <v>1040000</v>
      </c>
      <c r="F995" s="7">
        <v>0</v>
      </c>
    </row>
    <row r="996" spans="1:6">
      <c r="A996" s="4" t="s">
        <v>1041</v>
      </c>
      <c r="B996" s="4" t="s">
        <v>45</v>
      </c>
      <c r="C996" s="4">
        <v>36</v>
      </c>
      <c r="D996" s="8">
        <v>14.9</v>
      </c>
      <c r="E996" s="7">
        <v>569000</v>
      </c>
      <c r="F996" s="7">
        <v>0</v>
      </c>
    </row>
    <row r="997" spans="1:6">
      <c r="A997" s="4" t="s">
        <v>1042</v>
      </c>
      <c r="B997" s="4" t="s">
        <v>45</v>
      </c>
      <c r="C997" s="4">
        <v>42</v>
      </c>
      <c r="D997" s="8">
        <v>3.6</v>
      </c>
      <c r="E997" s="7">
        <v>1053000</v>
      </c>
      <c r="F997" s="7">
        <v>0</v>
      </c>
    </row>
    <row r="998" spans="1:6">
      <c r="A998" s="4" t="s">
        <v>1043</v>
      </c>
      <c r="B998" s="4" t="s">
        <v>45</v>
      </c>
      <c r="C998" s="4">
        <v>28</v>
      </c>
      <c r="D998" s="8">
        <v>1.1000000000000001</v>
      </c>
      <c r="E998" s="7">
        <v>621000</v>
      </c>
      <c r="F998" s="7">
        <v>0</v>
      </c>
    </row>
    <row r="999" spans="1:6">
      <c r="A999" s="4" t="s">
        <v>1044</v>
      </c>
      <c r="B999" s="4" t="s">
        <v>45</v>
      </c>
      <c r="C999" s="4">
        <v>43</v>
      </c>
      <c r="D999" s="8">
        <v>12.3</v>
      </c>
      <c r="E999" s="7">
        <v>1007000</v>
      </c>
      <c r="F999" s="7">
        <v>0</v>
      </c>
    </row>
    <row r="1000" spans="1:6">
      <c r="A1000" s="4" t="s">
        <v>1045</v>
      </c>
      <c r="B1000" s="4" t="s">
        <v>45</v>
      </c>
      <c r="C1000" s="4">
        <v>52</v>
      </c>
      <c r="D1000" s="8">
        <v>16.8</v>
      </c>
      <c r="E1000" s="7">
        <v>1926000</v>
      </c>
      <c r="F1000" s="7">
        <v>0</v>
      </c>
    </row>
    <row r="1001" spans="1:6">
      <c r="A1001" s="4" t="s">
        <v>1046</v>
      </c>
      <c r="B1001" s="4" t="s">
        <v>57</v>
      </c>
      <c r="C1001" s="4">
        <v>57</v>
      </c>
      <c r="D1001" s="8">
        <v>20.3</v>
      </c>
      <c r="E1001" s="7">
        <v>1492000</v>
      </c>
      <c r="F1001" s="7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4"/>
  <sheetViews>
    <sheetView workbookViewId="0"/>
  </sheetViews>
  <sheetFormatPr baseColWidth="10" defaultColWidth="8.83203125" defaultRowHeight="14"/>
  <cols>
    <col min="1" max="6" width="22" customWidth="1"/>
  </cols>
  <sheetData>
    <row r="1" spans="1:6" ht="15">
      <c r="A1" s="9" t="s">
        <v>40</v>
      </c>
      <c r="B1" s="9" t="s">
        <v>1047</v>
      </c>
      <c r="C1" s="9" t="s">
        <v>1048</v>
      </c>
      <c r="D1" s="9" t="s">
        <v>1049</v>
      </c>
      <c r="E1" s="9" t="s">
        <v>1050</v>
      </c>
      <c r="F1" s="9" t="s">
        <v>1051</v>
      </c>
    </row>
    <row r="2" spans="1:6">
      <c r="A2">
        <v>18</v>
      </c>
      <c r="B2" s="10">
        <v>2.4213896768494704E-4</v>
      </c>
      <c r="C2" s="11">
        <f>MIN(0.45,MAX(0.00005,B2*Assumptions!$B$16))</f>
        <v>2.4213896768494704E-4</v>
      </c>
      <c r="D2" s="11">
        <f t="shared" ref="D2:D33" si="0">1-C2</f>
        <v>0.99975786103231501</v>
      </c>
      <c r="E2" s="11">
        <f>D2/(1+Assumptions!$B$6)*(1+(1+Assumptions!$B$8)*E3)</f>
        <v>28.167947571711537</v>
      </c>
      <c r="F2" s="11">
        <v>1</v>
      </c>
    </row>
    <row r="3" spans="1:6">
      <c r="A3">
        <v>19</v>
      </c>
      <c r="B3" s="10">
        <v>2.4488419967788047E-4</v>
      </c>
      <c r="C3" s="11">
        <f>MIN(0.45,MAX(0.00005,B3*Assumptions!$B$16))</f>
        <v>2.4488419967788047E-4</v>
      </c>
      <c r="D3" s="11">
        <f t="shared" si="0"/>
        <v>0.99975511580032217</v>
      </c>
      <c r="E3" s="11">
        <f>D3/(1+Assumptions!$B$6)*(1+(1+Assumptions!$B$8)*E4)</f>
        <v>28.02524620016516</v>
      </c>
      <c r="F3" s="11">
        <f t="shared" ref="F3:F34" si="1">F2*D2</f>
        <v>0.99975786103231501</v>
      </c>
    </row>
    <row r="4" spans="1:6">
      <c r="A4">
        <v>20</v>
      </c>
      <c r="B4" s="10">
        <v>2.4796984043793762E-4</v>
      </c>
      <c r="C4" s="11">
        <f>MIN(0.45,MAX(0.00005,B4*Assumptions!$B$16))</f>
        <v>2.4796984043793762E-4</v>
      </c>
      <c r="D4" s="11">
        <f t="shared" si="0"/>
        <v>0.99975203015956204</v>
      </c>
      <c r="E4" s="11">
        <f>D4/(1+Assumptions!$B$6)*(1+(1+Assumptions!$B$8)*E5)</f>
        <v>27.878452197648468</v>
      </c>
      <c r="F4" s="11">
        <f t="shared" si="1"/>
        <v>0.99951303612864451</v>
      </c>
    </row>
    <row r="5" spans="1:6">
      <c r="A5">
        <v>21</v>
      </c>
      <c r="B5" s="10">
        <v>2.5143810065224195E-4</v>
      </c>
      <c r="C5" s="11">
        <f>MIN(0.45,MAX(0.00005,B5*Assumptions!$B$16))</f>
        <v>2.5143810065224195E-4</v>
      </c>
      <c r="D5" s="11">
        <f t="shared" si="0"/>
        <v>0.9997485618993478</v>
      </c>
      <c r="E5" s="11">
        <f>D5/(1+Assumptions!$B$6)*(1+(1+Assumptions!$B$8)*E6)</f>
        <v>27.727454857905709</v>
      </c>
      <c r="F5" s="11">
        <f t="shared" si="1"/>
        <v>0.99926518704056</v>
      </c>
    </row>
    <row r="6" spans="1:6">
      <c r="A6">
        <v>22</v>
      </c>
      <c r="B6" s="10">
        <v>2.5533642513311989E-4</v>
      </c>
      <c r="C6" s="11">
        <f>MIN(0.45,MAX(0.00005,B6*Assumptions!$B$16))</f>
        <v>2.5533642513311989E-4</v>
      </c>
      <c r="D6" s="11">
        <f t="shared" si="0"/>
        <v>0.99974466357486691</v>
      </c>
      <c r="E6" s="11">
        <f>D6/(1+Assumptions!$B$6)*(1+(1+Assumptions!$B$8)*E7)</f>
        <v>27.572141248923391</v>
      </c>
      <c r="F6" s="11">
        <f t="shared" si="1"/>
        <v>0.99901393369988267</v>
      </c>
    </row>
    <row r="7" spans="1:6">
      <c r="A7">
        <v>23</v>
      </c>
      <c r="B7" s="10">
        <v>2.5971814184962681E-4</v>
      </c>
      <c r="C7" s="11">
        <f>MIN(0.45,MAX(0.00005,B7*Assumptions!$B$16))</f>
        <v>2.5971814184962681E-4</v>
      </c>
      <c r="D7" s="11">
        <f t="shared" si="0"/>
        <v>0.99974028185815034</v>
      </c>
      <c r="E7" s="11">
        <f>D7/(1+Assumptions!$B$6)*(1+(1+Assumptions!$B$8)*E8)</f>
        <v>27.412396259138131</v>
      </c>
      <c r="F7" s="11">
        <f t="shared" si="1"/>
        <v>0.99875884905339363</v>
      </c>
    </row>
    <row r="8" spans="1:6">
      <c r="A8">
        <v>24</v>
      </c>
      <c r="B8" s="10">
        <v>2.6464319143898051E-4</v>
      </c>
      <c r="C8" s="11">
        <f>MIN(0.45,MAX(0.00005,B8*Assumptions!$B$16))</f>
        <v>2.6464319143898051E-4</v>
      </c>
      <c r="D8" s="11">
        <f t="shared" si="0"/>
        <v>0.99973535680856107</v>
      </c>
      <c r="E8" s="11">
        <f>D8/(1+Assumptions!$B$6)*(1+(1+Assumptions!$B$8)*E9)</f>
        <v>27.248102656662372</v>
      </c>
      <c r="F8" s="11">
        <f t="shared" si="1"/>
        <v>0.99849945326096157</v>
      </c>
    </row>
    <row r="9" spans="1:6">
      <c r="A9">
        <v>25</v>
      </c>
      <c r="B9" s="10">
        <v>2.7017894717741413E-4</v>
      </c>
      <c r="C9" s="11">
        <f>MIN(0.45,MAX(0.00005,B9*Assumptions!$B$16))</f>
        <v>2.7017894717741413E-4</v>
      </c>
      <c r="D9" s="11">
        <f t="shared" si="0"/>
        <v>0.9997298210528226</v>
      </c>
      <c r="E9" s="11">
        <f>D9/(1+Assumptions!$B$6)*(1+(1+Assumptions!$B$8)*E10)</f>
        <v>27.079141163031434</v>
      </c>
      <c r="F9" s="11">
        <f t="shared" si="1"/>
        <v>0.99823520717900061</v>
      </c>
    </row>
    <row r="10" spans="1:6">
      <c r="A10">
        <v>26</v>
      </c>
      <c r="B10" s="10">
        <v>2.764011366274135E-4</v>
      </c>
      <c r="C10" s="11">
        <f>MIN(0.45,MAX(0.00005,B10*Assumptions!$B$16))</f>
        <v>2.764011366274135E-4</v>
      </c>
      <c r="D10" s="11">
        <f t="shared" si="0"/>
        <v>0.99972359886337259</v>
      </c>
      <c r="E10" s="11">
        <f>D10/(1+Assumptions!$B$6)*(1+(1+Assumptions!$B$8)*E11)</f>
        <v>26.90539054311029</v>
      </c>
      <c r="F10" s="11">
        <f t="shared" si="1"/>
        <v>0.99796550504168957</v>
      </c>
    </row>
    <row r="11" spans="1:6">
      <c r="A11">
        <v>27</v>
      </c>
      <c r="B11" s="10">
        <v>2.8339487756921274E-4</v>
      </c>
      <c r="C11" s="11">
        <f>MIN(0.45,MAX(0.00005,B11*Assumptions!$B$16))</f>
        <v>2.8339487756921274E-4</v>
      </c>
      <c r="D11" s="11">
        <f t="shared" si="0"/>
        <v>0.99971660512243077</v>
      </c>
      <c r="E11" s="11">
        <f>D11/(1+Assumptions!$B$6)*(1+(1+Assumptions!$B$8)*E12)</f>
        <v>26.726727712941457</v>
      </c>
      <c r="F11" s="11">
        <f t="shared" si="1"/>
        <v>0.99768966624178113</v>
      </c>
    </row>
    <row r="12" spans="1:6">
      <c r="A12">
        <v>28</v>
      </c>
      <c r="B12" s="10">
        <v>2.9125584238779513E-4</v>
      </c>
      <c r="C12" s="11">
        <f>MIN(0.45,MAX(0.00005,B12*Assumptions!$B$16))</f>
        <v>2.9125584238779513E-4</v>
      </c>
      <c r="D12" s="11">
        <f t="shared" si="0"/>
        <v>0.99970874415761224</v>
      </c>
      <c r="E12" s="11">
        <f>D12/(1+Assumptions!$B$6)*(1+(1+Assumptions!$B$8)*E13)</f>
        <v>26.543027867466364</v>
      </c>
      <c r="F12" s="11">
        <f t="shared" si="1"/>
        <v>0.99740692610096449</v>
      </c>
    </row>
    <row r="13" spans="1:6">
      <c r="A13">
        <v>29</v>
      </c>
      <c r="B13" s="10">
        <v>3.0009156684388173E-4</v>
      </c>
      <c r="C13" s="11">
        <f>MIN(0.45,MAX(0.00005,B13*Assumptions!$B$16))</f>
        <v>3.0009156684388173E-4</v>
      </c>
      <c r="D13" s="11">
        <f t="shared" si="0"/>
        <v>0.99969990843315615</v>
      </c>
      <c r="E13" s="11">
        <f>D13/(1+Assumptions!$B$6)*(1+(1+Assumptions!$B$8)*E14)</f>
        <v>26.354164630211169</v>
      </c>
      <c r="F13" s="11">
        <f t="shared" si="1"/>
        <v>0.99711642550649959</v>
      </c>
    </row>
    <row r="14" spans="1:6">
      <c r="A14">
        <v>30</v>
      </c>
      <c r="B14" s="10">
        <v>3.1002292113252309E-4</v>
      </c>
      <c r="C14" s="11">
        <f>MIN(0.45,MAX(0.00005,B14*Assumptions!$B$16))</f>
        <v>3.1002292113252309E-4</v>
      </c>
      <c r="D14" s="11">
        <f t="shared" si="0"/>
        <v>0.99968997707886753</v>
      </c>
      <c r="E14" s="11">
        <f>D14/(1+Assumptions!$B$6)*(1+(1+Assumptions!$B$8)*E15)</f>
        <v>26.160010227193712</v>
      </c>
      <c r="F14" s="11">
        <f t="shared" si="1"/>
        <v>0.99681719927604362</v>
      </c>
    </row>
    <row r="15" spans="1:6">
      <c r="A15">
        <v>31</v>
      </c>
      <c r="B15" s="10">
        <v>3.2118576335295591E-4</v>
      </c>
      <c r="C15" s="11">
        <f>MIN(0.45,MAX(0.00005,B15*Assumptions!$B$16))</f>
        <v>3.2118576335295591E-4</v>
      </c>
      <c r="D15" s="11">
        <f t="shared" si="0"/>
        <v>0.99967881423664706</v>
      </c>
      <c r="E15" s="11">
        <f>D15/(1+Assumptions!$B$6)*(1+(1+Assumptions!$B$8)*E16)</f>
        <v>25.960435687480039</v>
      </c>
      <c r="F15" s="11">
        <f t="shared" si="1"/>
        <v>0.99650816309608903</v>
      </c>
    </row>
    <row r="16" spans="1:6">
      <c r="A16">
        <v>32</v>
      </c>
      <c r="B16" s="10">
        <v>3.3373279800872247E-4</v>
      </c>
      <c r="C16" s="11">
        <f>MIN(0.45,MAX(0.00005,B16*Assumptions!$B$16))</f>
        <v>3.3373279800872247E-4</v>
      </c>
      <c r="D16" s="11">
        <f t="shared" si="0"/>
        <v>0.99966626720199125</v>
      </c>
      <c r="E16" s="11">
        <f>D16/(1+Assumptions!$B$6)*(1+(1+Assumptions!$B$8)*E17)</f>
        <v>25.755311072995774</v>
      </c>
      <c r="F16" s="11">
        <f t="shared" si="1"/>
        <v>0.99618809886103754</v>
      </c>
    </row>
    <row r="17" spans="1:6">
      <c r="A17">
        <v>33</v>
      </c>
      <c r="B17" s="10">
        <v>3.4783566496180405E-4</v>
      </c>
      <c r="C17" s="11">
        <f>MIN(0.45,MAX(0.00005,B17*Assumptions!$B$16))</f>
        <v>3.4783566496180405E-4</v>
      </c>
      <c r="D17" s="11">
        <f t="shared" si="0"/>
        <v>0.99965216433503823</v>
      </c>
      <c r="E17" s="11">
        <f>D17/(1+Assumptions!$B$6)*(1+(1+Assumptions!$B$8)*E18)</f>
        <v>25.544505740377875</v>
      </c>
      <c r="F17" s="11">
        <f t="shared" si="1"/>
        <v>0.99585563821946166</v>
      </c>
    </row>
    <row r="18" spans="1:6">
      <c r="A18">
        <v>34</v>
      </c>
      <c r="B18" s="10">
        <v>3.6368728741706781E-4</v>
      </c>
      <c r="C18" s="11">
        <f>MIN(0.45,MAX(0.00005,B18*Assumptions!$B$16))</f>
        <v>3.6368728741706781E-4</v>
      </c>
      <c r="D18" s="11">
        <f t="shared" si="0"/>
        <v>0.99963631271258291</v>
      </c>
      <c r="E18" s="11">
        <f>D18/(1+Assumptions!$B$6)*(1+(1+Assumptions!$B$8)*E19)</f>
        <v>25.32788863783415</v>
      </c>
      <c r="F18" s="11">
        <f t="shared" si="1"/>
        <v>0.99550924411133568</v>
      </c>
    </row>
    <row r="19" spans="1:6">
      <c r="A19">
        <v>35</v>
      </c>
      <c r="B19" s="10">
        <v>3.815045110567842E-4</v>
      </c>
      <c r="C19" s="11">
        <f>MIN(0.45,MAX(0.00005,B19*Assumptions!$B$16))</f>
        <v>3.815045110567842E-4</v>
      </c>
      <c r="D19" s="11">
        <f t="shared" si="0"/>
        <v>0.99961849548894322</v>
      </c>
      <c r="E19" s="11">
        <f>D19/(1+Assumptions!$B$6)*(1+(1+Assumptions!$B$8)*E20)</f>
        <v>25.105328640158636</v>
      </c>
      <c r="F19" s="11">
        <f t="shared" si="1"/>
        <v>0.99514719005474617</v>
      </c>
    </row>
    <row r="20" spans="1:6">
      <c r="A20">
        <v>36</v>
      </c>
      <c r="B20" s="10">
        <v>4.0153107042782547E-4</v>
      </c>
      <c r="C20" s="11">
        <f>MIN(0.45,MAX(0.00005,B20*Assumptions!$B$16))</f>
        <v>4.0153107042782547E-4</v>
      </c>
      <c r="D20" s="11">
        <f t="shared" si="0"/>
        <v>0.99959846892957216</v>
      </c>
      <c r="E20" s="11">
        <f>D20/(1+Assumptions!$B$6)*(1+(1+Assumptions!$B$8)*E21)</f>
        <v>24.876694925227881</v>
      </c>
      <c r="F20" s="11">
        <f t="shared" si="1"/>
        <v>0.9947675369125748</v>
      </c>
    </row>
    <row r="21" spans="1:6">
      <c r="A21">
        <v>37</v>
      </c>
      <c r="B21" s="10">
        <v>4.2404092316087585E-4</v>
      </c>
      <c r="C21" s="11">
        <f>MIN(0.45,MAX(0.00005,B21*Assumptions!$B$16))</f>
        <v>4.2404092316087585E-4</v>
      </c>
      <c r="D21" s="11">
        <f t="shared" si="0"/>
        <v>0.99957595907683916</v>
      </c>
      <c r="E21" s="11">
        <f>D21/(1+Assumptions!$B$6)*(1+(1+Assumptions!$B$8)*E22)</f>
        <v>24.641857395472137</v>
      </c>
      <c r="F21" s="11">
        <f t="shared" si="1"/>
        <v>0.9943681068386514</v>
      </c>
    </row>
    <row r="22" spans="1:6">
      <c r="A22">
        <v>38</v>
      </c>
      <c r="B22" s="10">
        <v>4.4934199763282452E-4</v>
      </c>
      <c r="C22" s="11">
        <f>MIN(0.45,MAX(0.00005,B22*Assumptions!$B$16))</f>
        <v>4.4934199763282452E-4</v>
      </c>
      <c r="D22" s="11">
        <f t="shared" si="0"/>
        <v>0.9995506580023672</v>
      </c>
      <c r="E22" s="11">
        <f>D22/(1+Assumptions!$B$6)*(1+(1+Assumptions!$B$8)*E23)</f>
        <v>24.400687147972569</v>
      </c>
      <c r="F22" s="11">
        <f t="shared" si="1"/>
        <v>0.99394645406866589</v>
      </c>
    </row>
    <row r="23" spans="1:6">
      <c r="A23">
        <v>39</v>
      </c>
      <c r="B23" s="10">
        <v>4.7778040533929481E-4</v>
      </c>
      <c r="C23" s="11">
        <f>MIN(0.45,MAX(0.00005,B23*Assumptions!$B$16))</f>
        <v>4.7778040533929481E-4</v>
      </c>
      <c r="D23" s="11">
        <f t="shared" si="0"/>
        <v>0.9995222195946607</v>
      </c>
      <c r="E23" s="11">
        <f>D23/(1+Assumptions!$B$6)*(1+(1+Assumptions!$B$8)*E24)</f>
        <v>24.153056996975049</v>
      </c>
      <c r="F23" s="11">
        <f t="shared" si="1"/>
        <v>0.99349983218345461</v>
      </c>
    </row>
    <row r="24" spans="1:6">
      <c r="A24">
        <v>40</v>
      </c>
      <c r="B24" s="10">
        <v>5.0974517560136736E-4</v>
      </c>
      <c r="C24" s="11">
        <f>MIN(0.45,MAX(0.00005,B24*Assumptions!$B$16))</f>
        <v>5.0974517560136736E-4</v>
      </c>
      <c r="D24" s="11">
        <f t="shared" si="0"/>
        <v>0.99949025482439868</v>
      </c>
      <c r="E24" s="11">
        <f>D24/(1+Assumptions!$B$6)*(1+(1+Assumptions!$B$8)*E25)</f>
        <v>23.898842052726927</v>
      </c>
      <c r="F24" s="11">
        <f t="shared" si="1"/>
        <v>0.99302515743092945</v>
      </c>
    </row>
    <row r="25" spans="1:6">
      <c r="A25">
        <v>41</v>
      </c>
      <c r="B25" s="10">
        <v>5.4567357737593687E-4</v>
      </c>
      <c r="C25" s="11">
        <f>MIN(0.45,MAX(0.00005,B25*Assumptions!$B$16))</f>
        <v>5.4567357737593687E-4</v>
      </c>
      <c r="D25" s="11">
        <f t="shared" si="0"/>
        <v>0.99945432642262411</v>
      </c>
      <c r="E25" s="11">
        <f>D25/(1+Assumptions!$B$6)*(1+(1+Assumptions!$B$8)*E26)</f>
        <v>23.637920360628151</v>
      </c>
      <c r="F25" s="11">
        <f t="shared" si="1"/>
        <v>0.99251896764767833</v>
      </c>
    </row>
    <row r="26" spans="1:6">
      <c r="A26">
        <v>42</v>
      </c>
      <c r="B26" s="10">
        <v>5.8605710097055317E-4</v>
      </c>
      <c r="C26" s="11">
        <f>MIN(0.45,MAX(0.00005,B26*Assumptions!$B$16))</f>
        <v>5.8605710097055317E-4</v>
      </c>
      <c r="D26" s="11">
        <f t="shared" si="0"/>
        <v>0.99941394289902941</v>
      </c>
      <c r="E26" s="11">
        <f>D26/(1+Assumptions!$B$6)*(1+(1+Assumptions!$B$8)*E27)</f>
        <v>23.370173604733687</v>
      </c>
      <c r="F26" s="11">
        <f t="shared" si="1"/>
        <v>0.99197737627198856</v>
      </c>
    </row>
    <row r="27" spans="1:6">
      <c r="A27">
        <v>43</v>
      </c>
      <c r="B27" s="10">
        <v>6.3144818149090168E-4</v>
      </c>
      <c r="C27" s="11">
        <f>MIN(0.45,MAX(0.00005,B27*Assumptions!$B$16))</f>
        <v>6.3144818149090168E-4</v>
      </c>
      <c r="D27" s="11">
        <f t="shared" si="0"/>
        <v>0.99936855181850914</v>
      </c>
      <c r="E27" s="11">
        <f>D27/(1+Assumptions!$B$6)*(1+(1+Assumptions!$B$8)*E28)</f>
        <v>23.095487879640697</v>
      </c>
      <c r="F27" s="11">
        <f t="shared" si="1"/>
        <v>0.99139602088662215</v>
      </c>
    </row>
    <row r="28" spans="1:6">
      <c r="A28">
        <v>44</v>
      </c>
      <c r="B28" s="10">
        <v>6.8246775599577355E-4</v>
      </c>
      <c r="C28" s="11">
        <f>MIN(0.45,MAX(0.00005,B28*Assumptions!$B$16))</f>
        <v>6.8246775599577355E-4</v>
      </c>
      <c r="D28" s="11">
        <f t="shared" si="0"/>
        <v>0.99931753224400421</v>
      </c>
      <c r="E28" s="11">
        <f>D28/(1+Assumptions!$B$6)*(1+(1+Assumptions!$B$8)*E29)</f>
        <v>22.813754534730684</v>
      </c>
      <c r="F28" s="11">
        <f t="shared" si="1"/>
        <v>0.99077000567209605</v>
      </c>
    </row>
    <row r="29" spans="1:6">
      <c r="A29">
        <v>45</v>
      </c>
      <c r="B29" s="10">
        <v>7.3981375773924957E-4</v>
      </c>
      <c r="C29" s="11">
        <f>MIN(0.45,MAX(0.00005,B29*Assumptions!$B$16))</f>
        <v>7.3981375773924957E-4</v>
      </c>
      <c r="D29" s="11">
        <f t="shared" si="0"/>
        <v>0.99926018624226076</v>
      </c>
      <c r="E29" s="11">
        <f>D29/(1+Assumptions!$B$6)*(1+(1+Assumptions!$B$8)*E30)</f>
        <v>22.52487109460121</v>
      </c>
      <c r="F29" s="11">
        <f t="shared" si="1"/>
        <v>0.99009383708961707</v>
      </c>
    </row>
    <row r="30" spans="1:6">
      <c r="A30">
        <v>46</v>
      </c>
      <c r="B30" s="10">
        <v>8.0427066369891662E-4</v>
      </c>
      <c r="C30" s="11">
        <f>MIN(0.45,MAX(0.00005,B30*Assumptions!$B$16))</f>
        <v>8.0427066369891662E-4</v>
      </c>
      <c r="D30" s="11">
        <f t="shared" si="0"/>
        <v>0.99919572933630108</v>
      </c>
      <c r="E30" s="11">
        <f>D30/(1+Assumptions!$B$6)*(1+(1+Assumptions!$B$8)*E31)</f>
        <v>22.22874225930012</v>
      </c>
      <c r="F30" s="11">
        <f t="shared" si="1"/>
        <v>0.98936135204748532</v>
      </c>
    </row>
    <row r="31" spans="1:6">
      <c r="A31">
        <v>47</v>
      </c>
      <c r="B31" s="10">
        <v>8.767202259975823E-4</v>
      </c>
      <c r="C31" s="11">
        <f>MIN(0.45,MAX(0.00005,B31*Assumptions!$B$16))</f>
        <v>8.767202259975823E-4</v>
      </c>
      <c r="D31" s="11">
        <f t="shared" si="0"/>
        <v>0.99912327977400239</v>
      </c>
      <c r="E31" s="11">
        <f>D31/(1+Assumptions!$B$6)*(1+(1+Assumptions!$B$8)*E32)</f>
        <v>21.925280987652428</v>
      </c>
      <c r="F31" s="11">
        <f t="shared" si="1"/>
        <v>0.98856563773623607</v>
      </c>
    </row>
    <row r="32" spans="1:6">
      <c r="A32">
        <v>48</v>
      </c>
      <c r="B32" s="10">
        <v>9.5815353402128271E-4</v>
      </c>
      <c r="C32" s="11">
        <f>MIN(0.45,MAX(0.00005,B32*Assumptions!$B$16))</f>
        <v>9.5815353402128271E-4</v>
      </c>
      <c r="D32" s="11">
        <f t="shared" si="0"/>
        <v>0.99904184646597871</v>
      </c>
      <c r="E32" s="11">
        <f>D32/(1+Assumptions!$B$6)*(1+(1+Assumptions!$B$8)*E33)</f>
        <v>21.614409666529415</v>
      </c>
      <c r="F32" s="11">
        <f t="shared" si="1"/>
        <v>0.98769894224690646</v>
      </c>
    </row>
    <row r="33" spans="1:6">
      <c r="A33">
        <v>49</v>
      </c>
      <c r="B33" s="10">
        <v>1.0496845722399216E-3</v>
      </c>
      <c r="C33" s="11">
        <f>MIN(0.45,MAX(0.00005,B33*Assumptions!$B$16))</f>
        <v>1.0496845722399216E-3</v>
      </c>
      <c r="D33" s="11">
        <f t="shared" si="0"/>
        <v>0.99895031542776003</v>
      </c>
      <c r="E33" s="11">
        <f>D33/(1+Assumptions!$B$6)*(1+(1+Assumptions!$B$8)*E34)</f>
        <v>21.29606136833312</v>
      </c>
      <c r="F33" s="11">
        <f t="shared" si="1"/>
        <v>0.98675257501484348</v>
      </c>
    </row>
    <row r="34" spans="1:6">
      <c r="A34">
        <v>50</v>
      </c>
      <c r="B34" s="10">
        <v>1.1525654591976722E-3</v>
      </c>
      <c r="C34" s="11">
        <f>MIN(0.45,MAX(0.00005,B34*Assumptions!$B$16))</f>
        <v>1.1525654591976722E-3</v>
      </c>
      <c r="D34" s="11">
        <f t="shared" ref="D34:D65" si="2">1-C34</f>
        <v>0.99884743454080238</v>
      </c>
      <c r="E34" s="11">
        <f>D34/(1+Assumptions!$B$6)*(1+(1+Assumptions!$B$8)*E35)</f>
        <v>20.970181198238368</v>
      </c>
      <c r="F34" s="11">
        <f t="shared" si="1"/>
        <v>0.98571679606023233</v>
      </c>
    </row>
    <row r="35" spans="1:6">
      <c r="A35">
        <v>51</v>
      </c>
      <c r="B35" s="10">
        <v>1.2682035761381835E-3</v>
      </c>
      <c r="C35" s="11">
        <f>MIN(0.45,MAX(0.00005,B35*Assumptions!$B$16))</f>
        <v>1.2682035761381835E-3</v>
      </c>
      <c r="D35" s="11">
        <f t="shared" si="2"/>
        <v>0.99873179642386178</v>
      </c>
      <c r="E35" s="11">
        <f>D35/(1+Assumptions!$B$6)*(1+(1+Assumptions!$B$8)*E36)</f>
        <v>20.636727731828735</v>
      </c>
      <c r="F35" s="11">
        <f t="shared" ref="F35:F66" si="3">F34*D34</f>
        <v>0.98458069292854233</v>
      </c>
    </row>
    <row r="36" spans="1:6">
      <c r="A36">
        <v>52</v>
      </c>
      <c r="B36" s="10">
        <v>1.3981808195793184E-3</v>
      </c>
      <c r="C36" s="11">
        <f>MIN(0.45,MAX(0.00005,B36*Assumptions!$B$16))</f>
        <v>1.3981808195793184E-3</v>
      </c>
      <c r="D36" s="11">
        <f t="shared" si="2"/>
        <v>0.99860181918042068</v>
      </c>
      <c r="E36" s="11">
        <f>D36/(1+Assumptions!$B$6)*(1+(1+Assumptions!$B$8)*E37)</f>
        <v>20.295674542661946</v>
      </c>
      <c r="F36" s="11">
        <f t="shared" si="3"/>
        <v>0.98333204417277376</v>
      </c>
    </row>
    <row r="37" spans="1:6">
      <c r="A37">
        <v>53</v>
      </c>
      <c r="B37" s="10">
        <v>1.544275241207154E-3</v>
      </c>
      <c r="C37" s="11">
        <f>MIN(0.45,MAX(0.00005,B37*Assumptions!$B$16))</f>
        <v>1.544275241207154E-3</v>
      </c>
      <c r="D37" s="11">
        <f t="shared" si="2"/>
        <v>0.99845572475879285</v>
      </c>
      <c r="E37" s="11">
        <f>D37/(1+Assumptions!$B$6)*(1+(1+Assumptions!$B$8)*E38)</f>
        <v>19.947011817983569</v>
      </c>
      <c r="F37" s="11">
        <f t="shared" si="3"/>
        <v>0.98195716816933365</v>
      </c>
    </row>
    <row r="38" spans="1:6">
      <c r="A38">
        <v>54</v>
      </c>
      <c r="B38" s="10">
        <v>1.7084853711168413E-3</v>
      </c>
      <c r="C38" s="11">
        <f>MIN(0.45,MAX(0.00005,B38*Assumptions!$B$16))</f>
        <v>1.7084853711168413E-3</v>
      </c>
      <c r="D38" s="11">
        <f t="shared" si="2"/>
        <v>0.9982915146288831</v>
      </c>
      <c r="E38" s="11">
        <f>D38/(1+Assumptions!$B$6)*(1+(1+Assumptions!$B$8)*E39)</f>
        <v>19.590748059255851</v>
      </c>
      <c r="F38" s="11">
        <f t="shared" si="3"/>
        <v>0.98044075602660385</v>
      </c>
    </row>
    <row r="39" spans="1:6">
      <c r="A39">
        <v>55</v>
      </c>
      <c r="B39" s="10">
        <v>1.8930575571353295E-3</v>
      </c>
      <c r="C39" s="11">
        <f>MIN(0.45,MAX(0.00005,B39*Assumptions!$B$16))</f>
        <v>1.8930575571353295E-3</v>
      </c>
      <c r="D39" s="11">
        <f t="shared" si="2"/>
        <v>0.99810694244286469</v>
      </c>
      <c r="E39" s="11">
        <f>D39/(1+Assumptions!$B$6)*(1+(1+Assumptions!$B$8)*E40)</f>
        <v>19.226911862362222</v>
      </c>
      <c r="F39" s="11">
        <f t="shared" si="3"/>
        <v>0.97876568733768565</v>
      </c>
    </row>
    <row r="40" spans="1:6">
      <c r="A40">
        <v>56</v>
      </c>
      <c r="B40" s="10">
        <v>2.1005166942201108E-3</v>
      </c>
      <c r="C40" s="11">
        <f>MIN(0.45,MAX(0.00005,B40*Assumptions!$B$16))</f>
        <v>2.1005166942201108E-3</v>
      </c>
      <c r="D40" s="11">
        <f t="shared" si="2"/>
        <v>0.99789948330577993</v>
      </c>
      <c r="E40" s="11">
        <f>D40/(1+Assumptions!$B$6)*(1+(1+Assumptions!$B$8)*E41)</f>
        <v>18.855553770271733</v>
      </c>
      <c r="F40" s="11">
        <f t="shared" si="3"/>
        <v>0.97691282755660636</v>
      </c>
    </row>
    <row r="41" spans="1:6">
      <c r="A41">
        <v>57</v>
      </c>
      <c r="B41" s="10">
        <v>2.333700764303405E-3</v>
      </c>
      <c r="C41" s="11">
        <f>MIN(0.45,MAX(0.00005,B41*Assumptions!$B$16))</f>
        <v>2.333700764303405E-3</v>
      </c>
      <c r="D41" s="11">
        <f t="shared" si="2"/>
        <v>0.99766629923569661</v>
      </c>
      <c r="E41" s="11">
        <f>D41/(1+Assumptions!$B$6)*(1+(1+Assumptions!$B$8)*E42)</f>
        <v>18.47674818858891</v>
      </c>
      <c r="F41" s="11">
        <f t="shared" si="3"/>
        <v>0.97486080585352597</v>
      </c>
    </row>
    <row r="42" spans="1:6">
      <c r="A42">
        <v>58</v>
      </c>
      <c r="B42" s="10">
        <v>2.5957996590770271E-3</v>
      </c>
      <c r="C42" s="11">
        <f>MIN(0.45,MAX(0.00005,B42*Assumptions!$B$16))</f>
        <v>2.5957996590770271E-3</v>
      </c>
      <c r="D42" s="11">
        <f t="shared" si="2"/>
        <v>0.99740420034092292</v>
      </c>
      <c r="E42" s="11">
        <f>D42/(1+Assumptions!$B$6)*(1+(1+Assumptions!$B$8)*E43)</f>
        <v>18.090595351765778</v>
      </c>
      <c r="F42" s="11">
        <f t="shared" si="3"/>
        <v>0.97258577244581612</v>
      </c>
    </row>
    <row r="43" spans="1:6">
      <c r="A43">
        <v>59</v>
      </c>
      <c r="B43" s="10">
        <v>2.8903988168025789E-3</v>
      </c>
      <c r="C43" s="11">
        <f>MIN(0.45,MAX(0.00005,B43*Assumptions!$B$16))</f>
        <v>2.8903988168025789E-3</v>
      </c>
      <c r="D43" s="11">
        <f t="shared" si="2"/>
        <v>0.99710960118319747</v>
      </c>
      <c r="E43" s="11">
        <f>D43/(1+Assumptions!$B$6)*(1+(1+Assumptions!$B$8)*E44)</f>
        <v>17.697223324813869</v>
      </c>
      <c r="F43" s="11">
        <f t="shared" si="3"/>
        <v>0.97006113462927801</v>
      </c>
    </row>
    <row r="44" spans="1:6">
      <c r="A44">
        <v>60</v>
      </c>
      <c r="B44" s="10">
        <v>3.2215282700860989E-3</v>
      </c>
      <c r="C44" s="11">
        <f>MIN(0.45,MAX(0.00005,B44*Assumptions!$B$16))</f>
        <v>3.2215282700860989E-3</v>
      </c>
      <c r="D44" s="11">
        <f t="shared" si="2"/>
        <v>0.99677847172991385</v>
      </c>
      <c r="E44" s="11">
        <f>D44/(1+Assumptions!$B$6)*(1+(1+Assumptions!$B$8)*E45)</f>
        <v>17.296790022132885</v>
      </c>
      <c r="F44" s="11">
        <f t="shared" si="3"/>
        <v>0.96725727107351944</v>
      </c>
    </row>
    <row r="45" spans="1:6">
      <c r="A45">
        <v>61</v>
      </c>
      <c r="B45" s="10">
        <v>3.5937177755767753E-3</v>
      </c>
      <c r="C45" s="11">
        <f>MIN(0.45,MAX(0.00005,B45*Assumptions!$B$16))</f>
        <v>3.5937177755767753E-3</v>
      </c>
      <c r="D45" s="11">
        <f t="shared" si="2"/>
        <v>0.99640628222442318</v>
      </c>
      <c r="E45" s="11">
        <f>D45/(1+Assumptions!$B$6)*(1+(1+Assumptions!$B$8)*E46)</f>
        <v>16.889485221588366</v>
      </c>
      <c r="F45" s="11">
        <f t="shared" si="3"/>
        <v>0.9641412244303097</v>
      </c>
    </row>
    <row r="46" spans="1:6">
      <c r="A46">
        <v>62</v>
      </c>
      <c r="B46" s="10">
        <v>4.0120587797482961E-3</v>
      </c>
      <c r="C46" s="11">
        <f>MIN(0.45,MAX(0.00005,B46*Assumptions!$B$16))</f>
        <v>4.0120587797482961E-3</v>
      </c>
      <c r="D46" s="11">
        <f t="shared" si="2"/>
        <v>0.99598794122025169</v>
      </c>
      <c r="E46" s="11">
        <f>D46/(1+Assumptions!$B$6)*(1+(1+Assumptions!$B$8)*E47)</f>
        <v>16.475532548255334</v>
      </c>
      <c r="F46" s="11">
        <f t="shared" si="3"/>
        <v>0.96067637297390807</v>
      </c>
    </row>
    <row r="47" spans="1:6">
      <c r="A47">
        <v>63</v>
      </c>
      <c r="B47" s="10">
        <v>4.4822740684370846E-3</v>
      </c>
      <c r="C47" s="11">
        <f>MIN(0.45,MAX(0.00005,B47*Assumptions!$B$16))</f>
        <v>4.4822740684370846E-3</v>
      </c>
      <c r="D47" s="11">
        <f t="shared" si="2"/>
        <v>0.99551772593156296</v>
      </c>
      <c r="E47" s="11">
        <f>D47/(1+Assumptions!$B$6)*(1+(1+Assumptions!$B$8)*E48)</f>
        <v>16.055191398346196</v>
      </c>
      <c r="F47" s="11">
        <f t="shared" si="3"/>
        <v>0.95682208289722137</v>
      </c>
    </row>
    <row r="48" spans="1:6">
      <c r="A48">
        <v>64</v>
      </c>
      <c r="B48" s="10">
        <v>5.0107960529232835E-3</v>
      </c>
      <c r="C48" s="11">
        <f>MIN(0.45,MAX(0.00005,B48*Assumptions!$B$16))</f>
        <v>5.0107960529232835E-3</v>
      </c>
      <c r="D48" s="11">
        <f t="shared" si="2"/>
        <v>0.99498920394707668</v>
      </c>
      <c r="E48" s="11">
        <f>D48/(1+Assumptions!$B$6)*(1+(1+Assumptions!$B$8)*E49)</f>
        <v>15.628758769824573</v>
      </c>
      <c r="F48" s="11">
        <f t="shared" si="3"/>
        <v>0.95253334408694323</v>
      </c>
    </row>
    <row r="49" spans="1:6">
      <c r="A49">
        <v>65</v>
      </c>
      <c r="B49" s="10">
        <v>5.6048547634857723E-3</v>
      </c>
      <c r="C49" s="11">
        <f>MIN(0.45,MAX(0.00005,B49*Assumptions!$B$16))</f>
        <v>5.6048547634857723E-3</v>
      </c>
      <c r="D49" s="11">
        <f t="shared" si="2"/>
        <v>0.99439514523651418</v>
      </c>
      <c r="E49" s="11">
        <f>D49/(1+Assumptions!$B$6)*(1+(1+Assumptions!$B$8)*E50)</f>
        <v>15.196570962158528</v>
      </c>
      <c r="F49" s="11">
        <f t="shared" si="3"/>
        <v>0.94776039376611454</v>
      </c>
    </row>
    <row r="50" spans="1:6">
      <c r="A50">
        <v>66</v>
      </c>
      <c r="B50" s="10">
        <v>6.2725767541580088E-3</v>
      </c>
      <c r="C50" s="11">
        <f>MIN(0.45,MAX(0.00005,B50*Assumptions!$B$16))</f>
        <v>6.2725767541580088E-3</v>
      </c>
      <c r="D50" s="11">
        <f t="shared" si="2"/>
        <v>0.99372742324584196</v>
      </c>
      <c r="E50" s="11">
        <f>D50/(1+Assumptions!$B$6)*(1+(1+Assumptions!$B$8)*E51)</f>
        <v>14.759005103694845</v>
      </c>
      <c r="F50" s="11">
        <f t="shared" si="3"/>
        <v>0.94244833440847131</v>
      </c>
    </row>
    <row r="51" spans="1:6">
      <c r="A51">
        <v>67</v>
      </c>
      <c r="B51" s="10">
        <v>7.0230962716736024E-3</v>
      </c>
      <c r="C51" s="11">
        <f>MIN(0.45,MAX(0.00005,B51*Assumptions!$B$16))</f>
        <v>7.0230962716736024E-3</v>
      </c>
      <c r="D51" s="11">
        <f t="shared" si="2"/>
        <v>0.99297690372832637</v>
      </c>
      <c r="E51" s="11">
        <f>D51/(1+Assumptions!$B$6)*(1+(1+Assumptions!$B$8)*E52)</f>
        <v>14.316480461373482</v>
      </c>
      <c r="F51" s="11">
        <f t="shared" si="3"/>
        <v>0.93653675489406574</v>
      </c>
    </row>
    <row r="52" spans="1:6">
      <c r="A52">
        <v>68</v>
      </c>
      <c r="B52" s="10">
        <v>7.8666802093611283E-3</v>
      </c>
      <c r="C52" s="11">
        <f>MIN(0.45,MAX(0.00005,B52*Assumptions!$B$16))</f>
        <v>7.8666802093611283E-3</v>
      </c>
      <c r="D52" s="11">
        <f t="shared" si="2"/>
        <v>0.9921333197906389</v>
      </c>
      <c r="E52" s="11">
        <f>D52/(1+Assumptions!$B$6)*(1+(1+Assumptions!$B$8)*E53)</f>
        <v>13.869459484105445</v>
      </c>
      <c r="F52" s="11">
        <f t="shared" si="3"/>
        <v>0.92995936710248395</v>
      </c>
    </row>
    <row r="53" spans="1:6">
      <c r="A53">
        <v>69</v>
      </c>
      <c r="B53" s="10">
        <v>8.81486855532191E-3</v>
      </c>
      <c r="C53" s="11">
        <f>MIN(0.45,MAX(0.00005,B53*Assumptions!$B$16))</f>
        <v>8.81486855532191E-3</v>
      </c>
      <c r="D53" s="11">
        <f t="shared" si="2"/>
        <v>0.99118513144467812</v>
      </c>
      <c r="E53" s="11">
        <f>D53/(1+Assumptions!$B$6)*(1+(1+Assumptions!$B$8)*E54)</f>
        <v>13.418448528291036</v>
      </c>
      <c r="F53" s="11">
        <f t="shared" si="3"/>
        <v>0.9226436741537889</v>
      </c>
    </row>
    <row r="54" spans="1:6">
      <c r="A54">
        <v>70</v>
      </c>
      <c r="B54" s="10">
        <v>9.8806322561818278E-3</v>
      </c>
      <c r="C54" s="11">
        <f>MIN(0.45,MAX(0.00005,B54*Assumptions!$B$16))</f>
        <v>9.8806322561818278E-3</v>
      </c>
      <c r="D54" s="11">
        <f t="shared" si="2"/>
        <v>0.99011936774381815</v>
      </c>
      <c r="E54" s="11">
        <f>D54/(1+Assumptions!$B$6)*(1+(1+Assumptions!$B$8)*E55)</f>
        <v>12.963998211865617</v>
      </c>
      <c r="F54" s="11">
        <f t="shared" si="3"/>
        <v>0.91451069144272401</v>
      </c>
    </row>
    <row r="55" spans="1:6">
      <c r="A55">
        <v>71</v>
      </c>
      <c r="B55" s="10">
        <v>1.1078550655948375E-2</v>
      </c>
      <c r="C55" s="11">
        <f>MIN(0.45,MAX(0.00005,B55*Assumptions!$B$16))</f>
        <v>1.1078550655948375E-2</v>
      </c>
      <c r="D55" s="11">
        <f t="shared" si="2"/>
        <v>0.98892144934405157</v>
      </c>
      <c r="E55" s="11">
        <f>D55/(1+Assumptions!$B$6)*(1+(1+Assumptions!$B$8)*E56)</f>
        <v>12.506703342154774</v>
      </c>
      <c r="F55" s="11">
        <f t="shared" si="3"/>
        <v>0.90547474760623181</v>
      </c>
    </row>
    <row r="56" spans="1:6">
      <c r="A56">
        <v>72</v>
      </c>
      <c r="B56" s="10">
        <v>1.2425010937285975E-2</v>
      </c>
      <c r="C56" s="11">
        <f>MIN(0.45,MAX(0.00005,B56*Assumptions!$B$16))</f>
        <v>1.2425010937285975E-2</v>
      </c>
      <c r="D56" s="11">
        <f t="shared" si="2"/>
        <v>0.98757498906271401</v>
      </c>
      <c r="E56" s="11">
        <f>D56/(1+Assumptions!$B$6)*(1+(1+Assumptions!$B$8)*E57)</f>
        <v>12.047202362945457</v>
      </c>
      <c r="F56" s="11">
        <f t="shared" si="3"/>
        <v>0.895443399747194</v>
      </c>
    </row>
    <row r="57" spans="1:6">
      <c r="A57">
        <v>73</v>
      </c>
      <c r="B57" s="10">
        <v>1.3938432293509438E-2</v>
      </c>
      <c r="C57" s="11">
        <f>MIN(0.45,MAX(0.00005,B57*Assumptions!$B$16))</f>
        <v>1.3938432293509438E-2</v>
      </c>
      <c r="D57" s="11">
        <f t="shared" si="2"/>
        <v>0.98606156770649056</v>
      </c>
      <c r="E57" s="11">
        <f>D57/(1+Assumptions!$B$6)*(1+(1+Assumptions!$B$8)*E58)</f>
        <v>11.586176267789867</v>
      </c>
      <c r="F57" s="11">
        <f t="shared" si="3"/>
        <v>0.8843175057116146</v>
      </c>
    </row>
    <row r="58" spans="1:6">
      <c r="A58">
        <v>74</v>
      </c>
      <c r="B58" s="10">
        <v>1.563951789790461E-2</v>
      </c>
      <c r="C58" s="11">
        <f>MIN(0.45,MAX(0.00005,B58*Assumptions!$B$16))</f>
        <v>1.563951789790461E-2</v>
      </c>
      <c r="D58" s="11">
        <f t="shared" si="2"/>
        <v>0.98436048210209537</v>
      </c>
      <c r="E58" s="11">
        <f>D58/(1+Assumptions!$B$6)*(1+(1+Assumptions!$B$8)*E59)</f>
        <v>11.124346929912107</v>
      </c>
      <c r="F58" s="11">
        <f t="shared" si="3"/>
        <v>0.87199150603228814</v>
      </c>
    </row>
    <row r="59" spans="1:6">
      <c r="A59">
        <v>75</v>
      </c>
      <c r="B59" s="10">
        <v>1.7551538117244785E-2</v>
      </c>
      <c r="C59" s="11">
        <f>MIN(0.45,MAX(0.00005,B59*Assumptions!$B$16))</f>
        <v>1.7551538117244785E-2</v>
      </c>
      <c r="D59" s="11">
        <f t="shared" si="2"/>
        <v>0.98244846188275525</v>
      </c>
      <c r="E59" s="11">
        <f>D59/(1+Assumptions!$B$6)*(1+(1+Assumptions!$B$8)*E60)</f>
        <v>10.662474804432929</v>
      </c>
      <c r="F59" s="11">
        <f t="shared" si="3"/>
        <v>0.8583539792668754</v>
      </c>
    </row>
    <row r="60" spans="1:6">
      <c r="A60">
        <v>76</v>
      </c>
      <c r="B60" s="10">
        <v>1.9700648843783142E-2</v>
      </c>
      <c r="C60" s="11">
        <f>MIN(0.45,MAX(0.00005,B60*Assumptions!$B$16))</f>
        <v>1.9700648843783142E-2</v>
      </c>
      <c r="D60" s="11">
        <f t="shared" si="2"/>
        <v>0.9802993511562168</v>
      </c>
      <c r="E60" s="11">
        <f>D60/(1+Assumptions!$B$6)*(1+(1+Assumptions!$B$8)*E61)</f>
        <v>10.201355966192867</v>
      </c>
      <c r="F60" s="11">
        <f t="shared" si="3"/>
        <v>0.84328854668168418</v>
      </c>
    </row>
    <row r="61" spans="1:6">
      <c r="A61">
        <v>77</v>
      </c>
      <c r="B61" s="10">
        <v>2.2116249300412252E-2</v>
      </c>
      <c r="C61" s="11">
        <f>MIN(0.45,MAX(0.00005,B61*Assumptions!$B$16))</f>
        <v>2.2116249300412252E-2</v>
      </c>
      <c r="D61" s="11">
        <f t="shared" si="2"/>
        <v>0.97788375069958777</v>
      </c>
      <c r="E61" s="11">
        <f>D61/(1+Assumptions!$B$6)*(1+(1+Assumptions!$B$8)*E62)</f>
        <v>9.7418184564319716</v>
      </c>
      <c r="F61" s="11">
        <f t="shared" si="3"/>
        <v>0.82667521514952402</v>
      </c>
    </row>
    <row r="62" spans="1:6">
      <c r="A62">
        <v>78</v>
      </c>
      <c r="B62" s="10">
        <v>2.4831384213663373E-2</v>
      </c>
      <c r="C62" s="11">
        <f>MIN(0.45,MAX(0.00005,B62*Assumptions!$B$16))</f>
        <v>2.4831384213663373E-2</v>
      </c>
      <c r="D62" s="11">
        <f t="shared" si="2"/>
        <v>0.97516861578633662</v>
      </c>
      <c r="E62" s="11">
        <f>D62/(1+Assumptions!$B$6)*(1+(1+Assumptions!$B$8)*E63)</f>
        <v>9.2847179241203879</v>
      </c>
      <c r="F62" s="11">
        <f t="shared" si="3"/>
        <v>0.80839226000080522</v>
      </c>
    </row>
    <row r="63" spans="1:6">
      <c r="A63">
        <v>79</v>
      </c>
      <c r="B63" s="10">
        <v>2.788319585615763E-2</v>
      </c>
      <c r="C63" s="11">
        <f>MIN(0.45,MAX(0.00005,B63*Assumptions!$B$16))</f>
        <v>2.788319585615763E-2</v>
      </c>
      <c r="D63" s="11">
        <f t="shared" si="2"/>
        <v>0.97211680414384238</v>
      </c>
      <c r="E63" s="11">
        <f>D63/(1+Assumptions!$B$6)*(1+(1+Assumptions!$B$8)*E64)</f>
        <v>8.8309325629147608</v>
      </c>
      <c r="F63" s="11">
        <f t="shared" si="3"/>
        <v>0.78831876119737354</v>
      </c>
    </row>
    <row r="64" spans="1:6">
      <c r="A64">
        <v>80</v>
      </c>
      <c r="B64" s="10">
        <v>3.1313432142321185E-2</v>
      </c>
      <c r="C64" s="11">
        <f>MIN(0.45,MAX(0.00005,B64*Assumptions!$B$16))</f>
        <v>3.1313432142321185E-2</v>
      </c>
      <c r="D64" s="11">
        <f t="shared" si="2"/>
        <v>0.96868656785767882</v>
      </c>
      <c r="E64" s="11">
        <f>D64/(1+Assumptions!$B$6)*(1+(1+Assumptions!$B$8)*E65)</f>
        <v>8.3813573625622979</v>
      </c>
      <c r="F64" s="11">
        <f t="shared" si="3"/>
        <v>0.76633791478182367</v>
      </c>
    </row>
    <row r="65" spans="1:6">
      <c r="A65">
        <v>81</v>
      </c>
      <c r="B65" s="10">
        <v>3.5169017727969008E-2</v>
      </c>
      <c r="C65" s="11">
        <f>MIN(0.45,MAX(0.00005,B65*Assumptions!$B$16))</f>
        <v>3.5169017727969008E-2</v>
      </c>
      <c r="D65" s="11">
        <f t="shared" si="2"/>
        <v>0.96483098227203101</v>
      </c>
      <c r="E65" s="11">
        <f>D65/(1+Assumptions!$B$6)*(1+(1+Assumptions!$B$8)*E66)</f>
        <v>7.9368977140485031</v>
      </c>
      <c r="F65" s="11">
        <f t="shared" si="3"/>
        <v>0.74234124448921512</v>
      </c>
    </row>
    <row r="66" spans="1:6">
      <c r="A66">
        <v>82</v>
      </c>
      <c r="B66" s="10">
        <v>3.9502695926237168E-2</v>
      </c>
      <c r="C66" s="11">
        <f>MIN(0.45,MAX(0.00005,B66*Assumptions!$B$16))</f>
        <v>3.9502695926237168E-2</v>
      </c>
      <c r="D66" s="11">
        <f t="shared" ref="D66:D97" si="4">1-C66</f>
        <v>0.96049730407376288</v>
      </c>
      <c r="E66" s="11">
        <f>D66/(1+Assumptions!$B$6)*(1+(1+Assumptions!$B$8)*E67)</f>
        <v>7.4984624308085976</v>
      </c>
      <c r="F66" s="11">
        <f t="shared" si="3"/>
        <v>0.71623383210157132</v>
      </c>
    </row>
    <row r="67" spans="1:6">
      <c r="A67">
        <v>83</v>
      </c>
      <c r="B67" s="10">
        <v>4.4373750221090587E-2</v>
      </c>
      <c r="C67" s="11">
        <f>MIN(0.45,MAX(0.00005,B67*Assumptions!$B$16))</f>
        <v>4.4373750221090587E-2</v>
      </c>
      <c r="D67" s="11">
        <f t="shared" si="4"/>
        <v>0.95562624977890942</v>
      </c>
      <c r="E67" s="11">
        <f>D67/(1+Assumptions!$B$6)*(1+(1+Assumptions!$B$8)*E68)</f>
        <v>7.0669562738307876</v>
      </c>
      <c r="F67" s="11">
        <f t="shared" ref="F67:F98" si="5">F66*D66</f>
        <v>0.6879406648199794</v>
      </c>
    </row>
    <row r="68" spans="1:6">
      <c r="A68">
        <v>84</v>
      </c>
      <c r="B68" s="10">
        <v>4.9848815248505818E-2</v>
      </c>
      <c r="C68" s="11">
        <f>MIN(0.45,MAX(0.00005,B68*Assumptions!$B$16))</f>
        <v>4.9848815248505818E-2</v>
      </c>
      <c r="D68" s="11">
        <f t="shared" si="4"/>
        <v>0.95015118475149418</v>
      </c>
      <c r="E68" s="11">
        <f>D68/(1+Assumptions!$B$6)*(1+(1+Assumptions!$B$8)*E69)</f>
        <v>6.6432720965175314</v>
      </c>
      <c r="F68" s="11">
        <f t="shared" si="5"/>
        <v>0.65741415759232669</v>
      </c>
    </row>
    <row r="69" spans="1:6">
      <c r="A69">
        <v>85</v>
      </c>
      <c r="B69" s="10">
        <v>5.6002788339320549E-2</v>
      </c>
      <c r="C69" s="11">
        <f>MIN(0.45,MAX(0.00005,B69*Assumptions!$B$16))</f>
        <v>5.6002788339320549E-2</v>
      </c>
      <c r="D69" s="11">
        <f t="shared" si="4"/>
        <v>0.9439972116606794</v>
      </c>
      <c r="E69" s="11">
        <f>D69/(1+Assumptions!$B$6)*(1+(1+Assumptions!$B$8)*E70)</f>
        <v>6.2282827560748935</v>
      </c>
      <c r="F69" s="11">
        <f t="shared" si="5"/>
        <v>0.62464284070875475</v>
      </c>
    </row>
    <row r="70" spans="1:6">
      <c r="A70">
        <v>86</v>
      </c>
      <c r="B70" s="10">
        <v>6.2919854093396302E-2</v>
      </c>
      <c r="C70" s="11">
        <f>MIN(0.45,MAX(0.00005,B70*Assumptions!$B$16))</f>
        <v>6.2919854093396302E-2</v>
      </c>
      <c r="D70" s="11">
        <f t="shared" si="4"/>
        <v>0.93708014590660371</v>
      </c>
      <c r="E70" s="11">
        <f>D70/(1+Assumptions!$B$6)*(1+(1+Assumptions!$B$8)*E71)</f>
        <v>5.822832972912483</v>
      </c>
      <c r="F70" s="11">
        <f t="shared" si="5"/>
        <v>0.58966109991287041</v>
      </c>
    </row>
    <row r="71" spans="1:6">
      <c r="A71">
        <v>87</v>
      </c>
      <c r="B71" s="10">
        <v>7.0694636000977445E-2</v>
      </c>
      <c r="C71" s="11">
        <f>MIN(0.45,MAX(0.00005,B71*Assumptions!$B$16))</f>
        <v>7.0694636000977445E-2</v>
      </c>
      <c r="D71" s="11">
        <f t="shared" si="4"/>
        <v>0.92930536399902253</v>
      </c>
      <c r="E71" s="11">
        <f>D71/(1+Assumptions!$B$6)*(1+(1+Assumptions!$B$8)*E72)</f>
        <v>5.427731360162463</v>
      </c>
      <c r="F71" s="11">
        <f t="shared" si="5"/>
        <v>0.552559709541801</v>
      </c>
    </row>
    <row r="72" spans="1:6">
      <c r="A72">
        <v>88</v>
      </c>
      <c r="B72" s="10">
        <v>7.9433490865098669E-2</v>
      </c>
      <c r="C72" s="11">
        <f>MIN(0.45,MAX(0.00005,B72*Assumptions!$B$16))</f>
        <v>7.9433490865098669E-2</v>
      </c>
      <c r="D72" s="11">
        <f t="shared" si="4"/>
        <v>0.92056650913490135</v>
      </c>
      <c r="E72" s="11">
        <f>D72/(1+Assumptions!$B$6)*(1+(1+Assumptions!$B$8)*E73)</f>
        <v>5.0437428962217341</v>
      </c>
      <c r="F72" s="11">
        <f t="shared" si="5"/>
        <v>0.51349670200693753</v>
      </c>
    </row>
    <row r="73" spans="1:6">
      <c r="A73">
        <v>89</v>
      </c>
      <c r="B73" s="10">
        <v>8.9255963732370908E-2</v>
      </c>
      <c r="C73" s="11">
        <f>MIN(0.45,MAX(0.00005,B73*Assumptions!$B$16))</f>
        <v>8.9255963732370908E-2</v>
      </c>
      <c r="D73" s="11">
        <f t="shared" si="4"/>
        <v>0.91074403626762912</v>
      </c>
      <c r="E73" s="11">
        <f>D73/(1+Assumptions!$B$6)*(1+(1+Assumptions!$B$8)*E74)</f>
        <v>4.6715821823893648</v>
      </c>
      <c r="F73" s="11">
        <f t="shared" si="5"/>
        <v>0.47270786641881118</v>
      </c>
    </row>
    <row r="74" spans="1:6">
      <c r="A74">
        <v>90</v>
      </c>
      <c r="B74" s="10">
        <v>0.10029642323518491</v>
      </c>
      <c r="C74" s="11">
        <f>MIN(0.45,MAX(0.00005,B74*Assumptions!$B$16))</f>
        <v>0.10029642323518491</v>
      </c>
      <c r="D74" s="11">
        <f t="shared" si="4"/>
        <v>0.89970357676481505</v>
      </c>
      <c r="E74" s="11">
        <f>D74/(1+Assumptions!$B$6)*(1+(1+Assumptions!$B$8)*E75)</f>
        <v>4.3119079307087222</v>
      </c>
      <c r="F74" s="11">
        <f t="shared" si="5"/>
        <v>0.43051587023772736</v>
      </c>
    </row>
    <row r="75" spans="1:6">
      <c r="A75">
        <v>91</v>
      </c>
      <c r="B75" s="10">
        <v>0.11270589971634785</v>
      </c>
      <c r="C75" s="11">
        <f>MIN(0.45,MAX(0.00005,B75*Assumptions!$B$16))</f>
        <v>0.11270589971634785</v>
      </c>
      <c r="D75" s="11">
        <f t="shared" si="4"/>
        <v>0.88729410028365219</v>
      </c>
      <c r="E75" s="11">
        <f>D75/(1+Assumptions!$B$6)*(1+(1+Assumptions!$B$8)*E76)</f>
        <v>3.9653192932479766</v>
      </c>
      <c r="F75" s="11">
        <f t="shared" si="5"/>
        <v>0.38733666830690028</v>
      </c>
    </row>
    <row r="76" spans="1:6">
      <c r="A76">
        <v>92</v>
      </c>
      <c r="B76" s="10">
        <v>0.12665415128117499</v>
      </c>
      <c r="C76" s="11">
        <f>MIN(0.45,MAX(0.00005,B76*Assumptions!$B$16))</f>
        <v>0.12665415128117499</v>
      </c>
      <c r="D76" s="11">
        <f t="shared" si="4"/>
        <v>0.87334584871882504</v>
      </c>
      <c r="E76" s="11">
        <f>D76/(1+Assumptions!$B$6)*(1+(1+Assumptions!$B$8)*E77)</f>
        <v>3.6323549289294061</v>
      </c>
      <c r="F76" s="11">
        <f t="shared" si="5"/>
        <v>0.34368154061223849</v>
      </c>
    </row>
    <row r="77" spans="1:6">
      <c r="A77">
        <v>93</v>
      </c>
      <c r="B77" s="10">
        <v>0.14233198604004071</v>
      </c>
      <c r="C77" s="11">
        <f>MIN(0.45,MAX(0.00005,B77*Assumptions!$B$16))</f>
        <v>0.14233198604004071</v>
      </c>
      <c r="D77" s="11">
        <f t="shared" si="4"/>
        <v>0.85766801395995929</v>
      </c>
      <c r="E77" s="11">
        <f>D77/(1+Assumptions!$B$6)*(1+(1+Assumptions!$B$8)*E78)</f>
        <v>3.3134962158088737</v>
      </c>
      <c r="F77" s="11">
        <f t="shared" si="5"/>
        <v>0.30015284677498877</v>
      </c>
    </row>
    <row r="78" spans="1:6">
      <c r="A78">
        <v>94</v>
      </c>
      <c r="B78" s="10">
        <v>0.15995387230900576</v>
      </c>
      <c r="C78" s="11">
        <f>MIN(0.45,MAX(0.00005,B78*Assumptions!$B$16))</f>
        <v>0.15995387230900576</v>
      </c>
      <c r="D78" s="11">
        <f t="shared" si="4"/>
        <v>0.84004612769099429</v>
      </c>
      <c r="E78" s="11">
        <f>D78/(1+Assumptions!$B$6)*(1+(1+Assumptions!$B$8)*E79)</f>
        <v>3.0091769712612053</v>
      </c>
      <c r="F78" s="11">
        <f t="shared" si="5"/>
        <v>0.25743149597793258</v>
      </c>
    </row>
    <row r="79" spans="1:6">
      <c r="A79">
        <v>95</v>
      </c>
      <c r="B79" s="10">
        <v>0.17976087247532249</v>
      </c>
      <c r="C79" s="11">
        <f>MIN(0.45,MAX(0.00005,B79*Assumptions!$B$16))</f>
        <v>0.17976087247532249</v>
      </c>
      <c r="D79" s="11">
        <f t="shared" si="4"/>
        <v>0.82023912752467754</v>
      </c>
      <c r="E79" s="11">
        <f>D79/(1+Assumptions!$B$6)*(1+(1+Assumptions!$B$8)*E80)</f>
        <v>2.7198038847359887</v>
      </c>
      <c r="F79" s="11">
        <f t="shared" si="5"/>
        <v>0.21625433134196204</v>
      </c>
    </row>
    <row r="80" spans="1:6">
      <c r="A80">
        <v>96</v>
      </c>
      <c r="B80" s="10">
        <v>0.20202394066226251</v>
      </c>
      <c r="C80" s="11">
        <f>MIN(0.45,MAX(0.00005,B80*Assumptions!$B$16))</f>
        <v>0.20202394066226251</v>
      </c>
      <c r="D80" s="11">
        <f t="shared" si="4"/>
        <v>0.79797605933773752</v>
      </c>
      <c r="E80" s="11">
        <f>D80/(1+Assumptions!$B$6)*(1+(1+Assumptions!$B$8)*E81)</f>
        <v>2.4457955492957879</v>
      </c>
      <c r="F80" s="11">
        <f t="shared" si="5"/>
        <v>0.17738026406336346</v>
      </c>
    </row>
    <row r="81" spans="1:6">
      <c r="A81">
        <v>97</v>
      </c>
      <c r="B81" s="10">
        <v>0.22704762930438308</v>
      </c>
      <c r="C81" s="11">
        <f>MIN(0.45,MAX(0.00005,B81*Assumptions!$B$16))</f>
        <v>0.22704762930438308</v>
      </c>
      <c r="D81" s="11">
        <f t="shared" si="4"/>
        <v>0.77295237069561695</v>
      </c>
      <c r="E81" s="11">
        <f>D81/(1+Assumptions!$B$6)*(1+(1+Assumptions!$B$8)*E82)</f>
        <v>2.1876556217524694</v>
      </c>
      <c r="F81" s="11">
        <f t="shared" si="5"/>
        <v>0.14154520412157007</v>
      </c>
    </row>
    <row r="82" spans="1:6">
      <c r="A82">
        <v>98</v>
      </c>
      <c r="B82" s="10">
        <v>0.2551742553381266</v>
      </c>
      <c r="C82" s="11">
        <f>MIN(0.45,MAX(0.00005,B82*Assumptions!$B$16))</f>
        <v>0.2551742553381266</v>
      </c>
      <c r="D82" s="11">
        <f t="shared" si="4"/>
        <v>0.74482574466187335</v>
      </c>
      <c r="E82" s="11">
        <f>D82/(1+Assumptions!$B$6)*(1+(1+Assumptions!$B$8)*E83)</f>
        <v>1.9461122081112694</v>
      </c>
      <c r="F82" s="11">
        <f t="shared" si="5"/>
        <v>0.10940770108636259</v>
      </c>
    </row>
    <row r="83" spans="1:6">
      <c r="A83">
        <v>99</v>
      </c>
      <c r="B83" s="10">
        <v>0.28678858300005433</v>
      </c>
      <c r="C83" s="11">
        <f>MIN(0.45,MAX(0.00005,B83*Assumptions!$B$16))</f>
        <v>0.28678858300005433</v>
      </c>
      <c r="D83" s="11">
        <f t="shared" si="4"/>
        <v>0.71321141699994572</v>
      </c>
      <c r="E83" s="11">
        <f>D83/(1+Assumptions!$B$6)*(1+(1+Assumptions!$B$8)*E84)</f>
        <v>1.7223932794705381</v>
      </c>
      <c r="F83" s="11">
        <f t="shared" si="5"/>
        <v>8.1489672433393667E-2</v>
      </c>
    </row>
    <row r="84" spans="1:6">
      <c r="A84">
        <v>100</v>
      </c>
      <c r="B84" s="10">
        <v>0.32232308729206116</v>
      </c>
      <c r="C84" s="11">
        <f>MIN(0.45,MAX(0.00005,B84*Assumptions!$B$16))</f>
        <v>0.32232308729206116</v>
      </c>
      <c r="D84" s="11">
        <f t="shared" si="4"/>
        <v>0.67767691270793884</v>
      </c>
      <c r="E84" s="11">
        <f>D84/(1+Assumptions!$B$6)*(1+(1+Assumptions!$B$8)*E85)</f>
        <v>1.5187986899992907</v>
      </c>
      <c r="F84" s="11">
        <f t="shared" si="5"/>
        <v>5.8119364747082111E-2</v>
      </c>
    </row>
    <row r="85" spans="1:6">
      <c r="A85">
        <v>101</v>
      </c>
      <c r="B85" s="10">
        <v>0.36226387011627675</v>
      </c>
      <c r="C85" s="11">
        <f>MIN(0.45,MAX(0.00005,B85*Assumptions!$B$16))</f>
        <v>0.36226387011627675</v>
      </c>
      <c r="D85" s="11">
        <f t="shared" si="4"/>
        <v>0.63773612988372319</v>
      </c>
      <c r="E85" s="11">
        <f>D85/(1+Assumptions!$B$6)*(1+(1+Assumptions!$B$8)*E86)</f>
        <v>1.3399623349602428</v>
      </c>
      <c r="F85" s="11">
        <f t="shared" si="5"/>
        <v>3.9386151670349222E-2</v>
      </c>
    </row>
    <row r="86" spans="1:6">
      <c r="A86">
        <v>102</v>
      </c>
      <c r="B86" s="10">
        <v>0.40715731001069505</v>
      </c>
      <c r="C86" s="11">
        <f>MIN(0.45,MAX(0.00005,B86*Assumptions!$B$16))</f>
        <v>0.40715731001069505</v>
      </c>
      <c r="D86" s="11">
        <f t="shared" si="4"/>
        <v>0.59284268998930489</v>
      </c>
      <c r="E86" s="11">
        <f>D86/(1+Assumptions!$B$6)*(1+(1+Assumptions!$B$8)*E87)</f>
        <v>1.1958420001520929</v>
      </c>
      <c r="F86" s="11">
        <f t="shared" si="5"/>
        <v>2.5117971937261851E-2</v>
      </c>
    </row>
    <row r="87" spans="1:6">
      <c r="A87">
        <v>103</v>
      </c>
      <c r="B87" s="10">
        <v>0.45</v>
      </c>
      <c r="C87" s="11">
        <f>MIN(0.45,MAX(0.00005,B87*Assumptions!$B$16))</f>
        <v>0.45</v>
      </c>
      <c r="D87" s="11">
        <f t="shared" si="4"/>
        <v>0.55000000000000004</v>
      </c>
      <c r="E87" s="11">
        <f>D87/(1+Assumptions!$B$6)*(1+(1+Assumptions!$B$8)*E88)</f>
        <v>1.1094160873772509</v>
      </c>
      <c r="F87" s="11">
        <f t="shared" si="5"/>
        <v>1.4891006050362187E-2</v>
      </c>
    </row>
    <row r="88" spans="1:6">
      <c r="A88">
        <v>104</v>
      </c>
      <c r="B88" s="10">
        <v>0.45</v>
      </c>
      <c r="C88" s="11">
        <f>MIN(0.45,MAX(0.00005,B88*Assumptions!$B$16))</f>
        <v>0.45</v>
      </c>
      <c r="D88" s="11">
        <f t="shared" si="4"/>
        <v>0.55000000000000004</v>
      </c>
      <c r="E88" s="11">
        <f>D88/(1+Assumptions!$B$6)*(1+(1+Assumptions!$B$8)*E89)</f>
        <v>1.1094038349701756</v>
      </c>
      <c r="F88" s="11">
        <f t="shared" si="5"/>
        <v>8.1900533276992038E-3</v>
      </c>
    </row>
    <row r="89" spans="1:6">
      <c r="A89">
        <v>105</v>
      </c>
      <c r="B89" s="10">
        <v>0.45</v>
      </c>
      <c r="C89" s="11">
        <f>MIN(0.45,MAX(0.00005,B89*Assumptions!$B$16))</f>
        <v>0.45</v>
      </c>
      <c r="D89" s="11">
        <f t="shared" si="4"/>
        <v>0.55000000000000004</v>
      </c>
      <c r="E89" s="11">
        <f>D89/(1+Assumptions!$B$6)*(1+(1+Assumptions!$B$8)*E90)</f>
        <v>1.1093809121532487</v>
      </c>
      <c r="F89" s="11">
        <f t="shared" si="5"/>
        <v>4.5045293302345621E-3</v>
      </c>
    </row>
    <row r="90" spans="1:6">
      <c r="A90">
        <v>106</v>
      </c>
      <c r="B90" s="10">
        <v>0.45</v>
      </c>
      <c r="C90" s="11">
        <f>MIN(0.45,MAX(0.00005,B90*Assumptions!$B$16))</f>
        <v>0.45</v>
      </c>
      <c r="D90" s="11">
        <f t="shared" si="4"/>
        <v>0.55000000000000004</v>
      </c>
      <c r="E90" s="11">
        <f>D90/(1+Assumptions!$B$6)*(1+(1+Assumptions!$B$8)*E91)</f>
        <v>1.1093380262506984</v>
      </c>
      <c r="F90" s="11">
        <f t="shared" si="5"/>
        <v>2.4774911316290094E-3</v>
      </c>
    </row>
    <row r="91" spans="1:6">
      <c r="A91">
        <v>107</v>
      </c>
      <c r="B91" s="10">
        <v>0.45</v>
      </c>
      <c r="C91" s="11">
        <f>MIN(0.45,MAX(0.00005,B91*Assumptions!$B$16))</f>
        <v>0.45</v>
      </c>
      <c r="D91" s="11">
        <f t="shared" si="4"/>
        <v>0.55000000000000004</v>
      </c>
      <c r="E91" s="11">
        <f>D91/(1+Assumptions!$B$6)*(1+(1+Assumptions!$B$8)*E92)</f>
        <v>1.1092577917558084</v>
      </c>
      <c r="F91" s="11">
        <f t="shared" si="5"/>
        <v>1.3626201223959553E-3</v>
      </c>
    </row>
    <row r="92" spans="1:6">
      <c r="A92">
        <v>108</v>
      </c>
      <c r="B92" s="10">
        <v>0.45</v>
      </c>
      <c r="C92" s="11">
        <f>MIN(0.45,MAX(0.00005,B92*Assumptions!$B$16))</f>
        <v>0.45</v>
      </c>
      <c r="D92" s="11">
        <f t="shared" si="4"/>
        <v>0.55000000000000004</v>
      </c>
      <c r="E92" s="11">
        <f>D92/(1+Assumptions!$B$6)*(1+(1+Assumptions!$B$8)*E93)</f>
        <v>1.1091076824241297</v>
      </c>
      <c r="F92" s="11">
        <f t="shared" si="5"/>
        <v>7.4944106731777548E-4</v>
      </c>
    </row>
    <row r="93" spans="1:6">
      <c r="A93">
        <v>109</v>
      </c>
      <c r="B93" s="10">
        <v>0.45</v>
      </c>
      <c r="C93" s="11">
        <f>MIN(0.45,MAX(0.00005,B93*Assumptions!$B$16))</f>
        <v>0.45</v>
      </c>
      <c r="D93" s="11">
        <f t="shared" si="4"/>
        <v>0.55000000000000004</v>
      </c>
      <c r="E93" s="11">
        <f>D93/(1+Assumptions!$B$6)*(1+(1+Assumptions!$B$8)*E94)</f>
        <v>1.1088268454663119</v>
      </c>
      <c r="F93" s="11">
        <f t="shared" si="5"/>
        <v>4.1219258702477653E-4</v>
      </c>
    </row>
    <row r="94" spans="1:6">
      <c r="A94">
        <v>110</v>
      </c>
      <c r="B94" s="10">
        <v>0.45</v>
      </c>
      <c r="C94" s="11">
        <f>MIN(0.45,MAX(0.00005,B94*Assumptions!$B$16))</f>
        <v>0.45</v>
      </c>
      <c r="D94" s="11">
        <f t="shared" si="4"/>
        <v>0.55000000000000004</v>
      </c>
      <c r="E94" s="11">
        <f>D94/(1+Assumptions!$B$6)*(1+(1+Assumptions!$B$8)*E95)</f>
        <v>1.1083014324490508</v>
      </c>
      <c r="F94" s="11">
        <f t="shared" si="5"/>
        <v>2.267059228636271E-4</v>
      </c>
    </row>
    <row r="95" spans="1:6">
      <c r="A95">
        <v>111</v>
      </c>
      <c r="B95" s="10">
        <v>0.45</v>
      </c>
      <c r="C95" s="11">
        <f>MIN(0.45,MAX(0.00005,B95*Assumptions!$B$16))</f>
        <v>0.45</v>
      </c>
      <c r="D95" s="11">
        <f t="shared" si="4"/>
        <v>0.55000000000000004</v>
      </c>
      <c r="E95" s="11">
        <f>D95/(1+Assumptions!$B$6)*(1+(1+Assumptions!$B$8)*E96)</f>
        <v>1.1073184463034502</v>
      </c>
      <c r="F95" s="11">
        <f t="shared" si="5"/>
        <v>1.2468825757499491E-4</v>
      </c>
    </row>
    <row r="96" spans="1:6">
      <c r="A96">
        <v>112</v>
      </c>
      <c r="B96" s="10">
        <v>0.45</v>
      </c>
      <c r="C96" s="11">
        <f>MIN(0.45,MAX(0.00005,B96*Assumptions!$B$16))</f>
        <v>0.45</v>
      </c>
      <c r="D96" s="11">
        <f t="shared" si="4"/>
        <v>0.55000000000000004</v>
      </c>
      <c r="E96" s="11">
        <f>D96/(1+Assumptions!$B$6)*(1+(1+Assumptions!$B$8)*E97)</f>
        <v>1.1054793944895465</v>
      </c>
      <c r="F96" s="11">
        <f t="shared" si="5"/>
        <v>6.8578541666247208E-5</v>
      </c>
    </row>
    <row r="97" spans="1:6">
      <c r="A97">
        <v>113</v>
      </c>
      <c r="B97" s="10">
        <v>0.45</v>
      </c>
      <c r="C97" s="11">
        <f>MIN(0.45,MAX(0.00005,B97*Assumptions!$B$16))</f>
        <v>0.45</v>
      </c>
      <c r="D97" s="11">
        <f t="shared" si="4"/>
        <v>0.55000000000000004</v>
      </c>
      <c r="E97" s="11">
        <f>D97/(1+Assumptions!$B$6)*(1+(1+Assumptions!$B$8)*E98)</f>
        <v>1.1020387441921247</v>
      </c>
      <c r="F97" s="11">
        <f t="shared" si="5"/>
        <v>3.7718197916435967E-5</v>
      </c>
    </row>
    <row r="98" spans="1:6">
      <c r="A98">
        <v>114</v>
      </c>
      <c r="B98" s="10">
        <v>0.45</v>
      </c>
      <c r="C98" s="11">
        <f>MIN(0.45,MAX(0.00005,B98*Assumptions!$B$16))</f>
        <v>0.45</v>
      </c>
      <c r="D98" s="11">
        <f t="shared" ref="D98:D129" si="6">1-C98</f>
        <v>0.55000000000000004</v>
      </c>
      <c r="E98" s="11">
        <f>D98/(1+Assumptions!$B$6)*(1+(1+Assumptions!$B$8)*E99)</f>
        <v>1.0956016909347608</v>
      </c>
      <c r="F98" s="11">
        <f t="shared" si="5"/>
        <v>2.0745008854039784E-5</v>
      </c>
    </row>
    <row r="99" spans="1:6">
      <c r="A99">
        <v>115</v>
      </c>
      <c r="B99" s="10">
        <v>0.45</v>
      </c>
      <c r="C99" s="11">
        <f>MIN(0.45,MAX(0.00005,B99*Assumptions!$B$16))</f>
        <v>0.45</v>
      </c>
      <c r="D99" s="11">
        <f t="shared" si="6"/>
        <v>0.55000000000000004</v>
      </c>
      <c r="E99" s="11">
        <f>D99/(1+Assumptions!$B$6)*(1+(1+Assumptions!$B$8)*E100)</f>
        <v>1.0835587190962148</v>
      </c>
      <c r="F99" s="11">
        <f t="shared" ref="F99:F104" si="7">F98*D98</f>
        <v>1.1409754869721881E-5</v>
      </c>
    </row>
    <row r="100" spans="1:6">
      <c r="A100">
        <v>116</v>
      </c>
      <c r="B100" s="10">
        <v>0.45</v>
      </c>
      <c r="C100" s="11">
        <f>MIN(0.45,MAX(0.00005,B100*Assumptions!$B$16))</f>
        <v>0.45</v>
      </c>
      <c r="D100" s="11">
        <f t="shared" si="6"/>
        <v>0.55000000000000004</v>
      </c>
      <c r="E100" s="11">
        <f>D100/(1+Assumptions!$B$6)*(1+(1+Assumptions!$B$8)*E101)</f>
        <v>1.0610277309397784</v>
      </c>
      <c r="F100" s="11">
        <f t="shared" si="7"/>
        <v>6.2753651783470351E-6</v>
      </c>
    </row>
    <row r="101" spans="1:6">
      <c r="A101">
        <v>117</v>
      </c>
      <c r="B101" s="10">
        <v>0.45</v>
      </c>
      <c r="C101" s="11">
        <f>MIN(0.45,MAX(0.00005,B101*Assumptions!$B$16))</f>
        <v>0.45</v>
      </c>
      <c r="D101" s="11">
        <f t="shared" si="6"/>
        <v>0.55000000000000004</v>
      </c>
      <c r="E101" s="11">
        <f>D101/(1+Assumptions!$B$6)*(1+(1+Assumptions!$B$8)*E102)</f>
        <v>1.0188748940726642</v>
      </c>
      <c r="F101" s="11">
        <f t="shared" si="7"/>
        <v>3.4514508480908696E-6</v>
      </c>
    </row>
    <row r="102" spans="1:6">
      <c r="A102">
        <v>118</v>
      </c>
      <c r="B102" s="10">
        <v>0.45</v>
      </c>
      <c r="C102" s="11">
        <f>MIN(0.45,MAX(0.00005,B102*Assumptions!$B$16))</f>
        <v>0.45</v>
      </c>
      <c r="D102" s="11">
        <f t="shared" si="6"/>
        <v>0.55000000000000004</v>
      </c>
      <c r="E102" s="11">
        <f>D102/(1+Assumptions!$B$6)*(1+(1+Assumptions!$B$8)*E103)</f>
        <v>0.94001187911706163</v>
      </c>
      <c r="F102" s="11">
        <f t="shared" si="7"/>
        <v>1.8982979664499783E-6</v>
      </c>
    </row>
    <row r="103" spans="1:6">
      <c r="A103">
        <v>119</v>
      </c>
      <c r="B103" s="10">
        <v>0.45</v>
      </c>
      <c r="C103" s="11">
        <f>MIN(0.45,MAX(0.00005,B103*Assumptions!$B$16))</f>
        <v>0.45</v>
      </c>
      <c r="D103" s="11">
        <f t="shared" si="6"/>
        <v>0.55000000000000004</v>
      </c>
      <c r="E103" s="11">
        <f>D103/(1+Assumptions!$B$6)*(1+(1+Assumptions!$B$8)*E104)</f>
        <v>0.79246842557693586</v>
      </c>
      <c r="F103" s="11">
        <f t="shared" si="7"/>
        <v>1.0440638815474883E-6</v>
      </c>
    </row>
    <row r="104" spans="1:6">
      <c r="A104">
        <v>120</v>
      </c>
      <c r="B104" s="10">
        <v>0.45</v>
      </c>
      <c r="C104" s="11">
        <f>MIN(0.45,MAX(0.00005,B104*Assumptions!$B$16))</f>
        <v>0.45</v>
      </c>
      <c r="D104" s="11">
        <f t="shared" si="6"/>
        <v>0.55000000000000004</v>
      </c>
      <c r="E104" s="11">
        <f>D104/(1+Assumptions!$B$6)</f>
        <v>0.51643192488262912</v>
      </c>
      <c r="F104" s="11">
        <f t="shared" si="7"/>
        <v>5.7423513485111863E-7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1"/>
  <sheetViews>
    <sheetView workbookViewId="0"/>
  </sheetViews>
  <sheetFormatPr baseColWidth="10" defaultColWidth="8.83203125" defaultRowHeight="14"/>
  <cols>
    <col min="1" max="4" width="16" customWidth="1"/>
    <col min="5" max="6" width="22" customWidth="1"/>
    <col min="7" max="7" width="16" customWidth="1"/>
    <col min="8" max="10" width="23" customWidth="1"/>
    <col min="11" max="14" width="16" customWidth="1"/>
    <col min="15" max="15" width="20" customWidth="1"/>
  </cols>
  <sheetData>
    <row r="1" spans="1:15" ht="32">
      <c r="A1" s="12" t="s">
        <v>38</v>
      </c>
      <c r="B1" s="12" t="s">
        <v>39</v>
      </c>
      <c r="C1" s="12" t="s">
        <v>40</v>
      </c>
      <c r="D1" s="12" t="s">
        <v>1052</v>
      </c>
      <c r="E1" s="12" t="s">
        <v>1053</v>
      </c>
      <c r="F1" s="12" t="s">
        <v>1054</v>
      </c>
      <c r="G1" s="12" t="s">
        <v>1055</v>
      </c>
      <c r="H1" s="12" t="s">
        <v>1056</v>
      </c>
      <c r="I1" s="12" t="s">
        <v>1057</v>
      </c>
      <c r="J1" s="12" t="s">
        <v>1058</v>
      </c>
      <c r="K1" s="12" t="s">
        <v>1059</v>
      </c>
      <c r="L1" s="12" t="s">
        <v>1060</v>
      </c>
      <c r="M1" s="12" t="s">
        <v>1061</v>
      </c>
      <c r="N1" s="12" t="s">
        <v>1062</v>
      </c>
      <c r="O1" s="12" t="s">
        <v>1063</v>
      </c>
    </row>
    <row r="2" spans="1:15">
      <c r="A2" s="13" t="str">
        <f>Members!A2</f>
        <v>A0215</v>
      </c>
      <c r="B2" s="13" t="str">
        <f>Members!B2</f>
        <v>Active</v>
      </c>
      <c r="C2" s="13">
        <f>Members!C2</f>
        <v>53</v>
      </c>
      <c r="D2" s="14">
        <f>Members!D2</f>
        <v>2.7</v>
      </c>
      <c r="E2" s="16">
        <f>Members!E2</f>
        <v>1852000</v>
      </c>
      <c r="F2" s="16">
        <f>Members!F2</f>
        <v>0</v>
      </c>
      <c r="G2" s="15">
        <f>MAX(0,Assumptions!$B$10-C2)</f>
        <v>7</v>
      </c>
      <c r="H2" s="17">
        <f>IF(B2="Active",E2*(1+Assumptions!$B$7)^G2,E2)</f>
        <v>2694065.8064197865</v>
      </c>
      <c r="I2" s="17">
        <f>IF(B2="Active",MIN(Assumptions!$B$12,D2+G2),IF(B2="Deferred",MIN(Assumptions!$B$12,D2),D2))</f>
        <v>9.6999999999999993</v>
      </c>
      <c r="J2" s="17">
        <f>IF(B2="Active",H2*I2*Assumptions!$B$11,IF(B2="Deferred",E2*I2*Assumptions!$B$11*(1+Assumptions!$B$9)^G2,F2))</f>
        <v>435540.63870453212</v>
      </c>
      <c r="K2" s="11">
        <f>IF(B2="Pensioner",1,VLOOKUP(Assumptions!$B$10,Mortality!$A$2:$F$104,6,FALSE)/VLOOKUP(C2,Mortality!$A$2:$F$104,6,FALSE))</f>
        <v>0.98503000174313171</v>
      </c>
      <c r="L2" s="11">
        <f>VLOOKUP(IF(B2="Pensioner",C2,Assumptions!$B$10),Mortality!$A$2:$E$104,5,FALSE)</f>
        <v>17.296790022132885</v>
      </c>
      <c r="M2" s="11">
        <f>1+Assumptions!$B$13*Assumptions!$B$14*Assumptions!$B$15</f>
        <v>1.3187500000000001</v>
      </c>
      <c r="N2" s="11">
        <f>IF(B2="Pensioner",1,1/(1+Assumptions!$B$6)^G2)</f>
        <v>0.64350621483475945</v>
      </c>
      <c r="O2" s="17">
        <f t="shared" ref="O2:O65" si="0">J2*K2*L2*M2*N2</f>
        <v>6297365.1068403702</v>
      </c>
    </row>
    <row r="3" spans="1:15">
      <c r="A3" s="13" t="str">
        <f>Members!A3</f>
        <v>P0250</v>
      </c>
      <c r="B3" s="13" t="str">
        <f>Members!B3</f>
        <v>Pensioner</v>
      </c>
      <c r="C3" s="13">
        <f>Members!C3</f>
        <v>75</v>
      </c>
      <c r="D3" s="14">
        <f>Members!D3</f>
        <v>20.3</v>
      </c>
      <c r="E3" s="16">
        <f>Members!E3</f>
        <v>0</v>
      </c>
      <c r="F3" s="16">
        <f>Members!F3</f>
        <v>434000</v>
      </c>
      <c r="G3" s="15">
        <f>MAX(0,Assumptions!$B$10-C3)</f>
        <v>0</v>
      </c>
      <c r="H3" s="17">
        <f>IF(B3="Active",E3*(1+Assumptions!$B$7)^G3,E3)</f>
        <v>0</v>
      </c>
      <c r="I3" s="17">
        <f>IF(B3="Active",MIN(Assumptions!$B$12,D3+G3),IF(B3="Deferred",MIN(Assumptions!$B$12,D3),D3))</f>
        <v>20.3</v>
      </c>
      <c r="J3" s="17">
        <f>IF(B3="Active",H3*I3*Assumptions!$B$11,IF(B3="Deferred",E3*I3*Assumptions!$B$11*(1+Assumptions!$B$9)^G3,F3))</f>
        <v>434000</v>
      </c>
      <c r="K3" s="11">
        <f>IF(B3="Pensioner",1,VLOOKUP(Assumptions!$B$10,Mortality!$A$2:$F$104,6,FALSE)/VLOOKUP(C3,Mortality!$A$2:$F$104,6,FALSE))</f>
        <v>1</v>
      </c>
      <c r="L3" s="11">
        <f>VLOOKUP(IF(B3="Pensioner",C3,Assumptions!$B$10),Mortality!$A$2:$E$104,5,FALSE)</f>
        <v>10.662474804432929</v>
      </c>
      <c r="M3" s="11">
        <f>1+Assumptions!$B$13*Assumptions!$B$14*Assumptions!$B$15</f>
        <v>1.3187500000000001</v>
      </c>
      <c r="N3" s="11">
        <f>IF(B3="Pensioner",1,1/(1+Assumptions!$B$6)^G3)</f>
        <v>1</v>
      </c>
      <c r="O3" s="17">
        <f t="shared" si="0"/>
        <v>6102534.1733821323</v>
      </c>
    </row>
    <row r="4" spans="1:15">
      <c r="A4" s="13" t="str">
        <f>Members!A4</f>
        <v>P0219</v>
      </c>
      <c r="B4" s="13" t="str">
        <f>Members!B4</f>
        <v>Pensioner</v>
      </c>
      <c r="C4" s="13">
        <f>Members!C4</f>
        <v>67</v>
      </c>
      <c r="D4" s="14">
        <f>Members!D4</f>
        <v>25.7</v>
      </c>
      <c r="E4" s="16">
        <f>Members!E4</f>
        <v>0</v>
      </c>
      <c r="F4" s="16">
        <f>Members!F4</f>
        <v>275000</v>
      </c>
      <c r="G4" s="15">
        <f>MAX(0,Assumptions!$B$10-C4)</f>
        <v>0</v>
      </c>
      <c r="H4" s="17">
        <f>IF(B4="Active",E4*(1+Assumptions!$B$7)^G4,E4)</f>
        <v>0</v>
      </c>
      <c r="I4" s="17">
        <f>IF(B4="Active",MIN(Assumptions!$B$12,D4+G4),IF(B4="Deferred",MIN(Assumptions!$B$12,D4),D4))</f>
        <v>25.7</v>
      </c>
      <c r="J4" s="17">
        <f>IF(B4="Active",H4*I4*Assumptions!$B$11,IF(B4="Deferred",E4*I4*Assumptions!$B$11*(1+Assumptions!$B$9)^G4,F4))</f>
        <v>275000</v>
      </c>
      <c r="K4" s="11">
        <f>IF(B4="Pensioner",1,VLOOKUP(Assumptions!$B$10,Mortality!$A$2:$F$104,6,FALSE)/VLOOKUP(C4,Mortality!$A$2:$F$104,6,FALSE))</f>
        <v>1</v>
      </c>
      <c r="L4" s="11">
        <f>VLOOKUP(IF(B4="Pensioner",C4,Assumptions!$B$10),Mortality!$A$2:$E$104,5,FALSE)</f>
        <v>14.316480461373482</v>
      </c>
      <c r="M4" s="11">
        <f>1+Assumptions!$B$13*Assumptions!$B$14*Assumptions!$B$15</f>
        <v>1.3187500000000001</v>
      </c>
      <c r="N4" s="11">
        <f>IF(B4="Pensioner",1,1/(1+Assumptions!$B$6)^G4)</f>
        <v>1</v>
      </c>
      <c r="O4" s="17">
        <f t="shared" si="0"/>
        <v>5191961.1173199769</v>
      </c>
    </row>
    <row r="5" spans="1:15">
      <c r="A5" s="13" t="str">
        <f>Members!A5</f>
        <v>A0121</v>
      </c>
      <c r="B5" s="13" t="str">
        <f>Members!B5</f>
        <v>Active</v>
      </c>
      <c r="C5" s="13">
        <f>Members!C5</f>
        <v>24</v>
      </c>
      <c r="D5" s="14">
        <f>Members!D5</f>
        <v>1.1000000000000001</v>
      </c>
      <c r="E5" s="16">
        <f>Members!E5</f>
        <v>344000</v>
      </c>
      <c r="F5" s="16">
        <f>Members!F5</f>
        <v>0</v>
      </c>
      <c r="G5" s="15">
        <f>MAX(0,Assumptions!$B$10-C5)</f>
        <v>36</v>
      </c>
      <c r="H5" s="17">
        <f>IF(B5="Active",E5*(1+Assumptions!$B$7)^G5,E5)</f>
        <v>2363997.3718397832</v>
      </c>
      <c r="I5" s="17">
        <f>IF(B5="Active",MIN(Assumptions!$B$12,D5+G5),IF(B5="Deferred",MIN(Assumptions!$B$12,D5),D5))</f>
        <v>37.1</v>
      </c>
      <c r="J5" s="17">
        <f>IF(B5="Active",H5*I5*Assumptions!$B$11,IF(B5="Deferred",E5*I5*Assumptions!$B$11*(1+Assumptions!$B$9)^G5,F5))</f>
        <v>1461738.3749209326</v>
      </c>
      <c r="K5" s="11">
        <f>IF(B5="Pensioner",1,VLOOKUP(Assumptions!$B$10,Mortality!$A$2:$F$104,6,FALSE)/VLOOKUP(C5,Mortality!$A$2:$F$104,6,FALSE))</f>
        <v>0.96871086700607645</v>
      </c>
      <c r="L5" s="11">
        <f>VLOOKUP(IF(B5="Pensioner",C5,Assumptions!$B$10),Mortality!$A$2:$E$104,5,FALSE)</f>
        <v>17.296790022132885</v>
      </c>
      <c r="M5" s="11">
        <f>1+Assumptions!$B$13*Assumptions!$B$14*Assumptions!$B$15</f>
        <v>1.3187500000000001</v>
      </c>
      <c r="N5" s="11">
        <f>IF(B5="Pensioner",1,1/(1+Assumptions!$B$6)^G5)</f>
        <v>0.10361296939205883</v>
      </c>
      <c r="O5" s="17">
        <f t="shared" si="0"/>
        <v>3346616.3331228108</v>
      </c>
    </row>
    <row r="6" spans="1:15">
      <c r="A6" s="13" t="str">
        <f>Members!A6</f>
        <v>P0224</v>
      </c>
      <c r="B6" s="13" t="str">
        <f>Members!B6</f>
        <v>Pensioner</v>
      </c>
      <c r="C6" s="13">
        <f>Members!C6</f>
        <v>72</v>
      </c>
      <c r="D6" s="14">
        <f>Members!D6</f>
        <v>26</v>
      </c>
      <c r="E6" s="16">
        <f>Members!E6</f>
        <v>0</v>
      </c>
      <c r="F6" s="16">
        <f>Members!F6</f>
        <v>297000</v>
      </c>
      <c r="G6" s="15">
        <f>MAX(0,Assumptions!$B$10-C6)</f>
        <v>0</v>
      </c>
      <c r="H6" s="17">
        <f>IF(B6="Active",E6*(1+Assumptions!$B$7)^G6,E6)</f>
        <v>0</v>
      </c>
      <c r="I6" s="17">
        <f>IF(B6="Active",MIN(Assumptions!$B$12,D6+G6),IF(B6="Deferred",MIN(Assumptions!$B$12,D6),D6))</f>
        <v>26</v>
      </c>
      <c r="J6" s="17">
        <f>IF(B6="Active",H6*I6*Assumptions!$B$11,IF(B6="Deferred",E6*I6*Assumptions!$B$11*(1+Assumptions!$B$9)^G6,F6))</f>
        <v>297000</v>
      </c>
      <c r="K6" s="11">
        <f>IF(B6="Pensioner",1,VLOOKUP(Assumptions!$B$10,Mortality!$A$2:$F$104,6,FALSE)/VLOOKUP(C6,Mortality!$A$2:$F$104,6,FALSE))</f>
        <v>1</v>
      </c>
      <c r="L6" s="11">
        <f>VLOOKUP(IF(B6="Pensioner",C6,Assumptions!$B$10),Mortality!$A$2:$E$104,5,FALSE)</f>
        <v>12.047202362945457</v>
      </c>
      <c r="M6" s="11">
        <f>1+Assumptions!$B$13*Assumptions!$B$14*Assumptions!$B$15</f>
        <v>1.3187500000000001</v>
      </c>
      <c r="N6" s="11">
        <f>IF(B6="Pensioner",1,1/(1+Assumptions!$B$6)^G6)</f>
        <v>1</v>
      </c>
      <c r="O6" s="17">
        <f t="shared" si="0"/>
        <v>4718512.6904918933</v>
      </c>
    </row>
    <row r="7" spans="1:15">
      <c r="A7" s="13" t="str">
        <f>Members!A7</f>
        <v>P0222</v>
      </c>
      <c r="B7" s="13" t="str">
        <f>Members!B7</f>
        <v>Pensioner</v>
      </c>
      <c r="C7" s="13">
        <f>Members!C7</f>
        <v>66</v>
      </c>
      <c r="D7" s="14">
        <f>Members!D7</f>
        <v>23</v>
      </c>
      <c r="E7" s="16">
        <f>Members!E7</f>
        <v>0</v>
      </c>
      <c r="F7" s="16">
        <f>Members!F7</f>
        <v>389000</v>
      </c>
      <c r="G7" s="15">
        <f>MAX(0,Assumptions!$B$10-C7)</f>
        <v>0</v>
      </c>
      <c r="H7" s="17">
        <f>IF(B7="Active",E7*(1+Assumptions!$B$7)^G7,E7)</f>
        <v>0</v>
      </c>
      <c r="I7" s="17">
        <f>IF(B7="Active",MIN(Assumptions!$B$12,D7+G7),IF(B7="Deferred",MIN(Assumptions!$B$12,D7),D7))</f>
        <v>23</v>
      </c>
      <c r="J7" s="17">
        <f>IF(B7="Active",H7*I7*Assumptions!$B$11,IF(B7="Deferred",E7*I7*Assumptions!$B$11*(1+Assumptions!$B$9)^G7,F7))</f>
        <v>389000</v>
      </c>
      <c r="K7" s="11">
        <f>IF(B7="Pensioner",1,VLOOKUP(Assumptions!$B$10,Mortality!$A$2:$F$104,6,FALSE)/VLOOKUP(C7,Mortality!$A$2:$F$104,6,FALSE))</f>
        <v>1</v>
      </c>
      <c r="L7" s="11">
        <f>VLOOKUP(IF(B7="Pensioner",C7,Assumptions!$B$10),Mortality!$A$2:$E$104,5,FALSE)</f>
        <v>14.759005103694845</v>
      </c>
      <c r="M7" s="11">
        <f>1+Assumptions!$B$13*Assumptions!$B$14*Assumptions!$B$15</f>
        <v>1.3187500000000001</v>
      </c>
      <c r="N7" s="11">
        <f>IF(B7="Pensioner",1,1/(1+Assumptions!$B$6)^G7)</f>
        <v>1</v>
      </c>
      <c r="O7" s="17">
        <f t="shared" si="0"/>
        <v>7571277.3744135574</v>
      </c>
    </row>
    <row r="8" spans="1:15">
      <c r="A8" s="13" t="str">
        <f>Members!A8</f>
        <v>A0112</v>
      </c>
      <c r="B8" s="13" t="str">
        <f>Members!B8</f>
        <v>Active</v>
      </c>
      <c r="C8" s="13">
        <f>Members!C8</f>
        <v>42</v>
      </c>
      <c r="D8" s="14">
        <f>Members!D8</f>
        <v>1.8</v>
      </c>
      <c r="E8" s="16">
        <f>Members!E8</f>
        <v>1172000</v>
      </c>
      <c r="F8" s="16">
        <f>Members!F8</f>
        <v>0</v>
      </c>
      <c r="G8" s="15">
        <f>MAX(0,Assumptions!$B$10-C8)</f>
        <v>18</v>
      </c>
      <c r="H8" s="17">
        <f>IF(B8="Active",E8*(1+Assumptions!$B$7)^G8,E8)</f>
        <v>3072358.4636355815</v>
      </c>
      <c r="I8" s="17">
        <f>IF(B8="Active",MIN(Assumptions!$B$12,D8+G8),IF(B8="Deferred",MIN(Assumptions!$B$12,D8),D8))</f>
        <v>19.8</v>
      </c>
      <c r="J8" s="17">
        <f>IF(B8="Active",H8*I8*Assumptions!$B$11,IF(B8="Deferred",E8*I8*Assumptions!$B$11*(1+Assumptions!$B$9)^G8,F8))</f>
        <v>1013878.292999742</v>
      </c>
      <c r="K8" s="11">
        <f>IF(B8="Pensioner",1,VLOOKUP(Assumptions!$B$10,Mortality!$A$2:$F$104,6,FALSE)/VLOOKUP(C8,Mortality!$A$2:$F$104,6,FALSE))</f>
        <v>0.97507997078383857</v>
      </c>
      <c r="L8" s="11">
        <f>VLOOKUP(IF(B8="Pensioner",C8,Assumptions!$B$10),Mortality!$A$2:$E$104,5,FALSE)</f>
        <v>17.296790022132885</v>
      </c>
      <c r="M8" s="11">
        <f>1+Assumptions!$B$13*Assumptions!$B$14*Assumptions!$B$15</f>
        <v>1.3187500000000001</v>
      </c>
      <c r="N8" s="11">
        <f>IF(B8="Pensioner",1,1/(1+Assumptions!$B$6)^G8)</f>
        <v>0.32188968512839738</v>
      </c>
      <c r="O8" s="17">
        <f t="shared" si="0"/>
        <v>7258737.7572122952</v>
      </c>
    </row>
    <row r="9" spans="1:15">
      <c r="A9" s="13" t="str">
        <f>Members!A9</f>
        <v>P0072</v>
      </c>
      <c r="B9" s="13" t="str">
        <f>Members!B9</f>
        <v>Pensioner</v>
      </c>
      <c r="C9" s="13">
        <f>Members!C9</f>
        <v>79</v>
      </c>
      <c r="D9" s="14">
        <f>Members!D9</f>
        <v>20.5</v>
      </c>
      <c r="E9" s="16">
        <f>Members!E9</f>
        <v>0</v>
      </c>
      <c r="F9" s="16">
        <f>Members!F9</f>
        <v>690000</v>
      </c>
      <c r="G9" s="15">
        <f>MAX(0,Assumptions!$B$10-C9)</f>
        <v>0</v>
      </c>
      <c r="H9" s="17">
        <f>IF(B9="Active",E9*(1+Assumptions!$B$7)^G9,E9)</f>
        <v>0</v>
      </c>
      <c r="I9" s="17">
        <f>IF(B9="Active",MIN(Assumptions!$B$12,D9+G9),IF(B9="Deferred",MIN(Assumptions!$B$12,D9),D9))</f>
        <v>20.5</v>
      </c>
      <c r="J9" s="17">
        <f>IF(B9="Active",H9*I9*Assumptions!$B$11,IF(B9="Deferred",E9*I9*Assumptions!$B$11*(1+Assumptions!$B$9)^G9,F9))</f>
        <v>690000</v>
      </c>
      <c r="K9" s="11">
        <f>IF(B9="Pensioner",1,VLOOKUP(Assumptions!$B$10,Mortality!$A$2:$F$104,6,FALSE)/VLOOKUP(C9,Mortality!$A$2:$F$104,6,FALSE))</f>
        <v>1</v>
      </c>
      <c r="L9" s="11">
        <f>VLOOKUP(IF(B9="Pensioner",C9,Assumptions!$B$10),Mortality!$A$2:$E$104,5,FALSE)</f>
        <v>8.8309325629147608</v>
      </c>
      <c r="M9" s="11">
        <f>1+Assumptions!$B$13*Assumptions!$B$14*Assumptions!$B$15</f>
        <v>1.3187500000000001</v>
      </c>
      <c r="N9" s="11">
        <f>IF(B9="Pensioner",1,1/(1+Assumptions!$B$6)^G9)</f>
        <v>1</v>
      </c>
      <c r="O9" s="17">
        <f t="shared" si="0"/>
        <v>8035596.698967251</v>
      </c>
    </row>
    <row r="10" spans="1:15">
      <c r="A10" s="13" t="str">
        <f>Members!A10</f>
        <v>A0439</v>
      </c>
      <c r="B10" s="13" t="str">
        <f>Members!B10</f>
        <v>Active</v>
      </c>
      <c r="C10" s="13">
        <f>Members!C10</f>
        <v>50</v>
      </c>
      <c r="D10" s="14">
        <f>Members!D10</f>
        <v>12.9</v>
      </c>
      <c r="E10" s="16">
        <f>Members!E10</f>
        <v>1059000</v>
      </c>
      <c r="F10" s="16">
        <f>Members!F10</f>
        <v>0</v>
      </c>
      <c r="G10" s="15">
        <f>MAX(0,Assumptions!$B$10-C10)</f>
        <v>10</v>
      </c>
      <c r="H10" s="17">
        <f>IF(B10="Active",E10*(1+Assumptions!$B$7)^G10,E10)</f>
        <v>1808924.9813964549</v>
      </c>
      <c r="I10" s="17">
        <f>IF(B10="Active",MIN(Assumptions!$B$12,D10+G10),IF(B10="Deferred",MIN(Assumptions!$B$12,D10),D10))</f>
        <v>22.9</v>
      </c>
      <c r="J10" s="17">
        <f>IF(B10="Active",H10*I10*Assumptions!$B$11,IF(B10="Deferred",E10*I10*Assumptions!$B$11*(1+Assumptions!$B$9)^G10,F10))</f>
        <v>690406.36789964687</v>
      </c>
      <c r="K10" s="11">
        <f>IF(B10="Pensioner",1,VLOOKUP(Assumptions!$B$10,Mortality!$A$2:$F$104,6,FALSE)/VLOOKUP(C10,Mortality!$A$2:$F$104,6,FALSE))</f>
        <v>0.98127299335824147</v>
      </c>
      <c r="L10" s="11">
        <f>VLOOKUP(IF(B10="Pensioner",C10,Assumptions!$B$10),Mortality!$A$2:$E$104,5,FALSE)</f>
        <v>17.296790022132885</v>
      </c>
      <c r="M10" s="11">
        <f>1+Assumptions!$B$13*Assumptions!$B$14*Assumptions!$B$15</f>
        <v>1.3187500000000001</v>
      </c>
      <c r="N10" s="11">
        <f>IF(B10="Pensioner",1,1/(1+Assumptions!$B$6)^G10)</f>
        <v>0.53272603552052888</v>
      </c>
      <c r="O10" s="17">
        <f t="shared" si="0"/>
        <v>8232401.4953791471</v>
      </c>
    </row>
    <row r="11" spans="1:15">
      <c r="A11" s="13" t="str">
        <f>Members!A11</f>
        <v>A0270</v>
      </c>
      <c r="B11" s="13" t="str">
        <f>Members!B11</f>
        <v>Active</v>
      </c>
      <c r="C11" s="13">
        <f>Members!C11</f>
        <v>37</v>
      </c>
      <c r="D11" s="14">
        <f>Members!D11</f>
        <v>2.2999999999999998</v>
      </c>
      <c r="E11" s="16">
        <f>Members!E11</f>
        <v>740000</v>
      </c>
      <c r="F11" s="16">
        <f>Members!F11</f>
        <v>0</v>
      </c>
      <c r="G11" s="15">
        <f>MAX(0,Assumptions!$B$10-C11)</f>
        <v>23</v>
      </c>
      <c r="H11" s="17">
        <f>IF(B11="Active",E11*(1+Assumptions!$B$7)^G11,E11)</f>
        <v>2535352.1600857861</v>
      </c>
      <c r="I11" s="17">
        <f>IF(B11="Active",MIN(Assumptions!$B$12,D11+G11),IF(B11="Deferred",MIN(Assumptions!$B$12,D11),D11))</f>
        <v>25.3</v>
      </c>
      <c r="J11" s="17">
        <f>IF(B11="Active",H11*I11*Assumptions!$B$11,IF(B11="Deferred",E11*I11*Assumptions!$B$11*(1+Assumptions!$B$9)^G11,F11))</f>
        <v>1069073.4941695065</v>
      </c>
      <c r="K11" s="11">
        <f>IF(B11="Pensioner",1,VLOOKUP(Assumptions!$B$10,Mortality!$A$2:$F$104,6,FALSE)/VLOOKUP(C11,Mortality!$A$2:$F$104,6,FALSE))</f>
        <v>0.97273561412651877</v>
      </c>
      <c r="L11" s="11">
        <f>VLOOKUP(IF(B11="Pensioner",C11,Assumptions!$B$10),Mortality!$A$2:$E$104,5,FALSE)</f>
        <v>17.296790022132885</v>
      </c>
      <c r="M11" s="11">
        <f>1+Assumptions!$B$13*Assumptions!$B$14*Assumptions!$B$15</f>
        <v>1.3187500000000001</v>
      </c>
      <c r="N11" s="11">
        <f>IF(B11="Pensioner",1,1/(1+Assumptions!$B$6)^G11)</f>
        <v>0.23494111264898151</v>
      </c>
      <c r="O11" s="17">
        <f t="shared" si="0"/>
        <v>5573004.399060606</v>
      </c>
    </row>
    <row r="12" spans="1:15">
      <c r="A12" s="13" t="str">
        <f>Members!A12</f>
        <v>D0125</v>
      </c>
      <c r="B12" s="13" t="str">
        <f>Members!B12</f>
        <v>Deferred</v>
      </c>
      <c r="C12" s="13">
        <f>Members!C12</f>
        <v>35</v>
      </c>
      <c r="D12" s="14">
        <f>Members!D12</f>
        <v>3.2</v>
      </c>
      <c r="E12" s="16">
        <f>Members!E12</f>
        <v>595000</v>
      </c>
      <c r="F12" s="16">
        <f>Members!F12</f>
        <v>0</v>
      </c>
      <c r="G12" s="15">
        <f>MAX(0,Assumptions!$B$10-C12)</f>
        <v>25</v>
      </c>
      <c r="H12" s="17">
        <f>IF(B12="Active",E12*(1+Assumptions!$B$7)^G12,E12)</f>
        <v>595000</v>
      </c>
      <c r="I12" s="17">
        <f>IF(B12="Active",MIN(Assumptions!$B$12,D12+G12),IF(B12="Deferred",MIN(Assumptions!$B$12,D12),D12))</f>
        <v>3.2</v>
      </c>
      <c r="J12" s="17">
        <f>IF(B12="Active",H12*I12*Assumptions!$B$11,IF(B12="Deferred",E12*I12*Assumptions!$B$11*(1+Assumptions!$B$9)^G12,F12))</f>
        <v>84595.872919200905</v>
      </c>
      <c r="K12" s="11">
        <f>IF(B12="Pensioner",1,VLOOKUP(Assumptions!$B$10,Mortality!$A$2:$F$104,6,FALSE)/VLOOKUP(C12,Mortality!$A$2:$F$104,6,FALSE))</f>
        <v>0.97197407653867529</v>
      </c>
      <c r="L12" s="11">
        <f>VLOOKUP(IF(B12="Pensioner",C12,Assumptions!$B$10),Mortality!$A$2:$E$104,5,FALSE)</f>
        <v>17.296790022132885</v>
      </c>
      <c r="M12" s="11">
        <f>1+Assumptions!$B$13*Assumptions!$B$14*Assumptions!$B$15</f>
        <v>1.3187500000000001</v>
      </c>
      <c r="N12" s="11">
        <f>IF(B12="Pensioner",1,1/(1+Assumptions!$B$6)^G12)</f>
        <v>0.20713801287132758</v>
      </c>
      <c r="O12" s="17">
        <f t="shared" si="0"/>
        <v>388500.56048547995</v>
      </c>
    </row>
    <row r="13" spans="1:15">
      <c r="A13" s="13" t="str">
        <f>Members!A13</f>
        <v>P0133</v>
      </c>
      <c r="B13" s="13" t="str">
        <f>Members!B13</f>
        <v>Pensioner</v>
      </c>
      <c r="C13" s="13">
        <f>Members!C13</f>
        <v>76</v>
      </c>
      <c r="D13" s="14">
        <f>Members!D13</f>
        <v>38.700000000000003</v>
      </c>
      <c r="E13" s="16">
        <f>Members!E13</f>
        <v>0</v>
      </c>
      <c r="F13" s="16">
        <f>Members!F13</f>
        <v>423000</v>
      </c>
      <c r="G13" s="15">
        <f>MAX(0,Assumptions!$B$10-C13)</f>
        <v>0</v>
      </c>
      <c r="H13" s="17">
        <f>IF(B13="Active",E13*(1+Assumptions!$B$7)^G13,E13)</f>
        <v>0</v>
      </c>
      <c r="I13" s="17">
        <f>IF(B13="Active",MIN(Assumptions!$B$12,D13+G13),IF(B13="Deferred",MIN(Assumptions!$B$12,D13),D13))</f>
        <v>38.700000000000003</v>
      </c>
      <c r="J13" s="17">
        <f>IF(B13="Active",H13*I13*Assumptions!$B$11,IF(B13="Deferred",E13*I13*Assumptions!$B$11*(1+Assumptions!$B$9)^G13,F13))</f>
        <v>423000</v>
      </c>
      <c r="K13" s="11">
        <f>IF(B13="Pensioner",1,VLOOKUP(Assumptions!$B$10,Mortality!$A$2:$F$104,6,FALSE)/VLOOKUP(C13,Mortality!$A$2:$F$104,6,FALSE))</f>
        <v>1</v>
      </c>
      <c r="L13" s="11">
        <f>VLOOKUP(IF(B13="Pensioner",C13,Assumptions!$B$10),Mortality!$A$2:$E$104,5,FALSE)</f>
        <v>10.201355966192867</v>
      </c>
      <c r="M13" s="11">
        <f>1+Assumptions!$B$13*Assumptions!$B$14*Assumptions!$B$15</f>
        <v>1.3187500000000001</v>
      </c>
      <c r="N13" s="11">
        <f>IF(B13="Pensioner",1,1/(1+Assumptions!$B$6)^G13)</f>
        <v>1</v>
      </c>
      <c r="O13" s="17">
        <f t="shared" si="0"/>
        <v>5690635.1503163259</v>
      </c>
    </row>
    <row r="14" spans="1:15">
      <c r="A14" s="13" t="str">
        <f>Members!A14</f>
        <v>P0111</v>
      </c>
      <c r="B14" s="13" t="str">
        <f>Members!B14</f>
        <v>Pensioner</v>
      </c>
      <c r="C14" s="13">
        <f>Members!C14</f>
        <v>90</v>
      </c>
      <c r="D14" s="14">
        <f>Members!D14</f>
        <v>12.5</v>
      </c>
      <c r="E14" s="16">
        <f>Members!E14</f>
        <v>0</v>
      </c>
      <c r="F14" s="16">
        <f>Members!F14</f>
        <v>681000</v>
      </c>
      <c r="G14" s="15">
        <f>MAX(0,Assumptions!$B$10-C14)</f>
        <v>0</v>
      </c>
      <c r="H14" s="17">
        <f>IF(B14="Active",E14*(1+Assumptions!$B$7)^G14,E14)</f>
        <v>0</v>
      </c>
      <c r="I14" s="17">
        <f>IF(B14="Active",MIN(Assumptions!$B$12,D14+G14),IF(B14="Deferred",MIN(Assumptions!$B$12,D14),D14))</f>
        <v>12.5</v>
      </c>
      <c r="J14" s="17">
        <f>IF(B14="Active",H14*I14*Assumptions!$B$11,IF(B14="Deferred",E14*I14*Assumptions!$B$11*(1+Assumptions!$B$9)^G14,F14))</f>
        <v>681000</v>
      </c>
      <c r="K14" s="11">
        <f>IF(B14="Pensioner",1,VLOOKUP(Assumptions!$B$10,Mortality!$A$2:$F$104,6,FALSE)/VLOOKUP(C14,Mortality!$A$2:$F$104,6,FALSE))</f>
        <v>1</v>
      </c>
      <c r="L14" s="11">
        <f>VLOOKUP(IF(B14="Pensioner",C14,Assumptions!$B$10),Mortality!$A$2:$E$104,5,FALSE)</f>
        <v>4.3119079307087222</v>
      </c>
      <c r="M14" s="11">
        <f>1+Assumptions!$B$13*Assumptions!$B$14*Assumptions!$B$15</f>
        <v>1.3187500000000001</v>
      </c>
      <c r="N14" s="11">
        <f>IF(B14="Pensioner",1,1/(1+Assumptions!$B$6)^G14)</f>
        <v>1</v>
      </c>
      <c r="O14" s="17">
        <f t="shared" si="0"/>
        <v>3872389.765446669</v>
      </c>
    </row>
    <row r="15" spans="1:15">
      <c r="A15" s="13" t="str">
        <f>Members!A15</f>
        <v>D0075</v>
      </c>
      <c r="B15" s="13" t="str">
        <f>Members!B15</f>
        <v>Deferred</v>
      </c>
      <c r="C15" s="13">
        <f>Members!C15</f>
        <v>33</v>
      </c>
      <c r="D15" s="14">
        <f>Members!D15</f>
        <v>7.3</v>
      </c>
      <c r="E15" s="16">
        <f>Members!E15</f>
        <v>461000</v>
      </c>
      <c r="F15" s="16">
        <f>Members!F15</f>
        <v>0</v>
      </c>
      <c r="G15" s="15">
        <f>MAX(0,Assumptions!$B$10-C15)</f>
        <v>27</v>
      </c>
      <c r="H15" s="17">
        <f>IF(B15="Active",E15*(1+Assumptions!$B$7)^G15,E15)</f>
        <v>461000</v>
      </c>
      <c r="I15" s="17">
        <f>IF(B15="Active",MIN(Assumptions!$B$12,D15+G15),IF(B15="Deferred",MIN(Assumptions!$B$12,D15),D15))</f>
        <v>7.3</v>
      </c>
      <c r="J15" s="17">
        <f>IF(B15="Active",H15*I15*Assumptions!$B$11,IF(B15="Deferred",E15*I15*Assumptions!$B$11*(1+Assumptions!$B$9)^G15,F15))</f>
        <v>161723.33782121938</v>
      </c>
      <c r="K15" s="11">
        <f>IF(B15="Pensioner",1,VLOOKUP(Assumptions!$B$10,Mortality!$A$2:$F$104,6,FALSE)/VLOOKUP(C15,Mortality!$A$2:$F$104,6,FALSE))</f>
        <v>0.9712826176321353</v>
      </c>
      <c r="L15" s="11">
        <f>VLOOKUP(IF(B15="Pensioner",C15,Assumptions!$B$10),Mortality!$A$2:$E$104,5,FALSE)</f>
        <v>17.296790022132885</v>
      </c>
      <c r="M15" s="11">
        <f>1+Assumptions!$B$13*Assumptions!$B$14*Assumptions!$B$15</f>
        <v>1.3187500000000001</v>
      </c>
      <c r="N15" s="11">
        <f>IF(B15="Pensioner",1,1/(1+Assumptions!$B$6)^G15)</f>
        <v>0.18262515186257369</v>
      </c>
      <c r="O15" s="17">
        <f t="shared" si="0"/>
        <v>654345.15139453369</v>
      </c>
    </row>
    <row r="16" spans="1:15">
      <c r="A16" s="13" t="str">
        <f>Members!A16</f>
        <v>P0091</v>
      </c>
      <c r="B16" s="13" t="str">
        <f>Members!B16</f>
        <v>Pensioner</v>
      </c>
      <c r="C16" s="13">
        <f>Members!C16</f>
        <v>66</v>
      </c>
      <c r="D16" s="14">
        <f>Members!D16</f>
        <v>39.299999999999997</v>
      </c>
      <c r="E16" s="16">
        <f>Members!E16</f>
        <v>0</v>
      </c>
      <c r="F16" s="16">
        <f>Members!F16</f>
        <v>388000</v>
      </c>
      <c r="G16" s="15">
        <f>MAX(0,Assumptions!$B$10-C16)</f>
        <v>0</v>
      </c>
      <c r="H16" s="17">
        <f>IF(B16="Active",E16*(1+Assumptions!$B$7)^G16,E16)</f>
        <v>0</v>
      </c>
      <c r="I16" s="17">
        <f>IF(B16="Active",MIN(Assumptions!$B$12,D16+G16),IF(B16="Deferred",MIN(Assumptions!$B$12,D16),D16))</f>
        <v>39.299999999999997</v>
      </c>
      <c r="J16" s="17">
        <f>IF(B16="Active",H16*I16*Assumptions!$B$11,IF(B16="Deferred",E16*I16*Assumptions!$B$11*(1+Assumptions!$B$9)^G16,F16))</f>
        <v>388000</v>
      </c>
      <c r="K16" s="11">
        <f>IF(B16="Pensioner",1,VLOOKUP(Assumptions!$B$10,Mortality!$A$2:$F$104,6,FALSE)/VLOOKUP(C16,Mortality!$A$2:$F$104,6,FALSE))</f>
        <v>1</v>
      </c>
      <c r="L16" s="11">
        <f>VLOOKUP(IF(B16="Pensioner",C16,Assumptions!$B$10),Mortality!$A$2:$E$104,5,FALSE)</f>
        <v>14.759005103694845</v>
      </c>
      <c r="M16" s="11">
        <f>1+Assumptions!$B$13*Assumptions!$B$14*Assumptions!$B$15</f>
        <v>1.3187500000000001</v>
      </c>
      <c r="N16" s="11">
        <f>IF(B16="Pensioner",1,1/(1+Assumptions!$B$6)^G16)</f>
        <v>1</v>
      </c>
      <c r="O16" s="17">
        <f t="shared" si="0"/>
        <v>7551813.9364330601</v>
      </c>
    </row>
    <row r="17" spans="1:15">
      <c r="A17" s="13" t="str">
        <f>Members!A17</f>
        <v>D0106</v>
      </c>
      <c r="B17" s="13" t="str">
        <f>Members!B17</f>
        <v>Deferred</v>
      </c>
      <c r="C17" s="13">
        <f>Members!C17</f>
        <v>46</v>
      </c>
      <c r="D17" s="14">
        <f>Members!D17</f>
        <v>5.5</v>
      </c>
      <c r="E17" s="16">
        <f>Members!E17</f>
        <v>810000</v>
      </c>
      <c r="F17" s="16">
        <f>Members!F17</f>
        <v>0</v>
      </c>
      <c r="G17" s="15">
        <f>MAX(0,Assumptions!$B$10-C17)</f>
        <v>14</v>
      </c>
      <c r="H17" s="17">
        <f>IF(B17="Active",E17*(1+Assumptions!$B$7)^G17,E17)</f>
        <v>810000</v>
      </c>
      <c r="I17" s="17">
        <f>IF(B17="Active",MIN(Assumptions!$B$12,D17+G17),IF(B17="Deferred",MIN(Assumptions!$B$12,D17),D17))</f>
        <v>5.5</v>
      </c>
      <c r="J17" s="17">
        <f>IF(B17="Active",H17*I17*Assumptions!$B$11,IF(B17="Deferred",E17*I17*Assumptions!$B$11*(1+Assumptions!$B$9)^G17,F17))</f>
        <v>128576.97623450824</v>
      </c>
      <c r="K17" s="11">
        <f>IF(B17="Pensioner",1,VLOOKUP(Assumptions!$B$10,Mortality!$A$2:$F$104,6,FALSE)/VLOOKUP(C17,Mortality!$A$2:$F$104,6,FALSE))</f>
        <v>0.97765823283048059</v>
      </c>
      <c r="L17" s="11">
        <f>VLOOKUP(IF(B17="Pensioner",C17,Assumptions!$B$10),Mortality!$A$2:$E$104,5,FALSE)</f>
        <v>17.296790022132885</v>
      </c>
      <c r="M17" s="11">
        <f>1+Assumptions!$B$13*Assumptions!$B$14*Assumptions!$B$15</f>
        <v>1.3187500000000001</v>
      </c>
      <c r="N17" s="11">
        <f>IF(B17="Pensioner",1,1/(1+Assumptions!$B$6)^G17)</f>
        <v>0.41410024853095956</v>
      </c>
      <c r="O17" s="17">
        <f t="shared" si="0"/>
        <v>1187363.6437987187</v>
      </c>
    </row>
    <row r="18" spans="1:15">
      <c r="A18" s="13" t="str">
        <f>Members!A18</f>
        <v>A0342</v>
      </c>
      <c r="B18" s="13" t="str">
        <f>Members!B18</f>
        <v>Active</v>
      </c>
      <c r="C18" s="13">
        <f>Members!C18</f>
        <v>51</v>
      </c>
      <c r="D18" s="14">
        <f>Members!D18</f>
        <v>20</v>
      </c>
      <c r="E18" s="16">
        <f>Members!E18</f>
        <v>1373000</v>
      </c>
      <c r="F18" s="16">
        <f>Members!F18</f>
        <v>0</v>
      </c>
      <c r="G18" s="15">
        <f>MAX(0,Assumptions!$B$10-C18)</f>
        <v>9</v>
      </c>
      <c r="H18" s="17">
        <f>IF(B18="Active",E18*(1+Assumptions!$B$7)^G18,E18)</f>
        <v>2223016.4372696523</v>
      </c>
      <c r="I18" s="17">
        <f>IF(B18="Active",MIN(Assumptions!$B$12,D18+G18),IF(B18="Deferred",MIN(Assumptions!$B$12,D18),D18))</f>
        <v>29</v>
      </c>
      <c r="J18" s="17">
        <f>IF(B18="Active",H18*I18*Assumptions!$B$11,IF(B18="Deferred",E18*I18*Assumptions!$B$11*(1+Assumptions!$B$9)^G18,F18))</f>
        <v>1074457.944680332</v>
      </c>
      <c r="K18" s="11">
        <f>IF(B18="Pensioner",1,VLOOKUP(Assumptions!$B$10,Mortality!$A$2:$F$104,6,FALSE)/VLOOKUP(C18,Mortality!$A$2:$F$104,6,FALSE))</f>
        <v>0.98240527975061542</v>
      </c>
      <c r="L18" s="11">
        <f>VLOOKUP(IF(B18="Pensioner",C18,Assumptions!$B$10),Mortality!$A$2:$E$104,5,FALSE)</f>
        <v>17.296790022132885</v>
      </c>
      <c r="M18" s="11">
        <f>1+Assumptions!$B$13*Assumptions!$B$14*Assumptions!$B$15</f>
        <v>1.3187500000000001</v>
      </c>
      <c r="N18" s="11">
        <f>IF(B18="Pensioner",1,1/(1+Assumptions!$B$6)^G18)</f>
        <v>0.56735322782936326</v>
      </c>
      <c r="O18" s="17">
        <f t="shared" si="0"/>
        <v>13660343.658762537</v>
      </c>
    </row>
    <row r="19" spans="1:15">
      <c r="A19" s="13" t="str">
        <f>Members!A19</f>
        <v>P0211</v>
      </c>
      <c r="B19" s="13" t="str">
        <f>Members!B19</f>
        <v>Pensioner</v>
      </c>
      <c r="C19" s="13">
        <f>Members!C19</f>
        <v>83</v>
      </c>
      <c r="D19" s="14">
        <f>Members!D19</f>
        <v>18.399999999999999</v>
      </c>
      <c r="E19" s="16">
        <f>Members!E19</f>
        <v>0</v>
      </c>
      <c r="F19" s="16">
        <f>Members!F19</f>
        <v>710000</v>
      </c>
      <c r="G19" s="15">
        <f>MAX(0,Assumptions!$B$10-C19)</f>
        <v>0</v>
      </c>
      <c r="H19" s="17">
        <f>IF(B19="Active",E19*(1+Assumptions!$B$7)^G19,E19)</f>
        <v>0</v>
      </c>
      <c r="I19" s="17">
        <f>IF(B19="Active",MIN(Assumptions!$B$12,D19+G19),IF(B19="Deferred",MIN(Assumptions!$B$12,D19),D19))</f>
        <v>18.399999999999999</v>
      </c>
      <c r="J19" s="17">
        <f>IF(B19="Active",H19*I19*Assumptions!$B$11,IF(B19="Deferred",E19*I19*Assumptions!$B$11*(1+Assumptions!$B$9)^G19,F19))</f>
        <v>710000</v>
      </c>
      <c r="K19" s="11">
        <f>IF(B19="Pensioner",1,VLOOKUP(Assumptions!$B$10,Mortality!$A$2:$F$104,6,FALSE)/VLOOKUP(C19,Mortality!$A$2:$F$104,6,FALSE))</f>
        <v>1</v>
      </c>
      <c r="L19" s="11">
        <f>VLOOKUP(IF(B19="Pensioner",C19,Assumptions!$B$10),Mortality!$A$2:$E$104,5,FALSE)</f>
        <v>7.0669562738307876</v>
      </c>
      <c r="M19" s="11">
        <f>1+Assumptions!$B$13*Assumptions!$B$14*Assumptions!$B$15</f>
        <v>1.3187500000000001</v>
      </c>
      <c r="N19" s="11">
        <f>IF(B19="Pensioner",1,1/(1+Assumptions!$B$6)^G19)</f>
        <v>1</v>
      </c>
      <c r="O19" s="17">
        <f t="shared" si="0"/>
        <v>6616879.4961411888</v>
      </c>
    </row>
    <row r="20" spans="1:15">
      <c r="A20" s="13" t="str">
        <f>Members!A20</f>
        <v>D0128</v>
      </c>
      <c r="B20" s="13" t="str">
        <f>Members!B20</f>
        <v>Deferred</v>
      </c>
      <c r="C20" s="13">
        <f>Members!C20</f>
        <v>59</v>
      </c>
      <c r="D20" s="14">
        <f>Members!D20</f>
        <v>22.4</v>
      </c>
      <c r="E20" s="16">
        <f>Members!E20</f>
        <v>1057000</v>
      </c>
      <c r="F20" s="16">
        <f>Members!F20</f>
        <v>0</v>
      </c>
      <c r="G20" s="15">
        <f>MAX(0,Assumptions!$B$10-C20)</f>
        <v>1</v>
      </c>
      <c r="H20" s="17">
        <f>IF(B20="Active",E20*(1+Assumptions!$B$7)^G20,E20)</f>
        <v>1057000</v>
      </c>
      <c r="I20" s="17">
        <f>IF(B20="Active",MIN(Assumptions!$B$12,D20+G20),IF(B20="Deferred",MIN(Assumptions!$B$12,D20),D20))</f>
        <v>22.4</v>
      </c>
      <c r="J20" s="17">
        <f>IF(B20="Active",H20*I20*Assumptions!$B$11,IF(B20="Deferred",E20*I20*Assumptions!$B$11*(1+Assumptions!$B$9)^G20,F20))</f>
        <v>410397.86666666664</v>
      </c>
      <c r="K20" s="11">
        <f>IF(B20="Pensioner",1,VLOOKUP(Assumptions!$B$10,Mortality!$A$2:$F$104,6,FALSE)/VLOOKUP(C20,Mortality!$A$2:$F$104,6,FALSE))</f>
        <v>0.99710960118319747</v>
      </c>
      <c r="L20" s="11">
        <f>VLOOKUP(IF(B20="Pensioner",C20,Assumptions!$B$10),Mortality!$A$2:$E$104,5,FALSE)</f>
        <v>17.296790022132885</v>
      </c>
      <c r="M20" s="11">
        <f>1+Assumptions!$B$13*Assumptions!$B$14*Assumptions!$B$15</f>
        <v>1.3187500000000001</v>
      </c>
      <c r="N20" s="11">
        <f>IF(B20="Pensioner",1,1/(1+Assumptions!$B$6)^G20)</f>
        <v>0.93896713615023475</v>
      </c>
      <c r="O20" s="17">
        <f t="shared" si="0"/>
        <v>8764484.3679018151</v>
      </c>
    </row>
    <row r="21" spans="1:15">
      <c r="A21" s="13" t="str">
        <f>Members!A21</f>
        <v>P0175</v>
      </c>
      <c r="B21" s="13" t="str">
        <f>Members!B21</f>
        <v>Pensioner</v>
      </c>
      <c r="C21" s="13">
        <f>Members!C21</f>
        <v>63</v>
      </c>
      <c r="D21" s="14">
        <f>Members!D21</f>
        <v>13.7</v>
      </c>
      <c r="E21" s="16">
        <f>Members!E21</f>
        <v>0</v>
      </c>
      <c r="F21" s="16">
        <f>Members!F21</f>
        <v>186000</v>
      </c>
      <c r="G21" s="15">
        <f>MAX(0,Assumptions!$B$10-C21)</f>
        <v>0</v>
      </c>
      <c r="H21" s="17">
        <f>IF(B21="Active",E21*(1+Assumptions!$B$7)^G21,E21)</f>
        <v>0</v>
      </c>
      <c r="I21" s="17">
        <f>IF(B21="Active",MIN(Assumptions!$B$12,D21+G21),IF(B21="Deferred",MIN(Assumptions!$B$12,D21),D21))</f>
        <v>13.7</v>
      </c>
      <c r="J21" s="17">
        <f>IF(B21="Active",H21*I21*Assumptions!$B$11,IF(B21="Deferred",E21*I21*Assumptions!$B$11*(1+Assumptions!$B$9)^G21,F21))</f>
        <v>186000</v>
      </c>
      <c r="K21" s="11">
        <f>IF(B21="Pensioner",1,VLOOKUP(Assumptions!$B$10,Mortality!$A$2:$F$104,6,FALSE)/VLOOKUP(C21,Mortality!$A$2:$F$104,6,FALSE))</f>
        <v>1</v>
      </c>
      <c r="L21" s="11">
        <f>VLOOKUP(IF(B21="Pensioner",C21,Assumptions!$B$10),Mortality!$A$2:$E$104,5,FALSE)</f>
        <v>16.055191398346196</v>
      </c>
      <c r="M21" s="11">
        <f>1+Assumptions!$B$13*Assumptions!$B$14*Assumptions!$B$15</f>
        <v>1.3187500000000001</v>
      </c>
      <c r="N21" s="11">
        <f>IF(B21="Pensioner",1,1/(1+Assumptions!$B$6)^G21)</f>
        <v>1</v>
      </c>
      <c r="O21" s="17">
        <f t="shared" si="0"/>
        <v>3938137.7601218428</v>
      </c>
    </row>
    <row r="22" spans="1:15">
      <c r="A22" s="13" t="str">
        <f>Members!A22</f>
        <v>A0252</v>
      </c>
      <c r="B22" s="13" t="str">
        <f>Members!B22</f>
        <v>Active</v>
      </c>
      <c r="C22" s="13">
        <f>Members!C22</f>
        <v>33</v>
      </c>
      <c r="D22" s="14">
        <f>Members!D22</f>
        <v>6</v>
      </c>
      <c r="E22" s="16">
        <f>Members!E22</f>
        <v>727000</v>
      </c>
      <c r="F22" s="16">
        <f>Members!F22</f>
        <v>0</v>
      </c>
      <c r="G22" s="15">
        <f>MAX(0,Assumptions!$B$10-C22)</f>
        <v>27</v>
      </c>
      <c r="H22" s="17">
        <f>IF(B22="Active",E22*(1+Assumptions!$B$7)^G22,E22)</f>
        <v>3085679.5406849035</v>
      </c>
      <c r="I22" s="17">
        <f>IF(B22="Active",MIN(Assumptions!$B$12,D22+G22),IF(B22="Deferred",MIN(Assumptions!$B$12,D22),D22))</f>
        <v>33</v>
      </c>
      <c r="J22" s="17">
        <f>IF(B22="Active",H22*I22*Assumptions!$B$11,IF(B22="Deferred",E22*I22*Assumptions!$B$11*(1+Assumptions!$B$9)^G22,F22))</f>
        <v>1697123.7473766969</v>
      </c>
      <c r="K22" s="11">
        <f>IF(B22="Pensioner",1,VLOOKUP(Assumptions!$B$10,Mortality!$A$2:$F$104,6,FALSE)/VLOOKUP(C22,Mortality!$A$2:$F$104,6,FALSE))</f>
        <v>0.9712826176321353</v>
      </c>
      <c r="L22" s="11">
        <f>VLOOKUP(IF(B22="Pensioner",C22,Assumptions!$B$10),Mortality!$A$2:$E$104,5,FALSE)</f>
        <v>17.296790022132885</v>
      </c>
      <c r="M22" s="11">
        <f>1+Assumptions!$B$13*Assumptions!$B$14*Assumptions!$B$15</f>
        <v>1.3187500000000001</v>
      </c>
      <c r="N22" s="11">
        <f>IF(B22="Pensioner",1,1/(1+Assumptions!$B$6)^G22)</f>
        <v>0.18262515186257369</v>
      </c>
      <c r="O22" s="17">
        <f t="shared" si="0"/>
        <v>6866694.1356361005</v>
      </c>
    </row>
    <row r="23" spans="1:15">
      <c r="A23" s="13" t="str">
        <f>Members!A23</f>
        <v>A0415</v>
      </c>
      <c r="B23" s="13" t="str">
        <f>Members!B23</f>
        <v>Active</v>
      </c>
      <c r="C23" s="13">
        <f>Members!C23</f>
        <v>31</v>
      </c>
      <c r="D23" s="14">
        <f>Members!D23</f>
        <v>6.7</v>
      </c>
      <c r="E23" s="16">
        <f>Members!E23</f>
        <v>707000</v>
      </c>
      <c r="F23" s="16">
        <f>Members!F23</f>
        <v>0</v>
      </c>
      <c r="G23" s="15">
        <f>MAX(0,Assumptions!$B$10-C23)</f>
        <v>29</v>
      </c>
      <c r="H23" s="17">
        <f>IF(B23="Active",E23*(1+Assumptions!$B$7)^G23,E23)</f>
        <v>3339955.9818912866</v>
      </c>
      <c r="I23" s="17">
        <f>IF(B23="Active",MIN(Assumptions!$B$12,D23+G23),IF(B23="Deferred",MIN(Assumptions!$B$12,D23),D23))</f>
        <v>35.700000000000003</v>
      </c>
      <c r="J23" s="17">
        <f>IF(B23="Active",H23*I23*Assumptions!$B$11,IF(B23="Deferred",E23*I23*Assumptions!$B$11*(1+Assumptions!$B$9)^G23,F23))</f>
        <v>1987273.8092253155</v>
      </c>
      <c r="K23" s="11">
        <f>IF(B23="Pensioner",1,VLOOKUP(Assumptions!$B$10,Mortality!$A$2:$F$104,6,FALSE)/VLOOKUP(C23,Mortality!$A$2:$F$104,6,FALSE))</f>
        <v>0.97064661072952085</v>
      </c>
      <c r="L23" s="11">
        <f>VLOOKUP(IF(B23="Pensioner",C23,Assumptions!$B$10),Mortality!$A$2:$E$104,5,FALSE)</f>
        <v>17.296790022132885</v>
      </c>
      <c r="M23" s="11">
        <f>1+Assumptions!$B$13*Assumptions!$B$14*Assumptions!$B$15</f>
        <v>1.3187500000000001</v>
      </c>
      <c r="N23" s="11">
        <f>IF(B23="Pensioner",1,1/(1+Assumptions!$B$6)^G23)</f>
        <v>0.16101316040695074</v>
      </c>
      <c r="O23" s="17">
        <f t="shared" si="0"/>
        <v>7084483.8033945449</v>
      </c>
    </row>
    <row r="24" spans="1:15">
      <c r="A24" s="13" t="str">
        <f>Members!A24</f>
        <v>P0073</v>
      </c>
      <c r="B24" s="13" t="str">
        <f>Members!B24</f>
        <v>Pensioner</v>
      </c>
      <c r="C24" s="13">
        <f>Members!C24</f>
        <v>62</v>
      </c>
      <c r="D24" s="14">
        <f>Members!D24</f>
        <v>32.6</v>
      </c>
      <c r="E24" s="16">
        <f>Members!E24</f>
        <v>0</v>
      </c>
      <c r="F24" s="16">
        <f>Members!F24</f>
        <v>272000</v>
      </c>
      <c r="G24" s="15">
        <f>MAX(0,Assumptions!$B$10-C24)</f>
        <v>0</v>
      </c>
      <c r="H24" s="17">
        <f>IF(B24="Active",E24*(1+Assumptions!$B$7)^G24,E24)</f>
        <v>0</v>
      </c>
      <c r="I24" s="17">
        <f>IF(B24="Active",MIN(Assumptions!$B$12,D24+G24),IF(B24="Deferred",MIN(Assumptions!$B$12,D24),D24))</f>
        <v>32.6</v>
      </c>
      <c r="J24" s="17">
        <f>IF(B24="Active",H24*I24*Assumptions!$B$11,IF(B24="Deferred",E24*I24*Assumptions!$B$11*(1+Assumptions!$B$9)^G24,F24))</f>
        <v>272000</v>
      </c>
      <c r="K24" s="11">
        <f>IF(B24="Pensioner",1,VLOOKUP(Assumptions!$B$10,Mortality!$A$2:$F$104,6,FALSE)/VLOOKUP(C24,Mortality!$A$2:$F$104,6,FALSE))</f>
        <v>1</v>
      </c>
      <c r="L24" s="11">
        <f>VLOOKUP(IF(B24="Pensioner",C24,Assumptions!$B$10),Mortality!$A$2:$E$104,5,FALSE)</f>
        <v>16.475532548255334</v>
      </c>
      <c r="M24" s="11">
        <f>1+Assumptions!$B$13*Assumptions!$B$14*Assumptions!$B$15</f>
        <v>1.3187500000000001</v>
      </c>
      <c r="N24" s="11">
        <f>IF(B24="Pensioner",1,1/(1+Assumptions!$B$6)^G24)</f>
        <v>1</v>
      </c>
      <c r="O24" s="17">
        <f t="shared" si="0"/>
        <v>5909773.5250591887</v>
      </c>
    </row>
    <row r="25" spans="1:15">
      <c r="A25" s="13" t="str">
        <f>Members!A25</f>
        <v>A0310</v>
      </c>
      <c r="B25" s="13" t="str">
        <f>Members!B25</f>
        <v>Active</v>
      </c>
      <c r="C25" s="13">
        <f>Members!C25</f>
        <v>34</v>
      </c>
      <c r="D25" s="14">
        <f>Members!D25</f>
        <v>11.6</v>
      </c>
      <c r="E25" s="16">
        <f>Members!E25</f>
        <v>593000</v>
      </c>
      <c r="F25" s="16">
        <f>Members!F25</f>
        <v>0</v>
      </c>
      <c r="G25" s="15">
        <f>MAX(0,Assumptions!$B$10-C25)</f>
        <v>26</v>
      </c>
      <c r="H25" s="17">
        <f>IF(B25="Active",E25*(1+Assumptions!$B$7)^G25,E25)</f>
        <v>2385715.4541824781</v>
      </c>
      <c r="I25" s="17">
        <f>IF(B25="Active",MIN(Assumptions!$B$12,D25+G25),IF(B25="Deferred",MIN(Assumptions!$B$12,D25),D25))</f>
        <v>37.6</v>
      </c>
      <c r="J25" s="17">
        <f>IF(B25="Active",H25*I25*Assumptions!$B$11,IF(B25="Deferred",E25*I25*Assumptions!$B$11*(1+Assumptions!$B$9)^G25,F25))</f>
        <v>1495048.3512876863</v>
      </c>
      <c r="K25" s="11">
        <f>IF(B25="Pensioner",1,VLOOKUP(Assumptions!$B$10,Mortality!$A$2:$F$104,6,FALSE)/VLOOKUP(C25,Mortality!$A$2:$F$104,6,FALSE))</f>
        <v>0.97162058192333911</v>
      </c>
      <c r="L25" s="11">
        <f>VLOOKUP(IF(B25="Pensioner",C25,Assumptions!$B$10),Mortality!$A$2:$E$104,5,FALSE)</f>
        <v>17.296790022132885</v>
      </c>
      <c r="M25" s="11">
        <f>1+Assumptions!$B$13*Assumptions!$B$14*Assumptions!$B$15</f>
        <v>1.3187500000000001</v>
      </c>
      <c r="N25" s="11">
        <f>IF(B25="Pensioner",1,1/(1+Assumptions!$B$6)^G25)</f>
        <v>0.19449578673364096</v>
      </c>
      <c r="O25" s="17">
        <f t="shared" si="0"/>
        <v>6444513.3555494538</v>
      </c>
    </row>
    <row r="26" spans="1:15">
      <c r="A26" s="13" t="str">
        <f>Members!A26</f>
        <v>P0066</v>
      </c>
      <c r="B26" s="13" t="str">
        <f>Members!B26</f>
        <v>Pensioner</v>
      </c>
      <c r="C26" s="13">
        <f>Members!C26</f>
        <v>65</v>
      </c>
      <c r="D26" s="14">
        <f>Members!D26</f>
        <v>13.1</v>
      </c>
      <c r="E26" s="16">
        <f>Members!E26</f>
        <v>0</v>
      </c>
      <c r="F26" s="16">
        <f>Members!F26</f>
        <v>307000</v>
      </c>
      <c r="G26" s="15">
        <f>MAX(0,Assumptions!$B$10-C26)</f>
        <v>0</v>
      </c>
      <c r="H26" s="17">
        <f>IF(B26="Active",E26*(1+Assumptions!$B$7)^G26,E26)</f>
        <v>0</v>
      </c>
      <c r="I26" s="17">
        <f>IF(B26="Active",MIN(Assumptions!$B$12,D26+G26),IF(B26="Deferred",MIN(Assumptions!$B$12,D26),D26))</f>
        <v>13.1</v>
      </c>
      <c r="J26" s="17">
        <f>IF(B26="Active",H26*I26*Assumptions!$B$11,IF(B26="Deferred",E26*I26*Assumptions!$B$11*(1+Assumptions!$B$9)^G26,F26))</f>
        <v>307000</v>
      </c>
      <c r="K26" s="11">
        <f>IF(B26="Pensioner",1,VLOOKUP(Assumptions!$B$10,Mortality!$A$2:$F$104,6,FALSE)/VLOOKUP(C26,Mortality!$A$2:$F$104,6,FALSE))</f>
        <v>1</v>
      </c>
      <c r="L26" s="11">
        <f>VLOOKUP(IF(B26="Pensioner",C26,Assumptions!$B$10),Mortality!$A$2:$E$104,5,FALSE)</f>
        <v>15.196570962158528</v>
      </c>
      <c r="M26" s="11">
        <f>1+Assumptions!$B$13*Assumptions!$B$14*Assumptions!$B$15</f>
        <v>1.3187500000000001</v>
      </c>
      <c r="N26" s="11">
        <f>IF(B26="Pensioner",1,1/(1+Assumptions!$B$6)^G26)</f>
        <v>1</v>
      </c>
      <c r="O26" s="17">
        <f t="shared" si="0"/>
        <v>6152426.7325983942</v>
      </c>
    </row>
    <row r="27" spans="1:15">
      <c r="A27" s="13" t="str">
        <f>Members!A27</f>
        <v>A0544</v>
      </c>
      <c r="B27" s="13" t="str">
        <f>Members!B27</f>
        <v>Active</v>
      </c>
      <c r="C27" s="13">
        <f>Members!C27</f>
        <v>43</v>
      </c>
      <c r="D27" s="14">
        <f>Members!D27</f>
        <v>17.5</v>
      </c>
      <c r="E27" s="16">
        <f>Members!E27</f>
        <v>780000</v>
      </c>
      <c r="F27" s="16">
        <f>Members!F27</f>
        <v>0</v>
      </c>
      <c r="G27" s="15">
        <f>MAX(0,Assumptions!$B$10-C27)</f>
        <v>17</v>
      </c>
      <c r="H27" s="17">
        <f>IF(B27="Active",E27*(1+Assumptions!$B$7)^G27,E27)</f>
        <v>1938145.6752630521</v>
      </c>
      <c r="I27" s="17">
        <f>IF(B27="Active",MIN(Assumptions!$B$12,D27+G27),IF(B27="Deferred",MIN(Assumptions!$B$12,D27),D27))</f>
        <v>34.5</v>
      </c>
      <c r="J27" s="17">
        <f>IF(B27="Active",H27*I27*Assumptions!$B$11,IF(B27="Deferred",E27*I27*Assumptions!$B$11*(1+Assumptions!$B$9)^G27,F27))</f>
        <v>1114433.763276255</v>
      </c>
      <c r="K27" s="11">
        <f>IF(B27="Pensioner",1,VLOOKUP(Assumptions!$B$10,Mortality!$A$2:$F$104,6,FALSE)/VLOOKUP(C27,Mortality!$A$2:$F$104,6,FALSE))</f>
        <v>0.97565175842493801</v>
      </c>
      <c r="L27" s="11">
        <f>VLOOKUP(IF(B27="Pensioner",C27,Assumptions!$B$10),Mortality!$A$2:$E$104,5,FALSE)</f>
        <v>17.296790022132885</v>
      </c>
      <c r="M27" s="11">
        <f>1+Assumptions!$B$13*Assumptions!$B$14*Assumptions!$B$15</f>
        <v>1.3187500000000001</v>
      </c>
      <c r="N27" s="11">
        <f>IF(B27="Pensioner",1,1/(1+Assumptions!$B$6)^G27)</f>
        <v>0.34281251466174323</v>
      </c>
      <c r="O27" s="17">
        <f t="shared" si="0"/>
        <v>8502247.5661813561</v>
      </c>
    </row>
    <row r="28" spans="1:15">
      <c r="A28" s="13" t="str">
        <f>Members!A28</f>
        <v>A0026</v>
      </c>
      <c r="B28" s="13" t="str">
        <f>Members!B28</f>
        <v>Active</v>
      </c>
      <c r="C28" s="13">
        <f>Members!C28</f>
        <v>23</v>
      </c>
      <c r="D28" s="14">
        <f>Members!D28</f>
        <v>1</v>
      </c>
      <c r="E28" s="16">
        <f>Members!E28</f>
        <v>538000</v>
      </c>
      <c r="F28" s="16">
        <f>Members!F28</f>
        <v>0</v>
      </c>
      <c r="G28" s="15">
        <f>MAX(0,Assumptions!$B$10-C28)</f>
        <v>37</v>
      </c>
      <c r="H28" s="17">
        <f>IF(B28="Active",E28*(1+Assumptions!$B$7)^G28,E28)</f>
        <v>3900526.9426818099</v>
      </c>
      <c r="I28" s="17">
        <f>IF(B28="Active",MIN(Assumptions!$B$12,D28+G28),IF(B28="Deferred",MIN(Assumptions!$B$12,D28),D28))</f>
        <v>38</v>
      </c>
      <c r="J28" s="17">
        <f>IF(B28="Active",H28*I28*Assumptions!$B$11,IF(B28="Deferred",E28*I28*Assumptions!$B$11*(1+Assumptions!$B$9)^G28,F28))</f>
        <v>2470333.730365146</v>
      </c>
      <c r="K28" s="11">
        <f>IF(B28="Pensioner",1,VLOOKUP(Assumptions!$B$10,Mortality!$A$2:$F$104,6,FALSE)/VLOOKUP(C28,Mortality!$A$2:$F$104,6,FALSE))</f>
        <v>0.96845927521970809</v>
      </c>
      <c r="L28" s="11">
        <f>VLOOKUP(IF(B28="Pensioner",C28,Assumptions!$B$10),Mortality!$A$2:$E$104,5,FALSE)</f>
        <v>17.296790022132885</v>
      </c>
      <c r="M28" s="11">
        <f>1+Assumptions!$B$13*Assumptions!$B$14*Assumptions!$B$15</f>
        <v>1.3187500000000001</v>
      </c>
      <c r="N28" s="11">
        <f>IF(B28="Pensioner",1,1/(1+Assumptions!$B$6)^G28)</f>
        <v>9.7289173138083412E-2</v>
      </c>
      <c r="O28" s="17">
        <f t="shared" si="0"/>
        <v>5309204.9354478717</v>
      </c>
    </row>
    <row r="29" spans="1:15">
      <c r="A29" s="13" t="str">
        <f>Members!A29</f>
        <v>A0618</v>
      </c>
      <c r="B29" s="13" t="str">
        <f>Members!B29</f>
        <v>Active</v>
      </c>
      <c r="C29" s="13">
        <f>Members!C29</f>
        <v>32</v>
      </c>
      <c r="D29" s="14">
        <f>Members!D29</f>
        <v>5.2</v>
      </c>
      <c r="E29" s="16">
        <f>Members!E29</f>
        <v>658000</v>
      </c>
      <c r="F29" s="16">
        <f>Members!F29</f>
        <v>0</v>
      </c>
      <c r="G29" s="15">
        <f>MAX(0,Assumptions!$B$10-C29)</f>
        <v>28</v>
      </c>
      <c r="H29" s="17">
        <f>IF(B29="Active",E29*(1+Assumptions!$B$7)^G29,E29)</f>
        <v>2946420.7432572944</v>
      </c>
      <c r="I29" s="17">
        <f>IF(B29="Active",MIN(Assumptions!$B$12,D29+G29),IF(B29="Deferred",MIN(Assumptions!$B$12,D29),D29))</f>
        <v>33.200000000000003</v>
      </c>
      <c r="J29" s="17">
        <f>IF(B29="Active",H29*I29*Assumptions!$B$11,IF(B29="Deferred",E29*I29*Assumptions!$B$11*(1+Assumptions!$B$9)^G29,F29))</f>
        <v>1630352.8112690365</v>
      </c>
      <c r="K29" s="11">
        <f>IF(B29="Pensioner",1,VLOOKUP(Assumptions!$B$10,Mortality!$A$2:$F$104,6,FALSE)/VLOOKUP(C29,Mortality!$A$2:$F$104,6,FALSE))</f>
        <v>0.97095846876649572</v>
      </c>
      <c r="L29" s="11">
        <f>VLOOKUP(IF(B29="Pensioner",C29,Assumptions!$B$10),Mortality!$A$2:$E$104,5,FALSE)</f>
        <v>17.296790022132885</v>
      </c>
      <c r="M29" s="11">
        <f>1+Assumptions!$B$13*Assumptions!$B$14*Assumptions!$B$15</f>
        <v>1.3187500000000001</v>
      </c>
      <c r="N29" s="11">
        <f>IF(B29="Pensioner",1,1/(1+Assumptions!$B$6)^G29)</f>
        <v>0.17147901583340255</v>
      </c>
      <c r="O29" s="17">
        <f t="shared" si="0"/>
        <v>6191861.2925960496</v>
      </c>
    </row>
    <row r="30" spans="1:15">
      <c r="A30" s="13" t="str">
        <f>Members!A30</f>
        <v>P0212</v>
      </c>
      <c r="B30" s="13" t="str">
        <f>Members!B30</f>
        <v>Pensioner</v>
      </c>
      <c r="C30" s="13">
        <f>Members!C30</f>
        <v>86</v>
      </c>
      <c r="D30" s="14">
        <f>Members!D30</f>
        <v>15.8</v>
      </c>
      <c r="E30" s="16">
        <f>Members!E30</f>
        <v>0</v>
      </c>
      <c r="F30" s="16">
        <f>Members!F30</f>
        <v>831000</v>
      </c>
      <c r="G30" s="15">
        <f>MAX(0,Assumptions!$B$10-C30)</f>
        <v>0</v>
      </c>
      <c r="H30" s="17">
        <f>IF(B30="Active",E30*(1+Assumptions!$B$7)^G30,E30)</f>
        <v>0</v>
      </c>
      <c r="I30" s="17">
        <f>IF(B30="Active",MIN(Assumptions!$B$12,D30+G30),IF(B30="Deferred",MIN(Assumptions!$B$12,D30),D30))</f>
        <v>15.8</v>
      </c>
      <c r="J30" s="17">
        <f>IF(B30="Active",H30*I30*Assumptions!$B$11,IF(B30="Deferred",E30*I30*Assumptions!$B$11*(1+Assumptions!$B$9)^G30,F30))</f>
        <v>831000</v>
      </c>
      <c r="K30" s="11">
        <f>IF(B30="Pensioner",1,VLOOKUP(Assumptions!$B$10,Mortality!$A$2:$F$104,6,FALSE)/VLOOKUP(C30,Mortality!$A$2:$F$104,6,FALSE))</f>
        <v>1</v>
      </c>
      <c r="L30" s="11">
        <f>VLOOKUP(IF(B30="Pensioner",C30,Assumptions!$B$10),Mortality!$A$2:$E$104,5,FALSE)</f>
        <v>5.822832972912483</v>
      </c>
      <c r="M30" s="11">
        <f>1+Assumptions!$B$13*Assumptions!$B$14*Assumptions!$B$15</f>
        <v>1.3187500000000001</v>
      </c>
      <c r="N30" s="11">
        <f>IF(B30="Pensioner",1,1/(1+Assumptions!$B$6)^G30)</f>
        <v>1</v>
      </c>
      <c r="O30" s="17">
        <f t="shared" si="0"/>
        <v>6381133.4768965486</v>
      </c>
    </row>
    <row r="31" spans="1:15">
      <c r="A31" s="13" t="str">
        <f>Members!A31</f>
        <v>A0559</v>
      </c>
      <c r="B31" s="13" t="str">
        <f>Members!B31</f>
        <v>Active</v>
      </c>
      <c r="C31" s="13">
        <f>Members!C31</f>
        <v>35</v>
      </c>
      <c r="D31" s="14">
        <f>Members!D31</f>
        <v>8.1</v>
      </c>
      <c r="E31" s="16">
        <f>Members!E31</f>
        <v>537000</v>
      </c>
      <c r="F31" s="16">
        <f>Members!F31</f>
        <v>0</v>
      </c>
      <c r="G31" s="15">
        <f>MAX(0,Assumptions!$B$10-C31)</f>
        <v>25</v>
      </c>
      <c r="H31" s="17">
        <f>IF(B31="Active",E31*(1+Assumptions!$B$7)^G31,E31)</f>
        <v>2047791.691209435</v>
      </c>
      <c r="I31" s="17">
        <f>IF(B31="Active",MIN(Assumptions!$B$12,D31+G31),IF(B31="Deferred",MIN(Assumptions!$B$12,D31),D31))</f>
        <v>33.1</v>
      </c>
      <c r="J31" s="17">
        <f>IF(B31="Active",H31*I31*Assumptions!$B$11,IF(B31="Deferred",E31*I31*Assumptions!$B$11*(1+Assumptions!$B$9)^G31,F31))</f>
        <v>1129698.4163172052</v>
      </c>
      <c r="K31" s="11">
        <f>IF(B31="Pensioner",1,VLOOKUP(Assumptions!$B$10,Mortality!$A$2:$F$104,6,FALSE)/VLOOKUP(C31,Mortality!$A$2:$F$104,6,FALSE))</f>
        <v>0.97197407653867529</v>
      </c>
      <c r="L31" s="11">
        <f>VLOOKUP(IF(B31="Pensioner",C31,Assumptions!$B$10),Mortality!$A$2:$E$104,5,FALSE)</f>
        <v>17.296790022132885</v>
      </c>
      <c r="M31" s="11">
        <f>1+Assumptions!$B$13*Assumptions!$B$14*Assumptions!$B$15</f>
        <v>1.3187500000000001</v>
      </c>
      <c r="N31" s="11">
        <f>IF(B31="Pensioner",1,1/(1+Assumptions!$B$6)^G31)</f>
        <v>0.20713801287132758</v>
      </c>
      <c r="O31" s="17">
        <f t="shared" si="0"/>
        <v>5188060.0409192992</v>
      </c>
    </row>
    <row r="32" spans="1:15">
      <c r="A32" s="13" t="str">
        <f>Members!A32</f>
        <v>A0207</v>
      </c>
      <c r="B32" s="13" t="str">
        <f>Members!B32</f>
        <v>Active</v>
      </c>
      <c r="C32" s="13">
        <f>Members!C32</f>
        <v>55</v>
      </c>
      <c r="D32" s="14">
        <f>Members!D32</f>
        <v>5.5</v>
      </c>
      <c r="E32" s="16">
        <f>Members!E32</f>
        <v>2009000</v>
      </c>
      <c r="F32" s="16">
        <f>Members!F32</f>
        <v>0</v>
      </c>
      <c r="G32" s="15">
        <f>MAX(0,Assumptions!$B$10-C32)</f>
        <v>5</v>
      </c>
      <c r="H32" s="17">
        <f>IF(B32="Active",E32*(1+Assumptions!$B$7)^G32,E32)</f>
        <v>2625682.6528764339</v>
      </c>
      <c r="I32" s="17">
        <f>IF(B32="Active",MIN(Assumptions!$B$12,D32+G32),IF(B32="Deferred",MIN(Assumptions!$B$12,D32),D32))</f>
        <v>10.5</v>
      </c>
      <c r="J32" s="17">
        <f>IF(B32="Active",H32*I32*Assumptions!$B$11,IF(B32="Deferred",E32*I32*Assumptions!$B$11*(1+Assumptions!$B$9)^G32,F32))</f>
        <v>459494.46425337595</v>
      </c>
      <c r="K32" s="11">
        <f>IF(B32="Pensioner",1,VLOOKUP(Assumptions!$B$10,Mortality!$A$2:$F$104,6,FALSE)/VLOOKUP(C32,Mortality!$A$2:$F$104,6,FALSE))</f>
        <v>0.98824190874991746</v>
      </c>
      <c r="L32" s="11">
        <f>VLOOKUP(IF(B32="Pensioner",C32,Assumptions!$B$10),Mortality!$A$2:$E$104,5,FALSE)</f>
        <v>17.296790022132885</v>
      </c>
      <c r="M32" s="11">
        <f>1+Assumptions!$B$13*Assumptions!$B$14*Assumptions!$B$15</f>
        <v>1.3187500000000001</v>
      </c>
      <c r="N32" s="11">
        <f>IF(B32="Pensioner",1,1/(1+Assumptions!$B$6)^G32)</f>
        <v>0.72988083652095492</v>
      </c>
      <c r="O32" s="17">
        <f t="shared" si="0"/>
        <v>7560029.6337512117</v>
      </c>
    </row>
    <row r="33" spans="1:15">
      <c r="A33" s="13" t="str">
        <f>Members!A33</f>
        <v>P0153</v>
      </c>
      <c r="B33" s="13" t="str">
        <f>Members!B33</f>
        <v>Pensioner</v>
      </c>
      <c r="C33" s="13">
        <f>Members!C33</f>
        <v>75</v>
      </c>
      <c r="D33" s="14">
        <f>Members!D33</f>
        <v>31.6</v>
      </c>
      <c r="E33" s="16">
        <f>Members!E33</f>
        <v>0</v>
      </c>
      <c r="F33" s="16">
        <f>Members!F33</f>
        <v>300000</v>
      </c>
      <c r="G33" s="15">
        <f>MAX(0,Assumptions!$B$10-C33)</f>
        <v>0</v>
      </c>
      <c r="H33" s="17">
        <f>IF(B33="Active",E33*(1+Assumptions!$B$7)^G33,E33)</f>
        <v>0</v>
      </c>
      <c r="I33" s="17">
        <f>IF(B33="Active",MIN(Assumptions!$B$12,D33+G33),IF(B33="Deferred",MIN(Assumptions!$B$12,D33),D33))</f>
        <v>31.6</v>
      </c>
      <c r="J33" s="17">
        <f>IF(B33="Active",H33*I33*Assumptions!$B$11,IF(B33="Deferred",E33*I33*Assumptions!$B$11*(1+Assumptions!$B$9)^G33,F33))</f>
        <v>300000</v>
      </c>
      <c r="K33" s="11">
        <f>IF(B33="Pensioner",1,VLOOKUP(Assumptions!$B$10,Mortality!$A$2:$F$104,6,FALSE)/VLOOKUP(C33,Mortality!$A$2:$F$104,6,FALSE))</f>
        <v>1</v>
      </c>
      <c r="L33" s="11">
        <f>VLOOKUP(IF(B33="Pensioner",C33,Assumptions!$B$10),Mortality!$A$2:$E$104,5,FALSE)</f>
        <v>10.662474804432929</v>
      </c>
      <c r="M33" s="11">
        <f>1+Assumptions!$B$13*Assumptions!$B$14*Assumptions!$B$15</f>
        <v>1.3187500000000001</v>
      </c>
      <c r="N33" s="11">
        <f>IF(B33="Pensioner",1,1/(1+Assumptions!$B$6)^G33)</f>
        <v>1</v>
      </c>
      <c r="O33" s="17">
        <f t="shared" si="0"/>
        <v>4218341.594503778</v>
      </c>
    </row>
    <row r="34" spans="1:15">
      <c r="A34" s="13" t="str">
        <f>Members!A34</f>
        <v>A0420</v>
      </c>
      <c r="B34" s="13" t="str">
        <f>Members!B34</f>
        <v>Active</v>
      </c>
      <c r="C34" s="13">
        <f>Members!C34</f>
        <v>39</v>
      </c>
      <c r="D34" s="14">
        <f>Members!D34</f>
        <v>10.7</v>
      </c>
      <c r="E34" s="16">
        <f>Members!E34</f>
        <v>722000</v>
      </c>
      <c r="F34" s="16">
        <f>Members!F34</f>
        <v>0</v>
      </c>
      <c r="G34" s="15">
        <f>MAX(0,Assumptions!$B$10-C34)</f>
        <v>21</v>
      </c>
      <c r="H34" s="17">
        <f>IF(B34="Active",E34*(1+Assumptions!$B$7)^G34,E34)</f>
        <v>2222485.0581680406</v>
      </c>
      <c r="I34" s="17">
        <f>IF(B34="Active",MIN(Assumptions!$B$12,D34+G34),IF(B34="Deferred",MIN(Assumptions!$B$12,D34),D34))</f>
        <v>31.7</v>
      </c>
      <c r="J34" s="17">
        <f>IF(B34="Active",H34*I34*Assumptions!$B$11,IF(B34="Deferred",E34*I34*Assumptions!$B$11*(1+Assumptions!$B$9)^G34,F34))</f>
        <v>1174212.9390654482</v>
      </c>
      <c r="K34" s="11">
        <f>IF(B34="Pensioner",1,VLOOKUP(Assumptions!$B$10,Mortality!$A$2:$F$104,6,FALSE)/VLOOKUP(C34,Mortality!$A$2:$F$104,6,FALSE))</f>
        <v>0.97358574177887802</v>
      </c>
      <c r="L34" s="11">
        <f>VLOOKUP(IF(B34="Pensioner",C34,Assumptions!$B$10),Mortality!$A$2:$E$104,5,FALSE)</f>
        <v>17.296790022132885</v>
      </c>
      <c r="M34" s="11">
        <f>1+Assumptions!$B$13*Assumptions!$B$14*Assumptions!$B$15</f>
        <v>1.3187500000000001</v>
      </c>
      <c r="N34" s="11">
        <f>IF(B34="Pensioner",1,1/(1+Assumptions!$B$6)^G34)</f>
        <v>0.26647608349429097</v>
      </c>
      <c r="O34" s="17">
        <f t="shared" si="0"/>
        <v>6948759.6365395319</v>
      </c>
    </row>
    <row r="35" spans="1:15">
      <c r="A35" s="13" t="str">
        <f>Members!A35</f>
        <v>A0253</v>
      </c>
      <c r="B35" s="13" t="str">
        <f>Members!B35</f>
        <v>Active</v>
      </c>
      <c r="C35" s="13">
        <f>Members!C35</f>
        <v>35</v>
      </c>
      <c r="D35" s="14">
        <f>Members!D35</f>
        <v>6.8</v>
      </c>
      <c r="E35" s="16">
        <f>Members!E35</f>
        <v>686000</v>
      </c>
      <c r="F35" s="16">
        <f>Members!F35</f>
        <v>0</v>
      </c>
      <c r="G35" s="15">
        <f>MAX(0,Assumptions!$B$10-C35)</f>
        <v>25</v>
      </c>
      <c r="H35" s="17">
        <f>IF(B35="Active",E35*(1+Assumptions!$B$7)^G35,E35)</f>
        <v>2615987.1511539523</v>
      </c>
      <c r="I35" s="17">
        <f>IF(B35="Active",MIN(Assumptions!$B$12,D35+G35),IF(B35="Deferred",MIN(Assumptions!$B$12,D35),D35))</f>
        <v>31.8</v>
      </c>
      <c r="J35" s="17">
        <f>IF(B35="Active",H35*I35*Assumptions!$B$11,IF(B35="Deferred",E35*I35*Assumptions!$B$11*(1+Assumptions!$B$9)^G35,F35))</f>
        <v>1386473.190111595</v>
      </c>
      <c r="K35" s="11">
        <f>IF(B35="Pensioner",1,VLOOKUP(Assumptions!$B$10,Mortality!$A$2:$F$104,6,FALSE)/VLOOKUP(C35,Mortality!$A$2:$F$104,6,FALSE))</f>
        <v>0.97197407653867529</v>
      </c>
      <c r="L35" s="11">
        <f>VLOOKUP(IF(B35="Pensioner",C35,Assumptions!$B$10),Mortality!$A$2:$E$104,5,FALSE)</f>
        <v>17.296790022132885</v>
      </c>
      <c r="M35" s="11">
        <f>1+Assumptions!$B$13*Assumptions!$B$14*Assumptions!$B$15</f>
        <v>1.3187500000000001</v>
      </c>
      <c r="N35" s="11">
        <f>IF(B35="Pensioner",1,1/(1+Assumptions!$B$6)^G35)</f>
        <v>0.20713801287132758</v>
      </c>
      <c r="O35" s="17">
        <f t="shared" si="0"/>
        <v>6367280.0205149073</v>
      </c>
    </row>
    <row r="36" spans="1:15">
      <c r="A36" s="13" t="str">
        <f>Members!A36</f>
        <v>A0192</v>
      </c>
      <c r="B36" s="13" t="str">
        <f>Members!B36</f>
        <v>Active</v>
      </c>
      <c r="C36" s="13">
        <f>Members!C36</f>
        <v>54</v>
      </c>
      <c r="D36" s="14">
        <f>Members!D36</f>
        <v>7.5</v>
      </c>
      <c r="E36" s="16">
        <f>Members!E36</f>
        <v>2041000</v>
      </c>
      <c r="F36" s="16">
        <f>Members!F36</f>
        <v>0</v>
      </c>
      <c r="G36" s="15">
        <f>MAX(0,Assumptions!$B$10-C36)</f>
        <v>6</v>
      </c>
      <c r="H36" s="17">
        <f>IF(B36="Active",E36*(1+Assumptions!$B$7)^G36,E36)</f>
        <v>2814218.1686010179</v>
      </c>
      <c r="I36" s="17">
        <f>IF(B36="Active",MIN(Assumptions!$B$12,D36+G36),IF(B36="Deferred",MIN(Assumptions!$B$12,D36),D36))</f>
        <v>13.5</v>
      </c>
      <c r="J36" s="17">
        <f>IF(B36="Active",H36*I36*Assumptions!$B$11,IF(B36="Deferred",E36*I36*Assumptions!$B$11*(1+Assumptions!$B$9)^G36,F36))</f>
        <v>633199.08793522906</v>
      </c>
      <c r="K36" s="11">
        <f>IF(B36="Pensioner",1,VLOOKUP(Assumptions!$B$10,Mortality!$A$2:$F$104,6,FALSE)/VLOOKUP(C36,Mortality!$A$2:$F$104,6,FALSE))</f>
        <v>0.98655351190569374</v>
      </c>
      <c r="L36" s="11">
        <f>VLOOKUP(IF(B36="Pensioner",C36,Assumptions!$B$10),Mortality!$A$2:$E$104,5,FALSE)</f>
        <v>17.296790022132885</v>
      </c>
      <c r="M36" s="11">
        <f>1+Assumptions!$B$13*Assumptions!$B$14*Assumptions!$B$15</f>
        <v>1.3187500000000001</v>
      </c>
      <c r="N36" s="11">
        <f>IF(B36="Pensioner",1,1/(1+Assumptions!$B$6)^G36)</f>
        <v>0.68533411879901873</v>
      </c>
      <c r="O36" s="17">
        <f t="shared" si="0"/>
        <v>9765427.6500522718</v>
      </c>
    </row>
    <row r="37" spans="1:15">
      <c r="A37" s="13" t="str">
        <f>Members!A37</f>
        <v>A0590</v>
      </c>
      <c r="B37" s="13" t="str">
        <f>Members!B37</f>
        <v>Active</v>
      </c>
      <c r="C37" s="13">
        <f>Members!C37</f>
        <v>22</v>
      </c>
      <c r="D37" s="14">
        <f>Members!D37</f>
        <v>1</v>
      </c>
      <c r="E37" s="16">
        <f>Members!E37</f>
        <v>518000</v>
      </c>
      <c r="F37" s="16">
        <f>Members!F37</f>
        <v>0</v>
      </c>
      <c r="G37" s="15">
        <f>MAX(0,Assumptions!$B$10-C37)</f>
        <v>38</v>
      </c>
      <c r="H37" s="17">
        <f>IF(B37="Active",E37*(1+Assumptions!$B$7)^G37,E37)</f>
        <v>3962079.867855357</v>
      </c>
      <c r="I37" s="17">
        <f>IF(B37="Active",MIN(Assumptions!$B$12,D37+G37),IF(B37="Deferred",MIN(Assumptions!$B$12,D37),D37))</f>
        <v>39</v>
      </c>
      <c r="J37" s="17">
        <f>IF(B37="Active",H37*I37*Assumptions!$B$11,IF(B37="Deferred",E37*I37*Assumptions!$B$11*(1+Assumptions!$B$9)^G37,F37))</f>
        <v>2575351.9141059821</v>
      </c>
      <c r="K37" s="11">
        <f>IF(B37="Pensioner",1,VLOOKUP(Assumptions!$B$10,Mortality!$A$2:$F$104,6,FALSE)/VLOOKUP(C37,Mortality!$A$2:$F$104,6,FALSE))</f>
        <v>0.9682119922904866</v>
      </c>
      <c r="L37" s="11">
        <f>VLOOKUP(IF(B37="Pensioner",C37,Assumptions!$B$10),Mortality!$A$2:$E$104,5,FALSE)</f>
        <v>17.296790022132885</v>
      </c>
      <c r="M37" s="11">
        <f>1+Assumptions!$B$13*Assumptions!$B$14*Assumptions!$B$15</f>
        <v>1.3187500000000001</v>
      </c>
      <c r="N37" s="11">
        <f>IF(B37="Pensioner",1,1/(1+Assumptions!$B$6)^G37)</f>
        <v>9.1351336279890546E-2</v>
      </c>
      <c r="O37" s="17">
        <f t="shared" si="0"/>
        <v>5195770.1486064782</v>
      </c>
    </row>
    <row r="38" spans="1:15">
      <c r="A38" s="13" t="str">
        <f>Members!A38</f>
        <v>A0155</v>
      </c>
      <c r="B38" s="13" t="str">
        <f>Members!B38</f>
        <v>Active</v>
      </c>
      <c r="C38" s="13">
        <f>Members!C38</f>
        <v>47</v>
      </c>
      <c r="D38" s="14">
        <f>Members!D38</f>
        <v>23</v>
      </c>
      <c r="E38" s="16">
        <f>Members!E38</f>
        <v>1524000</v>
      </c>
      <c r="F38" s="16">
        <f>Members!F38</f>
        <v>0</v>
      </c>
      <c r="G38" s="15">
        <f>MAX(0,Assumptions!$B$10-C38)</f>
        <v>13</v>
      </c>
      <c r="H38" s="17">
        <f>IF(B38="Active",E38*(1+Assumptions!$B$7)^G38,E38)</f>
        <v>3056799.4197530472</v>
      </c>
      <c r="I38" s="17">
        <f>IF(B38="Active",MIN(Assumptions!$B$12,D38+G38),IF(B38="Deferred",MIN(Assumptions!$B$12,D38),D38))</f>
        <v>36</v>
      </c>
      <c r="J38" s="17">
        <f>IF(B38="Active",H38*I38*Assumptions!$B$11,IF(B38="Deferred",E38*I38*Assumptions!$B$11*(1+Assumptions!$B$9)^G38,F38))</f>
        <v>1834079.6518518284</v>
      </c>
      <c r="K38" s="11">
        <f>IF(B38="Pensioner",1,VLOOKUP(Assumptions!$B$10,Mortality!$A$2:$F$104,6,FALSE)/VLOOKUP(C38,Mortality!$A$2:$F$104,6,FALSE))</f>
        <v>0.97844516757479894</v>
      </c>
      <c r="L38" s="11">
        <f>VLOOKUP(IF(B38="Pensioner",C38,Assumptions!$B$10),Mortality!$A$2:$E$104,5,FALSE)</f>
        <v>17.296790022132885</v>
      </c>
      <c r="M38" s="11">
        <f>1+Assumptions!$B$13*Assumptions!$B$14*Assumptions!$B$15</f>
        <v>1.3187500000000001</v>
      </c>
      <c r="N38" s="11">
        <f>IF(B38="Pensioner",1,1/(1+Assumptions!$B$6)^G38)</f>
        <v>0.44101676468547191</v>
      </c>
      <c r="O38" s="17">
        <f t="shared" si="0"/>
        <v>18052517.309758984</v>
      </c>
    </row>
    <row r="39" spans="1:15">
      <c r="A39" s="13" t="str">
        <f>Members!A39</f>
        <v>A0191</v>
      </c>
      <c r="B39" s="13" t="str">
        <f>Members!B39</f>
        <v>Active</v>
      </c>
      <c r="C39" s="13">
        <f>Members!C39</f>
        <v>38</v>
      </c>
      <c r="D39" s="14">
        <f>Members!D39</f>
        <v>12.2</v>
      </c>
      <c r="E39" s="16">
        <f>Members!E39</f>
        <v>812000</v>
      </c>
      <c r="F39" s="16">
        <f>Members!F39</f>
        <v>0</v>
      </c>
      <c r="G39" s="15">
        <f>MAX(0,Assumptions!$B$10-C39)</f>
        <v>22</v>
      </c>
      <c r="H39" s="17">
        <f>IF(B39="Active",E39*(1+Assumptions!$B$7)^G39,E39)</f>
        <v>2637000.0691554481</v>
      </c>
      <c r="I39" s="17">
        <f>IF(B39="Active",MIN(Assumptions!$B$12,D39+G39),IF(B39="Deferred",MIN(Assumptions!$B$12,D39),D39))</f>
        <v>34.200000000000003</v>
      </c>
      <c r="J39" s="17">
        <f>IF(B39="Active",H39*I39*Assumptions!$B$11,IF(B39="Deferred",E39*I39*Assumptions!$B$11*(1+Assumptions!$B$9)^G39,F39))</f>
        <v>1503090.0394186054</v>
      </c>
      <c r="K39" s="11">
        <f>IF(B39="Pensioner",1,VLOOKUP(Assumptions!$B$10,Mortality!$A$2:$F$104,6,FALSE)/VLOOKUP(C39,Mortality!$A$2:$F$104,6,FALSE))</f>
        <v>0.97314826881680017</v>
      </c>
      <c r="L39" s="11">
        <f>VLOOKUP(IF(B39="Pensioner",C39,Assumptions!$B$10),Mortality!$A$2:$E$104,5,FALSE)</f>
        <v>17.296790022132885</v>
      </c>
      <c r="M39" s="11">
        <f>1+Assumptions!$B$13*Assumptions!$B$14*Assumptions!$B$15</f>
        <v>1.3187500000000001</v>
      </c>
      <c r="N39" s="11">
        <f>IF(B39="Pensioner",1,1/(1+Assumptions!$B$6)^G39)</f>
        <v>0.25021228497116527</v>
      </c>
      <c r="O39" s="17">
        <f t="shared" si="0"/>
        <v>8348349.5723919068</v>
      </c>
    </row>
    <row r="40" spans="1:15">
      <c r="A40" s="13" t="str">
        <f>Members!A40</f>
        <v>A0570</v>
      </c>
      <c r="B40" s="13" t="str">
        <f>Members!B40</f>
        <v>Active</v>
      </c>
      <c r="C40" s="13">
        <f>Members!C40</f>
        <v>56</v>
      </c>
      <c r="D40" s="14">
        <f>Members!D40</f>
        <v>9.1999999999999993</v>
      </c>
      <c r="E40" s="16">
        <f>Members!E40</f>
        <v>1764000</v>
      </c>
      <c r="F40" s="16">
        <f>Members!F40</f>
        <v>0</v>
      </c>
      <c r="G40" s="15">
        <f>MAX(0,Assumptions!$B$10-C40)</f>
        <v>4</v>
      </c>
      <c r="H40" s="17">
        <f>IF(B40="Active",E40*(1+Assumptions!$B$7)^G40,E40)</f>
        <v>2185286.6837024996</v>
      </c>
      <c r="I40" s="17">
        <f>IF(B40="Active",MIN(Assumptions!$B$12,D40+G40),IF(B40="Deferred",MIN(Assumptions!$B$12,D40),D40))</f>
        <v>13.2</v>
      </c>
      <c r="J40" s="17">
        <f>IF(B40="Active",H40*I40*Assumptions!$B$11,IF(B40="Deferred",E40*I40*Assumptions!$B$11*(1+Assumptions!$B$9)^G40,F40))</f>
        <v>480763.07041454985</v>
      </c>
      <c r="K40" s="11">
        <f>IF(B40="Pensioner",1,VLOOKUP(Assumptions!$B$10,Mortality!$A$2:$F$104,6,FALSE)/VLOOKUP(C40,Mortality!$A$2:$F$104,6,FALSE))</f>
        <v>0.99011625581042195</v>
      </c>
      <c r="L40" s="11">
        <f>VLOOKUP(IF(B40="Pensioner",C40,Assumptions!$B$10),Mortality!$A$2:$E$104,5,FALSE)</f>
        <v>17.296790022132885</v>
      </c>
      <c r="M40" s="11">
        <f>1+Assumptions!$B$13*Assumptions!$B$14*Assumptions!$B$15</f>
        <v>1.3187500000000001</v>
      </c>
      <c r="N40" s="11">
        <f>IF(B40="Pensioner",1,1/(1+Assumptions!$B$6)^G40)</f>
        <v>0.77732309089481699</v>
      </c>
      <c r="O40" s="17">
        <f t="shared" si="0"/>
        <v>8440085.4930199794</v>
      </c>
    </row>
    <row r="41" spans="1:15">
      <c r="A41" s="13" t="str">
        <f>Members!A41</f>
        <v>A0195</v>
      </c>
      <c r="B41" s="13" t="str">
        <f>Members!B41</f>
        <v>Active</v>
      </c>
      <c r="C41" s="13">
        <f>Members!C41</f>
        <v>40</v>
      </c>
      <c r="D41" s="14">
        <f>Members!D41</f>
        <v>1.9</v>
      </c>
      <c r="E41" s="16">
        <f>Members!E41</f>
        <v>654000</v>
      </c>
      <c r="F41" s="16">
        <f>Members!F41</f>
        <v>0</v>
      </c>
      <c r="G41" s="15">
        <f>MAX(0,Assumptions!$B$10-C41)</f>
        <v>20</v>
      </c>
      <c r="H41" s="17">
        <f>IF(B41="Active",E41*(1+Assumptions!$B$7)^G41,E41)</f>
        <v>1908213.3988550743</v>
      </c>
      <c r="I41" s="17">
        <f>IF(B41="Active",MIN(Assumptions!$B$12,D41+G41),IF(B41="Deferred",MIN(Assumptions!$B$12,D41),D41))</f>
        <v>21.9</v>
      </c>
      <c r="J41" s="17">
        <f>IF(B41="Active",H41*I41*Assumptions!$B$11,IF(B41="Deferred",E41*I41*Assumptions!$B$11*(1+Assumptions!$B$9)^G41,F41))</f>
        <v>696497.890582102</v>
      </c>
      <c r="K41" s="11">
        <f>IF(B41="Pensioner",1,VLOOKUP(Assumptions!$B$10,Mortality!$A$2:$F$104,6,FALSE)/VLOOKUP(C41,Mortality!$A$2:$F$104,6,FALSE))</f>
        <v>0.97405112431987673</v>
      </c>
      <c r="L41" s="11">
        <f>VLOOKUP(IF(B41="Pensioner",C41,Assumptions!$B$10),Mortality!$A$2:$E$104,5,FALSE)</f>
        <v>17.296790022132885</v>
      </c>
      <c r="M41" s="11">
        <f>1+Assumptions!$B$13*Assumptions!$B$14*Assumptions!$B$15</f>
        <v>1.3187500000000001</v>
      </c>
      <c r="N41" s="11">
        <f>IF(B41="Pensioner",1,1/(1+Assumptions!$B$6)^G41)</f>
        <v>0.28379702892141989</v>
      </c>
      <c r="O41" s="17">
        <f t="shared" si="0"/>
        <v>4391747.7535801195</v>
      </c>
    </row>
    <row r="42" spans="1:15">
      <c r="A42" s="13" t="str">
        <f>Members!A42</f>
        <v>P0182</v>
      </c>
      <c r="B42" s="13" t="str">
        <f>Members!B42</f>
        <v>Pensioner</v>
      </c>
      <c r="C42" s="13">
        <f>Members!C42</f>
        <v>71</v>
      </c>
      <c r="D42" s="14">
        <f>Members!D42</f>
        <v>18.3</v>
      </c>
      <c r="E42" s="16">
        <f>Members!E42</f>
        <v>0</v>
      </c>
      <c r="F42" s="16">
        <f>Members!F42</f>
        <v>380000</v>
      </c>
      <c r="G42" s="15">
        <f>MAX(0,Assumptions!$B$10-C42)</f>
        <v>0</v>
      </c>
      <c r="H42" s="17">
        <f>IF(B42="Active",E42*(1+Assumptions!$B$7)^G42,E42)</f>
        <v>0</v>
      </c>
      <c r="I42" s="17">
        <f>IF(B42="Active",MIN(Assumptions!$B$12,D42+G42),IF(B42="Deferred",MIN(Assumptions!$B$12,D42),D42))</f>
        <v>18.3</v>
      </c>
      <c r="J42" s="17">
        <f>IF(B42="Active",H42*I42*Assumptions!$B$11,IF(B42="Deferred",E42*I42*Assumptions!$B$11*(1+Assumptions!$B$9)^G42,F42))</f>
        <v>380000</v>
      </c>
      <c r="K42" s="11">
        <f>IF(B42="Pensioner",1,VLOOKUP(Assumptions!$B$10,Mortality!$A$2:$F$104,6,FALSE)/VLOOKUP(C42,Mortality!$A$2:$F$104,6,FALSE))</f>
        <v>1</v>
      </c>
      <c r="L42" s="11">
        <f>VLOOKUP(IF(B42="Pensioner",C42,Assumptions!$B$10),Mortality!$A$2:$E$104,5,FALSE)</f>
        <v>12.506703342154774</v>
      </c>
      <c r="M42" s="11">
        <f>1+Assumptions!$B$13*Assumptions!$B$14*Assumptions!$B$15</f>
        <v>1.3187500000000001</v>
      </c>
      <c r="N42" s="11">
        <f>IF(B42="Pensioner",1,1/(1+Assumptions!$B$6)^G42)</f>
        <v>1</v>
      </c>
      <c r="O42" s="17">
        <f t="shared" si="0"/>
        <v>6267421.7123373114</v>
      </c>
    </row>
    <row r="43" spans="1:15">
      <c r="A43" s="13" t="str">
        <f>Members!A43</f>
        <v>A0089</v>
      </c>
      <c r="B43" s="13" t="str">
        <f>Members!B43</f>
        <v>Active</v>
      </c>
      <c r="C43" s="13">
        <f>Members!C43</f>
        <v>52</v>
      </c>
      <c r="D43" s="14">
        <f>Members!D43</f>
        <v>24.6</v>
      </c>
      <c r="E43" s="16">
        <f>Members!E43</f>
        <v>1343000</v>
      </c>
      <c r="F43" s="16">
        <f>Members!F43</f>
        <v>0</v>
      </c>
      <c r="G43" s="15">
        <f>MAX(0,Assumptions!$B$10-C43)</f>
        <v>8</v>
      </c>
      <c r="H43" s="17">
        <f>IF(B43="Active",E43*(1+Assumptions!$B$7)^G43,E43)</f>
        <v>2061083.9896398333</v>
      </c>
      <c r="I43" s="17">
        <f>IF(B43="Active",MIN(Assumptions!$B$12,D43+G43),IF(B43="Deferred",MIN(Assumptions!$B$12,D43),D43))</f>
        <v>32.6</v>
      </c>
      <c r="J43" s="17">
        <f>IF(B43="Active",H43*I43*Assumptions!$B$11,IF(B43="Deferred",E43*I43*Assumptions!$B$11*(1+Assumptions!$B$9)^G43,F43))</f>
        <v>1119855.6343709761</v>
      </c>
      <c r="K43" s="11">
        <f>IF(B43="Pensioner",1,VLOOKUP(Assumptions!$B$10,Mortality!$A$2:$F$104,6,FALSE)/VLOOKUP(C43,Mortality!$A$2:$F$104,6,FALSE))</f>
        <v>0.98365275168798427</v>
      </c>
      <c r="L43" s="11">
        <f>VLOOKUP(IF(B43="Pensioner",C43,Assumptions!$B$10),Mortality!$A$2:$E$104,5,FALSE)</f>
        <v>17.296790022132885</v>
      </c>
      <c r="M43" s="11">
        <f>1+Assumptions!$B$13*Assumptions!$B$14*Assumptions!$B$15</f>
        <v>1.3187500000000001</v>
      </c>
      <c r="N43" s="11">
        <f>IF(B43="Pensioner",1,1/(1+Assumptions!$B$6)^G43)</f>
        <v>0.60423118763827188</v>
      </c>
      <c r="O43" s="17">
        <f t="shared" si="0"/>
        <v>15182209.30153604</v>
      </c>
    </row>
    <row r="44" spans="1:15">
      <c r="A44" s="13" t="str">
        <f>Members!A44</f>
        <v>A0028</v>
      </c>
      <c r="B44" s="13" t="str">
        <f>Members!B44</f>
        <v>Active</v>
      </c>
      <c r="C44" s="13">
        <f>Members!C44</f>
        <v>39</v>
      </c>
      <c r="D44" s="14">
        <f>Members!D44</f>
        <v>7.9</v>
      </c>
      <c r="E44" s="16">
        <f>Members!E44</f>
        <v>715000</v>
      </c>
      <c r="F44" s="16">
        <f>Members!F44</f>
        <v>0</v>
      </c>
      <c r="G44" s="15">
        <f>MAX(0,Assumptions!$B$10-C44)</f>
        <v>21</v>
      </c>
      <c r="H44" s="17">
        <f>IF(B44="Active",E44*(1+Assumptions!$B$7)^G44,E44)</f>
        <v>2200937.4190999297</v>
      </c>
      <c r="I44" s="17">
        <f>IF(B44="Active",MIN(Assumptions!$B$12,D44+G44),IF(B44="Deferred",MIN(Assumptions!$B$12,D44),D44))</f>
        <v>28.9</v>
      </c>
      <c r="J44" s="17">
        <f>IF(B44="Active",H44*I44*Assumptions!$B$11,IF(B44="Deferred",E44*I44*Assumptions!$B$11*(1+Assumptions!$B$9)^G44,F44))</f>
        <v>1060118.1901997994</v>
      </c>
      <c r="K44" s="11">
        <f>IF(B44="Pensioner",1,VLOOKUP(Assumptions!$B$10,Mortality!$A$2:$F$104,6,FALSE)/VLOOKUP(C44,Mortality!$A$2:$F$104,6,FALSE))</f>
        <v>0.97358574177887802</v>
      </c>
      <c r="L44" s="11">
        <f>VLOOKUP(IF(B44="Pensioner",C44,Assumptions!$B$10),Mortality!$A$2:$E$104,5,FALSE)</f>
        <v>17.296790022132885</v>
      </c>
      <c r="M44" s="11">
        <f>1+Assumptions!$B$13*Assumptions!$B$14*Assumptions!$B$15</f>
        <v>1.3187500000000001</v>
      </c>
      <c r="N44" s="11">
        <f>IF(B44="Pensioner",1,1/(1+Assumptions!$B$6)^G44)</f>
        <v>0.26647608349429097</v>
      </c>
      <c r="O44" s="17">
        <f t="shared" si="0"/>
        <v>6273569.5076607475</v>
      </c>
    </row>
    <row r="45" spans="1:15">
      <c r="A45" s="13" t="str">
        <f>Members!A45</f>
        <v>D0001</v>
      </c>
      <c r="B45" s="13" t="str">
        <f>Members!B45</f>
        <v>Deferred</v>
      </c>
      <c r="C45" s="13">
        <f>Members!C45</f>
        <v>45</v>
      </c>
      <c r="D45" s="14">
        <f>Members!D45</f>
        <v>12.4</v>
      </c>
      <c r="E45" s="16">
        <f>Members!E45</f>
        <v>786000</v>
      </c>
      <c r="F45" s="16">
        <f>Members!F45</f>
        <v>0</v>
      </c>
      <c r="G45" s="15">
        <f>MAX(0,Assumptions!$B$10-C45)</f>
        <v>15</v>
      </c>
      <c r="H45" s="17">
        <f>IF(B45="Active",E45*(1+Assumptions!$B$7)^G45,E45)</f>
        <v>786000</v>
      </c>
      <c r="I45" s="17">
        <f>IF(B45="Active",MIN(Assumptions!$B$12,D45+G45),IF(B45="Deferred",MIN(Assumptions!$B$12,D45),D45))</f>
        <v>12.4</v>
      </c>
      <c r="J45" s="17">
        <f>IF(B45="Active",H45*I45*Assumptions!$B$11,IF(B45="Deferred",E45*I45*Assumptions!$B$11*(1+Assumptions!$B$9)^G45,F45))</f>
        <v>292545.26303454355</v>
      </c>
      <c r="K45" s="11">
        <f>IF(B45="Pensioner",1,VLOOKUP(Assumptions!$B$10,Mortality!$A$2:$F$104,6,FALSE)/VLOOKUP(C45,Mortality!$A$2:$F$104,6,FALSE))</f>
        <v>0.97693494781946555</v>
      </c>
      <c r="L45" s="11">
        <f>VLOOKUP(IF(B45="Pensioner",C45,Assumptions!$B$10),Mortality!$A$2:$E$104,5,FALSE)</f>
        <v>17.296790022132885</v>
      </c>
      <c r="M45" s="11">
        <f>1+Assumptions!$B$13*Assumptions!$B$14*Assumptions!$B$15</f>
        <v>1.3187500000000001</v>
      </c>
      <c r="N45" s="11">
        <f>IF(B45="Pensioner",1,1/(1+Assumptions!$B$6)^G45)</f>
        <v>0.38882652444221566</v>
      </c>
      <c r="O45" s="17">
        <f t="shared" si="0"/>
        <v>2534793.5037311898</v>
      </c>
    </row>
    <row r="46" spans="1:15">
      <c r="A46" s="13" t="str">
        <f>Members!A46</f>
        <v>A0083</v>
      </c>
      <c r="B46" s="13" t="str">
        <f>Members!B46</f>
        <v>Active</v>
      </c>
      <c r="C46" s="13">
        <f>Members!C46</f>
        <v>48</v>
      </c>
      <c r="D46" s="14">
        <f>Members!D46</f>
        <v>5.2</v>
      </c>
      <c r="E46" s="16">
        <f>Members!E46</f>
        <v>1345000</v>
      </c>
      <c r="F46" s="16">
        <f>Members!F46</f>
        <v>0</v>
      </c>
      <c r="G46" s="15">
        <f>MAX(0,Assumptions!$B$10-C46)</f>
        <v>12</v>
      </c>
      <c r="H46" s="17">
        <f>IF(B46="Active",E46*(1+Assumptions!$B$7)^G46,E46)</f>
        <v>2557124.0683458652</v>
      </c>
      <c r="I46" s="17">
        <f>IF(B46="Active",MIN(Assumptions!$B$12,D46+G46),IF(B46="Deferred",MIN(Assumptions!$B$12,D46),D46))</f>
        <v>17.2</v>
      </c>
      <c r="J46" s="17">
        <f>IF(B46="Active",H46*I46*Assumptions!$B$11,IF(B46="Deferred",E46*I46*Assumptions!$B$11*(1+Assumptions!$B$9)^G46,F46))</f>
        <v>733042.23292581458</v>
      </c>
      <c r="K46" s="11">
        <f>IF(B46="Pensioner",1,VLOOKUP(Assumptions!$B$10,Mortality!$A$2:$F$104,6,FALSE)/VLOOKUP(C46,Mortality!$A$2:$F$104,6,FALSE))</f>
        <v>0.97930374297365907</v>
      </c>
      <c r="L46" s="11">
        <f>VLOOKUP(IF(B46="Pensioner",C46,Assumptions!$B$10),Mortality!$A$2:$E$104,5,FALSE)</f>
        <v>17.296790022132885</v>
      </c>
      <c r="M46" s="11">
        <f>1+Assumptions!$B$13*Assumptions!$B$14*Assumptions!$B$15</f>
        <v>1.3187500000000001</v>
      </c>
      <c r="N46" s="11">
        <f>IF(B46="Pensioner",1,1/(1+Assumptions!$B$6)^G46)</f>
        <v>0.4696828543900276</v>
      </c>
      <c r="O46" s="17">
        <f t="shared" si="0"/>
        <v>7690934.336678775</v>
      </c>
    </row>
    <row r="47" spans="1:15">
      <c r="A47" s="13" t="str">
        <f>Members!A47</f>
        <v>P0071</v>
      </c>
      <c r="B47" s="13" t="str">
        <f>Members!B47</f>
        <v>Pensioner</v>
      </c>
      <c r="C47" s="13">
        <f>Members!C47</f>
        <v>88</v>
      </c>
      <c r="D47" s="14">
        <f>Members!D47</f>
        <v>36.299999999999997</v>
      </c>
      <c r="E47" s="16">
        <f>Members!E47</f>
        <v>0</v>
      </c>
      <c r="F47" s="16">
        <f>Members!F47</f>
        <v>732000</v>
      </c>
      <c r="G47" s="15">
        <f>MAX(0,Assumptions!$B$10-C47)</f>
        <v>0</v>
      </c>
      <c r="H47" s="17">
        <f>IF(B47="Active",E47*(1+Assumptions!$B$7)^G47,E47)</f>
        <v>0</v>
      </c>
      <c r="I47" s="17">
        <f>IF(B47="Active",MIN(Assumptions!$B$12,D47+G47),IF(B47="Deferred",MIN(Assumptions!$B$12,D47),D47))</f>
        <v>36.299999999999997</v>
      </c>
      <c r="J47" s="17">
        <f>IF(B47="Active",H47*I47*Assumptions!$B$11,IF(B47="Deferred",E47*I47*Assumptions!$B$11*(1+Assumptions!$B$9)^G47,F47))</f>
        <v>732000</v>
      </c>
      <c r="K47" s="11">
        <f>IF(B47="Pensioner",1,VLOOKUP(Assumptions!$B$10,Mortality!$A$2:$F$104,6,FALSE)/VLOOKUP(C47,Mortality!$A$2:$F$104,6,FALSE))</f>
        <v>1</v>
      </c>
      <c r="L47" s="11">
        <f>VLOOKUP(IF(B47="Pensioner",C47,Assumptions!$B$10),Mortality!$A$2:$E$104,5,FALSE)</f>
        <v>5.0437428962217341</v>
      </c>
      <c r="M47" s="11">
        <f>1+Assumptions!$B$13*Assumptions!$B$14*Assumptions!$B$15</f>
        <v>1.3187500000000001</v>
      </c>
      <c r="N47" s="11">
        <f>IF(B47="Pensioner",1,1/(1+Assumptions!$B$6)^G47)</f>
        <v>1</v>
      </c>
      <c r="O47" s="17">
        <f t="shared" si="0"/>
        <v>4868851.1112952456</v>
      </c>
    </row>
    <row r="48" spans="1:15">
      <c r="A48" s="13" t="str">
        <f>Members!A48</f>
        <v>P0067</v>
      </c>
      <c r="B48" s="13" t="str">
        <f>Members!B48</f>
        <v>Pensioner</v>
      </c>
      <c r="C48" s="13">
        <f>Members!C48</f>
        <v>62</v>
      </c>
      <c r="D48" s="14">
        <f>Members!D48</f>
        <v>35.5</v>
      </c>
      <c r="E48" s="16">
        <f>Members!E48</f>
        <v>0</v>
      </c>
      <c r="F48" s="16">
        <f>Members!F48</f>
        <v>285000</v>
      </c>
      <c r="G48" s="15">
        <f>MAX(0,Assumptions!$B$10-C48)</f>
        <v>0</v>
      </c>
      <c r="H48" s="17">
        <f>IF(B48="Active",E48*(1+Assumptions!$B$7)^G48,E48)</f>
        <v>0</v>
      </c>
      <c r="I48" s="17">
        <f>IF(B48="Active",MIN(Assumptions!$B$12,D48+G48),IF(B48="Deferred",MIN(Assumptions!$B$12,D48),D48))</f>
        <v>35.5</v>
      </c>
      <c r="J48" s="17">
        <f>IF(B48="Active",H48*I48*Assumptions!$B$11,IF(B48="Deferred",E48*I48*Assumptions!$B$11*(1+Assumptions!$B$9)^G48,F48))</f>
        <v>285000</v>
      </c>
      <c r="K48" s="11">
        <f>IF(B48="Pensioner",1,VLOOKUP(Assumptions!$B$10,Mortality!$A$2:$F$104,6,FALSE)/VLOOKUP(C48,Mortality!$A$2:$F$104,6,FALSE))</f>
        <v>1</v>
      </c>
      <c r="L48" s="11">
        <f>VLOOKUP(IF(B48="Pensioner",C48,Assumptions!$B$10),Mortality!$A$2:$E$104,5,FALSE)</f>
        <v>16.475532548255334</v>
      </c>
      <c r="M48" s="11">
        <f>1+Assumptions!$B$13*Assumptions!$B$14*Assumptions!$B$15</f>
        <v>1.3187500000000001</v>
      </c>
      <c r="N48" s="11">
        <f>IF(B48="Pensioner",1,1/(1+Assumptions!$B$6)^G48)</f>
        <v>1</v>
      </c>
      <c r="O48" s="17">
        <f t="shared" si="0"/>
        <v>6192225.9361833408</v>
      </c>
    </row>
    <row r="49" spans="1:15">
      <c r="A49" s="13" t="str">
        <f>Members!A49</f>
        <v>P0098</v>
      </c>
      <c r="B49" s="13" t="str">
        <f>Members!B49</f>
        <v>Pensioner</v>
      </c>
      <c r="C49" s="13">
        <f>Members!C49</f>
        <v>76</v>
      </c>
      <c r="D49" s="14">
        <f>Members!D49</f>
        <v>16.8</v>
      </c>
      <c r="E49" s="16">
        <f>Members!E49</f>
        <v>0</v>
      </c>
      <c r="F49" s="16">
        <f>Members!F49</f>
        <v>436000</v>
      </c>
      <c r="G49" s="15">
        <f>MAX(0,Assumptions!$B$10-C49)</f>
        <v>0</v>
      </c>
      <c r="H49" s="17">
        <f>IF(B49="Active",E49*(1+Assumptions!$B$7)^G49,E49)</f>
        <v>0</v>
      </c>
      <c r="I49" s="17">
        <f>IF(B49="Active",MIN(Assumptions!$B$12,D49+G49),IF(B49="Deferred",MIN(Assumptions!$B$12,D49),D49))</f>
        <v>16.8</v>
      </c>
      <c r="J49" s="17">
        <f>IF(B49="Active",H49*I49*Assumptions!$B$11,IF(B49="Deferred",E49*I49*Assumptions!$B$11*(1+Assumptions!$B$9)^G49,F49))</f>
        <v>436000</v>
      </c>
      <c r="K49" s="11">
        <f>IF(B49="Pensioner",1,VLOOKUP(Assumptions!$B$10,Mortality!$A$2:$F$104,6,FALSE)/VLOOKUP(C49,Mortality!$A$2:$F$104,6,FALSE))</f>
        <v>1</v>
      </c>
      <c r="L49" s="11">
        <f>VLOOKUP(IF(B49="Pensioner",C49,Assumptions!$B$10),Mortality!$A$2:$E$104,5,FALSE)</f>
        <v>10.201355966192867</v>
      </c>
      <c r="M49" s="11">
        <f>1+Assumptions!$B$13*Assumptions!$B$14*Assumptions!$B$15</f>
        <v>1.3187500000000001</v>
      </c>
      <c r="N49" s="11">
        <f>IF(B49="Pensioner",1,1/(1+Assumptions!$B$6)^G49)</f>
        <v>1</v>
      </c>
      <c r="O49" s="17">
        <f t="shared" si="0"/>
        <v>5865524.6466617435</v>
      </c>
    </row>
    <row r="50" spans="1:15">
      <c r="A50" s="13" t="str">
        <f>Members!A50</f>
        <v>A0560</v>
      </c>
      <c r="B50" s="13" t="str">
        <f>Members!B50</f>
        <v>Active</v>
      </c>
      <c r="C50" s="13">
        <f>Members!C50</f>
        <v>29</v>
      </c>
      <c r="D50" s="14">
        <f>Members!D50</f>
        <v>7.9</v>
      </c>
      <c r="E50" s="16">
        <f>Members!E50</f>
        <v>492000</v>
      </c>
      <c r="F50" s="16">
        <f>Members!F50</f>
        <v>0</v>
      </c>
      <c r="G50" s="15">
        <f>MAX(0,Assumptions!$B$10-C50)</f>
        <v>31</v>
      </c>
      <c r="H50" s="17">
        <f>IF(B50="Active",E50*(1+Assumptions!$B$7)^G50,E50)</f>
        <v>2586969.7557543395</v>
      </c>
      <c r="I50" s="17">
        <f>IF(B50="Active",MIN(Assumptions!$B$12,D50+G50),IF(B50="Deferred",MIN(Assumptions!$B$12,D50),D50))</f>
        <v>38.9</v>
      </c>
      <c r="J50" s="17">
        <f>IF(B50="Active",H50*I50*Assumptions!$B$11,IF(B50="Deferred",E50*I50*Assumptions!$B$11*(1+Assumptions!$B$9)^G50,F50))</f>
        <v>1677218.7249807301</v>
      </c>
      <c r="K50" s="11">
        <f>IF(B50="Pensioner",1,VLOOKUP(Assumptions!$B$10,Mortality!$A$2:$F$104,6,FALSE)/VLOOKUP(C50,Mortality!$A$2:$F$104,6,FALSE))</f>
        <v>0.9700544954739736</v>
      </c>
      <c r="L50" s="11">
        <f>VLOOKUP(IF(B50="Pensioner",C50,Assumptions!$B$10),Mortality!$A$2:$E$104,5,FALSE)</f>
        <v>17.296790022132885</v>
      </c>
      <c r="M50" s="11">
        <f>1+Assumptions!$B$13*Assumptions!$B$14*Assumptions!$B$15</f>
        <v>1.3187500000000001</v>
      </c>
      <c r="N50" s="11">
        <f>IF(B50="Pensioner",1,1/(1+Assumptions!$B$6)^G50)</f>
        <v>0.14195874752095111</v>
      </c>
      <c r="O50" s="17">
        <f t="shared" si="0"/>
        <v>5268366.5038830079</v>
      </c>
    </row>
    <row r="51" spans="1:15">
      <c r="A51" s="13" t="str">
        <f>Members!A51</f>
        <v>P0181</v>
      </c>
      <c r="B51" s="13" t="str">
        <f>Members!B51</f>
        <v>Pensioner</v>
      </c>
      <c r="C51" s="13">
        <f>Members!C51</f>
        <v>79</v>
      </c>
      <c r="D51" s="14">
        <f>Members!D51</f>
        <v>35.1</v>
      </c>
      <c r="E51" s="16">
        <f>Members!E51</f>
        <v>0</v>
      </c>
      <c r="F51" s="16">
        <f>Members!F51</f>
        <v>635000</v>
      </c>
      <c r="G51" s="15">
        <f>MAX(0,Assumptions!$B$10-C51)</f>
        <v>0</v>
      </c>
      <c r="H51" s="17">
        <f>IF(B51="Active",E51*(1+Assumptions!$B$7)^G51,E51)</f>
        <v>0</v>
      </c>
      <c r="I51" s="17">
        <f>IF(B51="Active",MIN(Assumptions!$B$12,D51+G51),IF(B51="Deferred",MIN(Assumptions!$B$12,D51),D51))</f>
        <v>35.1</v>
      </c>
      <c r="J51" s="17">
        <f>IF(B51="Active",H51*I51*Assumptions!$B$11,IF(B51="Deferred",E51*I51*Assumptions!$B$11*(1+Assumptions!$B$9)^G51,F51))</f>
        <v>635000</v>
      </c>
      <c r="K51" s="11">
        <f>IF(B51="Pensioner",1,VLOOKUP(Assumptions!$B$10,Mortality!$A$2:$F$104,6,FALSE)/VLOOKUP(C51,Mortality!$A$2:$F$104,6,FALSE))</f>
        <v>1</v>
      </c>
      <c r="L51" s="11">
        <f>VLOOKUP(IF(B51="Pensioner",C51,Assumptions!$B$10),Mortality!$A$2:$E$104,5,FALSE)</f>
        <v>8.8309325629147608</v>
      </c>
      <c r="M51" s="11">
        <f>1+Assumptions!$B$13*Assumptions!$B$14*Assumptions!$B$15</f>
        <v>1.3187500000000001</v>
      </c>
      <c r="N51" s="11">
        <f>IF(B51="Pensioner",1,1/(1+Assumptions!$B$6)^G51)</f>
        <v>1</v>
      </c>
      <c r="O51" s="17">
        <f t="shared" si="0"/>
        <v>7395078.1215133388</v>
      </c>
    </row>
    <row r="52" spans="1:15">
      <c r="A52" s="13" t="str">
        <f>Members!A52</f>
        <v>A0248</v>
      </c>
      <c r="B52" s="13" t="str">
        <f>Members!B52</f>
        <v>Active</v>
      </c>
      <c r="C52" s="13">
        <f>Members!C52</f>
        <v>53</v>
      </c>
      <c r="D52" s="14">
        <f>Members!D52</f>
        <v>10.1</v>
      </c>
      <c r="E52" s="16">
        <f>Members!E52</f>
        <v>1512000</v>
      </c>
      <c r="F52" s="16">
        <f>Members!F52</f>
        <v>0</v>
      </c>
      <c r="G52" s="15">
        <f>MAX(0,Assumptions!$B$10-C52)</f>
        <v>7</v>
      </c>
      <c r="H52" s="17">
        <f>IF(B52="Active",E52*(1+Assumptions!$B$7)^G52,E52)</f>
        <v>2199474.8916342966</v>
      </c>
      <c r="I52" s="17">
        <f>IF(B52="Active",MIN(Assumptions!$B$12,D52+G52),IF(B52="Deferred",MIN(Assumptions!$B$12,D52),D52))</f>
        <v>17.100000000000001</v>
      </c>
      <c r="J52" s="17">
        <f>IF(B52="Active",H52*I52*Assumptions!$B$11,IF(B52="Deferred",E52*I52*Assumptions!$B$11*(1+Assumptions!$B$9)^G52,F52))</f>
        <v>626850.34411577461</v>
      </c>
      <c r="K52" s="11">
        <f>IF(B52="Pensioner",1,VLOOKUP(Assumptions!$B$10,Mortality!$A$2:$F$104,6,FALSE)/VLOOKUP(C52,Mortality!$A$2:$F$104,6,FALSE))</f>
        <v>0.98503000174313171</v>
      </c>
      <c r="L52" s="11">
        <f>VLOOKUP(IF(B52="Pensioner",C52,Assumptions!$B$10),Mortality!$A$2:$E$104,5,FALSE)</f>
        <v>17.296790022132885</v>
      </c>
      <c r="M52" s="11">
        <f>1+Assumptions!$B$13*Assumptions!$B$14*Assumptions!$B$15</f>
        <v>1.3187500000000001</v>
      </c>
      <c r="N52" s="11">
        <f>IF(B52="Pensioner",1,1/(1+Assumptions!$B$6)^G52)</f>
        <v>0.64350621483475945</v>
      </c>
      <c r="O52" s="17">
        <f t="shared" si="0"/>
        <v>9063460.7507280596</v>
      </c>
    </row>
    <row r="53" spans="1:15">
      <c r="A53" s="13" t="str">
        <f>Members!A53</f>
        <v>P0152</v>
      </c>
      <c r="B53" s="13" t="str">
        <f>Members!B53</f>
        <v>Pensioner</v>
      </c>
      <c r="C53" s="13">
        <f>Members!C53</f>
        <v>87</v>
      </c>
      <c r="D53" s="14">
        <f>Members!D53</f>
        <v>17.5</v>
      </c>
      <c r="E53" s="16">
        <f>Members!E53</f>
        <v>0</v>
      </c>
      <c r="F53" s="16">
        <f>Members!F53</f>
        <v>803000</v>
      </c>
      <c r="G53" s="15">
        <f>MAX(0,Assumptions!$B$10-C53)</f>
        <v>0</v>
      </c>
      <c r="H53" s="17">
        <f>IF(B53="Active",E53*(1+Assumptions!$B$7)^G53,E53)</f>
        <v>0</v>
      </c>
      <c r="I53" s="17">
        <f>IF(B53="Active",MIN(Assumptions!$B$12,D53+G53),IF(B53="Deferred",MIN(Assumptions!$B$12,D53),D53))</f>
        <v>17.5</v>
      </c>
      <c r="J53" s="17">
        <f>IF(B53="Active",H53*I53*Assumptions!$B$11,IF(B53="Deferred",E53*I53*Assumptions!$B$11*(1+Assumptions!$B$9)^G53,F53))</f>
        <v>803000</v>
      </c>
      <c r="K53" s="11">
        <f>IF(B53="Pensioner",1,VLOOKUP(Assumptions!$B$10,Mortality!$A$2:$F$104,6,FALSE)/VLOOKUP(C53,Mortality!$A$2:$F$104,6,FALSE))</f>
        <v>1</v>
      </c>
      <c r="L53" s="11">
        <f>VLOOKUP(IF(B53="Pensioner",C53,Assumptions!$B$10),Mortality!$A$2:$E$104,5,FALSE)</f>
        <v>5.427731360162463</v>
      </c>
      <c r="M53" s="11">
        <f>1+Assumptions!$B$13*Assumptions!$B$14*Assumptions!$B$15</f>
        <v>1.3187500000000001</v>
      </c>
      <c r="N53" s="11">
        <f>IF(B53="Pensioner",1,1/(1+Assumptions!$B$6)^G53)</f>
        <v>1</v>
      </c>
      <c r="O53" s="17">
        <f t="shared" si="0"/>
        <v>5747730.0471650418</v>
      </c>
    </row>
    <row r="54" spans="1:15">
      <c r="A54" s="13" t="str">
        <f>Members!A54</f>
        <v>P0021</v>
      </c>
      <c r="B54" s="13" t="str">
        <f>Members!B54</f>
        <v>Pensioner</v>
      </c>
      <c r="C54" s="13">
        <f>Members!C54</f>
        <v>84</v>
      </c>
      <c r="D54" s="14">
        <f>Members!D54</f>
        <v>37.200000000000003</v>
      </c>
      <c r="E54" s="16">
        <f>Members!E54</f>
        <v>0</v>
      </c>
      <c r="F54" s="16">
        <f>Members!F54</f>
        <v>780000</v>
      </c>
      <c r="G54" s="15">
        <f>MAX(0,Assumptions!$B$10-C54)</f>
        <v>0</v>
      </c>
      <c r="H54" s="17">
        <f>IF(B54="Active",E54*(1+Assumptions!$B$7)^G54,E54)</f>
        <v>0</v>
      </c>
      <c r="I54" s="17">
        <f>IF(B54="Active",MIN(Assumptions!$B$12,D54+G54),IF(B54="Deferred",MIN(Assumptions!$B$12,D54),D54))</f>
        <v>37.200000000000003</v>
      </c>
      <c r="J54" s="17">
        <f>IF(B54="Active",H54*I54*Assumptions!$B$11,IF(B54="Deferred",E54*I54*Assumptions!$B$11*(1+Assumptions!$B$9)^G54,F54))</f>
        <v>780000</v>
      </c>
      <c r="K54" s="11">
        <f>IF(B54="Pensioner",1,VLOOKUP(Assumptions!$B$10,Mortality!$A$2:$F$104,6,FALSE)/VLOOKUP(C54,Mortality!$A$2:$F$104,6,FALSE))</f>
        <v>1</v>
      </c>
      <c r="L54" s="11">
        <f>VLOOKUP(IF(B54="Pensioner",C54,Assumptions!$B$10),Mortality!$A$2:$E$104,5,FALSE)</f>
        <v>6.6432720965175314</v>
      </c>
      <c r="M54" s="11">
        <f>1+Assumptions!$B$13*Assumptions!$B$14*Assumptions!$B$15</f>
        <v>1.3187500000000001</v>
      </c>
      <c r="N54" s="11">
        <f>IF(B54="Pensioner",1,1/(1+Assumptions!$B$6)^G54)</f>
        <v>1</v>
      </c>
      <c r="O54" s="17">
        <f t="shared" si="0"/>
        <v>6833435.7602803465</v>
      </c>
    </row>
    <row r="55" spans="1:15">
      <c r="A55" s="13" t="str">
        <f>Members!A55</f>
        <v>A0426</v>
      </c>
      <c r="B55" s="13" t="str">
        <f>Members!B55</f>
        <v>Active</v>
      </c>
      <c r="C55" s="13">
        <f>Members!C55</f>
        <v>53</v>
      </c>
      <c r="D55" s="14">
        <f>Members!D55</f>
        <v>18.399999999999999</v>
      </c>
      <c r="E55" s="16">
        <f>Members!E55</f>
        <v>1182000</v>
      </c>
      <c r="F55" s="16">
        <f>Members!F55</f>
        <v>0</v>
      </c>
      <c r="G55" s="15">
        <f>MAX(0,Assumptions!$B$10-C55)</f>
        <v>7</v>
      </c>
      <c r="H55" s="17">
        <f>IF(B55="Active",E55*(1+Assumptions!$B$7)^G55,E55)</f>
        <v>1719430.7684601448</v>
      </c>
      <c r="I55" s="17">
        <f>IF(B55="Active",MIN(Assumptions!$B$12,D55+G55),IF(B55="Deferred",MIN(Assumptions!$B$12,D55),D55))</f>
        <v>25.4</v>
      </c>
      <c r="J55" s="17">
        <f>IF(B55="Active",H55*I55*Assumptions!$B$11,IF(B55="Deferred",E55*I55*Assumptions!$B$11*(1+Assumptions!$B$9)^G55,F55))</f>
        <v>727892.35864812788</v>
      </c>
      <c r="K55" s="11">
        <f>IF(B55="Pensioner",1,VLOOKUP(Assumptions!$B$10,Mortality!$A$2:$F$104,6,FALSE)/VLOOKUP(C55,Mortality!$A$2:$F$104,6,FALSE))</f>
        <v>0.98503000174313171</v>
      </c>
      <c r="L55" s="11">
        <f>VLOOKUP(IF(B55="Pensioner",C55,Assumptions!$B$10),Mortality!$A$2:$E$104,5,FALSE)</f>
        <v>17.296790022132885</v>
      </c>
      <c r="M55" s="11">
        <f>1+Assumptions!$B$13*Assumptions!$B$14*Assumptions!$B$15</f>
        <v>1.3187500000000001</v>
      </c>
      <c r="N55" s="11">
        <f>IF(B55="Pensioner",1,1/(1+Assumptions!$B$6)^G55)</f>
        <v>0.64350621483475945</v>
      </c>
      <c r="O55" s="17">
        <f t="shared" si="0"/>
        <v>10524400.098508555</v>
      </c>
    </row>
    <row r="56" spans="1:15">
      <c r="A56" s="13" t="str">
        <f>Members!A56</f>
        <v>P0201</v>
      </c>
      <c r="B56" s="13" t="str">
        <f>Members!B56</f>
        <v>Pensioner</v>
      </c>
      <c r="C56" s="13">
        <f>Members!C56</f>
        <v>78</v>
      </c>
      <c r="D56" s="14">
        <f>Members!D56</f>
        <v>18.2</v>
      </c>
      <c r="E56" s="16">
        <f>Members!E56</f>
        <v>0</v>
      </c>
      <c r="F56" s="16">
        <f>Members!F56</f>
        <v>378000</v>
      </c>
      <c r="G56" s="15">
        <f>MAX(0,Assumptions!$B$10-C56)</f>
        <v>0</v>
      </c>
      <c r="H56" s="17">
        <f>IF(B56="Active",E56*(1+Assumptions!$B$7)^G56,E56)</f>
        <v>0</v>
      </c>
      <c r="I56" s="17">
        <f>IF(B56="Active",MIN(Assumptions!$B$12,D56+G56),IF(B56="Deferred",MIN(Assumptions!$B$12,D56),D56))</f>
        <v>18.2</v>
      </c>
      <c r="J56" s="17">
        <f>IF(B56="Active",H56*I56*Assumptions!$B$11,IF(B56="Deferred",E56*I56*Assumptions!$B$11*(1+Assumptions!$B$9)^G56,F56))</f>
        <v>378000</v>
      </c>
      <c r="K56" s="11">
        <f>IF(B56="Pensioner",1,VLOOKUP(Assumptions!$B$10,Mortality!$A$2:$F$104,6,FALSE)/VLOOKUP(C56,Mortality!$A$2:$F$104,6,FALSE))</f>
        <v>1</v>
      </c>
      <c r="L56" s="11">
        <f>VLOOKUP(IF(B56="Pensioner",C56,Assumptions!$B$10),Mortality!$A$2:$E$104,5,FALSE)</f>
        <v>9.2847179241203879</v>
      </c>
      <c r="M56" s="11">
        <f>1+Assumptions!$B$13*Assumptions!$B$14*Assumptions!$B$15</f>
        <v>1.3187500000000001</v>
      </c>
      <c r="N56" s="11">
        <f>IF(B56="Pensioner",1,1/(1+Assumptions!$B$6)^G56)</f>
        <v>1</v>
      </c>
      <c r="O56" s="17">
        <f t="shared" si="0"/>
        <v>4628315.8261999618</v>
      </c>
    </row>
    <row r="57" spans="1:15">
      <c r="A57" s="13" t="str">
        <f>Members!A57</f>
        <v>P0187</v>
      </c>
      <c r="B57" s="13" t="str">
        <f>Members!B57</f>
        <v>Pensioner</v>
      </c>
      <c r="C57" s="13">
        <f>Members!C57</f>
        <v>78</v>
      </c>
      <c r="D57" s="14">
        <f>Members!D57</f>
        <v>36.200000000000003</v>
      </c>
      <c r="E57" s="16">
        <f>Members!E57</f>
        <v>0</v>
      </c>
      <c r="F57" s="16">
        <f>Members!F57</f>
        <v>287000</v>
      </c>
      <c r="G57" s="15">
        <f>MAX(0,Assumptions!$B$10-C57)</f>
        <v>0</v>
      </c>
      <c r="H57" s="17">
        <f>IF(B57="Active",E57*(1+Assumptions!$B$7)^G57,E57)</f>
        <v>0</v>
      </c>
      <c r="I57" s="17">
        <f>IF(B57="Active",MIN(Assumptions!$B$12,D57+G57),IF(B57="Deferred",MIN(Assumptions!$B$12,D57),D57))</f>
        <v>36.200000000000003</v>
      </c>
      <c r="J57" s="17">
        <f>IF(B57="Active",H57*I57*Assumptions!$B$11,IF(B57="Deferred",E57*I57*Assumptions!$B$11*(1+Assumptions!$B$9)^G57,F57))</f>
        <v>287000</v>
      </c>
      <c r="K57" s="11">
        <f>IF(B57="Pensioner",1,VLOOKUP(Assumptions!$B$10,Mortality!$A$2:$F$104,6,FALSE)/VLOOKUP(C57,Mortality!$A$2:$F$104,6,FALSE))</f>
        <v>1</v>
      </c>
      <c r="L57" s="11">
        <f>VLOOKUP(IF(B57="Pensioner",C57,Assumptions!$B$10),Mortality!$A$2:$E$104,5,FALSE)</f>
        <v>9.2847179241203879</v>
      </c>
      <c r="M57" s="11">
        <f>1+Assumptions!$B$13*Assumptions!$B$14*Assumptions!$B$15</f>
        <v>1.3187500000000001</v>
      </c>
      <c r="N57" s="11">
        <f>IF(B57="Pensioner",1,1/(1+Assumptions!$B$6)^G57)</f>
        <v>1</v>
      </c>
      <c r="O57" s="17">
        <f t="shared" si="0"/>
        <v>3514091.6458184901</v>
      </c>
    </row>
    <row r="58" spans="1:15">
      <c r="A58" s="13" t="str">
        <f>Members!A58</f>
        <v>A0237</v>
      </c>
      <c r="B58" s="13" t="str">
        <f>Members!B58</f>
        <v>Active</v>
      </c>
      <c r="C58" s="13">
        <f>Members!C58</f>
        <v>36</v>
      </c>
      <c r="D58" s="14">
        <f>Members!D58</f>
        <v>2.8</v>
      </c>
      <c r="E58" s="16">
        <f>Members!E58</f>
        <v>888000</v>
      </c>
      <c r="F58" s="16">
        <f>Members!F58</f>
        <v>0</v>
      </c>
      <c r="G58" s="15">
        <f>MAX(0,Assumptions!$B$10-C58)</f>
        <v>24</v>
      </c>
      <c r="H58" s="17">
        <f>IF(B58="Active",E58*(1+Assumptions!$B$7)^G58,E58)</f>
        <v>3209755.8346686051</v>
      </c>
      <c r="I58" s="17">
        <f>IF(B58="Active",MIN(Assumptions!$B$12,D58+G58),IF(B58="Deferred",MIN(Assumptions!$B$12,D58),D58))</f>
        <v>26.8</v>
      </c>
      <c r="J58" s="17">
        <f>IF(B58="Active",H58*I58*Assumptions!$B$11,IF(B58="Deferred",E58*I58*Assumptions!$B$11*(1+Assumptions!$B$9)^G58,F58))</f>
        <v>1433690.9394853103</v>
      </c>
      <c r="K58" s="11">
        <f>IF(B58="Pensioner",1,VLOOKUP(Assumptions!$B$10,Mortality!$A$2:$F$104,6,FALSE)/VLOOKUP(C58,Mortality!$A$2:$F$104,6,FALSE))</f>
        <v>0.97234503055413524</v>
      </c>
      <c r="L58" s="11">
        <f>VLOOKUP(IF(B58="Pensioner",C58,Assumptions!$B$10),Mortality!$A$2:$E$104,5,FALSE)</f>
        <v>17.296790022132885</v>
      </c>
      <c r="M58" s="11">
        <f>1+Assumptions!$B$13*Assumptions!$B$14*Assumptions!$B$15</f>
        <v>1.3187500000000001</v>
      </c>
      <c r="N58" s="11">
        <f>IF(B58="Pensioner",1,1/(1+Assumptions!$B$6)^G58)</f>
        <v>0.22060198370796386</v>
      </c>
      <c r="O58" s="17">
        <f t="shared" si="0"/>
        <v>7014768.4318207894</v>
      </c>
    </row>
    <row r="59" spans="1:15">
      <c r="A59" s="13" t="str">
        <f>Members!A59</f>
        <v>P0029</v>
      </c>
      <c r="B59" s="13" t="str">
        <f>Members!B59</f>
        <v>Pensioner</v>
      </c>
      <c r="C59" s="13">
        <f>Members!C59</f>
        <v>88</v>
      </c>
      <c r="D59" s="14">
        <f>Members!D59</f>
        <v>39.700000000000003</v>
      </c>
      <c r="E59" s="16">
        <f>Members!E59</f>
        <v>0</v>
      </c>
      <c r="F59" s="16">
        <f>Members!F59</f>
        <v>705000</v>
      </c>
      <c r="G59" s="15">
        <f>MAX(0,Assumptions!$B$10-C59)</f>
        <v>0</v>
      </c>
      <c r="H59" s="17">
        <f>IF(B59="Active",E59*(1+Assumptions!$B$7)^G59,E59)</f>
        <v>0</v>
      </c>
      <c r="I59" s="17">
        <f>IF(B59="Active",MIN(Assumptions!$B$12,D59+G59),IF(B59="Deferred",MIN(Assumptions!$B$12,D59),D59))</f>
        <v>39.700000000000003</v>
      </c>
      <c r="J59" s="17">
        <f>IF(B59="Active",H59*I59*Assumptions!$B$11,IF(B59="Deferred",E59*I59*Assumptions!$B$11*(1+Assumptions!$B$9)^G59,F59))</f>
        <v>705000</v>
      </c>
      <c r="K59" s="11">
        <f>IF(B59="Pensioner",1,VLOOKUP(Assumptions!$B$10,Mortality!$A$2:$F$104,6,FALSE)/VLOOKUP(C59,Mortality!$A$2:$F$104,6,FALSE))</f>
        <v>1</v>
      </c>
      <c r="L59" s="11">
        <f>VLOOKUP(IF(B59="Pensioner",C59,Assumptions!$B$10),Mortality!$A$2:$E$104,5,FALSE)</f>
        <v>5.0437428962217341</v>
      </c>
      <c r="M59" s="11">
        <f>1+Assumptions!$B$13*Assumptions!$B$14*Assumptions!$B$15</f>
        <v>1.3187500000000001</v>
      </c>
      <c r="N59" s="11">
        <f>IF(B59="Pensioner",1,1/(1+Assumptions!$B$6)^G59)</f>
        <v>1</v>
      </c>
      <c r="O59" s="17">
        <f t="shared" si="0"/>
        <v>4689262.3407966504</v>
      </c>
    </row>
    <row r="60" spans="1:15">
      <c r="A60" s="13" t="str">
        <f>Members!A60</f>
        <v>A0456</v>
      </c>
      <c r="B60" s="13" t="str">
        <f>Members!B60</f>
        <v>Active</v>
      </c>
      <c r="C60" s="13">
        <f>Members!C60</f>
        <v>38</v>
      </c>
      <c r="D60" s="14">
        <f>Members!D60</f>
        <v>11.9</v>
      </c>
      <c r="E60" s="16">
        <f>Members!E60</f>
        <v>1049000</v>
      </c>
      <c r="F60" s="16">
        <f>Members!F60</f>
        <v>0</v>
      </c>
      <c r="G60" s="15">
        <f>MAX(0,Assumptions!$B$10-C60)</f>
        <v>22</v>
      </c>
      <c r="H60" s="17">
        <f>IF(B60="Active",E60*(1+Assumptions!$B$7)^G60,E60)</f>
        <v>3406666.3454976175</v>
      </c>
      <c r="I60" s="17">
        <f>IF(B60="Active",MIN(Assumptions!$B$12,D60+G60),IF(B60="Deferred",MIN(Assumptions!$B$12,D60),D60))</f>
        <v>33.9</v>
      </c>
      <c r="J60" s="17">
        <f>IF(B60="Active",H60*I60*Assumptions!$B$11,IF(B60="Deferred",E60*I60*Assumptions!$B$11*(1+Assumptions!$B$9)^G60,F60))</f>
        <v>1924766.4852061537</v>
      </c>
      <c r="K60" s="11">
        <f>IF(B60="Pensioner",1,VLOOKUP(Assumptions!$B$10,Mortality!$A$2:$F$104,6,FALSE)/VLOOKUP(C60,Mortality!$A$2:$F$104,6,FALSE))</f>
        <v>0.97314826881680017</v>
      </c>
      <c r="L60" s="11">
        <f>VLOOKUP(IF(B60="Pensioner",C60,Assumptions!$B$10),Mortality!$A$2:$E$104,5,FALSE)</f>
        <v>17.296790022132885</v>
      </c>
      <c r="M60" s="11">
        <f>1+Assumptions!$B$13*Assumptions!$B$14*Assumptions!$B$15</f>
        <v>1.3187500000000001</v>
      </c>
      <c r="N60" s="11">
        <f>IF(B60="Pensioner",1,1/(1+Assumptions!$B$6)^G60)</f>
        <v>0.25021228497116527</v>
      </c>
      <c r="O60" s="17">
        <f t="shared" si="0"/>
        <v>10690393.151657371</v>
      </c>
    </row>
    <row r="61" spans="1:15">
      <c r="A61" s="13" t="str">
        <f>Members!A61</f>
        <v>A0100</v>
      </c>
      <c r="B61" s="13" t="str">
        <f>Members!B61</f>
        <v>Active</v>
      </c>
      <c r="C61" s="13">
        <f>Members!C61</f>
        <v>55</v>
      </c>
      <c r="D61" s="14">
        <f>Members!D61</f>
        <v>6.1</v>
      </c>
      <c r="E61" s="16">
        <f>Members!E61</f>
        <v>1444000</v>
      </c>
      <c r="F61" s="16">
        <f>Members!F61</f>
        <v>0</v>
      </c>
      <c r="G61" s="15">
        <f>MAX(0,Assumptions!$B$10-C61)</f>
        <v>5</v>
      </c>
      <c r="H61" s="17">
        <f>IF(B61="Active",E61*(1+Assumptions!$B$7)^G61,E61)</f>
        <v>1887250.2492551371</v>
      </c>
      <c r="I61" s="17">
        <f>IF(B61="Active",MIN(Assumptions!$B$12,D61+G61),IF(B61="Deferred",MIN(Assumptions!$B$12,D61),D61))</f>
        <v>11.1</v>
      </c>
      <c r="J61" s="17">
        <f>IF(B61="Active",H61*I61*Assumptions!$B$11,IF(B61="Deferred",E61*I61*Assumptions!$B$11*(1+Assumptions!$B$9)^G61,F61))</f>
        <v>349141.29611220036</v>
      </c>
      <c r="K61" s="11">
        <f>IF(B61="Pensioner",1,VLOOKUP(Assumptions!$B$10,Mortality!$A$2:$F$104,6,FALSE)/VLOOKUP(C61,Mortality!$A$2:$F$104,6,FALSE))</f>
        <v>0.98824190874991746</v>
      </c>
      <c r="L61" s="11">
        <f>VLOOKUP(IF(B61="Pensioner",C61,Assumptions!$B$10),Mortality!$A$2:$E$104,5,FALSE)</f>
        <v>17.296790022132885</v>
      </c>
      <c r="M61" s="11">
        <f>1+Assumptions!$B$13*Assumptions!$B$14*Assumptions!$B$15</f>
        <v>1.3187500000000001</v>
      </c>
      <c r="N61" s="11">
        <f>IF(B61="Pensioner",1,1/(1+Assumptions!$B$6)^G61)</f>
        <v>0.72988083652095492</v>
      </c>
      <c r="O61" s="17">
        <f t="shared" si="0"/>
        <v>5744396.8324263636</v>
      </c>
    </row>
    <row r="62" spans="1:15">
      <c r="A62" s="13" t="str">
        <f>Members!A62</f>
        <v>A0508</v>
      </c>
      <c r="B62" s="13" t="str">
        <f>Members!B62</f>
        <v>Active</v>
      </c>
      <c r="C62" s="13">
        <f>Members!C62</f>
        <v>22</v>
      </c>
      <c r="D62" s="14">
        <f>Members!D62</f>
        <v>1</v>
      </c>
      <c r="E62" s="16">
        <f>Members!E62</f>
        <v>441000</v>
      </c>
      <c r="F62" s="16">
        <f>Members!F62</f>
        <v>0</v>
      </c>
      <c r="G62" s="15">
        <f>MAX(0,Assumptions!$B$10-C62)</f>
        <v>38</v>
      </c>
      <c r="H62" s="17">
        <f>IF(B62="Active",E62*(1+Assumptions!$B$7)^G62,E62)</f>
        <v>3373122.0496606417</v>
      </c>
      <c r="I62" s="17">
        <f>IF(B62="Active",MIN(Assumptions!$B$12,D62+G62),IF(B62="Deferred",MIN(Assumptions!$B$12,D62),D62))</f>
        <v>39</v>
      </c>
      <c r="J62" s="17">
        <f>IF(B62="Active",H62*I62*Assumptions!$B$11,IF(B62="Deferred",E62*I62*Assumptions!$B$11*(1+Assumptions!$B$9)^G62,F62))</f>
        <v>2192529.3322794172</v>
      </c>
      <c r="K62" s="11">
        <f>IF(B62="Pensioner",1,VLOOKUP(Assumptions!$B$10,Mortality!$A$2:$F$104,6,FALSE)/VLOOKUP(C62,Mortality!$A$2:$F$104,6,FALSE))</f>
        <v>0.9682119922904866</v>
      </c>
      <c r="L62" s="11">
        <f>VLOOKUP(IF(B62="Pensioner",C62,Assumptions!$B$10),Mortality!$A$2:$E$104,5,FALSE)</f>
        <v>17.296790022132885</v>
      </c>
      <c r="M62" s="11">
        <f>1+Assumptions!$B$13*Assumptions!$B$14*Assumptions!$B$15</f>
        <v>1.3187500000000001</v>
      </c>
      <c r="N62" s="11">
        <f>IF(B62="Pensioner",1,1/(1+Assumptions!$B$6)^G62)</f>
        <v>9.1351336279890546E-2</v>
      </c>
      <c r="O62" s="17">
        <f t="shared" si="0"/>
        <v>4423425.9373271372</v>
      </c>
    </row>
    <row r="63" spans="1:15">
      <c r="A63" s="13" t="str">
        <f>Members!A63</f>
        <v>A0514</v>
      </c>
      <c r="B63" s="13" t="str">
        <f>Members!B63</f>
        <v>Active</v>
      </c>
      <c r="C63" s="13">
        <f>Members!C63</f>
        <v>31</v>
      </c>
      <c r="D63" s="14">
        <f>Members!D63</f>
        <v>6.6</v>
      </c>
      <c r="E63" s="16">
        <f>Members!E63</f>
        <v>510000</v>
      </c>
      <c r="F63" s="16">
        <f>Members!F63</f>
        <v>0</v>
      </c>
      <c r="G63" s="15">
        <f>MAX(0,Assumptions!$B$10-C63)</f>
        <v>29</v>
      </c>
      <c r="H63" s="17">
        <f>IF(B63="Active",E63*(1+Assumptions!$B$7)^G63,E63)</f>
        <v>2409303.4664279437</v>
      </c>
      <c r="I63" s="17">
        <f>IF(B63="Active",MIN(Assumptions!$B$12,D63+G63),IF(B63="Deferred",MIN(Assumptions!$B$12,D63),D63))</f>
        <v>35.6</v>
      </c>
      <c r="J63" s="17">
        <f>IF(B63="Active",H63*I63*Assumptions!$B$11,IF(B63="Deferred",E63*I63*Assumptions!$B$11*(1+Assumptions!$B$9)^G63,F63))</f>
        <v>1429520.0567472465</v>
      </c>
      <c r="K63" s="11">
        <f>IF(B63="Pensioner",1,VLOOKUP(Assumptions!$B$10,Mortality!$A$2:$F$104,6,FALSE)/VLOOKUP(C63,Mortality!$A$2:$F$104,6,FALSE))</f>
        <v>0.97064661072952085</v>
      </c>
      <c r="L63" s="11">
        <f>VLOOKUP(IF(B63="Pensioner",C63,Assumptions!$B$10),Mortality!$A$2:$E$104,5,FALSE)</f>
        <v>17.296790022132885</v>
      </c>
      <c r="M63" s="11">
        <f>1+Assumptions!$B$13*Assumptions!$B$14*Assumptions!$B$15</f>
        <v>1.3187500000000001</v>
      </c>
      <c r="N63" s="11">
        <f>IF(B63="Pensioner",1,1/(1+Assumptions!$B$6)^G63)</f>
        <v>0.16101316040695074</v>
      </c>
      <c r="O63" s="17">
        <f t="shared" si="0"/>
        <v>5096133.024870594</v>
      </c>
    </row>
    <row r="64" spans="1:15">
      <c r="A64" s="13" t="str">
        <f>Members!A64</f>
        <v>A0018</v>
      </c>
      <c r="B64" s="13" t="str">
        <f>Members!B64</f>
        <v>Active</v>
      </c>
      <c r="C64" s="13">
        <f>Members!C64</f>
        <v>27</v>
      </c>
      <c r="D64" s="14">
        <f>Members!D64</f>
        <v>5.8</v>
      </c>
      <c r="E64" s="16">
        <f>Members!E64</f>
        <v>642000</v>
      </c>
      <c r="F64" s="16">
        <f>Members!F64</f>
        <v>0</v>
      </c>
      <c r="G64" s="15">
        <f>MAX(0,Assumptions!$B$10-C64)</f>
        <v>33</v>
      </c>
      <c r="H64" s="17">
        <f>IF(B64="Active",E64*(1+Assumptions!$B$7)^G64,E64)</f>
        <v>3757216.2844711794</v>
      </c>
      <c r="I64" s="17">
        <f>IF(B64="Active",MIN(Assumptions!$B$12,D64+G64),IF(B64="Deferred",MIN(Assumptions!$B$12,D64),D64))</f>
        <v>38.799999999999997</v>
      </c>
      <c r="J64" s="17">
        <f>IF(B64="Active",H64*I64*Assumptions!$B$11,IF(B64="Deferred",E64*I64*Assumptions!$B$11*(1+Assumptions!$B$9)^G64,F64))</f>
        <v>2429666.5306246956</v>
      </c>
      <c r="K64" s="11">
        <f>IF(B64="Pensioner",1,VLOOKUP(Assumptions!$B$10,Mortality!$A$2:$F$104,6,FALSE)/VLOOKUP(C64,Mortality!$A$2:$F$104,6,FALSE))</f>
        <v>0.96949713302845153</v>
      </c>
      <c r="L64" s="11">
        <f>VLOOKUP(IF(B64="Pensioner",C64,Assumptions!$B$10),Mortality!$A$2:$E$104,5,FALSE)</f>
        <v>17.296790022132885</v>
      </c>
      <c r="M64" s="11">
        <f>1+Assumptions!$B$13*Assumptions!$B$14*Assumptions!$B$15</f>
        <v>1.3187500000000001</v>
      </c>
      <c r="N64" s="11">
        <f>IF(B64="Pensioner",1,1/(1+Assumptions!$B$6)^G64)</f>
        <v>0.12515924752227392</v>
      </c>
      <c r="O64" s="17">
        <f t="shared" si="0"/>
        <v>6724873.6595100928</v>
      </c>
    </row>
    <row r="65" spans="1:15">
      <c r="A65" s="13" t="str">
        <f>Members!A65</f>
        <v>A0048</v>
      </c>
      <c r="B65" s="13" t="str">
        <f>Members!B65</f>
        <v>Active</v>
      </c>
      <c r="C65" s="13">
        <f>Members!C65</f>
        <v>44</v>
      </c>
      <c r="D65" s="14">
        <f>Members!D65</f>
        <v>21.3</v>
      </c>
      <c r="E65" s="16">
        <f>Members!E65</f>
        <v>1314000</v>
      </c>
      <c r="F65" s="16">
        <f>Members!F65</f>
        <v>0</v>
      </c>
      <c r="G65" s="15">
        <f>MAX(0,Assumptions!$B$10-C65)</f>
        <v>16</v>
      </c>
      <c r="H65" s="17">
        <f>IF(B65="Active",E65*(1+Assumptions!$B$7)^G65,E65)</f>
        <v>3094815.1868947023</v>
      </c>
      <c r="I65" s="17">
        <f>IF(B65="Active",MIN(Assumptions!$B$12,D65+G65),IF(B65="Deferred",MIN(Assumptions!$B$12,D65),D65))</f>
        <v>37.299999999999997</v>
      </c>
      <c r="J65" s="17">
        <f>IF(B65="Active",H65*I65*Assumptions!$B$11,IF(B65="Deferred",E65*I65*Assumptions!$B$11*(1+Assumptions!$B$9)^G65,F65))</f>
        <v>1923943.4411862064</v>
      </c>
      <c r="K65" s="11">
        <f>IF(B65="Pensioner",1,VLOOKUP(Assumptions!$B$10,Mortality!$A$2:$F$104,6,FALSE)/VLOOKUP(C65,Mortality!$A$2:$F$104,6,FALSE))</f>
        <v>0.97626822121787327</v>
      </c>
      <c r="L65" s="11">
        <f>VLOOKUP(IF(B65="Pensioner",C65,Assumptions!$B$10),Mortality!$A$2:$E$104,5,FALSE)</f>
        <v>17.296790022132885</v>
      </c>
      <c r="M65" s="11">
        <f>1+Assumptions!$B$13*Assumptions!$B$14*Assumptions!$B$15</f>
        <v>1.3187500000000001</v>
      </c>
      <c r="N65" s="11">
        <f>IF(B65="Pensioner",1,1/(1+Assumptions!$B$6)^G65)</f>
        <v>0.36509532811475648</v>
      </c>
      <c r="O65" s="17">
        <f t="shared" si="0"/>
        <v>15642123.662238173</v>
      </c>
    </row>
    <row r="66" spans="1:15">
      <c r="A66" s="13" t="str">
        <f>Members!A66</f>
        <v>A0071</v>
      </c>
      <c r="B66" s="13" t="str">
        <f>Members!B66</f>
        <v>Active</v>
      </c>
      <c r="C66" s="13">
        <f>Members!C66</f>
        <v>22</v>
      </c>
      <c r="D66" s="14">
        <f>Members!D66</f>
        <v>1</v>
      </c>
      <c r="E66" s="16">
        <f>Members!E66</f>
        <v>490000</v>
      </c>
      <c r="F66" s="16">
        <f>Members!F66</f>
        <v>0</v>
      </c>
      <c r="G66" s="15">
        <f>MAX(0,Assumptions!$B$10-C66)</f>
        <v>38</v>
      </c>
      <c r="H66" s="17">
        <f>IF(B66="Active",E66*(1+Assumptions!$B$7)^G66,E66)</f>
        <v>3747913.3885118244</v>
      </c>
      <c r="I66" s="17">
        <f>IF(B66="Active",MIN(Assumptions!$B$12,D66+G66),IF(B66="Deferred",MIN(Assumptions!$B$12,D66),D66))</f>
        <v>39</v>
      </c>
      <c r="J66" s="17">
        <f>IF(B66="Active",H66*I66*Assumptions!$B$11,IF(B66="Deferred",E66*I66*Assumptions!$B$11*(1+Assumptions!$B$9)^G66,F66))</f>
        <v>2436143.7025326858</v>
      </c>
      <c r="K66" s="11">
        <f>IF(B66="Pensioner",1,VLOOKUP(Assumptions!$B$10,Mortality!$A$2:$F$104,6,FALSE)/VLOOKUP(C66,Mortality!$A$2:$F$104,6,FALSE))</f>
        <v>0.9682119922904866</v>
      </c>
      <c r="L66" s="11">
        <f>VLOOKUP(IF(B66="Pensioner",C66,Assumptions!$B$10),Mortality!$A$2:$E$104,5,FALSE)</f>
        <v>17.296790022132885</v>
      </c>
      <c r="M66" s="11">
        <f>1+Assumptions!$B$13*Assumptions!$B$14*Assumptions!$B$15</f>
        <v>1.3187500000000001</v>
      </c>
      <c r="N66" s="11">
        <f>IF(B66="Pensioner",1,1/(1+Assumptions!$B$6)^G66)</f>
        <v>9.1351336279890546E-2</v>
      </c>
      <c r="O66" s="17">
        <f t="shared" ref="O66:O129" si="1">J66*K66*L66*M66*N66</f>
        <v>4914917.7081412626</v>
      </c>
    </row>
    <row r="67" spans="1:15">
      <c r="A67" s="13" t="str">
        <f>Members!A67</f>
        <v>A0318</v>
      </c>
      <c r="B67" s="13" t="str">
        <f>Members!B67</f>
        <v>Active</v>
      </c>
      <c r="C67" s="13">
        <f>Members!C67</f>
        <v>42</v>
      </c>
      <c r="D67" s="14">
        <f>Members!D67</f>
        <v>13.8</v>
      </c>
      <c r="E67" s="16">
        <f>Members!E67</f>
        <v>1212000</v>
      </c>
      <c r="F67" s="16">
        <f>Members!F67</f>
        <v>0</v>
      </c>
      <c r="G67" s="15">
        <f>MAX(0,Assumptions!$B$10-C67)</f>
        <v>18</v>
      </c>
      <c r="H67" s="17">
        <f>IF(B67="Active",E67*(1+Assumptions!$B$7)^G67,E67)</f>
        <v>3177217.1142716082</v>
      </c>
      <c r="I67" s="17">
        <f>IF(B67="Active",MIN(Assumptions!$B$12,D67+G67),IF(B67="Deferred",MIN(Assumptions!$B$12,D67),D67))</f>
        <v>31.8</v>
      </c>
      <c r="J67" s="17">
        <f>IF(B67="Active",H67*I67*Assumptions!$B$11,IF(B67="Deferred",E67*I67*Assumptions!$B$11*(1+Assumptions!$B$9)^G67,F67))</f>
        <v>1683925.0705639524</v>
      </c>
      <c r="K67" s="11">
        <f>IF(B67="Pensioner",1,VLOOKUP(Assumptions!$B$10,Mortality!$A$2:$F$104,6,FALSE)/VLOOKUP(C67,Mortality!$A$2:$F$104,6,FALSE))</f>
        <v>0.97507997078383857</v>
      </c>
      <c r="L67" s="11">
        <f>VLOOKUP(IF(B67="Pensioner",C67,Assumptions!$B$10),Mortality!$A$2:$E$104,5,FALSE)</f>
        <v>17.296790022132885</v>
      </c>
      <c r="M67" s="11">
        <f>1+Assumptions!$B$13*Assumptions!$B$14*Assumptions!$B$15</f>
        <v>1.3187500000000001</v>
      </c>
      <c r="N67" s="11">
        <f>IF(B67="Pensioner",1,1/(1+Assumptions!$B$6)^G67)</f>
        <v>0.32188968512839738</v>
      </c>
      <c r="O67" s="17">
        <f t="shared" si="1"/>
        <v>12055855.790988959</v>
      </c>
    </row>
    <row r="68" spans="1:15">
      <c r="A68" s="13" t="str">
        <f>Members!A68</f>
        <v>A0046</v>
      </c>
      <c r="B68" s="13" t="str">
        <f>Members!B68</f>
        <v>Active</v>
      </c>
      <c r="C68" s="13">
        <f>Members!C68</f>
        <v>55</v>
      </c>
      <c r="D68" s="14">
        <f>Members!D68</f>
        <v>17.3</v>
      </c>
      <c r="E68" s="16">
        <f>Members!E68</f>
        <v>2121000</v>
      </c>
      <c r="F68" s="16">
        <f>Members!F68</f>
        <v>0</v>
      </c>
      <c r="G68" s="15">
        <f>MAX(0,Assumptions!$B$10-C68)</f>
        <v>5</v>
      </c>
      <c r="H68" s="17">
        <f>IF(B68="Active",E68*(1+Assumptions!$B$7)^G68,E68)</f>
        <v>2772062.1735942839</v>
      </c>
      <c r="I68" s="17">
        <f>IF(B68="Active",MIN(Assumptions!$B$12,D68+G68),IF(B68="Deferred",MIN(Assumptions!$B$12,D68),D68))</f>
        <v>22.3</v>
      </c>
      <c r="J68" s="17">
        <f>IF(B68="Active",H68*I68*Assumptions!$B$11,IF(B68="Deferred",E68*I68*Assumptions!$B$11*(1+Assumptions!$B$9)^G68,F68))</f>
        <v>1030283.1078525422</v>
      </c>
      <c r="K68" s="11">
        <f>IF(B68="Pensioner",1,VLOOKUP(Assumptions!$B$10,Mortality!$A$2:$F$104,6,FALSE)/VLOOKUP(C68,Mortality!$A$2:$F$104,6,FALSE))</f>
        <v>0.98824190874991746</v>
      </c>
      <c r="L68" s="11">
        <f>VLOOKUP(IF(B68="Pensioner",C68,Assumptions!$B$10),Mortality!$A$2:$E$104,5,FALSE)</f>
        <v>17.296790022132885</v>
      </c>
      <c r="M68" s="11">
        <f>1+Assumptions!$B$13*Assumptions!$B$14*Assumptions!$B$15</f>
        <v>1.3187500000000001</v>
      </c>
      <c r="N68" s="11">
        <f>IF(B68="Pensioner",1,1/(1+Assumptions!$B$6)^G68)</f>
        <v>0.72988083652095492</v>
      </c>
      <c r="O68" s="17">
        <f t="shared" si="1"/>
        <v>16951174.459032211</v>
      </c>
    </row>
    <row r="69" spans="1:15">
      <c r="A69" s="13" t="str">
        <f>Members!A69</f>
        <v>A0405</v>
      </c>
      <c r="B69" s="13" t="str">
        <f>Members!B69</f>
        <v>Active</v>
      </c>
      <c r="C69" s="13">
        <f>Members!C69</f>
        <v>52</v>
      </c>
      <c r="D69" s="14">
        <f>Members!D69</f>
        <v>3.8</v>
      </c>
      <c r="E69" s="16">
        <f>Members!E69</f>
        <v>1459000</v>
      </c>
      <c r="F69" s="16">
        <f>Members!F69</f>
        <v>0</v>
      </c>
      <c r="G69" s="15">
        <f>MAX(0,Assumptions!$B$10-C69)</f>
        <v>8</v>
      </c>
      <c r="H69" s="17">
        <f>IF(B69="Active",E69*(1+Assumptions!$B$7)^G69,E69)</f>
        <v>2239107.6253793868</v>
      </c>
      <c r="I69" s="17">
        <f>IF(B69="Active",MIN(Assumptions!$B$12,D69+G69),IF(B69="Deferred",MIN(Assumptions!$B$12,D69),D69))</f>
        <v>11.8</v>
      </c>
      <c r="J69" s="17">
        <f>IF(B69="Active",H69*I69*Assumptions!$B$11,IF(B69="Deferred",E69*I69*Assumptions!$B$11*(1+Assumptions!$B$9)^G69,F69))</f>
        <v>440357.83299127943</v>
      </c>
      <c r="K69" s="11">
        <f>IF(B69="Pensioner",1,VLOOKUP(Assumptions!$B$10,Mortality!$A$2:$F$104,6,FALSE)/VLOOKUP(C69,Mortality!$A$2:$F$104,6,FALSE))</f>
        <v>0.98365275168798427</v>
      </c>
      <c r="L69" s="11">
        <f>VLOOKUP(IF(B69="Pensioner",C69,Assumptions!$B$10),Mortality!$A$2:$E$104,5,FALSE)</f>
        <v>17.296790022132885</v>
      </c>
      <c r="M69" s="11">
        <f>1+Assumptions!$B$13*Assumptions!$B$14*Assumptions!$B$15</f>
        <v>1.3187500000000001</v>
      </c>
      <c r="N69" s="11">
        <f>IF(B69="Pensioner",1,1/(1+Assumptions!$B$6)^G69)</f>
        <v>0.60423118763827188</v>
      </c>
      <c r="O69" s="17">
        <f t="shared" si="1"/>
        <v>5970059.5173589205</v>
      </c>
    </row>
    <row r="70" spans="1:15">
      <c r="A70" s="13" t="str">
        <f>Members!A70</f>
        <v>A0214</v>
      </c>
      <c r="B70" s="13" t="str">
        <f>Members!B70</f>
        <v>Active</v>
      </c>
      <c r="C70" s="13">
        <f>Members!C70</f>
        <v>29</v>
      </c>
      <c r="D70" s="14">
        <f>Members!D70</f>
        <v>1.3</v>
      </c>
      <c r="E70" s="16">
        <f>Members!E70</f>
        <v>640000</v>
      </c>
      <c r="F70" s="16">
        <f>Members!F70</f>
        <v>0</v>
      </c>
      <c r="G70" s="15">
        <f>MAX(0,Assumptions!$B$10-C70)</f>
        <v>31</v>
      </c>
      <c r="H70" s="17">
        <f>IF(B70="Active",E70*(1+Assumptions!$B$7)^G70,E70)</f>
        <v>3365163.9099243442</v>
      </c>
      <c r="I70" s="17">
        <f>IF(B70="Active",MIN(Assumptions!$B$12,D70+G70),IF(B70="Deferred",MIN(Assumptions!$B$12,D70),D70))</f>
        <v>32.299999999999997</v>
      </c>
      <c r="J70" s="17">
        <f>IF(B70="Active",H70*I70*Assumptions!$B$11,IF(B70="Deferred",E70*I70*Assumptions!$B$11*(1+Assumptions!$B$9)^G70,F70))</f>
        <v>1811579.9048426051</v>
      </c>
      <c r="K70" s="11">
        <f>IF(B70="Pensioner",1,VLOOKUP(Assumptions!$B$10,Mortality!$A$2:$F$104,6,FALSE)/VLOOKUP(C70,Mortality!$A$2:$F$104,6,FALSE))</f>
        <v>0.9700544954739736</v>
      </c>
      <c r="L70" s="11">
        <f>VLOOKUP(IF(B70="Pensioner",C70,Assumptions!$B$10),Mortality!$A$2:$E$104,5,FALSE)</f>
        <v>17.296790022132885</v>
      </c>
      <c r="M70" s="11">
        <f>1+Assumptions!$B$13*Assumptions!$B$14*Assumptions!$B$15</f>
        <v>1.3187500000000001</v>
      </c>
      <c r="N70" s="11">
        <f>IF(B70="Pensioner",1,1/(1+Assumptions!$B$6)^G70)</f>
        <v>0.14195874752095111</v>
      </c>
      <c r="O70" s="17">
        <f t="shared" si="1"/>
        <v>5690412.7932926593</v>
      </c>
    </row>
    <row r="71" spans="1:15">
      <c r="A71" s="13" t="str">
        <f>Members!A71</f>
        <v>A0185</v>
      </c>
      <c r="B71" s="13" t="str">
        <f>Members!B71</f>
        <v>Active</v>
      </c>
      <c r="C71" s="13">
        <f>Members!C71</f>
        <v>27</v>
      </c>
      <c r="D71" s="14">
        <f>Members!D71</f>
        <v>1.5</v>
      </c>
      <c r="E71" s="16">
        <f>Members!E71</f>
        <v>626000</v>
      </c>
      <c r="F71" s="16">
        <f>Members!F71</f>
        <v>0</v>
      </c>
      <c r="G71" s="15">
        <f>MAX(0,Assumptions!$B$10-C71)</f>
        <v>33</v>
      </c>
      <c r="H71" s="17">
        <f>IF(B71="Active",E71*(1+Assumptions!$B$7)^G71,E71)</f>
        <v>3663578.4954500906</v>
      </c>
      <c r="I71" s="17">
        <f>IF(B71="Active",MIN(Assumptions!$B$12,D71+G71),IF(B71="Deferred",MIN(Assumptions!$B$12,D71),D71))</f>
        <v>34.5</v>
      </c>
      <c r="J71" s="17">
        <f>IF(B71="Active",H71*I71*Assumptions!$B$11,IF(B71="Deferred",E71*I71*Assumptions!$B$11*(1+Assumptions!$B$9)^G71,F71))</f>
        <v>2106557.6348838019</v>
      </c>
      <c r="K71" s="11">
        <f>IF(B71="Pensioner",1,VLOOKUP(Assumptions!$B$10,Mortality!$A$2:$F$104,6,FALSE)/VLOOKUP(C71,Mortality!$A$2:$F$104,6,FALSE))</f>
        <v>0.96949713302845153</v>
      </c>
      <c r="L71" s="11">
        <f>VLOOKUP(IF(B71="Pensioner",C71,Assumptions!$B$10),Mortality!$A$2:$E$104,5,FALSE)</f>
        <v>17.296790022132885</v>
      </c>
      <c r="M71" s="11">
        <f>1+Assumptions!$B$13*Assumptions!$B$14*Assumptions!$B$15</f>
        <v>1.3187500000000001</v>
      </c>
      <c r="N71" s="11">
        <f>IF(B71="Pensioner",1,1/(1+Assumptions!$B$6)^G71)</f>
        <v>0.12515924752227392</v>
      </c>
      <c r="O71" s="17">
        <f t="shared" si="1"/>
        <v>5830567.1879291302</v>
      </c>
    </row>
    <row r="72" spans="1:15">
      <c r="A72" s="13" t="str">
        <f>Members!A72</f>
        <v>A0345</v>
      </c>
      <c r="B72" s="13" t="str">
        <f>Members!B72</f>
        <v>Active</v>
      </c>
      <c r="C72" s="13">
        <f>Members!C72</f>
        <v>45</v>
      </c>
      <c r="D72" s="14">
        <f>Members!D72</f>
        <v>20.3</v>
      </c>
      <c r="E72" s="16">
        <f>Members!E72</f>
        <v>1366000</v>
      </c>
      <c r="F72" s="16">
        <f>Members!F72</f>
        <v>0</v>
      </c>
      <c r="G72" s="15">
        <f>MAX(0,Assumptions!$B$10-C72)</f>
        <v>15</v>
      </c>
      <c r="H72" s="17">
        <f>IF(B72="Active",E72*(1+Assumptions!$B$7)^G72,E72)</f>
        <v>3049562.8883970394</v>
      </c>
      <c r="I72" s="17">
        <f>IF(B72="Active",MIN(Assumptions!$B$12,D72+G72),IF(B72="Deferred",MIN(Assumptions!$B$12,D72),D72))</f>
        <v>35.299999999999997</v>
      </c>
      <c r="J72" s="17">
        <f>IF(B72="Active",H72*I72*Assumptions!$B$11,IF(B72="Deferred",E72*I72*Assumptions!$B$11*(1+Assumptions!$B$9)^G72,F72))</f>
        <v>1794159.4993402581</v>
      </c>
      <c r="K72" s="11">
        <f>IF(B72="Pensioner",1,VLOOKUP(Assumptions!$B$10,Mortality!$A$2:$F$104,6,FALSE)/VLOOKUP(C72,Mortality!$A$2:$F$104,6,FALSE))</f>
        <v>0.97693494781946555</v>
      </c>
      <c r="L72" s="11">
        <f>VLOOKUP(IF(B72="Pensioner",C72,Assumptions!$B$10),Mortality!$A$2:$E$104,5,FALSE)</f>
        <v>17.296790022132885</v>
      </c>
      <c r="M72" s="11">
        <f>1+Assumptions!$B$13*Assumptions!$B$14*Assumptions!$B$15</f>
        <v>1.3187500000000001</v>
      </c>
      <c r="N72" s="11">
        <f>IF(B72="Pensioner",1,1/(1+Assumptions!$B$6)^G72)</f>
        <v>0.38882652444221566</v>
      </c>
      <c r="O72" s="17">
        <f t="shared" si="1"/>
        <v>15545710.07717287</v>
      </c>
    </row>
    <row r="73" spans="1:15">
      <c r="A73" s="13" t="str">
        <f>Members!A73</f>
        <v>P0135</v>
      </c>
      <c r="B73" s="13" t="str">
        <f>Members!B73</f>
        <v>Pensioner</v>
      </c>
      <c r="C73" s="13">
        <f>Members!C73</f>
        <v>78</v>
      </c>
      <c r="D73" s="14">
        <f>Members!D73</f>
        <v>22.7</v>
      </c>
      <c r="E73" s="16">
        <f>Members!E73</f>
        <v>0</v>
      </c>
      <c r="F73" s="16">
        <f>Members!F73</f>
        <v>328000</v>
      </c>
      <c r="G73" s="15">
        <f>MAX(0,Assumptions!$B$10-C73)</f>
        <v>0</v>
      </c>
      <c r="H73" s="17">
        <f>IF(B73="Active",E73*(1+Assumptions!$B$7)^G73,E73)</f>
        <v>0</v>
      </c>
      <c r="I73" s="17">
        <f>IF(B73="Active",MIN(Assumptions!$B$12,D73+G73),IF(B73="Deferred",MIN(Assumptions!$B$12,D73),D73))</f>
        <v>22.7</v>
      </c>
      <c r="J73" s="17">
        <f>IF(B73="Active",H73*I73*Assumptions!$B$11,IF(B73="Deferred",E73*I73*Assumptions!$B$11*(1+Assumptions!$B$9)^G73,F73))</f>
        <v>328000</v>
      </c>
      <c r="K73" s="11">
        <f>IF(B73="Pensioner",1,VLOOKUP(Assumptions!$B$10,Mortality!$A$2:$F$104,6,FALSE)/VLOOKUP(C73,Mortality!$A$2:$F$104,6,FALSE))</f>
        <v>1</v>
      </c>
      <c r="L73" s="11">
        <f>VLOOKUP(IF(B73="Pensioner",C73,Assumptions!$B$10),Mortality!$A$2:$E$104,5,FALSE)</f>
        <v>9.2847179241203879</v>
      </c>
      <c r="M73" s="11">
        <f>1+Assumptions!$B$13*Assumptions!$B$14*Assumptions!$B$15</f>
        <v>1.3187500000000001</v>
      </c>
      <c r="N73" s="11">
        <f>IF(B73="Pensioner",1,1/(1+Assumptions!$B$6)^G73)</f>
        <v>1</v>
      </c>
      <c r="O73" s="17">
        <f t="shared" si="1"/>
        <v>4016104.7380782738</v>
      </c>
    </row>
    <row r="74" spans="1:15">
      <c r="A74" s="13" t="str">
        <f>Members!A74</f>
        <v>A0004</v>
      </c>
      <c r="B74" s="13" t="str">
        <f>Members!B74</f>
        <v>Active</v>
      </c>
      <c r="C74" s="13">
        <f>Members!C74</f>
        <v>39</v>
      </c>
      <c r="D74" s="14">
        <f>Members!D74</f>
        <v>16.8</v>
      </c>
      <c r="E74" s="16">
        <f>Members!E74</f>
        <v>942000</v>
      </c>
      <c r="F74" s="16">
        <f>Members!F74</f>
        <v>0</v>
      </c>
      <c r="G74" s="15">
        <f>MAX(0,Assumptions!$B$10-C74)</f>
        <v>21</v>
      </c>
      <c r="H74" s="17">
        <f>IF(B74="Active",E74*(1+Assumptions!$B$7)^G74,E74)</f>
        <v>2899696.5717372498</v>
      </c>
      <c r="I74" s="17">
        <f>IF(B74="Active",MIN(Assumptions!$B$12,D74+G74),IF(B74="Deferred",MIN(Assumptions!$B$12,D74),D74))</f>
        <v>37.799999999999997</v>
      </c>
      <c r="J74" s="17">
        <f>IF(B74="Active",H74*I74*Assumptions!$B$11,IF(B74="Deferred",E74*I74*Assumptions!$B$11*(1+Assumptions!$B$9)^G74,F74))</f>
        <v>1826808.8401944672</v>
      </c>
      <c r="K74" s="11">
        <f>IF(B74="Pensioner",1,VLOOKUP(Assumptions!$B$10,Mortality!$A$2:$F$104,6,FALSE)/VLOOKUP(C74,Mortality!$A$2:$F$104,6,FALSE))</f>
        <v>0.97358574177887802</v>
      </c>
      <c r="L74" s="11">
        <f>VLOOKUP(IF(B74="Pensioner",C74,Assumptions!$B$10),Mortality!$A$2:$E$104,5,FALSE)</f>
        <v>17.296790022132885</v>
      </c>
      <c r="M74" s="11">
        <f>1+Assumptions!$B$13*Assumptions!$B$14*Assumptions!$B$15</f>
        <v>1.3187500000000001</v>
      </c>
      <c r="N74" s="11">
        <f>IF(B74="Pensioner",1,1/(1+Assumptions!$B$6)^G74)</f>
        <v>0.26647608349429097</v>
      </c>
      <c r="O74" s="17">
        <f t="shared" si="1"/>
        <v>10810692.941707883</v>
      </c>
    </row>
    <row r="75" spans="1:15">
      <c r="A75" s="13" t="str">
        <f>Members!A75</f>
        <v>P0107</v>
      </c>
      <c r="B75" s="13" t="str">
        <f>Members!B75</f>
        <v>Pensioner</v>
      </c>
      <c r="C75" s="13">
        <f>Members!C75</f>
        <v>77</v>
      </c>
      <c r="D75" s="14">
        <f>Members!D75</f>
        <v>33.700000000000003</v>
      </c>
      <c r="E75" s="16">
        <f>Members!E75</f>
        <v>0</v>
      </c>
      <c r="F75" s="16">
        <f>Members!F75</f>
        <v>240000</v>
      </c>
      <c r="G75" s="15">
        <f>MAX(0,Assumptions!$B$10-C75)</f>
        <v>0</v>
      </c>
      <c r="H75" s="17">
        <f>IF(B75="Active",E75*(1+Assumptions!$B$7)^G75,E75)</f>
        <v>0</v>
      </c>
      <c r="I75" s="17">
        <f>IF(B75="Active",MIN(Assumptions!$B$12,D75+G75),IF(B75="Deferred",MIN(Assumptions!$B$12,D75),D75))</f>
        <v>33.700000000000003</v>
      </c>
      <c r="J75" s="17">
        <f>IF(B75="Active",H75*I75*Assumptions!$B$11,IF(B75="Deferred",E75*I75*Assumptions!$B$11*(1+Assumptions!$B$9)^G75,F75))</f>
        <v>240000</v>
      </c>
      <c r="K75" s="11">
        <f>IF(B75="Pensioner",1,VLOOKUP(Assumptions!$B$10,Mortality!$A$2:$F$104,6,FALSE)/VLOOKUP(C75,Mortality!$A$2:$F$104,6,FALSE))</f>
        <v>1</v>
      </c>
      <c r="L75" s="11">
        <f>VLOOKUP(IF(B75="Pensioner",C75,Assumptions!$B$10),Mortality!$A$2:$E$104,5,FALSE)</f>
        <v>9.7418184564319716</v>
      </c>
      <c r="M75" s="11">
        <f>1+Assumptions!$B$13*Assumptions!$B$14*Assumptions!$B$15</f>
        <v>1.3187500000000001</v>
      </c>
      <c r="N75" s="11">
        <f>IF(B75="Pensioner",1,1/(1+Assumptions!$B$6)^G75)</f>
        <v>1</v>
      </c>
      <c r="O75" s="17">
        <f t="shared" si="1"/>
        <v>3083285.541460719</v>
      </c>
    </row>
    <row r="76" spans="1:15">
      <c r="A76" s="13" t="str">
        <f>Members!A76</f>
        <v>A0158</v>
      </c>
      <c r="B76" s="13" t="str">
        <f>Members!B76</f>
        <v>Active</v>
      </c>
      <c r="C76" s="13">
        <f>Members!C76</f>
        <v>56</v>
      </c>
      <c r="D76" s="14">
        <f>Members!D76</f>
        <v>20</v>
      </c>
      <c r="E76" s="16">
        <f>Members!E76</f>
        <v>1382000</v>
      </c>
      <c r="F76" s="16">
        <f>Members!F76</f>
        <v>0</v>
      </c>
      <c r="G76" s="15">
        <f>MAX(0,Assumptions!$B$10-C76)</f>
        <v>4</v>
      </c>
      <c r="H76" s="17">
        <f>IF(B76="Active",E76*(1+Assumptions!$B$7)^G76,E76)</f>
        <v>1712055.6671637497</v>
      </c>
      <c r="I76" s="17">
        <f>IF(B76="Active",MIN(Assumptions!$B$12,D76+G76),IF(B76="Deferred",MIN(Assumptions!$B$12,D76),D76))</f>
        <v>24</v>
      </c>
      <c r="J76" s="17">
        <f>IF(B76="Active",H76*I76*Assumptions!$B$11,IF(B76="Deferred",E76*I76*Assumptions!$B$11*(1+Assumptions!$B$9)^G76,F76))</f>
        <v>684822.26686549978</v>
      </c>
      <c r="K76" s="11">
        <f>IF(B76="Pensioner",1,VLOOKUP(Assumptions!$B$10,Mortality!$A$2:$F$104,6,FALSE)/VLOOKUP(C76,Mortality!$A$2:$F$104,6,FALSE))</f>
        <v>0.99011625581042195</v>
      </c>
      <c r="L76" s="11">
        <f>VLOOKUP(IF(B76="Pensioner",C76,Assumptions!$B$10),Mortality!$A$2:$E$104,5,FALSE)</f>
        <v>17.296790022132885</v>
      </c>
      <c r="M76" s="11">
        <f>1+Assumptions!$B$13*Assumptions!$B$14*Assumptions!$B$15</f>
        <v>1.3187500000000001</v>
      </c>
      <c r="N76" s="11">
        <f>IF(B76="Pensioner",1,1/(1+Assumptions!$B$6)^G76)</f>
        <v>0.77732309089481699</v>
      </c>
      <c r="O76" s="17">
        <f t="shared" si="1"/>
        <v>12022467.688470017</v>
      </c>
    </row>
    <row r="77" spans="1:15">
      <c r="A77" s="13" t="str">
        <f>Members!A77</f>
        <v>A0337</v>
      </c>
      <c r="B77" s="13" t="str">
        <f>Members!B77</f>
        <v>Active</v>
      </c>
      <c r="C77" s="13">
        <f>Members!C77</f>
        <v>25</v>
      </c>
      <c r="D77" s="14">
        <f>Members!D77</f>
        <v>2</v>
      </c>
      <c r="E77" s="16">
        <f>Members!E77</f>
        <v>356000</v>
      </c>
      <c r="F77" s="16">
        <f>Members!F77</f>
        <v>0</v>
      </c>
      <c r="G77" s="15">
        <f>MAX(0,Assumptions!$B$10-C77)</f>
        <v>35</v>
      </c>
      <c r="H77" s="17">
        <f>IF(B77="Active",E77*(1+Assumptions!$B$7)^G77,E77)</f>
        <v>2318921.7027856354</v>
      </c>
      <c r="I77" s="17">
        <f>IF(B77="Active",MIN(Assumptions!$B$12,D77+G77),IF(B77="Deferred",MIN(Assumptions!$B$12,D77),D77))</f>
        <v>37</v>
      </c>
      <c r="J77" s="17">
        <f>IF(B77="Active",H77*I77*Assumptions!$B$11,IF(B77="Deferred",E77*I77*Assumptions!$B$11*(1+Assumptions!$B$9)^G77,F77))</f>
        <v>1430001.7167178085</v>
      </c>
      <c r="K77" s="11">
        <f>IF(B77="Pensioner",1,VLOOKUP(Assumptions!$B$10,Mortality!$A$2:$F$104,6,FALSE)/VLOOKUP(C77,Mortality!$A$2:$F$104,6,FALSE))</f>
        <v>0.96896729760411437</v>
      </c>
      <c r="L77" s="11">
        <f>VLOOKUP(IF(B77="Pensioner",C77,Assumptions!$B$10),Mortality!$A$2:$E$104,5,FALSE)</f>
        <v>17.296790022132885</v>
      </c>
      <c r="M77" s="11">
        <f>1+Assumptions!$B$13*Assumptions!$B$14*Assumptions!$B$15</f>
        <v>1.3187500000000001</v>
      </c>
      <c r="N77" s="11">
        <f>IF(B77="Pensioner",1,1/(1+Assumptions!$B$6)^G77)</f>
        <v>0.11034781240254267</v>
      </c>
      <c r="O77" s="17">
        <f t="shared" si="1"/>
        <v>3487686.1167629808</v>
      </c>
    </row>
    <row r="78" spans="1:15">
      <c r="A78" s="13" t="str">
        <f>Members!A78</f>
        <v>P0033</v>
      </c>
      <c r="B78" s="13" t="str">
        <f>Members!B78</f>
        <v>Pensioner</v>
      </c>
      <c r="C78" s="13">
        <f>Members!C78</f>
        <v>75</v>
      </c>
      <c r="D78" s="14">
        <f>Members!D78</f>
        <v>38.799999999999997</v>
      </c>
      <c r="E78" s="16">
        <f>Members!E78</f>
        <v>0</v>
      </c>
      <c r="F78" s="16">
        <f>Members!F78</f>
        <v>273000</v>
      </c>
      <c r="G78" s="15">
        <f>MAX(0,Assumptions!$B$10-C78)</f>
        <v>0</v>
      </c>
      <c r="H78" s="17">
        <f>IF(B78="Active",E78*(1+Assumptions!$B$7)^G78,E78)</f>
        <v>0</v>
      </c>
      <c r="I78" s="17">
        <f>IF(B78="Active",MIN(Assumptions!$B$12,D78+G78),IF(B78="Deferred",MIN(Assumptions!$B$12,D78),D78))</f>
        <v>38.799999999999997</v>
      </c>
      <c r="J78" s="17">
        <f>IF(B78="Active",H78*I78*Assumptions!$B$11,IF(B78="Deferred",E78*I78*Assumptions!$B$11*(1+Assumptions!$B$9)^G78,F78))</f>
        <v>273000</v>
      </c>
      <c r="K78" s="11">
        <f>IF(B78="Pensioner",1,VLOOKUP(Assumptions!$B$10,Mortality!$A$2:$F$104,6,FALSE)/VLOOKUP(C78,Mortality!$A$2:$F$104,6,FALSE))</f>
        <v>1</v>
      </c>
      <c r="L78" s="11">
        <f>VLOOKUP(IF(B78="Pensioner",C78,Assumptions!$B$10),Mortality!$A$2:$E$104,5,FALSE)</f>
        <v>10.662474804432929</v>
      </c>
      <c r="M78" s="11">
        <f>1+Assumptions!$B$13*Assumptions!$B$14*Assumptions!$B$15</f>
        <v>1.3187500000000001</v>
      </c>
      <c r="N78" s="11">
        <f>IF(B78="Pensioner",1,1/(1+Assumptions!$B$6)^G78)</f>
        <v>1</v>
      </c>
      <c r="O78" s="17">
        <f t="shared" si="1"/>
        <v>3838690.8509984375</v>
      </c>
    </row>
    <row r="79" spans="1:15">
      <c r="A79" s="13" t="str">
        <f>Members!A79</f>
        <v>A0488</v>
      </c>
      <c r="B79" s="13" t="str">
        <f>Members!B79</f>
        <v>Active</v>
      </c>
      <c r="C79" s="13">
        <f>Members!C79</f>
        <v>54</v>
      </c>
      <c r="D79" s="14">
        <f>Members!D79</f>
        <v>5.2</v>
      </c>
      <c r="E79" s="16">
        <f>Members!E79</f>
        <v>1686000</v>
      </c>
      <c r="F79" s="16">
        <f>Members!F79</f>
        <v>0</v>
      </c>
      <c r="G79" s="15">
        <f>MAX(0,Assumptions!$B$10-C79)</f>
        <v>6</v>
      </c>
      <c r="H79" s="17">
        <f>IF(B79="Active",E79*(1+Assumptions!$B$7)^G79,E79)</f>
        <v>2324728.9722005469</v>
      </c>
      <c r="I79" s="17">
        <f>IF(B79="Active",MIN(Assumptions!$B$12,D79+G79),IF(B79="Deferred",MIN(Assumptions!$B$12,D79),D79))</f>
        <v>11.2</v>
      </c>
      <c r="J79" s="17">
        <f>IF(B79="Active",H79*I79*Assumptions!$B$11,IF(B79="Deferred",E79*I79*Assumptions!$B$11*(1+Assumptions!$B$9)^G79,F79))</f>
        <v>433949.40814410202</v>
      </c>
      <c r="K79" s="11">
        <f>IF(B79="Pensioner",1,VLOOKUP(Assumptions!$B$10,Mortality!$A$2:$F$104,6,FALSE)/VLOOKUP(C79,Mortality!$A$2:$F$104,6,FALSE))</f>
        <v>0.98655351190569374</v>
      </c>
      <c r="L79" s="11">
        <f>VLOOKUP(IF(B79="Pensioner",C79,Assumptions!$B$10),Mortality!$A$2:$E$104,5,FALSE)</f>
        <v>17.296790022132885</v>
      </c>
      <c r="M79" s="11">
        <f>1+Assumptions!$B$13*Assumptions!$B$14*Assumptions!$B$15</f>
        <v>1.3187500000000001</v>
      </c>
      <c r="N79" s="11">
        <f>IF(B79="Pensioner",1,1/(1+Assumptions!$B$6)^G79)</f>
        <v>0.68533411879901873</v>
      </c>
      <c r="O79" s="17">
        <f t="shared" si="1"/>
        <v>6692526.2997973766</v>
      </c>
    </row>
    <row r="80" spans="1:15">
      <c r="A80" s="13" t="str">
        <f>Members!A80</f>
        <v>P0016</v>
      </c>
      <c r="B80" s="13" t="str">
        <f>Members!B80</f>
        <v>Pensioner</v>
      </c>
      <c r="C80" s="13">
        <f>Members!C80</f>
        <v>72</v>
      </c>
      <c r="D80" s="14">
        <f>Members!D80</f>
        <v>19.600000000000001</v>
      </c>
      <c r="E80" s="16">
        <f>Members!E80</f>
        <v>0</v>
      </c>
      <c r="F80" s="16">
        <f>Members!F80</f>
        <v>490000</v>
      </c>
      <c r="G80" s="15">
        <f>MAX(0,Assumptions!$B$10-C80)</f>
        <v>0</v>
      </c>
      <c r="H80" s="17">
        <f>IF(B80="Active",E80*(1+Assumptions!$B$7)^G80,E80)</f>
        <v>0</v>
      </c>
      <c r="I80" s="17">
        <f>IF(B80="Active",MIN(Assumptions!$B$12,D80+G80),IF(B80="Deferred",MIN(Assumptions!$B$12,D80),D80))</f>
        <v>19.600000000000001</v>
      </c>
      <c r="J80" s="17">
        <f>IF(B80="Active",H80*I80*Assumptions!$B$11,IF(B80="Deferred",E80*I80*Assumptions!$B$11*(1+Assumptions!$B$9)^G80,F80))</f>
        <v>490000</v>
      </c>
      <c r="K80" s="11">
        <f>IF(B80="Pensioner",1,VLOOKUP(Assumptions!$B$10,Mortality!$A$2:$F$104,6,FALSE)/VLOOKUP(C80,Mortality!$A$2:$F$104,6,FALSE))</f>
        <v>1</v>
      </c>
      <c r="L80" s="11">
        <f>VLOOKUP(IF(B80="Pensioner",C80,Assumptions!$B$10),Mortality!$A$2:$E$104,5,FALSE)</f>
        <v>12.047202362945457</v>
      </c>
      <c r="M80" s="11">
        <f>1+Assumptions!$B$13*Assumptions!$B$14*Assumptions!$B$15</f>
        <v>1.3187500000000001</v>
      </c>
      <c r="N80" s="11">
        <f>IF(B80="Pensioner",1,1/(1+Assumptions!$B$6)^G80)</f>
        <v>1</v>
      </c>
      <c r="O80" s="17">
        <f t="shared" si="1"/>
        <v>7784751.5769058187</v>
      </c>
    </row>
    <row r="81" spans="1:15">
      <c r="A81" s="13" t="str">
        <f>Members!A81</f>
        <v>D0011</v>
      </c>
      <c r="B81" s="13" t="str">
        <f>Members!B81</f>
        <v>Deferred</v>
      </c>
      <c r="C81" s="13">
        <f>Members!C81</f>
        <v>51</v>
      </c>
      <c r="D81" s="14">
        <f>Members!D81</f>
        <v>18</v>
      </c>
      <c r="E81" s="16">
        <f>Members!E81</f>
        <v>692000</v>
      </c>
      <c r="F81" s="16">
        <f>Members!F81</f>
        <v>0</v>
      </c>
      <c r="G81" s="15">
        <f>MAX(0,Assumptions!$B$10-C81)</f>
        <v>9</v>
      </c>
      <c r="H81" s="17">
        <f>IF(B81="Active",E81*(1+Assumptions!$B$7)^G81,E81)</f>
        <v>692000</v>
      </c>
      <c r="I81" s="17">
        <f>IF(B81="Active",MIN(Assumptions!$B$12,D81+G81),IF(B81="Deferred",MIN(Assumptions!$B$12,D81),D81))</f>
        <v>18</v>
      </c>
      <c r="J81" s="17">
        <f>IF(B81="Active",H81*I81*Assumptions!$B$11,IF(B81="Deferred",E81*I81*Assumptions!$B$11*(1+Assumptions!$B$9)^G81,F81))</f>
        <v>295479.53225870035</v>
      </c>
      <c r="K81" s="11">
        <f>IF(B81="Pensioner",1,VLOOKUP(Assumptions!$B$10,Mortality!$A$2:$F$104,6,FALSE)/VLOOKUP(C81,Mortality!$A$2:$F$104,6,FALSE))</f>
        <v>0.98240527975061542</v>
      </c>
      <c r="L81" s="11">
        <f>VLOOKUP(IF(B81="Pensioner",C81,Assumptions!$B$10),Mortality!$A$2:$E$104,5,FALSE)</f>
        <v>17.296790022132885</v>
      </c>
      <c r="M81" s="11">
        <f>1+Assumptions!$B$13*Assumptions!$B$14*Assumptions!$B$15</f>
        <v>1.3187500000000001</v>
      </c>
      <c r="N81" s="11">
        <f>IF(B81="Pensioner",1,1/(1+Assumptions!$B$6)^G81)</f>
        <v>0.56735322782936326</v>
      </c>
      <c r="O81" s="17">
        <f t="shared" si="1"/>
        <v>3756640.243360233</v>
      </c>
    </row>
    <row r="82" spans="1:15">
      <c r="A82" s="13" t="str">
        <f>Members!A82</f>
        <v>P0209</v>
      </c>
      <c r="B82" s="13" t="str">
        <f>Members!B82</f>
        <v>Pensioner</v>
      </c>
      <c r="C82" s="13">
        <f>Members!C82</f>
        <v>70</v>
      </c>
      <c r="D82" s="14">
        <f>Members!D82</f>
        <v>31.6</v>
      </c>
      <c r="E82" s="16">
        <f>Members!E82</f>
        <v>0</v>
      </c>
      <c r="F82" s="16">
        <f>Members!F82</f>
        <v>460000</v>
      </c>
      <c r="G82" s="15">
        <f>MAX(0,Assumptions!$B$10-C82)</f>
        <v>0</v>
      </c>
      <c r="H82" s="17">
        <f>IF(B82="Active",E82*(1+Assumptions!$B$7)^G82,E82)</f>
        <v>0</v>
      </c>
      <c r="I82" s="17">
        <f>IF(B82="Active",MIN(Assumptions!$B$12,D82+G82),IF(B82="Deferred",MIN(Assumptions!$B$12,D82),D82))</f>
        <v>31.6</v>
      </c>
      <c r="J82" s="17">
        <f>IF(B82="Active",H82*I82*Assumptions!$B$11,IF(B82="Deferred",E82*I82*Assumptions!$B$11*(1+Assumptions!$B$9)^G82,F82))</f>
        <v>460000</v>
      </c>
      <c r="K82" s="11">
        <f>IF(B82="Pensioner",1,VLOOKUP(Assumptions!$B$10,Mortality!$A$2:$F$104,6,FALSE)/VLOOKUP(C82,Mortality!$A$2:$F$104,6,FALSE))</f>
        <v>1</v>
      </c>
      <c r="L82" s="11">
        <f>VLOOKUP(IF(B82="Pensioner",C82,Assumptions!$B$10),Mortality!$A$2:$E$104,5,FALSE)</f>
        <v>12.963998211865617</v>
      </c>
      <c r="M82" s="11">
        <f>1+Assumptions!$B$13*Assumptions!$B$14*Assumptions!$B$15</f>
        <v>1.3187500000000001</v>
      </c>
      <c r="N82" s="11">
        <f>IF(B82="Pensioner",1,1/(1+Assumptions!$B$6)^G82)</f>
        <v>1</v>
      </c>
      <c r="O82" s="17">
        <f t="shared" si="1"/>
        <v>7864285.4152729809</v>
      </c>
    </row>
    <row r="83" spans="1:15">
      <c r="A83" s="13" t="str">
        <f>Members!A83</f>
        <v>A0365</v>
      </c>
      <c r="B83" s="13" t="str">
        <f>Members!B83</f>
        <v>Active</v>
      </c>
      <c r="C83" s="13">
        <f>Members!C83</f>
        <v>58</v>
      </c>
      <c r="D83" s="14">
        <f>Members!D83</f>
        <v>33.5</v>
      </c>
      <c r="E83" s="16">
        <f>Members!E83</f>
        <v>1863000</v>
      </c>
      <c r="F83" s="16">
        <f>Members!F83</f>
        <v>0</v>
      </c>
      <c r="G83" s="15">
        <f>MAX(0,Assumptions!$B$10-C83)</f>
        <v>2</v>
      </c>
      <c r="H83" s="17">
        <f>IF(B83="Active",E83*(1+Assumptions!$B$7)^G83,E83)</f>
        <v>2073565.575</v>
      </c>
      <c r="I83" s="17">
        <f>IF(B83="Active",MIN(Assumptions!$B$12,D83+G83),IF(B83="Deferred",MIN(Assumptions!$B$12,D83),D83))</f>
        <v>35.5</v>
      </c>
      <c r="J83" s="17">
        <f>IF(B83="Active",H83*I83*Assumptions!$B$11,IF(B83="Deferred",E83*I83*Assumptions!$B$11*(1+Assumptions!$B$9)^G83,F83))</f>
        <v>1226859.631875</v>
      </c>
      <c r="K83" s="11">
        <f>IF(B83="Pensioner",1,VLOOKUP(Assumptions!$B$10,Mortality!$A$2:$F$104,6,FALSE)/VLOOKUP(C83,Mortality!$A$2:$F$104,6,FALSE))</f>
        <v>0.99452130442038367</v>
      </c>
      <c r="L83" s="11">
        <f>VLOOKUP(IF(B83="Pensioner",C83,Assumptions!$B$10),Mortality!$A$2:$E$104,5,FALSE)</f>
        <v>17.296790022132885</v>
      </c>
      <c r="M83" s="11">
        <f>1+Assumptions!$B$13*Assumptions!$B$14*Assumptions!$B$15</f>
        <v>1.3187500000000001</v>
      </c>
      <c r="N83" s="11">
        <f>IF(B83="Pensioner",1,1/(1+Assumptions!$B$6)^G83)</f>
        <v>0.88165928277017358</v>
      </c>
      <c r="O83" s="17">
        <f t="shared" si="1"/>
        <v>24537919.541119844</v>
      </c>
    </row>
    <row r="84" spans="1:15">
      <c r="A84" s="13" t="str">
        <f>Members!A84</f>
        <v>D0112</v>
      </c>
      <c r="B84" s="13" t="str">
        <f>Members!B84</f>
        <v>Deferred</v>
      </c>
      <c r="C84" s="13">
        <f>Members!C84</f>
        <v>31</v>
      </c>
      <c r="D84" s="14">
        <f>Members!D84</f>
        <v>2.8</v>
      </c>
      <c r="E84" s="16">
        <f>Members!E84</f>
        <v>415000</v>
      </c>
      <c r="F84" s="16">
        <f>Members!F84</f>
        <v>0</v>
      </c>
      <c r="G84" s="15">
        <f>MAX(0,Assumptions!$B$10-C84)</f>
        <v>29</v>
      </c>
      <c r="H84" s="17">
        <f>IF(B84="Active",E84*(1+Assumptions!$B$7)^G84,E84)</f>
        <v>415000</v>
      </c>
      <c r="I84" s="17">
        <f>IF(B84="Active",MIN(Assumptions!$B$12,D84+G84),IF(B84="Deferred",MIN(Assumptions!$B$12,D84),D84))</f>
        <v>2.8</v>
      </c>
      <c r="J84" s="17">
        <f>IF(B84="Active",H84*I84*Assumptions!$B$11,IF(B84="Deferred",E84*I84*Assumptions!$B$11*(1+Assumptions!$B$9)^G84,F84))</f>
        <v>60397.883119423153</v>
      </c>
      <c r="K84" s="11">
        <f>IF(B84="Pensioner",1,VLOOKUP(Assumptions!$B$10,Mortality!$A$2:$F$104,6,FALSE)/VLOOKUP(C84,Mortality!$A$2:$F$104,6,FALSE))</f>
        <v>0.97064661072952085</v>
      </c>
      <c r="L84" s="11">
        <f>VLOOKUP(IF(B84="Pensioner",C84,Assumptions!$B$10),Mortality!$A$2:$E$104,5,FALSE)</f>
        <v>17.296790022132885</v>
      </c>
      <c r="M84" s="11">
        <f>1+Assumptions!$B$13*Assumptions!$B$14*Assumptions!$B$15</f>
        <v>1.3187500000000001</v>
      </c>
      <c r="N84" s="11">
        <f>IF(B84="Pensioner",1,1/(1+Assumptions!$B$6)^G84)</f>
        <v>0.16101316040695074</v>
      </c>
      <c r="O84" s="17">
        <f t="shared" si="1"/>
        <v>215313.97572520238</v>
      </c>
    </row>
    <row r="85" spans="1:15">
      <c r="A85" s="13" t="str">
        <f>Members!A85</f>
        <v>A0327</v>
      </c>
      <c r="B85" s="13" t="str">
        <f>Members!B85</f>
        <v>Active</v>
      </c>
      <c r="C85" s="13">
        <f>Members!C85</f>
        <v>26</v>
      </c>
      <c r="D85" s="14">
        <f>Members!D85</f>
        <v>3.6</v>
      </c>
      <c r="E85" s="16">
        <f>Members!E85</f>
        <v>534000</v>
      </c>
      <c r="F85" s="16">
        <f>Members!F85</f>
        <v>0</v>
      </c>
      <c r="G85" s="15">
        <f>MAX(0,Assumptions!$B$10-C85)</f>
        <v>34</v>
      </c>
      <c r="H85" s="17">
        <f>IF(B85="Active",E85*(1+Assumptions!$B$7)^G85,E85)</f>
        <v>3297045.0750506669</v>
      </c>
      <c r="I85" s="17">
        <f>IF(B85="Active",MIN(Assumptions!$B$12,D85+G85),IF(B85="Deferred",MIN(Assumptions!$B$12,D85),D85))</f>
        <v>37.6</v>
      </c>
      <c r="J85" s="17">
        <f>IF(B85="Active",H85*I85*Assumptions!$B$11,IF(B85="Deferred",E85*I85*Assumptions!$B$11*(1+Assumptions!$B$9)^G85,F85))</f>
        <v>2066148.2470317513</v>
      </c>
      <c r="K85" s="11">
        <f>IF(B85="Pensioner",1,VLOOKUP(Assumptions!$B$10,Mortality!$A$2:$F$104,6,FALSE)/VLOOKUP(C85,Mortality!$A$2:$F$104,6,FALSE))</f>
        <v>0.96922916291892547</v>
      </c>
      <c r="L85" s="11">
        <f>VLOOKUP(IF(B85="Pensioner",C85,Assumptions!$B$10),Mortality!$A$2:$E$104,5,FALSE)</f>
        <v>17.296790022132885</v>
      </c>
      <c r="M85" s="11">
        <f>1+Assumptions!$B$13*Assumptions!$B$14*Assumptions!$B$15</f>
        <v>1.3187500000000001</v>
      </c>
      <c r="N85" s="11">
        <f>IF(B85="Pensioner",1,1/(1+Assumptions!$B$6)^G85)</f>
        <v>0.11752042020870793</v>
      </c>
      <c r="O85" s="17">
        <f t="shared" si="1"/>
        <v>5368207.2432261454</v>
      </c>
    </row>
    <row r="86" spans="1:15">
      <c r="A86" s="13" t="str">
        <f>Members!A86</f>
        <v>A0285</v>
      </c>
      <c r="B86" s="13" t="str">
        <f>Members!B86</f>
        <v>Active</v>
      </c>
      <c r="C86" s="13">
        <f>Members!C86</f>
        <v>45</v>
      </c>
      <c r="D86" s="14">
        <f>Members!D86</f>
        <v>9.3000000000000007</v>
      </c>
      <c r="E86" s="16">
        <f>Members!E86</f>
        <v>1075000</v>
      </c>
      <c r="F86" s="16">
        <f>Members!F86</f>
        <v>0</v>
      </c>
      <c r="G86" s="15">
        <f>MAX(0,Assumptions!$B$10-C86)</f>
        <v>15</v>
      </c>
      <c r="H86" s="17">
        <f>IF(B86="Active",E86*(1+Assumptions!$B$7)^G86,E86)</f>
        <v>2399912.2291557956</v>
      </c>
      <c r="I86" s="17">
        <f>IF(B86="Active",MIN(Assumptions!$B$12,D86+G86),IF(B86="Deferred",MIN(Assumptions!$B$12,D86),D86))</f>
        <v>24.3</v>
      </c>
      <c r="J86" s="17">
        <f>IF(B86="Active",H86*I86*Assumptions!$B$11,IF(B86="Deferred",E86*I86*Assumptions!$B$11*(1+Assumptions!$B$9)^G86,F86))</f>
        <v>971964.45280809724</v>
      </c>
      <c r="K86" s="11">
        <f>IF(B86="Pensioner",1,VLOOKUP(Assumptions!$B$10,Mortality!$A$2:$F$104,6,FALSE)/VLOOKUP(C86,Mortality!$A$2:$F$104,6,FALSE))</f>
        <v>0.97693494781946555</v>
      </c>
      <c r="L86" s="11">
        <f>VLOOKUP(IF(B86="Pensioner",C86,Assumptions!$B$10),Mortality!$A$2:$E$104,5,FALSE)</f>
        <v>17.296790022132885</v>
      </c>
      <c r="M86" s="11">
        <f>1+Assumptions!$B$13*Assumptions!$B$14*Assumptions!$B$15</f>
        <v>1.3187500000000001</v>
      </c>
      <c r="N86" s="11">
        <f>IF(B86="Pensioner",1,1/(1+Assumptions!$B$6)^G86)</f>
        <v>0.38882652444221566</v>
      </c>
      <c r="O86" s="17">
        <f t="shared" si="1"/>
        <v>8421702.5265751444</v>
      </c>
    </row>
    <row r="87" spans="1:15">
      <c r="A87" s="13" t="str">
        <f>Members!A87</f>
        <v>P0191</v>
      </c>
      <c r="B87" s="13" t="str">
        <f>Members!B87</f>
        <v>Pensioner</v>
      </c>
      <c r="C87" s="13">
        <f>Members!C87</f>
        <v>78</v>
      </c>
      <c r="D87" s="14">
        <f>Members!D87</f>
        <v>39.200000000000003</v>
      </c>
      <c r="E87" s="16">
        <f>Members!E87</f>
        <v>0</v>
      </c>
      <c r="F87" s="16">
        <f>Members!F87</f>
        <v>537000</v>
      </c>
      <c r="G87" s="15">
        <f>MAX(0,Assumptions!$B$10-C87)</f>
        <v>0</v>
      </c>
      <c r="H87" s="17">
        <f>IF(B87="Active",E87*(1+Assumptions!$B$7)^G87,E87)</f>
        <v>0</v>
      </c>
      <c r="I87" s="17">
        <f>IF(B87="Active",MIN(Assumptions!$B$12,D87+G87),IF(B87="Deferred",MIN(Assumptions!$B$12,D87),D87))</f>
        <v>39.200000000000003</v>
      </c>
      <c r="J87" s="17">
        <f>IF(B87="Active",H87*I87*Assumptions!$B$11,IF(B87="Deferred",E87*I87*Assumptions!$B$11*(1+Assumptions!$B$9)^G87,F87))</f>
        <v>537000</v>
      </c>
      <c r="K87" s="11">
        <f>IF(B87="Pensioner",1,VLOOKUP(Assumptions!$B$10,Mortality!$A$2:$F$104,6,FALSE)/VLOOKUP(C87,Mortality!$A$2:$F$104,6,FALSE))</f>
        <v>1</v>
      </c>
      <c r="L87" s="11">
        <f>VLOOKUP(IF(B87="Pensioner",C87,Assumptions!$B$10),Mortality!$A$2:$E$104,5,FALSE)</f>
        <v>9.2847179241203879</v>
      </c>
      <c r="M87" s="11">
        <f>1+Assumptions!$B$13*Assumptions!$B$14*Assumptions!$B$15</f>
        <v>1.3187500000000001</v>
      </c>
      <c r="N87" s="11">
        <f>IF(B87="Pensioner",1,1/(1+Assumptions!$B$6)^G87)</f>
        <v>1</v>
      </c>
      <c r="O87" s="17">
        <f t="shared" si="1"/>
        <v>6575147.0864269305</v>
      </c>
    </row>
    <row r="88" spans="1:15">
      <c r="A88" s="13" t="str">
        <f>Members!A88</f>
        <v>A0596</v>
      </c>
      <c r="B88" s="13" t="str">
        <f>Members!B88</f>
        <v>Active</v>
      </c>
      <c r="C88" s="13">
        <f>Members!C88</f>
        <v>46</v>
      </c>
      <c r="D88" s="14">
        <f>Members!D88</f>
        <v>2.5</v>
      </c>
      <c r="E88" s="16">
        <f>Members!E88</f>
        <v>1207000</v>
      </c>
      <c r="F88" s="16">
        <f>Members!F88</f>
        <v>0</v>
      </c>
      <c r="G88" s="15">
        <f>MAX(0,Assumptions!$B$10-C88)</f>
        <v>14</v>
      </c>
      <c r="H88" s="17">
        <f>IF(B88="Active",E88*(1+Assumptions!$B$7)^G88,E88)</f>
        <v>2554122.3944371617</v>
      </c>
      <c r="I88" s="17">
        <f>IF(B88="Active",MIN(Assumptions!$B$12,D88+G88),IF(B88="Deferred",MIN(Assumptions!$B$12,D88),D88))</f>
        <v>16.5</v>
      </c>
      <c r="J88" s="17">
        <f>IF(B88="Active",H88*I88*Assumptions!$B$11,IF(B88="Deferred",E88*I88*Assumptions!$B$11*(1+Assumptions!$B$9)^G88,F88))</f>
        <v>702383.65847021947</v>
      </c>
      <c r="K88" s="11">
        <f>IF(B88="Pensioner",1,VLOOKUP(Assumptions!$B$10,Mortality!$A$2:$F$104,6,FALSE)/VLOOKUP(C88,Mortality!$A$2:$F$104,6,FALSE))</f>
        <v>0.97765823283048059</v>
      </c>
      <c r="L88" s="11">
        <f>VLOOKUP(IF(B88="Pensioner",C88,Assumptions!$B$10),Mortality!$A$2:$E$104,5,FALSE)</f>
        <v>17.296790022132885</v>
      </c>
      <c r="M88" s="11">
        <f>1+Assumptions!$B$13*Assumptions!$B$14*Assumptions!$B$15</f>
        <v>1.3187500000000001</v>
      </c>
      <c r="N88" s="11">
        <f>IF(B88="Pensioner",1,1/(1+Assumptions!$B$6)^G88)</f>
        <v>0.41410024853095956</v>
      </c>
      <c r="O88" s="17">
        <f t="shared" si="1"/>
        <v>6486268.7278069993</v>
      </c>
    </row>
    <row r="89" spans="1:15">
      <c r="A89" s="13" t="str">
        <f>Members!A89</f>
        <v>A0547</v>
      </c>
      <c r="B89" s="13" t="str">
        <f>Members!B89</f>
        <v>Active</v>
      </c>
      <c r="C89" s="13">
        <f>Members!C89</f>
        <v>33</v>
      </c>
      <c r="D89" s="14">
        <f>Members!D89</f>
        <v>4</v>
      </c>
      <c r="E89" s="16">
        <f>Members!E89</f>
        <v>473000</v>
      </c>
      <c r="F89" s="16">
        <f>Members!F89</f>
        <v>0</v>
      </c>
      <c r="G89" s="15">
        <f>MAX(0,Assumptions!$B$10-C89)</f>
        <v>27</v>
      </c>
      <c r="H89" s="17">
        <f>IF(B89="Active",E89*(1+Assumptions!$B$7)^G89,E89)</f>
        <v>2007601.681903658</v>
      </c>
      <c r="I89" s="17">
        <f>IF(B89="Active",MIN(Assumptions!$B$12,D89+G89),IF(B89="Deferred",MIN(Assumptions!$B$12,D89),D89))</f>
        <v>31</v>
      </c>
      <c r="J89" s="17">
        <f>IF(B89="Active",H89*I89*Assumptions!$B$11,IF(B89="Deferred",E89*I89*Assumptions!$B$11*(1+Assumptions!$B$9)^G89,F89))</f>
        <v>1037260.8689835565</v>
      </c>
      <c r="K89" s="11">
        <f>IF(B89="Pensioner",1,VLOOKUP(Assumptions!$B$10,Mortality!$A$2:$F$104,6,FALSE)/VLOOKUP(C89,Mortality!$A$2:$F$104,6,FALSE))</f>
        <v>0.9712826176321353</v>
      </c>
      <c r="L89" s="11">
        <f>VLOOKUP(IF(B89="Pensioner",C89,Assumptions!$B$10),Mortality!$A$2:$E$104,5,FALSE)</f>
        <v>17.296790022132885</v>
      </c>
      <c r="M89" s="11">
        <f>1+Assumptions!$B$13*Assumptions!$B$14*Assumptions!$B$15</f>
        <v>1.3187500000000001</v>
      </c>
      <c r="N89" s="11">
        <f>IF(B89="Pensioner",1,1/(1+Assumptions!$B$6)^G89)</f>
        <v>0.18262515186257369</v>
      </c>
      <c r="O89" s="17">
        <f t="shared" si="1"/>
        <v>4196837.8188000554</v>
      </c>
    </row>
    <row r="90" spans="1:15">
      <c r="A90" s="13" t="str">
        <f>Members!A90</f>
        <v>A0586</v>
      </c>
      <c r="B90" s="13" t="str">
        <f>Members!B90</f>
        <v>Active</v>
      </c>
      <c r="C90" s="13">
        <f>Members!C90</f>
        <v>48</v>
      </c>
      <c r="D90" s="14">
        <f>Members!D90</f>
        <v>20.8</v>
      </c>
      <c r="E90" s="16">
        <f>Members!E90</f>
        <v>955000</v>
      </c>
      <c r="F90" s="16">
        <f>Members!F90</f>
        <v>0</v>
      </c>
      <c r="G90" s="15">
        <f>MAX(0,Assumptions!$B$10-C90)</f>
        <v>12</v>
      </c>
      <c r="H90" s="17">
        <f>IF(B90="Active",E90*(1+Assumptions!$B$7)^G90,E90)</f>
        <v>1815653.1488998523</v>
      </c>
      <c r="I90" s="17">
        <f>IF(B90="Active",MIN(Assumptions!$B$12,D90+G90),IF(B90="Deferred",MIN(Assumptions!$B$12,D90),D90))</f>
        <v>32.799999999999997</v>
      </c>
      <c r="J90" s="17">
        <f>IF(B90="Active",H90*I90*Assumptions!$B$11,IF(B90="Deferred",E90*I90*Assumptions!$B$11*(1+Assumptions!$B$9)^G90,F90))</f>
        <v>992557.05473191908</v>
      </c>
      <c r="K90" s="11">
        <f>IF(B90="Pensioner",1,VLOOKUP(Assumptions!$B$10,Mortality!$A$2:$F$104,6,FALSE)/VLOOKUP(C90,Mortality!$A$2:$F$104,6,FALSE))</f>
        <v>0.97930374297365907</v>
      </c>
      <c r="L90" s="11">
        <f>VLOOKUP(IF(B90="Pensioner",C90,Assumptions!$B$10),Mortality!$A$2:$E$104,5,FALSE)</f>
        <v>17.296790022132885</v>
      </c>
      <c r="M90" s="11">
        <f>1+Assumptions!$B$13*Assumptions!$B$14*Assumptions!$B$15</f>
        <v>1.3187500000000001</v>
      </c>
      <c r="N90" s="11">
        <f>IF(B90="Pensioner",1,1/(1+Assumptions!$B$6)^G90)</f>
        <v>0.4696828543900276</v>
      </c>
      <c r="O90" s="17">
        <f t="shared" si="1"/>
        <v>10413712.594541622</v>
      </c>
    </row>
    <row r="91" spans="1:15">
      <c r="A91" s="13" t="str">
        <f>Members!A91</f>
        <v>A0352</v>
      </c>
      <c r="B91" s="13" t="str">
        <f>Members!B91</f>
        <v>Active</v>
      </c>
      <c r="C91" s="13">
        <f>Members!C91</f>
        <v>35</v>
      </c>
      <c r="D91" s="14">
        <f>Members!D91</f>
        <v>3</v>
      </c>
      <c r="E91" s="16">
        <f>Members!E91</f>
        <v>920000</v>
      </c>
      <c r="F91" s="16">
        <f>Members!F91</f>
        <v>0</v>
      </c>
      <c r="G91" s="15">
        <f>MAX(0,Assumptions!$B$10-C91)</f>
        <v>25</v>
      </c>
      <c r="H91" s="17">
        <f>IF(B91="Active",E91*(1+Assumptions!$B$7)^G91,E91)</f>
        <v>3508320.9607312479</v>
      </c>
      <c r="I91" s="17">
        <f>IF(B91="Active",MIN(Assumptions!$B$12,D91+G91),IF(B91="Deferred",MIN(Assumptions!$B$12,D91),D91))</f>
        <v>28</v>
      </c>
      <c r="J91" s="17">
        <f>IF(B91="Active",H91*I91*Assumptions!$B$11,IF(B91="Deferred",E91*I91*Assumptions!$B$11*(1+Assumptions!$B$9)^G91,F91))</f>
        <v>1637216.448341249</v>
      </c>
      <c r="K91" s="11">
        <f>IF(B91="Pensioner",1,VLOOKUP(Assumptions!$B$10,Mortality!$A$2:$F$104,6,FALSE)/VLOOKUP(C91,Mortality!$A$2:$F$104,6,FALSE))</f>
        <v>0.97197407653867529</v>
      </c>
      <c r="L91" s="11">
        <f>VLOOKUP(IF(B91="Pensioner",C91,Assumptions!$B$10),Mortality!$A$2:$E$104,5,FALSE)</f>
        <v>17.296790022132885</v>
      </c>
      <c r="M91" s="11">
        <f>1+Assumptions!$B$13*Assumptions!$B$14*Assumptions!$B$15</f>
        <v>1.3187500000000001</v>
      </c>
      <c r="N91" s="11">
        <f>IF(B91="Pensioner",1,1/(1+Assumptions!$B$6)^G91)</f>
        <v>0.20713801287132758</v>
      </c>
      <c r="O91" s="17">
        <f t="shared" si="1"/>
        <v>7518800.6916618068</v>
      </c>
    </row>
    <row r="92" spans="1:15">
      <c r="A92" s="13" t="str">
        <f>Members!A92</f>
        <v>D0044</v>
      </c>
      <c r="B92" s="13" t="str">
        <f>Members!B92</f>
        <v>Deferred</v>
      </c>
      <c r="C92" s="13">
        <f>Members!C92</f>
        <v>30</v>
      </c>
      <c r="D92" s="14">
        <f>Members!D92</f>
        <v>2.8</v>
      </c>
      <c r="E92" s="16">
        <f>Members!E92</f>
        <v>327000</v>
      </c>
      <c r="F92" s="16">
        <f>Members!F92</f>
        <v>0</v>
      </c>
      <c r="G92" s="15">
        <f>MAX(0,Assumptions!$B$10-C92)</f>
        <v>30</v>
      </c>
      <c r="H92" s="17">
        <f>IF(B92="Active",E92*(1+Assumptions!$B$7)^G92,E92)</f>
        <v>327000</v>
      </c>
      <c r="I92" s="17">
        <f>IF(B92="Active",MIN(Assumptions!$B$12,D92+G92),IF(B92="Deferred",MIN(Assumptions!$B$12,D92),D92))</f>
        <v>2.8</v>
      </c>
      <c r="J92" s="17">
        <f>IF(B92="Active",H92*I92*Assumptions!$B$11,IF(B92="Deferred",E92*I92*Assumptions!$B$11*(1+Assumptions!$B$9)^G92,F92))</f>
        <v>49494.246003020293</v>
      </c>
      <c r="K92" s="11">
        <f>IF(B92="Pensioner",1,VLOOKUP(Assumptions!$B$10,Mortality!$A$2:$F$104,6,FALSE)/VLOOKUP(C92,Mortality!$A$2:$F$104,6,FALSE))</f>
        <v>0.97034568803187526</v>
      </c>
      <c r="L92" s="11">
        <f>VLOOKUP(IF(B92="Pensioner",C92,Assumptions!$B$10),Mortality!$A$2:$E$104,5,FALSE)</f>
        <v>17.296790022132885</v>
      </c>
      <c r="M92" s="11">
        <f>1+Assumptions!$B$13*Assumptions!$B$14*Assumptions!$B$15</f>
        <v>1.3187500000000001</v>
      </c>
      <c r="N92" s="11">
        <f>IF(B92="Pensioner",1,1/(1+Assumptions!$B$6)^G92)</f>
        <v>0.15118606610981289</v>
      </c>
      <c r="O92" s="17">
        <f t="shared" si="1"/>
        <v>165623.11387164955</v>
      </c>
    </row>
    <row r="93" spans="1:15">
      <c r="A93" s="13" t="str">
        <f>Members!A93</f>
        <v>A0592</v>
      </c>
      <c r="B93" s="13" t="str">
        <f>Members!B93</f>
        <v>Active</v>
      </c>
      <c r="C93" s="13">
        <f>Members!C93</f>
        <v>24</v>
      </c>
      <c r="D93" s="14">
        <f>Members!D93</f>
        <v>1</v>
      </c>
      <c r="E93" s="16">
        <f>Members!E93</f>
        <v>399000</v>
      </c>
      <c r="F93" s="16">
        <f>Members!F93</f>
        <v>0</v>
      </c>
      <c r="G93" s="15">
        <f>MAX(0,Assumptions!$B$10-C93)</f>
        <v>36</v>
      </c>
      <c r="H93" s="17">
        <f>IF(B93="Active",E93*(1+Assumptions!$B$7)^G93,E93)</f>
        <v>2741962.0679188184</v>
      </c>
      <c r="I93" s="17">
        <f>IF(B93="Active",MIN(Assumptions!$B$12,D93+G93),IF(B93="Deferred",MIN(Assumptions!$B$12,D93),D93))</f>
        <v>37</v>
      </c>
      <c r="J93" s="17">
        <f>IF(B93="Active",H93*I93*Assumptions!$B$11,IF(B93="Deferred",E93*I93*Assumptions!$B$11*(1+Assumptions!$B$9)^G93,F93))</f>
        <v>1690876.6085499381</v>
      </c>
      <c r="K93" s="11">
        <f>IF(B93="Pensioner",1,VLOOKUP(Assumptions!$B$10,Mortality!$A$2:$F$104,6,FALSE)/VLOOKUP(C93,Mortality!$A$2:$F$104,6,FALSE))</f>
        <v>0.96871086700607645</v>
      </c>
      <c r="L93" s="11">
        <f>VLOOKUP(IF(B93="Pensioner",C93,Assumptions!$B$10),Mortality!$A$2:$E$104,5,FALSE)</f>
        <v>17.296790022132885</v>
      </c>
      <c r="M93" s="11">
        <f>1+Assumptions!$B$13*Assumptions!$B$14*Assumptions!$B$15</f>
        <v>1.3187500000000001</v>
      </c>
      <c r="N93" s="11">
        <f>IF(B93="Pensioner",1,1/(1+Assumptions!$B$6)^G93)</f>
        <v>0.10361296939205883</v>
      </c>
      <c r="O93" s="17">
        <f t="shared" si="1"/>
        <v>3871223.0400153622</v>
      </c>
    </row>
    <row r="94" spans="1:15">
      <c r="A94" s="13" t="str">
        <f>Members!A94</f>
        <v>A0313</v>
      </c>
      <c r="B94" s="13" t="str">
        <f>Members!B94</f>
        <v>Active</v>
      </c>
      <c r="C94" s="13">
        <f>Members!C94</f>
        <v>45</v>
      </c>
      <c r="D94" s="14">
        <f>Members!D94</f>
        <v>5</v>
      </c>
      <c r="E94" s="16">
        <f>Members!E94</f>
        <v>1210000</v>
      </c>
      <c r="F94" s="16">
        <f>Members!F94</f>
        <v>0</v>
      </c>
      <c r="G94" s="15">
        <f>MAX(0,Assumptions!$B$10-C94)</f>
        <v>15</v>
      </c>
      <c r="H94" s="17">
        <f>IF(B94="Active",E94*(1+Assumptions!$B$7)^G94,E94)</f>
        <v>2701296.5556079191</v>
      </c>
      <c r="I94" s="17">
        <f>IF(B94="Active",MIN(Assumptions!$B$12,D94+G94),IF(B94="Deferred",MIN(Assumptions!$B$12,D94),D94))</f>
        <v>20</v>
      </c>
      <c r="J94" s="17">
        <f>IF(B94="Active",H94*I94*Assumptions!$B$11,IF(B94="Deferred",E94*I94*Assumptions!$B$11*(1+Assumptions!$B$9)^G94,F94))</f>
        <v>900432.18520263967</v>
      </c>
      <c r="K94" s="11">
        <f>IF(B94="Pensioner",1,VLOOKUP(Assumptions!$B$10,Mortality!$A$2:$F$104,6,FALSE)/VLOOKUP(C94,Mortality!$A$2:$F$104,6,FALSE))</f>
        <v>0.97693494781946555</v>
      </c>
      <c r="L94" s="11">
        <f>VLOOKUP(IF(B94="Pensioner",C94,Assumptions!$B$10),Mortality!$A$2:$E$104,5,FALSE)</f>
        <v>17.296790022132885</v>
      </c>
      <c r="M94" s="11">
        <f>1+Assumptions!$B$13*Assumptions!$B$14*Assumptions!$B$15</f>
        <v>1.3187500000000001</v>
      </c>
      <c r="N94" s="11">
        <f>IF(B94="Pensioner",1,1/(1+Assumptions!$B$6)^G94)</f>
        <v>0.38882652444221566</v>
      </c>
      <c r="O94" s="17">
        <f t="shared" si="1"/>
        <v>7801902.6181689557</v>
      </c>
    </row>
    <row r="95" spans="1:15">
      <c r="A95" s="13" t="str">
        <f>Members!A95</f>
        <v>A0044</v>
      </c>
      <c r="B95" s="13" t="str">
        <f>Members!B95</f>
        <v>Active</v>
      </c>
      <c r="C95" s="13">
        <f>Members!C95</f>
        <v>36</v>
      </c>
      <c r="D95" s="14">
        <f>Members!D95</f>
        <v>9.1</v>
      </c>
      <c r="E95" s="16">
        <f>Members!E95</f>
        <v>775000</v>
      </c>
      <c r="F95" s="16">
        <f>Members!F95</f>
        <v>0</v>
      </c>
      <c r="G95" s="15">
        <f>MAX(0,Assumptions!$B$10-C95)</f>
        <v>24</v>
      </c>
      <c r="H95" s="17">
        <f>IF(B95="Active",E95*(1+Assumptions!$B$7)^G95,E95)</f>
        <v>2801307.1755272173</v>
      </c>
      <c r="I95" s="17">
        <f>IF(B95="Active",MIN(Assumptions!$B$12,D95+G95),IF(B95="Deferred",MIN(Assumptions!$B$12,D95),D95))</f>
        <v>33.1</v>
      </c>
      <c r="J95" s="17">
        <f>IF(B95="Active",H95*I95*Assumptions!$B$11,IF(B95="Deferred",E95*I95*Assumptions!$B$11*(1+Assumptions!$B$9)^G95,F95))</f>
        <v>1545387.7918325148</v>
      </c>
      <c r="K95" s="11">
        <f>IF(B95="Pensioner",1,VLOOKUP(Assumptions!$B$10,Mortality!$A$2:$F$104,6,FALSE)/VLOOKUP(C95,Mortality!$A$2:$F$104,6,FALSE))</f>
        <v>0.97234503055413524</v>
      </c>
      <c r="L95" s="11">
        <f>VLOOKUP(IF(B95="Pensioner",C95,Assumptions!$B$10),Mortality!$A$2:$E$104,5,FALSE)</f>
        <v>17.296790022132885</v>
      </c>
      <c r="M95" s="11">
        <f>1+Assumptions!$B$13*Assumptions!$B$14*Assumptions!$B$15</f>
        <v>1.3187500000000001</v>
      </c>
      <c r="N95" s="11">
        <f>IF(B95="Pensioner",1,1/(1+Assumptions!$B$6)^G95)</f>
        <v>0.22060198370796386</v>
      </c>
      <c r="O95" s="17">
        <f t="shared" si="1"/>
        <v>7561279.211933692</v>
      </c>
    </row>
    <row r="96" spans="1:15">
      <c r="A96" s="13" t="str">
        <f>Members!A96</f>
        <v>P0174</v>
      </c>
      <c r="B96" s="13" t="str">
        <f>Members!B96</f>
        <v>Pensioner</v>
      </c>
      <c r="C96" s="13">
        <f>Members!C96</f>
        <v>73</v>
      </c>
      <c r="D96" s="14">
        <f>Members!D96</f>
        <v>36.6</v>
      </c>
      <c r="E96" s="16">
        <f>Members!E96</f>
        <v>0</v>
      </c>
      <c r="F96" s="16">
        <f>Members!F96</f>
        <v>343000</v>
      </c>
      <c r="G96" s="15">
        <f>MAX(0,Assumptions!$B$10-C96)</f>
        <v>0</v>
      </c>
      <c r="H96" s="17">
        <f>IF(B96="Active",E96*(1+Assumptions!$B$7)^G96,E96)</f>
        <v>0</v>
      </c>
      <c r="I96" s="17">
        <f>IF(B96="Active",MIN(Assumptions!$B$12,D96+G96),IF(B96="Deferred",MIN(Assumptions!$B$12,D96),D96))</f>
        <v>36.6</v>
      </c>
      <c r="J96" s="17">
        <f>IF(B96="Active",H96*I96*Assumptions!$B$11,IF(B96="Deferred",E96*I96*Assumptions!$B$11*(1+Assumptions!$B$9)^G96,F96))</f>
        <v>343000</v>
      </c>
      <c r="K96" s="11">
        <f>IF(B96="Pensioner",1,VLOOKUP(Assumptions!$B$10,Mortality!$A$2:$F$104,6,FALSE)/VLOOKUP(C96,Mortality!$A$2:$F$104,6,FALSE))</f>
        <v>1</v>
      </c>
      <c r="L96" s="11">
        <f>VLOOKUP(IF(B96="Pensioner",C96,Assumptions!$B$10),Mortality!$A$2:$E$104,5,FALSE)</f>
        <v>11.586176267789867</v>
      </c>
      <c r="M96" s="11">
        <f>1+Assumptions!$B$13*Assumptions!$B$14*Assumptions!$B$15</f>
        <v>1.3187500000000001</v>
      </c>
      <c r="N96" s="11">
        <f>IF(B96="Pensioner",1,1/(1+Assumptions!$B$6)^G96)</f>
        <v>1</v>
      </c>
      <c r="O96" s="17">
        <f t="shared" si="1"/>
        <v>5240789.5939297257</v>
      </c>
    </row>
    <row r="97" spans="1:15">
      <c r="A97" s="13" t="str">
        <f>Members!A97</f>
        <v>A0021</v>
      </c>
      <c r="B97" s="13" t="str">
        <f>Members!B97</f>
        <v>Active</v>
      </c>
      <c r="C97" s="13">
        <f>Members!C97</f>
        <v>47</v>
      </c>
      <c r="D97" s="14">
        <f>Members!D97</f>
        <v>24.9</v>
      </c>
      <c r="E97" s="16">
        <f>Members!E97</f>
        <v>1142000</v>
      </c>
      <c r="F97" s="16">
        <f>Members!F97</f>
        <v>0</v>
      </c>
      <c r="G97" s="15">
        <f>MAX(0,Assumptions!$B$10-C97)</f>
        <v>13</v>
      </c>
      <c r="H97" s="17">
        <f>IF(B97="Active",E97*(1+Assumptions!$B$7)^G97,E97)</f>
        <v>2290593.7909173099</v>
      </c>
      <c r="I97" s="17">
        <f>IF(B97="Active",MIN(Assumptions!$B$12,D97+G97),IF(B97="Deferred",MIN(Assumptions!$B$12,D97),D97))</f>
        <v>37.9</v>
      </c>
      <c r="J97" s="17">
        <f>IF(B97="Active",H97*I97*Assumptions!$B$11,IF(B97="Deferred",E97*I97*Assumptions!$B$11*(1+Assumptions!$B$9)^G97,F97))</f>
        <v>1446891.7445961006</v>
      </c>
      <c r="K97" s="11">
        <f>IF(B97="Pensioner",1,VLOOKUP(Assumptions!$B$10,Mortality!$A$2:$F$104,6,FALSE)/VLOOKUP(C97,Mortality!$A$2:$F$104,6,FALSE))</f>
        <v>0.97844516757479894</v>
      </c>
      <c r="L97" s="11">
        <f>VLOOKUP(IF(B97="Pensioner",C97,Assumptions!$B$10),Mortality!$A$2:$E$104,5,FALSE)</f>
        <v>17.296790022132885</v>
      </c>
      <c r="M97" s="11">
        <f>1+Assumptions!$B$13*Assumptions!$B$14*Assumptions!$B$15</f>
        <v>1.3187500000000001</v>
      </c>
      <c r="N97" s="11">
        <f>IF(B97="Pensioner",1,1/(1+Assumptions!$B$6)^G97)</f>
        <v>0.44101676468547191</v>
      </c>
      <c r="O97" s="17">
        <f t="shared" si="1"/>
        <v>14241496.130386522</v>
      </c>
    </row>
    <row r="98" spans="1:15">
      <c r="A98" s="13" t="str">
        <f>Members!A98</f>
        <v>A0278</v>
      </c>
      <c r="B98" s="13" t="str">
        <f>Members!B98</f>
        <v>Active</v>
      </c>
      <c r="C98" s="13">
        <f>Members!C98</f>
        <v>22</v>
      </c>
      <c r="D98" s="14">
        <f>Members!D98</f>
        <v>1</v>
      </c>
      <c r="E98" s="16">
        <f>Members!E98</f>
        <v>561000</v>
      </c>
      <c r="F98" s="16">
        <f>Members!F98</f>
        <v>0</v>
      </c>
      <c r="G98" s="15">
        <f>MAX(0,Assumptions!$B$10-C98)</f>
        <v>38</v>
      </c>
      <c r="H98" s="17">
        <f>IF(B98="Active",E98*(1+Assumptions!$B$7)^G98,E98)</f>
        <v>4290978.3897043541</v>
      </c>
      <c r="I98" s="17">
        <f>IF(B98="Active",MIN(Assumptions!$B$12,D98+G98),IF(B98="Deferred",MIN(Assumptions!$B$12,D98),D98))</f>
        <v>39</v>
      </c>
      <c r="J98" s="17">
        <f>IF(B98="Active",H98*I98*Assumptions!$B$11,IF(B98="Deferred",E98*I98*Assumptions!$B$11*(1+Assumptions!$B$9)^G98,F98))</f>
        <v>2789135.9533078303</v>
      </c>
      <c r="K98" s="11">
        <f>IF(B98="Pensioner",1,VLOOKUP(Assumptions!$B$10,Mortality!$A$2:$F$104,6,FALSE)/VLOOKUP(C98,Mortality!$A$2:$F$104,6,FALSE))</f>
        <v>0.9682119922904866</v>
      </c>
      <c r="L98" s="11">
        <f>VLOOKUP(IF(B98="Pensioner",C98,Assumptions!$B$10),Mortality!$A$2:$E$104,5,FALSE)</f>
        <v>17.296790022132885</v>
      </c>
      <c r="M98" s="11">
        <f>1+Assumptions!$B$13*Assumptions!$B$14*Assumptions!$B$15</f>
        <v>1.3187500000000001</v>
      </c>
      <c r="N98" s="11">
        <f>IF(B98="Pensioner",1,1/(1+Assumptions!$B$6)^G98)</f>
        <v>9.1351336279890546E-2</v>
      </c>
      <c r="O98" s="17">
        <f t="shared" si="1"/>
        <v>5627079.2536066305</v>
      </c>
    </row>
    <row r="99" spans="1:15">
      <c r="A99" s="13" t="str">
        <f>Members!A99</f>
        <v>A0250</v>
      </c>
      <c r="B99" s="13" t="str">
        <f>Members!B99</f>
        <v>Active</v>
      </c>
      <c r="C99" s="13">
        <f>Members!C99</f>
        <v>30</v>
      </c>
      <c r="D99" s="14">
        <f>Members!D99</f>
        <v>1.3</v>
      </c>
      <c r="E99" s="16">
        <f>Members!E99</f>
        <v>631000</v>
      </c>
      <c r="F99" s="16">
        <f>Members!F99</f>
        <v>0</v>
      </c>
      <c r="G99" s="15">
        <f>MAX(0,Assumptions!$B$10-C99)</f>
        <v>30</v>
      </c>
      <c r="H99" s="17">
        <f>IF(B99="Active",E99*(1+Assumptions!$B$7)^G99,E99)</f>
        <v>3144873.262977283</v>
      </c>
      <c r="I99" s="17">
        <f>IF(B99="Active",MIN(Assumptions!$B$12,D99+G99),IF(B99="Deferred",MIN(Assumptions!$B$12,D99),D99))</f>
        <v>31.3</v>
      </c>
      <c r="J99" s="17">
        <f>IF(B99="Active",H99*I99*Assumptions!$B$11,IF(B99="Deferred",E99*I99*Assumptions!$B$11*(1+Assumptions!$B$9)^G99,F99))</f>
        <v>1640575.5521864826</v>
      </c>
      <c r="K99" s="11">
        <f>IF(B99="Pensioner",1,VLOOKUP(Assumptions!$B$10,Mortality!$A$2:$F$104,6,FALSE)/VLOOKUP(C99,Mortality!$A$2:$F$104,6,FALSE))</f>
        <v>0.97034568803187526</v>
      </c>
      <c r="L99" s="11">
        <f>VLOOKUP(IF(B99="Pensioner",C99,Assumptions!$B$10),Mortality!$A$2:$E$104,5,FALSE)</f>
        <v>17.296790022132885</v>
      </c>
      <c r="M99" s="11">
        <f>1+Assumptions!$B$13*Assumptions!$B$14*Assumptions!$B$15</f>
        <v>1.3187500000000001</v>
      </c>
      <c r="N99" s="11">
        <f>IF(B99="Pensioner",1,1/(1+Assumptions!$B$6)^G99)</f>
        <v>0.15118606610981289</v>
      </c>
      <c r="O99" s="17">
        <f t="shared" si="1"/>
        <v>5489875.1559574241</v>
      </c>
    </row>
    <row r="100" spans="1:15">
      <c r="A100" s="13" t="str">
        <f>Members!A100</f>
        <v>A0600</v>
      </c>
      <c r="B100" s="13" t="str">
        <f>Members!B100</f>
        <v>Active</v>
      </c>
      <c r="C100" s="13">
        <f>Members!C100</f>
        <v>40</v>
      </c>
      <c r="D100" s="14">
        <f>Members!D100</f>
        <v>6.9</v>
      </c>
      <c r="E100" s="16">
        <f>Members!E100</f>
        <v>762000</v>
      </c>
      <c r="F100" s="16">
        <f>Members!F100</f>
        <v>0</v>
      </c>
      <c r="G100" s="15">
        <f>MAX(0,Assumptions!$B$10-C100)</f>
        <v>20</v>
      </c>
      <c r="H100" s="17">
        <f>IF(B100="Active",E100*(1+Assumptions!$B$7)^G100,E100)</f>
        <v>2223331.207840316</v>
      </c>
      <c r="I100" s="17">
        <f>IF(B100="Active",MIN(Assumptions!$B$12,D100+G100),IF(B100="Deferred",MIN(Assumptions!$B$12,D100),D100))</f>
        <v>26.9</v>
      </c>
      <c r="J100" s="17">
        <f>IF(B100="Active",H100*I100*Assumptions!$B$11,IF(B100="Deferred",E100*I100*Assumptions!$B$11*(1+Assumptions!$B$9)^G100,F100))</f>
        <v>996793.49151507486</v>
      </c>
      <c r="K100" s="11">
        <f>IF(B100="Pensioner",1,VLOOKUP(Assumptions!$B$10,Mortality!$A$2:$F$104,6,FALSE)/VLOOKUP(C100,Mortality!$A$2:$F$104,6,FALSE))</f>
        <v>0.97405112431987673</v>
      </c>
      <c r="L100" s="11">
        <f>VLOOKUP(IF(B100="Pensioner",C100,Assumptions!$B$10),Mortality!$A$2:$E$104,5,FALSE)</f>
        <v>17.296790022132885</v>
      </c>
      <c r="M100" s="11">
        <f>1+Assumptions!$B$13*Assumptions!$B$14*Assumptions!$B$15</f>
        <v>1.3187500000000001</v>
      </c>
      <c r="N100" s="11">
        <f>IF(B100="Pensioner",1,1/(1+Assumptions!$B$6)^G100)</f>
        <v>0.28379702892141989</v>
      </c>
      <c r="O100" s="17">
        <f t="shared" si="1"/>
        <v>6285253.1735393424</v>
      </c>
    </row>
    <row r="101" spans="1:15">
      <c r="A101" s="13" t="str">
        <f>Members!A101</f>
        <v>P0076</v>
      </c>
      <c r="B101" s="13" t="str">
        <f>Members!B101</f>
        <v>Pensioner</v>
      </c>
      <c r="C101" s="13">
        <f>Members!C101</f>
        <v>82</v>
      </c>
      <c r="D101" s="14">
        <f>Members!D101</f>
        <v>39.700000000000003</v>
      </c>
      <c r="E101" s="16">
        <f>Members!E101</f>
        <v>0</v>
      </c>
      <c r="F101" s="16">
        <f>Members!F101</f>
        <v>419000</v>
      </c>
      <c r="G101" s="15">
        <f>MAX(0,Assumptions!$B$10-C101)</f>
        <v>0</v>
      </c>
      <c r="H101" s="17">
        <f>IF(B101="Active",E101*(1+Assumptions!$B$7)^G101,E101)</f>
        <v>0</v>
      </c>
      <c r="I101" s="17">
        <f>IF(B101="Active",MIN(Assumptions!$B$12,D101+G101),IF(B101="Deferred",MIN(Assumptions!$B$12,D101),D101))</f>
        <v>39.700000000000003</v>
      </c>
      <c r="J101" s="17">
        <f>IF(B101="Active",H101*I101*Assumptions!$B$11,IF(B101="Deferred",E101*I101*Assumptions!$B$11*(1+Assumptions!$B$9)^G101,F101))</f>
        <v>419000</v>
      </c>
      <c r="K101" s="11">
        <f>IF(B101="Pensioner",1,VLOOKUP(Assumptions!$B$10,Mortality!$A$2:$F$104,6,FALSE)/VLOOKUP(C101,Mortality!$A$2:$F$104,6,FALSE))</f>
        <v>1</v>
      </c>
      <c r="L101" s="11">
        <f>VLOOKUP(IF(B101="Pensioner",C101,Assumptions!$B$10),Mortality!$A$2:$E$104,5,FALSE)</f>
        <v>7.4984624308085976</v>
      </c>
      <c r="M101" s="11">
        <f>1+Assumptions!$B$13*Assumptions!$B$14*Assumptions!$B$15</f>
        <v>1.3187500000000001</v>
      </c>
      <c r="N101" s="11">
        <f>IF(B101="Pensioner",1,1/(1+Assumptions!$B$6)^G101)</f>
        <v>1</v>
      </c>
      <c r="O101" s="17">
        <f t="shared" si="1"/>
        <v>4143322.2815334834</v>
      </c>
    </row>
    <row r="102" spans="1:15">
      <c r="A102" s="13" t="str">
        <f>Members!A102</f>
        <v>P0019</v>
      </c>
      <c r="B102" s="13" t="str">
        <f>Members!B102</f>
        <v>Pensioner</v>
      </c>
      <c r="C102" s="13">
        <f>Members!C102</f>
        <v>86</v>
      </c>
      <c r="D102" s="14">
        <f>Members!D102</f>
        <v>29.2</v>
      </c>
      <c r="E102" s="16">
        <f>Members!E102</f>
        <v>0</v>
      </c>
      <c r="F102" s="16">
        <f>Members!F102</f>
        <v>542000</v>
      </c>
      <c r="G102" s="15">
        <f>MAX(0,Assumptions!$B$10-C102)</f>
        <v>0</v>
      </c>
      <c r="H102" s="17">
        <f>IF(B102="Active",E102*(1+Assumptions!$B$7)^G102,E102)</f>
        <v>0</v>
      </c>
      <c r="I102" s="17">
        <f>IF(B102="Active",MIN(Assumptions!$B$12,D102+G102),IF(B102="Deferred",MIN(Assumptions!$B$12,D102),D102))</f>
        <v>29.2</v>
      </c>
      <c r="J102" s="17">
        <f>IF(B102="Active",H102*I102*Assumptions!$B$11,IF(B102="Deferred",E102*I102*Assumptions!$B$11*(1+Assumptions!$B$9)^G102,F102))</f>
        <v>542000</v>
      </c>
      <c r="K102" s="11">
        <f>IF(B102="Pensioner",1,VLOOKUP(Assumptions!$B$10,Mortality!$A$2:$F$104,6,FALSE)/VLOOKUP(C102,Mortality!$A$2:$F$104,6,FALSE))</f>
        <v>1</v>
      </c>
      <c r="L102" s="11">
        <f>VLOOKUP(IF(B102="Pensioner",C102,Assumptions!$B$10),Mortality!$A$2:$E$104,5,FALSE)</f>
        <v>5.822832972912483</v>
      </c>
      <c r="M102" s="11">
        <f>1+Assumptions!$B$13*Assumptions!$B$14*Assumptions!$B$15</f>
        <v>1.3187500000000001</v>
      </c>
      <c r="N102" s="11">
        <f>IF(B102="Pensioner",1,1/(1+Assumptions!$B$6)^G102)</f>
        <v>1</v>
      </c>
      <c r="O102" s="17">
        <f t="shared" si="1"/>
        <v>4161942.6528013591</v>
      </c>
    </row>
    <row r="103" spans="1:15">
      <c r="A103" s="13" t="str">
        <f>Members!A103</f>
        <v>D0061</v>
      </c>
      <c r="B103" s="13" t="str">
        <f>Members!B103</f>
        <v>Deferred</v>
      </c>
      <c r="C103" s="13">
        <f>Members!C103</f>
        <v>41</v>
      </c>
      <c r="D103" s="14">
        <f>Members!D103</f>
        <v>19.899999999999999</v>
      </c>
      <c r="E103" s="16">
        <f>Members!E103</f>
        <v>534000</v>
      </c>
      <c r="F103" s="16">
        <f>Members!F103</f>
        <v>0</v>
      </c>
      <c r="G103" s="15">
        <f>MAX(0,Assumptions!$B$10-C103)</f>
        <v>19</v>
      </c>
      <c r="H103" s="17">
        <f>IF(B103="Active",E103*(1+Assumptions!$B$7)^G103,E103)</f>
        <v>534000</v>
      </c>
      <c r="I103" s="17">
        <f>IF(B103="Active",MIN(Assumptions!$B$12,D103+G103),IF(B103="Deferred",MIN(Assumptions!$B$12,D103),D103))</f>
        <v>19.899999999999999</v>
      </c>
      <c r="J103" s="17">
        <f>IF(B103="Active",H103*I103*Assumptions!$B$11,IF(B103="Deferred",E103*I103*Assumptions!$B$11*(1+Assumptions!$B$9)^G103,F103))</f>
        <v>373144.05756023963</v>
      </c>
      <c r="K103" s="11">
        <f>IF(B103="Pensioner",1,VLOOKUP(Assumptions!$B$10,Mortality!$A$2:$F$104,6,FALSE)/VLOOKUP(C103,Mortality!$A$2:$F$104,6,FALSE))</f>
        <v>0.97454789540795339</v>
      </c>
      <c r="L103" s="11">
        <f>VLOOKUP(IF(B103="Pensioner",C103,Assumptions!$B$10),Mortality!$A$2:$E$104,5,FALSE)</f>
        <v>17.296790022132885</v>
      </c>
      <c r="M103" s="11">
        <f>1+Assumptions!$B$13*Assumptions!$B$14*Assumptions!$B$15</f>
        <v>1.3187500000000001</v>
      </c>
      <c r="N103" s="11">
        <f>IF(B103="Pensioner",1,1/(1+Assumptions!$B$6)^G103)</f>
        <v>0.30224383580131214</v>
      </c>
      <c r="O103" s="17">
        <f t="shared" si="1"/>
        <v>2507062.4709313186</v>
      </c>
    </row>
    <row r="104" spans="1:15">
      <c r="A104" s="13" t="str">
        <f>Members!A104</f>
        <v>A0412</v>
      </c>
      <c r="B104" s="13" t="str">
        <f>Members!B104</f>
        <v>Active</v>
      </c>
      <c r="C104" s="13">
        <f>Members!C104</f>
        <v>30</v>
      </c>
      <c r="D104" s="14">
        <f>Members!D104</f>
        <v>5.6</v>
      </c>
      <c r="E104" s="16">
        <f>Members!E104</f>
        <v>663000</v>
      </c>
      <c r="F104" s="16">
        <f>Members!F104</f>
        <v>0</v>
      </c>
      <c r="G104" s="15">
        <f>MAX(0,Assumptions!$B$10-C104)</f>
        <v>30</v>
      </c>
      <c r="H104" s="17">
        <f>IF(B104="Active",E104*(1+Assumptions!$B$7)^G104,E104)</f>
        <v>3304359.7042059246</v>
      </c>
      <c r="I104" s="17">
        <f>IF(B104="Active",MIN(Assumptions!$B$12,D104+G104),IF(B104="Deferred",MIN(Assumptions!$B$12,D104),D104))</f>
        <v>35.6</v>
      </c>
      <c r="J104" s="17">
        <f>IF(B104="Active",H104*I104*Assumptions!$B$11,IF(B104="Deferred",E104*I104*Assumptions!$B$11*(1+Assumptions!$B$9)^G104,F104))</f>
        <v>1960586.7578288487</v>
      </c>
      <c r="K104" s="11">
        <f>IF(B104="Pensioner",1,VLOOKUP(Assumptions!$B$10,Mortality!$A$2:$F$104,6,FALSE)/VLOOKUP(C104,Mortality!$A$2:$F$104,6,FALSE))</f>
        <v>0.97034568803187526</v>
      </c>
      <c r="L104" s="11">
        <f>VLOOKUP(IF(B104="Pensioner",C104,Assumptions!$B$10),Mortality!$A$2:$E$104,5,FALSE)</f>
        <v>17.296790022132885</v>
      </c>
      <c r="M104" s="11">
        <f>1+Assumptions!$B$13*Assumptions!$B$14*Assumptions!$B$15</f>
        <v>1.3187500000000001</v>
      </c>
      <c r="N104" s="11">
        <f>IF(B104="Pensioner",1,1/(1+Assumptions!$B$6)^G104)</f>
        <v>0.15118606610981289</v>
      </c>
      <c r="O104" s="17">
        <f t="shared" si="1"/>
        <v>6560732.005642035</v>
      </c>
    </row>
    <row r="105" spans="1:15">
      <c r="A105" s="13" t="str">
        <f>Members!A105</f>
        <v>P0157</v>
      </c>
      <c r="B105" s="13" t="str">
        <f>Members!B105</f>
        <v>Pensioner</v>
      </c>
      <c r="C105" s="13">
        <f>Members!C105</f>
        <v>87</v>
      </c>
      <c r="D105" s="14">
        <f>Members!D105</f>
        <v>20.9</v>
      </c>
      <c r="E105" s="16">
        <f>Members!E105</f>
        <v>0</v>
      </c>
      <c r="F105" s="16">
        <f>Members!F105</f>
        <v>761000</v>
      </c>
      <c r="G105" s="15">
        <f>MAX(0,Assumptions!$B$10-C105)</f>
        <v>0</v>
      </c>
      <c r="H105" s="17">
        <f>IF(B105="Active",E105*(1+Assumptions!$B$7)^G105,E105)</f>
        <v>0</v>
      </c>
      <c r="I105" s="17">
        <f>IF(B105="Active",MIN(Assumptions!$B$12,D105+G105),IF(B105="Deferred",MIN(Assumptions!$B$12,D105),D105))</f>
        <v>20.9</v>
      </c>
      <c r="J105" s="17">
        <f>IF(B105="Active",H105*I105*Assumptions!$B$11,IF(B105="Deferred",E105*I105*Assumptions!$B$11*(1+Assumptions!$B$9)^G105,F105))</f>
        <v>761000</v>
      </c>
      <c r="K105" s="11">
        <f>IF(B105="Pensioner",1,VLOOKUP(Assumptions!$B$10,Mortality!$A$2:$F$104,6,FALSE)/VLOOKUP(C105,Mortality!$A$2:$F$104,6,FALSE))</f>
        <v>1</v>
      </c>
      <c r="L105" s="11">
        <f>VLOOKUP(IF(B105="Pensioner",C105,Assumptions!$B$10),Mortality!$A$2:$E$104,5,FALSE)</f>
        <v>5.427731360162463</v>
      </c>
      <c r="M105" s="11">
        <f>1+Assumptions!$B$13*Assumptions!$B$14*Assumptions!$B$15</f>
        <v>1.3187500000000001</v>
      </c>
      <c r="N105" s="11">
        <f>IF(B105="Pensioner",1,1/(1+Assumptions!$B$6)^G105)</f>
        <v>1</v>
      </c>
      <c r="O105" s="17">
        <f t="shared" si="1"/>
        <v>5447101.5764540434</v>
      </c>
    </row>
    <row r="106" spans="1:15">
      <c r="A106" s="13" t="str">
        <f>Members!A106</f>
        <v>A0317</v>
      </c>
      <c r="B106" s="13" t="str">
        <f>Members!B106</f>
        <v>Active</v>
      </c>
      <c r="C106" s="13">
        <f>Members!C106</f>
        <v>50</v>
      </c>
      <c r="D106" s="14">
        <f>Members!D106</f>
        <v>7</v>
      </c>
      <c r="E106" s="16">
        <f>Members!E106</f>
        <v>1033000</v>
      </c>
      <c r="F106" s="16">
        <f>Members!F106</f>
        <v>0</v>
      </c>
      <c r="G106" s="15">
        <f>MAX(0,Assumptions!$B$10-C106)</f>
        <v>10</v>
      </c>
      <c r="H106" s="17">
        <f>IF(B106="Active",E106*(1+Assumptions!$B$7)^G106,E106)</f>
        <v>1764513.2254792615</v>
      </c>
      <c r="I106" s="17">
        <f>IF(B106="Active",MIN(Assumptions!$B$12,D106+G106),IF(B106="Deferred",MIN(Assumptions!$B$12,D106),D106))</f>
        <v>17</v>
      </c>
      <c r="J106" s="17">
        <f>IF(B106="Active",H106*I106*Assumptions!$B$11,IF(B106="Deferred",E106*I106*Assumptions!$B$11*(1+Assumptions!$B$9)^G106,F106))</f>
        <v>499945.41388579074</v>
      </c>
      <c r="K106" s="11">
        <f>IF(B106="Pensioner",1,VLOOKUP(Assumptions!$B$10,Mortality!$A$2:$F$104,6,FALSE)/VLOOKUP(C106,Mortality!$A$2:$F$104,6,FALSE))</f>
        <v>0.98127299335824147</v>
      </c>
      <c r="L106" s="11">
        <f>VLOOKUP(IF(B106="Pensioner",C106,Assumptions!$B$10),Mortality!$A$2:$E$104,5,FALSE)</f>
        <v>17.296790022132885</v>
      </c>
      <c r="M106" s="11">
        <f>1+Assumptions!$B$13*Assumptions!$B$14*Assumptions!$B$15</f>
        <v>1.3187500000000001</v>
      </c>
      <c r="N106" s="11">
        <f>IF(B106="Pensioner",1,1/(1+Assumptions!$B$6)^G106)</f>
        <v>0.53272603552052888</v>
      </c>
      <c r="O106" s="17">
        <f t="shared" si="1"/>
        <v>5961346.1929707611</v>
      </c>
    </row>
    <row r="107" spans="1:15">
      <c r="A107" s="13" t="str">
        <f>Members!A107</f>
        <v>A0050</v>
      </c>
      <c r="B107" s="13" t="str">
        <f>Members!B107</f>
        <v>Active</v>
      </c>
      <c r="C107" s="13">
        <f>Members!C107</f>
        <v>49</v>
      </c>
      <c r="D107" s="14">
        <f>Members!D107</f>
        <v>19.399999999999999</v>
      </c>
      <c r="E107" s="16">
        <f>Members!E107</f>
        <v>1677000</v>
      </c>
      <c r="F107" s="16">
        <f>Members!F107</f>
        <v>0</v>
      </c>
      <c r="G107" s="15">
        <f>MAX(0,Assumptions!$B$10-C107)</f>
        <v>11</v>
      </c>
      <c r="H107" s="17">
        <f>IF(B107="Active",E107*(1+Assumptions!$B$7)^G107,E107)</f>
        <v>3022108.9607752184</v>
      </c>
      <c r="I107" s="17">
        <f>IF(B107="Active",MIN(Assumptions!$B$12,D107+G107),IF(B107="Deferred",MIN(Assumptions!$B$12,D107),D107))</f>
        <v>30.4</v>
      </c>
      <c r="J107" s="17">
        <f>IF(B107="Active",H107*I107*Assumptions!$B$11,IF(B107="Deferred",E107*I107*Assumptions!$B$11*(1+Assumptions!$B$9)^G107,F107))</f>
        <v>1531201.8734594439</v>
      </c>
      <c r="K107" s="11">
        <f>IF(B107="Pensioner",1,VLOOKUP(Assumptions!$B$10,Mortality!$A$2:$F$104,6,FALSE)/VLOOKUP(C107,Mortality!$A$2:$F$104,6,FALSE))</f>
        <v>0.98024296623595764</v>
      </c>
      <c r="L107" s="11">
        <f>VLOOKUP(IF(B107="Pensioner",C107,Assumptions!$B$10),Mortality!$A$2:$E$104,5,FALSE)</f>
        <v>17.296790022132885</v>
      </c>
      <c r="M107" s="11">
        <f>1+Assumptions!$B$13*Assumptions!$B$14*Assumptions!$B$15</f>
        <v>1.3187500000000001</v>
      </c>
      <c r="N107" s="11">
        <f>IF(B107="Pensioner",1,1/(1+Assumptions!$B$6)^G107)</f>
        <v>0.50021223992537933</v>
      </c>
      <c r="O107" s="17">
        <f t="shared" si="1"/>
        <v>17125706.107024759</v>
      </c>
    </row>
    <row r="108" spans="1:15">
      <c r="A108" s="13" t="str">
        <f>Members!A108</f>
        <v>P0094</v>
      </c>
      <c r="B108" s="13" t="str">
        <f>Members!B108</f>
        <v>Pensioner</v>
      </c>
      <c r="C108" s="13">
        <f>Members!C108</f>
        <v>65</v>
      </c>
      <c r="D108" s="14">
        <f>Members!D108</f>
        <v>20.6</v>
      </c>
      <c r="E108" s="16">
        <f>Members!E108</f>
        <v>0</v>
      </c>
      <c r="F108" s="16">
        <f>Members!F108</f>
        <v>170000</v>
      </c>
      <c r="G108" s="15">
        <f>MAX(0,Assumptions!$B$10-C108)</f>
        <v>0</v>
      </c>
      <c r="H108" s="17">
        <f>IF(B108="Active",E108*(1+Assumptions!$B$7)^G108,E108)</f>
        <v>0</v>
      </c>
      <c r="I108" s="17">
        <f>IF(B108="Active",MIN(Assumptions!$B$12,D108+G108),IF(B108="Deferred",MIN(Assumptions!$B$12,D108),D108))</f>
        <v>20.6</v>
      </c>
      <c r="J108" s="17">
        <f>IF(B108="Active",H108*I108*Assumptions!$B$11,IF(B108="Deferred",E108*I108*Assumptions!$B$11*(1+Assumptions!$B$9)^G108,F108))</f>
        <v>170000</v>
      </c>
      <c r="K108" s="11">
        <f>IF(B108="Pensioner",1,VLOOKUP(Assumptions!$B$10,Mortality!$A$2:$F$104,6,FALSE)/VLOOKUP(C108,Mortality!$A$2:$F$104,6,FALSE))</f>
        <v>1</v>
      </c>
      <c r="L108" s="11">
        <f>VLOOKUP(IF(B108="Pensioner",C108,Assumptions!$B$10),Mortality!$A$2:$E$104,5,FALSE)</f>
        <v>15.196570962158528</v>
      </c>
      <c r="M108" s="11">
        <f>1+Assumptions!$B$13*Assumptions!$B$14*Assumptions!$B$15</f>
        <v>1.3187500000000001</v>
      </c>
      <c r="N108" s="11">
        <f>IF(B108="Pensioner",1,1/(1+Assumptions!$B$6)^G108)</f>
        <v>1</v>
      </c>
      <c r="O108" s="17">
        <f t="shared" si="1"/>
        <v>3406881.2525789151</v>
      </c>
    </row>
    <row r="109" spans="1:15">
      <c r="A109" s="13" t="str">
        <f>Members!A109</f>
        <v>A0479</v>
      </c>
      <c r="B109" s="13" t="str">
        <f>Members!B109</f>
        <v>Active</v>
      </c>
      <c r="C109" s="13">
        <f>Members!C109</f>
        <v>31</v>
      </c>
      <c r="D109" s="14">
        <f>Members!D109</f>
        <v>9.1999999999999993</v>
      </c>
      <c r="E109" s="16">
        <f>Members!E109</f>
        <v>745000</v>
      </c>
      <c r="F109" s="16">
        <f>Members!F109</f>
        <v>0</v>
      </c>
      <c r="G109" s="15">
        <f>MAX(0,Assumptions!$B$10-C109)</f>
        <v>29</v>
      </c>
      <c r="H109" s="17">
        <f>IF(B109="Active",E109*(1+Assumptions!$B$7)^G109,E109)</f>
        <v>3519472.7107623885</v>
      </c>
      <c r="I109" s="17">
        <f>IF(B109="Active",MIN(Assumptions!$B$12,D109+G109),IF(B109="Deferred",MIN(Assumptions!$B$12,D109),D109))</f>
        <v>38.200000000000003</v>
      </c>
      <c r="J109" s="17">
        <f>IF(B109="Active",H109*I109*Assumptions!$B$11,IF(B109="Deferred",E109*I109*Assumptions!$B$11*(1+Assumptions!$B$9)^G109,F109))</f>
        <v>2240730.9591853875</v>
      </c>
      <c r="K109" s="11">
        <f>IF(B109="Pensioner",1,VLOOKUP(Assumptions!$B$10,Mortality!$A$2:$F$104,6,FALSE)/VLOOKUP(C109,Mortality!$A$2:$F$104,6,FALSE))</f>
        <v>0.97064661072952085</v>
      </c>
      <c r="L109" s="11">
        <f>VLOOKUP(IF(B109="Pensioner",C109,Assumptions!$B$10),Mortality!$A$2:$E$104,5,FALSE)</f>
        <v>17.296790022132885</v>
      </c>
      <c r="M109" s="11">
        <f>1+Assumptions!$B$13*Assumptions!$B$14*Assumptions!$B$15</f>
        <v>1.3187500000000001</v>
      </c>
      <c r="N109" s="11">
        <f>IF(B109="Pensioner",1,1/(1+Assumptions!$B$6)^G109)</f>
        <v>0.16101316040695074</v>
      </c>
      <c r="O109" s="17">
        <f t="shared" si="1"/>
        <v>7988039.752962783</v>
      </c>
    </row>
    <row r="110" spans="1:15">
      <c r="A110" s="13" t="str">
        <f>Members!A110</f>
        <v>A0091</v>
      </c>
      <c r="B110" s="13" t="str">
        <f>Members!B110</f>
        <v>Active</v>
      </c>
      <c r="C110" s="13">
        <f>Members!C110</f>
        <v>41</v>
      </c>
      <c r="D110" s="14">
        <f>Members!D110</f>
        <v>19.8</v>
      </c>
      <c r="E110" s="16">
        <f>Members!E110</f>
        <v>771000</v>
      </c>
      <c r="F110" s="16">
        <f>Members!F110</f>
        <v>0</v>
      </c>
      <c r="G110" s="15">
        <f>MAX(0,Assumptions!$B$10-C110)</f>
        <v>19</v>
      </c>
      <c r="H110" s="17">
        <f>IF(B110="Active",E110*(1+Assumptions!$B$7)^G110,E110)</f>
        <v>2132313.7680149316</v>
      </c>
      <c r="I110" s="17">
        <f>IF(B110="Active",MIN(Assumptions!$B$12,D110+G110),IF(B110="Deferred",MIN(Assumptions!$B$12,D110),D110))</f>
        <v>38.799999999999997</v>
      </c>
      <c r="J110" s="17">
        <f>IF(B110="Active",H110*I110*Assumptions!$B$11,IF(B110="Deferred",E110*I110*Assumptions!$B$11*(1+Assumptions!$B$9)^G110,F110))</f>
        <v>1378896.2366496555</v>
      </c>
      <c r="K110" s="11">
        <f>IF(B110="Pensioner",1,VLOOKUP(Assumptions!$B$10,Mortality!$A$2:$F$104,6,FALSE)/VLOOKUP(C110,Mortality!$A$2:$F$104,6,FALSE))</f>
        <v>0.97454789540795339</v>
      </c>
      <c r="L110" s="11">
        <f>VLOOKUP(IF(B110="Pensioner",C110,Assumptions!$B$10),Mortality!$A$2:$E$104,5,FALSE)</f>
        <v>17.296790022132885</v>
      </c>
      <c r="M110" s="11">
        <f>1+Assumptions!$B$13*Assumptions!$B$14*Assumptions!$B$15</f>
        <v>1.3187500000000001</v>
      </c>
      <c r="N110" s="11">
        <f>IF(B110="Pensioner",1,1/(1+Assumptions!$B$6)^G110)</f>
        <v>0.30224383580131214</v>
      </c>
      <c r="O110" s="17">
        <f t="shared" si="1"/>
        <v>9264462.1726414431</v>
      </c>
    </row>
    <row r="111" spans="1:15">
      <c r="A111" s="13" t="str">
        <f>Members!A111</f>
        <v>P0051</v>
      </c>
      <c r="B111" s="13" t="str">
        <f>Members!B111</f>
        <v>Pensioner</v>
      </c>
      <c r="C111" s="13">
        <f>Members!C111</f>
        <v>83</v>
      </c>
      <c r="D111" s="14">
        <f>Members!D111</f>
        <v>28.6</v>
      </c>
      <c r="E111" s="16">
        <f>Members!E111</f>
        <v>0</v>
      </c>
      <c r="F111" s="16">
        <f>Members!F111</f>
        <v>299000</v>
      </c>
      <c r="G111" s="15">
        <f>MAX(0,Assumptions!$B$10-C111)</f>
        <v>0</v>
      </c>
      <c r="H111" s="17">
        <f>IF(B111="Active",E111*(1+Assumptions!$B$7)^G111,E111)</f>
        <v>0</v>
      </c>
      <c r="I111" s="17">
        <f>IF(B111="Active",MIN(Assumptions!$B$12,D111+G111),IF(B111="Deferred",MIN(Assumptions!$B$12,D111),D111))</f>
        <v>28.6</v>
      </c>
      <c r="J111" s="17">
        <f>IF(B111="Active",H111*I111*Assumptions!$B$11,IF(B111="Deferred",E111*I111*Assumptions!$B$11*(1+Assumptions!$B$9)^G111,F111))</f>
        <v>299000</v>
      </c>
      <c r="K111" s="11">
        <f>IF(B111="Pensioner",1,VLOOKUP(Assumptions!$B$10,Mortality!$A$2:$F$104,6,FALSE)/VLOOKUP(C111,Mortality!$A$2:$F$104,6,FALSE))</f>
        <v>1</v>
      </c>
      <c r="L111" s="11">
        <f>VLOOKUP(IF(B111="Pensioner",C111,Assumptions!$B$10),Mortality!$A$2:$E$104,5,FALSE)</f>
        <v>7.0669562738307876</v>
      </c>
      <c r="M111" s="11">
        <f>1+Assumptions!$B$13*Assumptions!$B$14*Assumptions!$B$15</f>
        <v>1.3187500000000001</v>
      </c>
      <c r="N111" s="11">
        <f>IF(B111="Pensioner",1,1/(1+Assumptions!$B$6)^G111)</f>
        <v>1</v>
      </c>
      <c r="O111" s="17">
        <f t="shared" si="1"/>
        <v>2786545.0272481907</v>
      </c>
    </row>
    <row r="112" spans="1:15">
      <c r="A112" s="13" t="str">
        <f>Members!A112</f>
        <v>A0009</v>
      </c>
      <c r="B112" s="13" t="str">
        <f>Members!B112</f>
        <v>Active</v>
      </c>
      <c r="C112" s="13">
        <f>Members!C112</f>
        <v>42</v>
      </c>
      <c r="D112" s="14">
        <f>Members!D112</f>
        <v>11.7</v>
      </c>
      <c r="E112" s="16">
        <f>Members!E112</f>
        <v>829000</v>
      </c>
      <c r="F112" s="16">
        <f>Members!F112</f>
        <v>0</v>
      </c>
      <c r="G112" s="15">
        <f>MAX(0,Assumptions!$B$10-C112)</f>
        <v>18</v>
      </c>
      <c r="H112" s="17">
        <f>IF(B112="Active",E112*(1+Assumptions!$B$7)^G112,E112)</f>
        <v>2173195.5344316526</v>
      </c>
      <c r="I112" s="17">
        <f>IF(B112="Active",MIN(Assumptions!$B$12,D112+G112),IF(B112="Deferred",MIN(Assumptions!$B$12,D112),D112))</f>
        <v>29.7</v>
      </c>
      <c r="J112" s="17">
        <f>IF(B112="Active",H112*I112*Assumptions!$B$11,IF(B112="Deferred",E112*I112*Assumptions!$B$11*(1+Assumptions!$B$9)^G112,F112))</f>
        <v>1075731.789543668</v>
      </c>
      <c r="K112" s="11">
        <f>IF(B112="Pensioner",1,VLOOKUP(Assumptions!$B$10,Mortality!$A$2:$F$104,6,FALSE)/VLOOKUP(C112,Mortality!$A$2:$F$104,6,FALSE))</f>
        <v>0.97507997078383857</v>
      </c>
      <c r="L112" s="11">
        <f>VLOOKUP(IF(B112="Pensioner",C112,Assumptions!$B$10),Mortality!$A$2:$E$104,5,FALSE)</f>
        <v>17.296790022132885</v>
      </c>
      <c r="M112" s="11">
        <f>1+Assumptions!$B$13*Assumptions!$B$14*Assumptions!$B$15</f>
        <v>1.3187500000000001</v>
      </c>
      <c r="N112" s="11">
        <f>IF(B112="Pensioner",1,1/(1+Assumptions!$B$6)^G112)</f>
        <v>0.32188968512839738</v>
      </c>
      <c r="O112" s="17">
        <f t="shared" si="1"/>
        <v>7701570.3081002431</v>
      </c>
    </row>
    <row r="113" spans="1:15">
      <c r="A113" s="13" t="str">
        <f>Members!A113</f>
        <v>A0218</v>
      </c>
      <c r="B113" s="13" t="str">
        <f>Members!B113</f>
        <v>Active</v>
      </c>
      <c r="C113" s="13">
        <f>Members!C113</f>
        <v>25</v>
      </c>
      <c r="D113" s="14">
        <f>Members!D113</f>
        <v>1</v>
      </c>
      <c r="E113" s="16">
        <f>Members!E113</f>
        <v>583000</v>
      </c>
      <c r="F113" s="16">
        <f>Members!F113</f>
        <v>0</v>
      </c>
      <c r="G113" s="15">
        <f>MAX(0,Assumptions!$B$10-C113)</f>
        <v>35</v>
      </c>
      <c r="H113" s="17">
        <f>IF(B113="Active",E113*(1+Assumptions!$B$7)^G113,E113)</f>
        <v>3797559.9795618695</v>
      </c>
      <c r="I113" s="17">
        <f>IF(B113="Active",MIN(Assumptions!$B$12,D113+G113),IF(B113="Deferred",MIN(Assumptions!$B$12,D113),D113))</f>
        <v>36</v>
      </c>
      <c r="J113" s="17">
        <f>IF(B113="Active",H113*I113*Assumptions!$B$11,IF(B113="Deferred",E113*I113*Assumptions!$B$11*(1+Assumptions!$B$9)^G113,F113))</f>
        <v>2278535.9877371215</v>
      </c>
      <c r="K113" s="11">
        <f>IF(B113="Pensioner",1,VLOOKUP(Assumptions!$B$10,Mortality!$A$2:$F$104,6,FALSE)/VLOOKUP(C113,Mortality!$A$2:$F$104,6,FALSE))</f>
        <v>0.96896729760411437</v>
      </c>
      <c r="L113" s="11">
        <f>VLOOKUP(IF(B113="Pensioner",C113,Assumptions!$B$10),Mortality!$A$2:$E$104,5,FALSE)</f>
        <v>17.296790022132885</v>
      </c>
      <c r="M113" s="11">
        <f>1+Assumptions!$B$13*Assumptions!$B$14*Assumptions!$B$15</f>
        <v>1.3187500000000001</v>
      </c>
      <c r="N113" s="11">
        <f>IF(B113="Pensioner",1,1/(1+Assumptions!$B$6)^G113)</f>
        <v>0.11034781240254267</v>
      </c>
      <c r="O113" s="17">
        <f t="shared" si="1"/>
        <v>5557208.9446265902</v>
      </c>
    </row>
    <row r="114" spans="1:15">
      <c r="A114" s="13" t="str">
        <f>Members!A114</f>
        <v>A0224</v>
      </c>
      <c r="B114" s="13" t="str">
        <f>Members!B114</f>
        <v>Active</v>
      </c>
      <c r="C114" s="13">
        <f>Members!C114</f>
        <v>58</v>
      </c>
      <c r="D114" s="14">
        <f>Members!D114</f>
        <v>23.3</v>
      </c>
      <c r="E114" s="16">
        <f>Members!E114</f>
        <v>2456000</v>
      </c>
      <c r="F114" s="16">
        <f>Members!F114</f>
        <v>0</v>
      </c>
      <c r="G114" s="15">
        <f>MAX(0,Assumptions!$B$10-C114)</f>
        <v>2</v>
      </c>
      <c r="H114" s="17">
        <f>IF(B114="Active",E114*(1+Assumptions!$B$7)^G114,E114)</f>
        <v>2733589.4</v>
      </c>
      <c r="I114" s="17">
        <f>IF(B114="Active",MIN(Assumptions!$B$12,D114+G114),IF(B114="Deferred",MIN(Assumptions!$B$12,D114),D114))</f>
        <v>25.3</v>
      </c>
      <c r="J114" s="17">
        <f>IF(B114="Active",H114*I114*Assumptions!$B$11,IF(B114="Deferred",E114*I114*Assumptions!$B$11*(1+Assumptions!$B$9)^G114,F114))</f>
        <v>1152663.5303333332</v>
      </c>
      <c r="K114" s="11">
        <f>IF(B114="Pensioner",1,VLOOKUP(Assumptions!$B$10,Mortality!$A$2:$F$104,6,FALSE)/VLOOKUP(C114,Mortality!$A$2:$F$104,6,FALSE))</f>
        <v>0.99452130442038367</v>
      </c>
      <c r="L114" s="11">
        <f>VLOOKUP(IF(B114="Pensioner",C114,Assumptions!$B$10),Mortality!$A$2:$E$104,5,FALSE)</f>
        <v>17.296790022132885</v>
      </c>
      <c r="M114" s="11">
        <f>1+Assumptions!$B$13*Assumptions!$B$14*Assumptions!$B$15</f>
        <v>1.3187500000000001</v>
      </c>
      <c r="N114" s="11">
        <f>IF(B114="Pensioner",1,1/(1+Assumptions!$B$6)^G114)</f>
        <v>0.88165928277017358</v>
      </c>
      <c r="O114" s="17">
        <f t="shared" si="1"/>
        <v>23053953.549744163</v>
      </c>
    </row>
    <row r="115" spans="1:15">
      <c r="A115" s="13" t="str">
        <f>Members!A115</f>
        <v>P0023</v>
      </c>
      <c r="B115" s="13" t="str">
        <f>Members!B115</f>
        <v>Pensioner</v>
      </c>
      <c r="C115" s="13">
        <f>Members!C115</f>
        <v>86</v>
      </c>
      <c r="D115" s="14">
        <f>Members!D115</f>
        <v>17.600000000000001</v>
      </c>
      <c r="E115" s="16">
        <f>Members!E115</f>
        <v>0</v>
      </c>
      <c r="F115" s="16">
        <f>Members!F115</f>
        <v>353000</v>
      </c>
      <c r="G115" s="15">
        <f>MAX(0,Assumptions!$B$10-C115)</f>
        <v>0</v>
      </c>
      <c r="H115" s="17">
        <f>IF(B115="Active",E115*(1+Assumptions!$B$7)^G115,E115)</f>
        <v>0</v>
      </c>
      <c r="I115" s="17">
        <f>IF(B115="Active",MIN(Assumptions!$B$12,D115+G115),IF(B115="Deferred",MIN(Assumptions!$B$12,D115),D115))</f>
        <v>17.600000000000001</v>
      </c>
      <c r="J115" s="17">
        <f>IF(B115="Active",H115*I115*Assumptions!$B$11,IF(B115="Deferred",E115*I115*Assumptions!$B$11*(1+Assumptions!$B$9)^G115,F115))</f>
        <v>353000</v>
      </c>
      <c r="K115" s="11">
        <f>IF(B115="Pensioner",1,VLOOKUP(Assumptions!$B$10,Mortality!$A$2:$F$104,6,FALSE)/VLOOKUP(C115,Mortality!$A$2:$F$104,6,FALSE))</f>
        <v>1</v>
      </c>
      <c r="L115" s="11">
        <f>VLOOKUP(IF(B115="Pensioner",C115,Assumptions!$B$10),Mortality!$A$2:$E$104,5,FALSE)</f>
        <v>5.822832972912483</v>
      </c>
      <c r="M115" s="11">
        <f>1+Assumptions!$B$13*Assumptions!$B$14*Assumptions!$B$15</f>
        <v>1.3187500000000001</v>
      </c>
      <c r="N115" s="11">
        <f>IF(B115="Pensioner",1,1/(1+Assumptions!$B$6)^G115)</f>
        <v>1</v>
      </c>
      <c r="O115" s="17">
        <f t="shared" si="1"/>
        <v>2710637.9270090032</v>
      </c>
    </row>
    <row r="116" spans="1:15">
      <c r="A116" s="13" t="str">
        <f>Members!A116</f>
        <v>P0154</v>
      </c>
      <c r="B116" s="13" t="str">
        <f>Members!B116</f>
        <v>Pensioner</v>
      </c>
      <c r="C116" s="13">
        <f>Members!C116</f>
        <v>78</v>
      </c>
      <c r="D116" s="14">
        <f>Members!D116</f>
        <v>32.6</v>
      </c>
      <c r="E116" s="16">
        <f>Members!E116</f>
        <v>0</v>
      </c>
      <c r="F116" s="16">
        <f>Members!F116</f>
        <v>523000</v>
      </c>
      <c r="G116" s="15">
        <f>MAX(0,Assumptions!$B$10-C116)</f>
        <v>0</v>
      </c>
      <c r="H116" s="17">
        <f>IF(B116="Active",E116*(1+Assumptions!$B$7)^G116,E116)</f>
        <v>0</v>
      </c>
      <c r="I116" s="17">
        <f>IF(B116="Active",MIN(Assumptions!$B$12,D116+G116),IF(B116="Deferred",MIN(Assumptions!$B$12,D116),D116))</f>
        <v>32.6</v>
      </c>
      <c r="J116" s="17">
        <f>IF(B116="Active",H116*I116*Assumptions!$B$11,IF(B116="Deferred",E116*I116*Assumptions!$B$11*(1+Assumptions!$B$9)^G116,F116))</f>
        <v>523000</v>
      </c>
      <c r="K116" s="11">
        <f>IF(B116="Pensioner",1,VLOOKUP(Assumptions!$B$10,Mortality!$A$2:$F$104,6,FALSE)/VLOOKUP(C116,Mortality!$A$2:$F$104,6,FALSE))</f>
        <v>1</v>
      </c>
      <c r="L116" s="11">
        <f>VLOOKUP(IF(B116="Pensioner",C116,Assumptions!$B$10),Mortality!$A$2:$E$104,5,FALSE)</f>
        <v>9.2847179241203879</v>
      </c>
      <c r="M116" s="11">
        <f>1+Assumptions!$B$13*Assumptions!$B$14*Assumptions!$B$15</f>
        <v>1.3187500000000001</v>
      </c>
      <c r="N116" s="11">
        <f>IF(B116="Pensioner",1,1/(1+Assumptions!$B$6)^G116)</f>
        <v>1</v>
      </c>
      <c r="O116" s="17">
        <f t="shared" si="1"/>
        <v>6403727.9817528576</v>
      </c>
    </row>
    <row r="117" spans="1:15">
      <c r="A117" s="13" t="str">
        <f>Members!A117</f>
        <v>P0240</v>
      </c>
      <c r="B117" s="13" t="str">
        <f>Members!B117</f>
        <v>Pensioner</v>
      </c>
      <c r="C117" s="13">
        <f>Members!C117</f>
        <v>75</v>
      </c>
      <c r="D117" s="14">
        <f>Members!D117</f>
        <v>25</v>
      </c>
      <c r="E117" s="16">
        <f>Members!E117</f>
        <v>0</v>
      </c>
      <c r="F117" s="16">
        <f>Members!F117</f>
        <v>449000</v>
      </c>
      <c r="G117" s="15">
        <f>MAX(0,Assumptions!$B$10-C117)</f>
        <v>0</v>
      </c>
      <c r="H117" s="17">
        <f>IF(B117="Active",E117*(1+Assumptions!$B$7)^G117,E117)</f>
        <v>0</v>
      </c>
      <c r="I117" s="17">
        <f>IF(B117="Active",MIN(Assumptions!$B$12,D117+G117),IF(B117="Deferred",MIN(Assumptions!$B$12,D117),D117))</f>
        <v>25</v>
      </c>
      <c r="J117" s="17">
        <f>IF(B117="Active",H117*I117*Assumptions!$B$11,IF(B117="Deferred",E117*I117*Assumptions!$B$11*(1+Assumptions!$B$9)^G117,F117))</f>
        <v>449000</v>
      </c>
      <c r="K117" s="11">
        <f>IF(B117="Pensioner",1,VLOOKUP(Assumptions!$B$10,Mortality!$A$2:$F$104,6,FALSE)/VLOOKUP(C117,Mortality!$A$2:$F$104,6,FALSE))</f>
        <v>1</v>
      </c>
      <c r="L117" s="11">
        <f>VLOOKUP(IF(B117="Pensioner",C117,Assumptions!$B$10),Mortality!$A$2:$E$104,5,FALSE)</f>
        <v>10.662474804432929</v>
      </c>
      <c r="M117" s="11">
        <f>1+Assumptions!$B$13*Assumptions!$B$14*Assumptions!$B$15</f>
        <v>1.3187500000000001</v>
      </c>
      <c r="N117" s="11">
        <f>IF(B117="Pensioner",1,1/(1+Assumptions!$B$6)^G117)</f>
        <v>1</v>
      </c>
      <c r="O117" s="17">
        <f t="shared" si="1"/>
        <v>6313451.2531073205</v>
      </c>
    </row>
    <row r="118" spans="1:15">
      <c r="A118" s="13" t="str">
        <f>Members!A118</f>
        <v>A0200</v>
      </c>
      <c r="B118" s="13" t="str">
        <f>Members!B118</f>
        <v>Active</v>
      </c>
      <c r="C118" s="13">
        <f>Members!C118</f>
        <v>26</v>
      </c>
      <c r="D118" s="14">
        <f>Members!D118</f>
        <v>1.8</v>
      </c>
      <c r="E118" s="16">
        <f>Members!E118</f>
        <v>375000</v>
      </c>
      <c r="F118" s="16">
        <f>Members!F118</f>
        <v>0</v>
      </c>
      <c r="G118" s="15">
        <f>MAX(0,Assumptions!$B$10-C118)</f>
        <v>34</v>
      </c>
      <c r="H118" s="17">
        <f>IF(B118="Active",E118*(1+Assumptions!$B$7)^G118,E118)</f>
        <v>2315340.6425917605</v>
      </c>
      <c r="I118" s="17">
        <f>IF(B118="Active",MIN(Assumptions!$B$12,D118+G118),IF(B118="Deferred",MIN(Assumptions!$B$12,D118),D118))</f>
        <v>35.799999999999997</v>
      </c>
      <c r="J118" s="17">
        <f>IF(B118="Active",H118*I118*Assumptions!$B$11,IF(B118="Deferred",E118*I118*Assumptions!$B$11*(1+Assumptions!$B$9)^G118,F118))</f>
        <v>1381486.5834130836</v>
      </c>
      <c r="K118" s="11">
        <f>IF(B118="Pensioner",1,VLOOKUP(Assumptions!$B$10,Mortality!$A$2:$F$104,6,FALSE)/VLOOKUP(C118,Mortality!$A$2:$F$104,6,FALSE))</f>
        <v>0.96922916291892547</v>
      </c>
      <c r="L118" s="11">
        <f>VLOOKUP(IF(B118="Pensioner",C118,Assumptions!$B$10),Mortality!$A$2:$E$104,5,FALSE)</f>
        <v>17.296790022132885</v>
      </c>
      <c r="M118" s="11">
        <f>1+Assumptions!$B$13*Assumptions!$B$14*Assumptions!$B$15</f>
        <v>1.3187500000000001</v>
      </c>
      <c r="N118" s="11">
        <f>IF(B118="Pensioner",1,1/(1+Assumptions!$B$6)^G118)</f>
        <v>0.11752042020870793</v>
      </c>
      <c r="O118" s="17">
        <f t="shared" si="1"/>
        <v>3589338.9035137747</v>
      </c>
    </row>
    <row r="119" spans="1:15">
      <c r="A119" s="13" t="str">
        <f>Members!A119</f>
        <v>A0615</v>
      </c>
      <c r="B119" s="13" t="str">
        <f>Members!B119</f>
        <v>Active</v>
      </c>
      <c r="C119" s="13">
        <f>Members!C119</f>
        <v>40</v>
      </c>
      <c r="D119" s="14">
        <f>Members!D119</f>
        <v>15.6</v>
      </c>
      <c r="E119" s="16">
        <f>Members!E119</f>
        <v>640000</v>
      </c>
      <c r="F119" s="16">
        <f>Members!F119</f>
        <v>0</v>
      </c>
      <c r="G119" s="15">
        <f>MAX(0,Assumptions!$B$10-C119)</f>
        <v>20</v>
      </c>
      <c r="H119" s="17">
        <f>IF(B119="Active",E119*(1+Assumptions!$B$7)^G119,E119)</f>
        <v>1867364.7939866171</v>
      </c>
      <c r="I119" s="17">
        <f>IF(B119="Active",MIN(Assumptions!$B$12,D119+G119),IF(B119="Deferred",MIN(Assumptions!$B$12,D119),D119))</f>
        <v>35.6</v>
      </c>
      <c r="J119" s="17">
        <f>IF(B119="Active",H119*I119*Assumptions!$B$11,IF(B119="Deferred",E119*I119*Assumptions!$B$11*(1+Assumptions!$B$9)^G119,F119))</f>
        <v>1107969.7777653928</v>
      </c>
      <c r="K119" s="11">
        <f>IF(B119="Pensioner",1,VLOOKUP(Assumptions!$B$10,Mortality!$A$2:$F$104,6,FALSE)/VLOOKUP(C119,Mortality!$A$2:$F$104,6,FALSE))</f>
        <v>0.97405112431987673</v>
      </c>
      <c r="L119" s="11">
        <f>VLOOKUP(IF(B119="Pensioner",C119,Assumptions!$B$10),Mortality!$A$2:$E$104,5,FALSE)</f>
        <v>17.296790022132885</v>
      </c>
      <c r="M119" s="11">
        <f>1+Assumptions!$B$13*Assumptions!$B$14*Assumptions!$B$15</f>
        <v>1.3187500000000001</v>
      </c>
      <c r="N119" s="11">
        <f>IF(B119="Pensioner",1,1/(1+Assumptions!$B$6)^G119)</f>
        <v>0.28379702892141989</v>
      </c>
      <c r="O119" s="17">
        <f t="shared" si="1"/>
        <v>6986272.1026607919</v>
      </c>
    </row>
    <row r="120" spans="1:15">
      <c r="A120" s="13" t="str">
        <f>Members!A120</f>
        <v>A0058</v>
      </c>
      <c r="B120" s="13" t="str">
        <f>Members!B120</f>
        <v>Active</v>
      </c>
      <c r="C120" s="13">
        <f>Members!C120</f>
        <v>59</v>
      </c>
      <c r="D120" s="14">
        <f>Members!D120</f>
        <v>17.399999999999999</v>
      </c>
      <c r="E120" s="16">
        <f>Members!E120</f>
        <v>2332000</v>
      </c>
      <c r="F120" s="16">
        <f>Members!F120</f>
        <v>0</v>
      </c>
      <c r="G120" s="15">
        <f>MAX(0,Assumptions!$B$10-C120)</f>
        <v>1</v>
      </c>
      <c r="H120" s="17">
        <f>IF(B120="Active",E120*(1+Assumptions!$B$7)^G120,E120)</f>
        <v>2460260</v>
      </c>
      <c r="I120" s="17">
        <f>IF(B120="Active",MIN(Assumptions!$B$12,D120+G120),IF(B120="Deferred",MIN(Assumptions!$B$12,D120),D120))</f>
        <v>18.399999999999999</v>
      </c>
      <c r="J120" s="17">
        <f>IF(B120="Active",H120*I120*Assumptions!$B$11,IF(B120="Deferred",E120*I120*Assumptions!$B$11*(1+Assumptions!$B$9)^G120,F120))</f>
        <v>754479.73333333328</v>
      </c>
      <c r="K120" s="11">
        <f>IF(B120="Pensioner",1,VLOOKUP(Assumptions!$B$10,Mortality!$A$2:$F$104,6,FALSE)/VLOOKUP(C120,Mortality!$A$2:$F$104,6,FALSE))</f>
        <v>0.99710960118319747</v>
      </c>
      <c r="L120" s="11">
        <f>VLOOKUP(IF(B120="Pensioner",C120,Assumptions!$B$10),Mortality!$A$2:$E$104,5,FALSE)</f>
        <v>17.296790022132885</v>
      </c>
      <c r="M120" s="11">
        <f>1+Assumptions!$B$13*Assumptions!$B$14*Assumptions!$B$15</f>
        <v>1.3187500000000001</v>
      </c>
      <c r="N120" s="11">
        <f>IF(B120="Pensioner",1,1/(1+Assumptions!$B$6)^G120)</f>
        <v>0.93896713615023475</v>
      </c>
      <c r="O120" s="17">
        <f t="shared" si="1"/>
        <v>16112719.791668983</v>
      </c>
    </row>
    <row r="121" spans="1:15">
      <c r="A121" s="13" t="str">
        <f>Members!A121</f>
        <v>A0115</v>
      </c>
      <c r="B121" s="13" t="str">
        <f>Members!B121</f>
        <v>Active</v>
      </c>
      <c r="C121" s="13">
        <f>Members!C121</f>
        <v>48</v>
      </c>
      <c r="D121" s="14">
        <f>Members!D121</f>
        <v>25.1</v>
      </c>
      <c r="E121" s="16">
        <f>Members!E121</f>
        <v>1345000</v>
      </c>
      <c r="F121" s="16">
        <f>Members!F121</f>
        <v>0</v>
      </c>
      <c r="G121" s="15">
        <f>MAX(0,Assumptions!$B$10-C121)</f>
        <v>12</v>
      </c>
      <c r="H121" s="17">
        <f>IF(B121="Active",E121*(1+Assumptions!$B$7)^G121,E121)</f>
        <v>2557124.0683458652</v>
      </c>
      <c r="I121" s="17">
        <f>IF(B121="Active",MIN(Assumptions!$B$12,D121+G121),IF(B121="Deferred",MIN(Assumptions!$B$12,D121),D121))</f>
        <v>37.1</v>
      </c>
      <c r="J121" s="17">
        <f>IF(B121="Active",H121*I121*Assumptions!$B$11,IF(B121="Deferred",E121*I121*Assumptions!$B$11*(1+Assumptions!$B$9)^G121,F121))</f>
        <v>1581155.0489271933</v>
      </c>
      <c r="K121" s="11">
        <f>IF(B121="Pensioner",1,VLOOKUP(Assumptions!$B$10,Mortality!$A$2:$F$104,6,FALSE)/VLOOKUP(C121,Mortality!$A$2:$F$104,6,FALSE))</f>
        <v>0.97930374297365907</v>
      </c>
      <c r="L121" s="11">
        <f>VLOOKUP(IF(B121="Pensioner",C121,Assumptions!$B$10),Mortality!$A$2:$E$104,5,FALSE)</f>
        <v>17.296790022132885</v>
      </c>
      <c r="M121" s="11">
        <f>1+Assumptions!$B$13*Assumptions!$B$14*Assumptions!$B$15</f>
        <v>1.3187500000000001</v>
      </c>
      <c r="N121" s="11">
        <f>IF(B121="Pensioner",1,1/(1+Assumptions!$B$6)^G121)</f>
        <v>0.4696828543900276</v>
      </c>
      <c r="O121" s="17">
        <f t="shared" si="1"/>
        <v>16589166.505278056</v>
      </c>
    </row>
    <row r="122" spans="1:15">
      <c r="A122" s="13" t="str">
        <f>Members!A122</f>
        <v>P0078</v>
      </c>
      <c r="B122" s="13" t="str">
        <f>Members!B122</f>
        <v>Pensioner</v>
      </c>
      <c r="C122" s="13">
        <f>Members!C122</f>
        <v>88</v>
      </c>
      <c r="D122" s="14">
        <f>Members!D122</f>
        <v>14.7</v>
      </c>
      <c r="E122" s="16">
        <f>Members!E122</f>
        <v>0</v>
      </c>
      <c r="F122" s="16">
        <f>Members!F122</f>
        <v>771000</v>
      </c>
      <c r="G122" s="15">
        <f>MAX(0,Assumptions!$B$10-C122)</f>
        <v>0</v>
      </c>
      <c r="H122" s="17">
        <f>IF(B122="Active",E122*(1+Assumptions!$B$7)^G122,E122)</f>
        <v>0</v>
      </c>
      <c r="I122" s="17">
        <f>IF(B122="Active",MIN(Assumptions!$B$12,D122+G122),IF(B122="Deferred",MIN(Assumptions!$B$12,D122),D122))</f>
        <v>14.7</v>
      </c>
      <c r="J122" s="17">
        <f>IF(B122="Active",H122*I122*Assumptions!$B$11,IF(B122="Deferred",E122*I122*Assumptions!$B$11*(1+Assumptions!$B$9)^G122,F122))</f>
        <v>771000</v>
      </c>
      <c r="K122" s="11">
        <f>IF(B122="Pensioner",1,VLOOKUP(Assumptions!$B$10,Mortality!$A$2:$F$104,6,FALSE)/VLOOKUP(C122,Mortality!$A$2:$F$104,6,FALSE))</f>
        <v>1</v>
      </c>
      <c r="L122" s="11">
        <f>VLOOKUP(IF(B122="Pensioner",C122,Assumptions!$B$10),Mortality!$A$2:$E$104,5,FALSE)</f>
        <v>5.0437428962217341</v>
      </c>
      <c r="M122" s="11">
        <f>1+Assumptions!$B$13*Assumptions!$B$14*Assumptions!$B$15</f>
        <v>1.3187500000000001</v>
      </c>
      <c r="N122" s="11">
        <f>IF(B122="Pensioner",1,1/(1+Assumptions!$B$6)^G122)</f>
        <v>1</v>
      </c>
      <c r="O122" s="17">
        <f t="shared" si="1"/>
        <v>5128257.1131265499</v>
      </c>
    </row>
    <row r="123" spans="1:15">
      <c r="A123" s="13" t="str">
        <f>Members!A123</f>
        <v>D0003</v>
      </c>
      <c r="B123" s="13" t="str">
        <f>Members!B123</f>
        <v>Deferred</v>
      </c>
      <c r="C123" s="13">
        <f>Members!C123</f>
        <v>59</v>
      </c>
      <c r="D123" s="14">
        <f>Members!D123</f>
        <v>26</v>
      </c>
      <c r="E123" s="16">
        <f>Members!E123</f>
        <v>1411000</v>
      </c>
      <c r="F123" s="16">
        <f>Members!F123</f>
        <v>0</v>
      </c>
      <c r="G123" s="15">
        <f>MAX(0,Assumptions!$B$10-C123)</f>
        <v>1</v>
      </c>
      <c r="H123" s="17">
        <f>IF(B123="Active",E123*(1+Assumptions!$B$7)^G123,E123)</f>
        <v>1411000</v>
      </c>
      <c r="I123" s="17">
        <f>IF(B123="Active",MIN(Assumptions!$B$12,D123+G123),IF(B123="Deferred",MIN(Assumptions!$B$12,D123),D123))</f>
        <v>26</v>
      </c>
      <c r="J123" s="17">
        <f>IF(B123="Active",H123*I123*Assumptions!$B$11,IF(B123="Deferred",E123*I123*Assumptions!$B$11*(1+Assumptions!$B$9)^G123,F123))</f>
        <v>635890.66666666674</v>
      </c>
      <c r="K123" s="11">
        <f>IF(B123="Pensioner",1,VLOOKUP(Assumptions!$B$10,Mortality!$A$2:$F$104,6,FALSE)/VLOOKUP(C123,Mortality!$A$2:$F$104,6,FALSE))</f>
        <v>0.99710960118319747</v>
      </c>
      <c r="L123" s="11">
        <f>VLOOKUP(IF(B123="Pensioner",C123,Assumptions!$B$10),Mortality!$A$2:$E$104,5,FALSE)</f>
        <v>17.296790022132885</v>
      </c>
      <c r="M123" s="11">
        <f>1+Assumptions!$B$13*Assumptions!$B$14*Assumptions!$B$15</f>
        <v>1.3187500000000001</v>
      </c>
      <c r="N123" s="11">
        <f>IF(B123="Pensioner",1,1/(1+Assumptions!$B$6)^G123)</f>
        <v>0.93896713615023475</v>
      </c>
      <c r="O123" s="17">
        <f t="shared" si="1"/>
        <v>13580123.72959378</v>
      </c>
    </row>
    <row r="124" spans="1:15">
      <c r="A124" s="13" t="str">
        <f>Members!A124</f>
        <v>A0139</v>
      </c>
      <c r="B124" s="13" t="str">
        <f>Members!B124</f>
        <v>Active</v>
      </c>
      <c r="C124" s="13">
        <f>Members!C124</f>
        <v>23</v>
      </c>
      <c r="D124" s="14">
        <f>Members!D124</f>
        <v>1.5</v>
      </c>
      <c r="E124" s="16">
        <f>Members!E124</f>
        <v>365000</v>
      </c>
      <c r="F124" s="16">
        <f>Members!F124</f>
        <v>0</v>
      </c>
      <c r="G124" s="15">
        <f>MAX(0,Assumptions!$B$10-C124)</f>
        <v>37</v>
      </c>
      <c r="H124" s="17">
        <f>IF(B124="Active",E124*(1+Assumptions!$B$7)^G124,E124)</f>
        <v>2646268.2789569898</v>
      </c>
      <c r="I124" s="17">
        <f>IF(B124="Active",MIN(Assumptions!$B$12,D124+G124),IF(B124="Deferred",MIN(Assumptions!$B$12,D124),D124))</f>
        <v>38.5</v>
      </c>
      <c r="J124" s="17">
        <f>IF(B124="Active",H124*I124*Assumptions!$B$11,IF(B124="Deferred",E124*I124*Assumptions!$B$11*(1+Assumptions!$B$9)^G124,F124))</f>
        <v>1698022.1456640682</v>
      </c>
      <c r="K124" s="11">
        <f>IF(B124="Pensioner",1,VLOOKUP(Assumptions!$B$10,Mortality!$A$2:$F$104,6,FALSE)/VLOOKUP(C124,Mortality!$A$2:$F$104,6,FALSE))</f>
        <v>0.96845927521970809</v>
      </c>
      <c r="L124" s="11">
        <f>VLOOKUP(IF(B124="Pensioner",C124,Assumptions!$B$10),Mortality!$A$2:$E$104,5,FALSE)</f>
        <v>17.296790022132885</v>
      </c>
      <c r="M124" s="11">
        <f>1+Assumptions!$B$13*Assumptions!$B$14*Assumptions!$B$15</f>
        <v>1.3187500000000001</v>
      </c>
      <c r="N124" s="11">
        <f>IF(B124="Pensioner",1,1/(1+Assumptions!$B$6)^G124)</f>
        <v>9.7289173138083412E-2</v>
      </c>
      <c r="O124" s="17">
        <f t="shared" si="1"/>
        <v>3649364.2318225992</v>
      </c>
    </row>
    <row r="125" spans="1:15">
      <c r="A125" s="13" t="str">
        <f>Members!A125</f>
        <v>A0594</v>
      </c>
      <c r="B125" s="13" t="str">
        <f>Members!B125</f>
        <v>Active</v>
      </c>
      <c r="C125" s="13">
        <f>Members!C125</f>
        <v>44</v>
      </c>
      <c r="D125" s="14">
        <f>Members!D125</f>
        <v>2.5</v>
      </c>
      <c r="E125" s="16">
        <f>Members!E125</f>
        <v>811000</v>
      </c>
      <c r="F125" s="16">
        <f>Members!F125</f>
        <v>0</v>
      </c>
      <c r="G125" s="15">
        <f>MAX(0,Assumptions!$B$10-C125)</f>
        <v>16</v>
      </c>
      <c r="H125" s="17">
        <f>IF(B125="Active",E125*(1+Assumptions!$B$7)^G125,E125)</f>
        <v>1910118.0491412508</v>
      </c>
      <c r="I125" s="17">
        <f>IF(B125="Active",MIN(Assumptions!$B$12,D125+G125),IF(B125="Deferred",MIN(Assumptions!$B$12,D125),D125))</f>
        <v>18.5</v>
      </c>
      <c r="J125" s="17">
        <f>IF(B125="Active",H125*I125*Assumptions!$B$11,IF(B125="Deferred",E125*I125*Assumptions!$B$11*(1+Assumptions!$B$9)^G125,F125))</f>
        <v>588953.06515188562</v>
      </c>
      <c r="K125" s="11">
        <f>IF(B125="Pensioner",1,VLOOKUP(Assumptions!$B$10,Mortality!$A$2:$F$104,6,FALSE)/VLOOKUP(C125,Mortality!$A$2:$F$104,6,FALSE))</f>
        <v>0.97626822121787327</v>
      </c>
      <c r="L125" s="11">
        <f>VLOOKUP(IF(B125="Pensioner",C125,Assumptions!$B$10),Mortality!$A$2:$E$104,5,FALSE)</f>
        <v>17.296790022132885</v>
      </c>
      <c r="M125" s="11">
        <f>1+Assumptions!$B$13*Assumptions!$B$14*Assumptions!$B$15</f>
        <v>1.3187500000000001</v>
      </c>
      <c r="N125" s="11">
        <f>IF(B125="Pensioner",1,1/(1+Assumptions!$B$6)^G125)</f>
        <v>0.36509532811475648</v>
      </c>
      <c r="O125" s="17">
        <f t="shared" si="1"/>
        <v>4788330.3007494137</v>
      </c>
    </row>
    <row r="126" spans="1:15">
      <c r="A126" s="13" t="str">
        <f>Members!A126</f>
        <v>A0079</v>
      </c>
      <c r="B126" s="13" t="str">
        <f>Members!B126</f>
        <v>Active</v>
      </c>
      <c r="C126" s="13">
        <f>Members!C126</f>
        <v>41</v>
      </c>
      <c r="D126" s="14">
        <f>Members!D126</f>
        <v>9.3000000000000007</v>
      </c>
      <c r="E126" s="16">
        <f>Members!E126</f>
        <v>981000</v>
      </c>
      <c r="F126" s="16">
        <f>Members!F126</f>
        <v>0</v>
      </c>
      <c r="G126" s="15">
        <f>MAX(0,Assumptions!$B$10-C126)</f>
        <v>19</v>
      </c>
      <c r="H126" s="17">
        <f>IF(B126="Active",E126*(1+Assumptions!$B$7)^G126,E126)</f>
        <v>2713099.619225224</v>
      </c>
      <c r="I126" s="17">
        <f>IF(B126="Active",MIN(Assumptions!$B$12,D126+G126),IF(B126="Deferred",MIN(Assumptions!$B$12,D126),D126))</f>
        <v>28.3</v>
      </c>
      <c r="J126" s="17">
        <f>IF(B126="Active",H126*I126*Assumptions!$B$11,IF(B126="Deferred",E126*I126*Assumptions!$B$11*(1+Assumptions!$B$9)^G126,F126))</f>
        <v>1279678.6537345641</v>
      </c>
      <c r="K126" s="11">
        <f>IF(B126="Pensioner",1,VLOOKUP(Assumptions!$B$10,Mortality!$A$2:$F$104,6,FALSE)/VLOOKUP(C126,Mortality!$A$2:$F$104,6,FALSE))</f>
        <v>0.97454789540795339</v>
      </c>
      <c r="L126" s="11">
        <f>VLOOKUP(IF(B126="Pensioner",C126,Assumptions!$B$10),Mortality!$A$2:$E$104,5,FALSE)</f>
        <v>17.296790022132885</v>
      </c>
      <c r="M126" s="11">
        <f>1+Assumptions!$B$13*Assumptions!$B$14*Assumptions!$B$15</f>
        <v>1.3187500000000001</v>
      </c>
      <c r="N126" s="11">
        <f>IF(B126="Pensioner",1,1/(1+Assumptions!$B$6)^G126)</f>
        <v>0.30224383580131214</v>
      </c>
      <c r="O126" s="17">
        <f t="shared" si="1"/>
        <v>8597843.8156204801</v>
      </c>
    </row>
    <row r="127" spans="1:15">
      <c r="A127" s="13" t="str">
        <f>Members!A127</f>
        <v>A0374</v>
      </c>
      <c r="B127" s="13" t="str">
        <f>Members!B127</f>
        <v>Active</v>
      </c>
      <c r="C127" s="13">
        <f>Members!C127</f>
        <v>40</v>
      </c>
      <c r="D127" s="14">
        <f>Members!D127</f>
        <v>6.8</v>
      </c>
      <c r="E127" s="16">
        <f>Members!E127</f>
        <v>1030000</v>
      </c>
      <c r="F127" s="16">
        <f>Members!F127</f>
        <v>0</v>
      </c>
      <c r="G127" s="15">
        <f>MAX(0,Assumptions!$B$10-C127)</f>
        <v>20</v>
      </c>
      <c r="H127" s="17">
        <f>IF(B127="Active",E127*(1+Assumptions!$B$7)^G127,E127)</f>
        <v>3005290.2153222119</v>
      </c>
      <c r="I127" s="17">
        <f>IF(B127="Active",MIN(Assumptions!$B$12,D127+G127),IF(B127="Deferred",MIN(Assumptions!$B$12,D127),D127))</f>
        <v>26.8</v>
      </c>
      <c r="J127" s="17">
        <f>IF(B127="Active",H127*I127*Assumptions!$B$11,IF(B127="Deferred",E127*I127*Assumptions!$B$11*(1+Assumptions!$B$9)^G127,F127))</f>
        <v>1342362.9628439213</v>
      </c>
      <c r="K127" s="11">
        <f>IF(B127="Pensioner",1,VLOOKUP(Assumptions!$B$10,Mortality!$A$2:$F$104,6,FALSE)/VLOOKUP(C127,Mortality!$A$2:$F$104,6,FALSE))</f>
        <v>0.97405112431987673</v>
      </c>
      <c r="L127" s="11">
        <f>VLOOKUP(IF(B127="Pensioner",C127,Assumptions!$B$10),Mortality!$A$2:$E$104,5,FALSE)</f>
        <v>17.296790022132885</v>
      </c>
      <c r="M127" s="11">
        <f>1+Assumptions!$B$13*Assumptions!$B$14*Assumptions!$B$15</f>
        <v>1.3187500000000001</v>
      </c>
      <c r="N127" s="11">
        <f>IF(B127="Pensioner",1,1/(1+Assumptions!$B$6)^G127)</f>
        <v>0.28379702892141989</v>
      </c>
      <c r="O127" s="17">
        <f t="shared" si="1"/>
        <v>8464231.7030305695</v>
      </c>
    </row>
    <row r="128" spans="1:15">
      <c r="A128" s="13" t="str">
        <f>Members!A128</f>
        <v>A0281</v>
      </c>
      <c r="B128" s="13" t="str">
        <f>Members!B128</f>
        <v>Active</v>
      </c>
      <c r="C128" s="13">
        <f>Members!C128</f>
        <v>24</v>
      </c>
      <c r="D128" s="14">
        <f>Members!D128</f>
        <v>1.4</v>
      </c>
      <c r="E128" s="16">
        <f>Members!E128</f>
        <v>511000</v>
      </c>
      <c r="F128" s="16">
        <f>Members!F128</f>
        <v>0</v>
      </c>
      <c r="G128" s="15">
        <f>MAX(0,Assumptions!$B$10-C128)</f>
        <v>36</v>
      </c>
      <c r="H128" s="17">
        <f>IF(B128="Active",E128*(1+Assumptions!$B$7)^G128,E128)</f>
        <v>3511635.6308433991</v>
      </c>
      <c r="I128" s="17">
        <f>IF(B128="Active",MIN(Assumptions!$B$12,D128+G128),IF(B128="Deferred",MIN(Assumptions!$B$12,D128),D128))</f>
        <v>37.4</v>
      </c>
      <c r="J128" s="17">
        <f>IF(B128="Active",H128*I128*Assumptions!$B$11,IF(B128="Deferred",E128*I128*Assumptions!$B$11*(1+Assumptions!$B$9)^G128,F128))</f>
        <v>2188919.5432257187</v>
      </c>
      <c r="K128" s="11">
        <f>IF(B128="Pensioner",1,VLOOKUP(Assumptions!$B$10,Mortality!$A$2:$F$104,6,FALSE)/VLOOKUP(C128,Mortality!$A$2:$F$104,6,FALSE))</f>
        <v>0.96871086700607645</v>
      </c>
      <c r="L128" s="11">
        <f>VLOOKUP(IF(B128="Pensioner",C128,Assumptions!$B$10),Mortality!$A$2:$E$104,5,FALSE)</f>
        <v>17.296790022132885</v>
      </c>
      <c r="M128" s="11">
        <f>1+Assumptions!$B$13*Assumptions!$B$14*Assumptions!$B$15</f>
        <v>1.3187500000000001</v>
      </c>
      <c r="N128" s="11">
        <f>IF(B128="Pensioner",1,1/(1+Assumptions!$B$6)^G128)</f>
        <v>0.10361296939205883</v>
      </c>
      <c r="O128" s="17">
        <f t="shared" si="1"/>
        <v>5011480.8647937151</v>
      </c>
    </row>
    <row r="129" spans="1:15">
      <c r="A129" s="13" t="str">
        <f>Members!A129</f>
        <v>A0457</v>
      </c>
      <c r="B129" s="13" t="str">
        <f>Members!B129</f>
        <v>Active</v>
      </c>
      <c r="C129" s="13">
        <f>Members!C129</f>
        <v>32</v>
      </c>
      <c r="D129" s="14">
        <f>Members!D129</f>
        <v>6.8</v>
      </c>
      <c r="E129" s="16">
        <f>Members!E129</f>
        <v>485000</v>
      </c>
      <c r="F129" s="16">
        <f>Members!F129</f>
        <v>0</v>
      </c>
      <c r="G129" s="15">
        <f>MAX(0,Assumptions!$B$10-C129)</f>
        <v>28</v>
      </c>
      <c r="H129" s="17">
        <f>IF(B129="Active",E129*(1+Assumptions!$B$7)^G129,E129)</f>
        <v>2171753.8913066685</v>
      </c>
      <c r="I129" s="17">
        <f>IF(B129="Active",MIN(Assumptions!$B$12,D129+G129),IF(B129="Deferred",MIN(Assumptions!$B$12,D129),D129))</f>
        <v>34.799999999999997</v>
      </c>
      <c r="J129" s="17">
        <f>IF(B129="Active",H129*I129*Assumptions!$B$11,IF(B129="Deferred",E129*I129*Assumptions!$B$11*(1+Assumptions!$B$9)^G129,F129))</f>
        <v>1259617.2569578676</v>
      </c>
      <c r="K129" s="11">
        <f>IF(B129="Pensioner",1,VLOOKUP(Assumptions!$B$10,Mortality!$A$2:$F$104,6,FALSE)/VLOOKUP(C129,Mortality!$A$2:$F$104,6,FALSE))</f>
        <v>0.97095846876649572</v>
      </c>
      <c r="L129" s="11">
        <f>VLOOKUP(IF(B129="Pensioner",C129,Assumptions!$B$10),Mortality!$A$2:$E$104,5,FALSE)</f>
        <v>17.296790022132885</v>
      </c>
      <c r="M129" s="11">
        <f>1+Assumptions!$B$13*Assumptions!$B$14*Assumptions!$B$15</f>
        <v>1.3187500000000001</v>
      </c>
      <c r="N129" s="11">
        <f>IF(B129="Pensioner",1,1/(1+Assumptions!$B$6)^G129)</f>
        <v>0.17147901583340255</v>
      </c>
      <c r="O129" s="17">
        <f t="shared" si="1"/>
        <v>4783857.3853057874</v>
      </c>
    </row>
    <row r="130" spans="1:15">
      <c r="A130" s="13" t="str">
        <f>Members!A130</f>
        <v>A0184</v>
      </c>
      <c r="B130" s="13" t="str">
        <f>Members!B130</f>
        <v>Active</v>
      </c>
      <c r="C130" s="13">
        <f>Members!C130</f>
        <v>41</v>
      </c>
      <c r="D130" s="14">
        <f>Members!D130</f>
        <v>16.100000000000001</v>
      </c>
      <c r="E130" s="16">
        <f>Members!E130</f>
        <v>910000</v>
      </c>
      <c r="F130" s="16">
        <f>Members!F130</f>
        <v>0</v>
      </c>
      <c r="G130" s="15">
        <f>MAX(0,Assumptions!$B$10-C130)</f>
        <v>19</v>
      </c>
      <c r="H130" s="17">
        <f>IF(B130="Active",E130*(1+Assumptions!$B$7)^G130,E130)</f>
        <v>2516738.6885779346</v>
      </c>
      <c r="I130" s="17">
        <f>IF(B130="Active",MIN(Assumptions!$B$12,D130+G130),IF(B130="Deferred",MIN(Assumptions!$B$12,D130),D130))</f>
        <v>35.1</v>
      </c>
      <c r="J130" s="17">
        <f>IF(B130="Active",H130*I130*Assumptions!$B$11,IF(B130="Deferred",E130*I130*Assumptions!$B$11*(1+Assumptions!$B$9)^G130,F130))</f>
        <v>1472292.1328180919</v>
      </c>
      <c r="K130" s="11">
        <f>IF(B130="Pensioner",1,VLOOKUP(Assumptions!$B$10,Mortality!$A$2:$F$104,6,FALSE)/VLOOKUP(C130,Mortality!$A$2:$F$104,6,FALSE))</f>
        <v>0.97454789540795339</v>
      </c>
      <c r="L130" s="11">
        <f>VLOOKUP(IF(B130="Pensioner",C130,Assumptions!$B$10),Mortality!$A$2:$E$104,5,FALSE)</f>
        <v>17.296790022132885</v>
      </c>
      <c r="M130" s="11">
        <f>1+Assumptions!$B$13*Assumptions!$B$14*Assumptions!$B$15</f>
        <v>1.3187500000000001</v>
      </c>
      <c r="N130" s="11">
        <f>IF(B130="Pensioner",1,1/(1+Assumptions!$B$6)^G130)</f>
        <v>0.30224383580131214</v>
      </c>
      <c r="O130" s="17">
        <f t="shared" ref="O130:O193" si="2">J130*K130*L130*M130*N130</f>
        <v>9891966.0588183906</v>
      </c>
    </row>
    <row r="131" spans="1:15">
      <c r="A131" s="13" t="str">
        <f>Members!A131</f>
        <v>A0315</v>
      </c>
      <c r="B131" s="13" t="str">
        <f>Members!B131</f>
        <v>Active</v>
      </c>
      <c r="C131" s="13">
        <f>Members!C131</f>
        <v>52</v>
      </c>
      <c r="D131" s="14">
        <f>Members!D131</f>
        <v>19.2</v>
      </c>
      <c r="E131" s="16">
        <f>Members!E131</f>
        <v>1869000</v>
      </c>
      <c r="F131" s="16">
        <f>Members!F131</f>
        <v>0</v>
      </c>
      <c r="G131" s="15">
        <f>MAX(0,Assumptions!$B$10-C131)</f>
        <v>8</v>
      </c>
      <c r="H131" s="17">
        <f>IF(B131="Active",E131*(1+Assumptions!$B$7)^G131,E131)</f>
        <v>2868329.0965278097</v>
      </c>
      <c r="I131" s="17">
        <f>IF(B131="Active",MIN(Assumptions!$B$12,D131+G131),IF(B131="Deferred",MIN(Assumptions!$B$12,D131),D131))</f>
        <v>27.2</v>
      </c>
      <c r="J131" s="17">
        <f>IF(B131="Active",H131*I131*Assumptions!$B$11,IF(B131="Deferred",E131*I131*Assumptions!$B$11*(1+Assumptions!$B$9)^G131,F131))</f>
        <v>1300309.1904259403</v>
      </c>
      <c r="K131" s="11">
        <f>IF(B131="Pensioner",1,VLOOKUP(Assumptions!$B$10,Mortality!$A$2:$F$104,6,FALSE)/VLOOKUP(C131,Mortality!$A$2:$F$104,6,FALSE))</f>
        <v>0.98365275168798427</v>
      </c>
      <c r="L131" s="11">
        <f>VLOOKUP(IF(B131="Pensioner",C131,Assumptions!$B$10),Mortality!$A$2:$E$104,5,FALSE)</f>
        <v>17.296790022132885</v>
      </c>
      <c r="M131" s="11">
        <f>1+Assumptions!$B$13*Assumptions!$B$14*Assumptions!$B$15</f>
        <v>1.3187500000000001</v>
      </c>
      <c r="N131" s="11">
        <f>IF(B131="Pensioner",1,1/(1+Assumptions!$B$6)^G131)</f>
        <v>0.60423118763827188</v>
      </c>
      <c r="O131" s="17">
        <f t="shared" si="2"/>
        <v>17628670.767769422</v>
      </c>
    </row>
    <row r="132" spans="1:15">
      <c r="A132" s="13" t="str">
        <f>Members!A132</f>
        <v>A0293</v>
      </c>
      <c r="B132" s="13" t="str">
        <f>Members!B132</f>
        <v>Active</v>
      </c>
      <c r="C132" s="13">
        <f>Members!C132</f>
        <v>50</v>
      </c>
      <c r="D132" s="14">
        <f>Members!D132</f>
        <v>1.9</v>
      </c>
      <c r="E132" s="16">
        <f>Members!E132</f>
        <v>1715000</v>
      </c>
      <c r="F132" s="16">
        <f>Members!F132</f>
        <v>0</v>
      </c>
      <c r="G132" s="15">
        <f>MAX(0,Assumptions!$B$10-C132)</f>
        <v>10</v>
      </c>
      <c r="H132" s="17">
        <f>IF(B132="Active",E132*(1+Assumptions!$B$7)^G132,E132)</f>
        <v>2929467.746076412</v>
      </c>
      <c r="I132" s="17">
        <f>IF(B132="Active",MIN(Assumptions!$B$12,D132+G132),IF(B132="Deferred",MIN(Assumptions!$B$12,D132),D132))</f>
        <v>11.9</v>
      </c>
      <c r="J132" s="17">
        <f>IF(B132="Active",H132*I132*Assumptions!$B$11,IF(B132="Deferred",E132*I132*Assumptions!$B$11*(1+Assumptions!$B$9)^G132,F132))</f>
        <v>581011.10297182179</v>
      </c>
      <c r="K132" s="11">
        <f>IF(B132="Pensioner",1,VLOOKUP(Assumptions!$B$10,Mortality!$A$2:$F$104,6,FALSE)/VLOOKUP(C132,Mortality!$A$2:$F$104,6,FALSE))</f>
        <v>0.98127299335824147</v>
      </c>
      <c r="L132" s="11">
        <f>VLOOKUP(IF(B132="Pensioner",C132,Assumptions!$B$10),Mortality!$A$2:$E$104,5,FALSE)</f>
        <v>17.296790022132885</v>
      </c>
      <c r="M132" s="11">
        <f>1+Assumptions!$B$13*Assumptions!$B$14*Assumptions!$B$15</f>
        <v>1.3187500000000001</v>
      </c>
      <c r="N132" s="11">
        <f>IF(B132="Pensioner",1,1/(1+Assumptions!$B$6)^G132)</f>
        <v>0.53272603552052888</v>
      </c>
      <c r="O132" s="17">
        <f t="shared" si="2"/>
        <v>6927972.9958000006</v>
      </c>
    </row>
    <row r="133" spans="1:15">
      <c r="A133" s="13" t="str">
        <f>Members!A133</f>
        <v>D0055</v>
      </c>
      <c r="B133" s="13" t="str">
        <f>Members!B133</f>
        <v>Deferred</v>
      </c>
      <c r="C133" s="13">
        <f>Members!C133</f>
        <v>48</v>
      </c>
      <c r="D133" s="14">
        <f>Members!D133</f>
        <v>19</v>
      </c>
      <c r="E133" s="16">
        <f>Members!E133</f>
        <v>733000</v>
      </c>
      <c r="F133" s="16">
        <f>Members!F133</f>
        <v>0</v>
      </c>
      <c r="G133" s="15">
        <f>MAX(0,Assumptions!$B$10-C133)</f>
        <v>12</v>
      </c>
      <c r="H133" s="17">
        <f>IF(B133="Active",E133*(1+Assumptions!$B$7)^G133,E133)</f>
        <v>733000</v>
      </c>
      <c r="I133" s="17">
        <f>IF(B133="Active",MIN(Assumptions!$B$12,D133+G133),IF(B133="Deferred",MIN(Assumptions!$B$12,D133),D133))</f>
        <v>19</v>
      </c>
      <c r="J133" s="17">
        <f>IF(B133="Active",H133*I133*Assumptions!$B$11,IF(B133="Deferred",E133*I133*Assumptions!$B$11*(1+Assumptions!$B$9)^G133,F133))</f>
        <v>371626.26179986837</v>
      </c>
      <c r="K133" s="11">
        <f>IF(B133="Pensioner",1,VLOOKUP(Assumptions!$B$10,Mortality!$A$2:$F$104,6,FALSE)/VLOOKUP(C133,Mortality!$A$2:$F$104,6,FALSE))</f>
        <v>0.97930374297365907</v>
      </c>
      <c r="L133" s="11">
        <f>VLOOKUP(IF(B133="Pensioner",C133,Assumptions!$B$10),Mortality!$A$2:$E$104,5,FALSE)</f>
        <v>17.296790022132885</v>
      </c>
      <c r="M133" s="11">
        <f>1+Assumptions!$B$13*Assumptions!$B$14*Assumptions!$B$15</f>
        <v>1.3187500000000001</v>
      </c>
      <c r="N133" s="11">
        <f>IF(B133="Pensioner",1,1/(1+Assumptions!$B$6)^G133)</f>
        <v>0.4696828543900276</v>
      </c>
      <c r="O133" s="17">
        <f t="shared" si="2"/>
        <v>3899029.3449810469</v>
      </c>
    </row>
    <row r="134" spans="1:15">
      <c r="A134" s="13" t="str">
        <f>Members!A134</f>
        <v>D0031</v>
      </c>
      <c r="B134" s="13" t="str">
        <f>Members!B134</f>
        <v>Deferred</v>
      </c>
      <c r="C134" s="13">
        <f>Members!C134</f>
        <v>55</v>
      </c>
      <c r="D134" s="14">
        <f>Members!D134</f>
        <v>27</v>
      </c>
      <c r="E134" s="16">
        <f>Members!E134</f>
        <v>1373000</v>
      </c>
      <c r="F134" s="16">
        <f>Members!F134</f>
        <v>0</v>
      </c>
      <c r="G134" s="15">
        <f>MAX(0,Assumptions!$B$10-C134)</f>
        <v>5</v>
      </c>
      <c r="H134" s="17">
        <f>IF(B134="Active",E134*(1+Assumptions!$B$7)^G134,E134)</f>
        <v>1373000</v>
      </c>
      <c r="I134" s="17">
        <f>IF(B134="Active",MIN(Assumptions!$B$12,D134+G134),IF(B134="Deferred",MIN(Assumptions!$B$12,D134),D134))</f>
        <v>27</v>
      </c>
      <c r="J134" s="17">
        <f>IF(B134="Active",H134*I134*Assumptions!$B$11,IF(B134="Deferred",E134*I134*Assumptions!$B$11*(1+Assumptions!$B$9)^G134,F134))</f>
        <v>751708.99574784026</v>
      </c>
      <c r="K134" s="11">
        <f>IF(B134="Pensioner",1,VLOOKUP(Assumptions!$B$10,Mortality!$A$2:$F$104,6,FALSE)/VLOOKUP(C134,Mortality!$A$2:$F$104,6,FALSE))</f>
        <v>0.98824190874991746</v>
      </c>
      <c r="L134" s="11">
        <f>VLOOKUP(IF(B134="Pensioner",C134,Assumptions!$B$10),Mortality!$A$2:$E$104,5,FALSE)</f>
        <v>17.296790022132885</v>
      </c>
      <c r="M134" s="11">
        <f>1+Assumptions!$B$13*Assumptions!$B$14*Assumptions!$B$15</f>
        <v>1.3187500000000001</v>
      </c>
      <c r="N134" s="11">
        <f>IF(B134="Pensioner",1,1/(1+Assumptions!$B$6)^G134)</f>
        <v>0.72988083652095492</v>
      </c>
      <c r="O134" s="17">
        <f t="shared" si="2"/>
        <v>12367814.469854701</v>
      </c>
    </row>
    <row r="135" spans="1:15">
      <c r="A135" s="13" t="str">
        <f>Members!A135</f>
        <v>P0125</v>
      </c>
      <c r="B135" s="13" t="str">
        <f>Members!B135</f>
        <v>Pensioner</v>
      </c>
      <c r="C135" s="13">
        <f>Members!C135</f>
        <v>70</v>
      </c>
      <c r="D135" s="14">
        <f>Members!D135</f>
        <v>28.9</v>
      </c>
      <c r="E135" s="16">
        <f>Members!E135</f>
        <v>0</v>
      </c>
      <c r="F135" s="16">
        <f>Members!F135</f>
        <v>196000</v>
      </c>
      <c r="G135" s="15">
        <f>MAX(0,Assumptions!$B$10-C135)</f>
        <v>0</v>
      </c>
      <c r="H135" s="17">
        <f>IF(B135="Active",E135*(1+Assumptions!$B$7)^G135,E135)</f>
        <v>0</v>
      </c>
      <c r="I135" s="17">
        <f>IF(B135="Active",MIN(Assumptions!$B$12,D135+G135),IF(B135="Deferred",MIN(Assumptions!$B$12,D135),D135))</f>
        <v>28.9</v>
      </c>
      <c r="J135" s="17">
        <f>IF(B135="Active",H135*I135*Assumptions!$B$11,IF(B135="Deferred",E135*I135*Assumptions!$B$11*(1+Assumptions!$B$9)^G135,F135))</f>
        <v>196000</v>
      </c>
      <c r="K135" s="11">
        <f>IF(B135="Pensioner",1,VLOOKUP(Assumptions!$B$10,Mortality!$A$2:$F$104,6,FALSE)/VLOOKUP(C135,Mortality!$A$2:$F$104,6,FALSE))</f>
        <v>1</v>
      </c>
      <c r="L135" s="11">
        <f>VLOOKUP(IF(B135="Pensioner",C135,Assumptions!$B$10),Mortality!$A$2:$E$104,5,FALSE)</f>
        <v>12.963998211865617</v>
      </c>
      <c r="M135" s="11">
        <f>1+Assumptions!$B$13*Assumptions!$B$14*Assumptions!$B$15</f>
        <v>1.3187500000000001</v>
      </c>
      <c r="N135" s="11">
        <f>IF(B135="Pensioner",1,1/(1+Assumptions!$B$6)^G135)</f>
        <v>1</v>
      </c>
      <c r="O135" s="17">
        <f t="shared" si="2"/>
        <v>3350869.4378119656</v>
      </c>
    </row>
    <row r="136" spans="1:15">
      <c r="A136" s="13" t="str">
        <f>Members!A136</f>
        <v>A0475</v>
      </c>
      <c r="B136" s="13" t="str">
        <f>Members!B136</f>
        <v>Active</v>
      </c>
      <c r="C136" s="13">
        <f>Members!C136</f>
        <v>50</v>
      </c>
      <c r="D136" s="14">
        <f>Members!D136</f>
        <v>19.5</v>
      </c>
      <c r="E136" s="16">
        <f>Members!E136</f>
        <v>1266000</v>
      </c>
      <c r="F136" s="16">
        <f>Members!F136</f>
        <v>0</v>
      </c>
      <c r="G136" s="15">
        <f>MAX(0,Assumptions!$B$10-C136)</f>
        <v>10</v>
      </c>
      <c r="H136" s="17">
        <f>IF(B136="Active",E136*(1+Assumptions!$B$7)^G136,E136)</f>
        <v>2162510.8842756487</v>
      </c>
      <c r="I136" s="17">
        <f>IF(B136="Active",MIN(Assumptions!$B$12,D136+G136),IF(B136="Deferred",MIN(Assumptions!$B$12,D136),D136))</f>
        <v>29.5</v>
      </c>
      <c r="J136" s="17">
        <f>IF(B136="Active",H136*I136*Assumptions!$B$11,IF(B136="Deferred",E136*I136*Assumptions!$B$11*(1+Assumptions!$B$9)^G136,F136))</f>
        <v>1063234.5181021939</v>
      </c>
      <c r="K136" s="11">
        <f>IF(B136="Pensioner",1,VLOOKUP(Assumptions!$B$10,Mortality!$A$2:$F$104,6,FALSE)/VLOOKUP(C136,Mortality!$A$2:$F$104,6,FALSE))</f>
        <v>0.98127299335824147</v>
      </c>
      <c r="L136" s="11">
        <f>VLOOKUP(IF(B136="Pensioner",C136,Assumptions!$B$10),Mortality!$A$2:$E$104,5,FALSE)</f>
        <v>17.296790022132885</v>
      </c>
      <c r="M136" s="11">
        <f>1+Assumptions!$B$13*Assumptions!$B$14*Assumptions!$B$15</f>
        <v>1.3187500000000001</v>
      </c>
      <c r="N136" s="11">
        <f>IF(B136="Pensioner",1,1/(1+Assumptions!$B$6)^G136)</f>
        <v>0.53272603552052888</v>
      </c>
      <c r="O136" s="17">
        <f t="shared" si="2"/>
        <v>12678002.179197028</v>
      </c>
    </row>
    <row r="137" spans="1:15">
      <c r="A137" s="13" t="str">
        <f>Members!A137</f>
        <v>A0229</v>
      </c>
      <c r="B137" s="13" t="str">
        <f>Members!B137</f>
        <v>Active</v>
      </c>
      <c r="C137" s="13">
        <f>Members!C137</f>
        <v>47</v>
      </c>
      <c r="D137" s="14">
        <f>Members!D137</f>
        <v>4.7</v>
      </c>
      <c r="E137" s="16">
        <f>Members!E137</f>
        <v>1251000</v>
      </c>
      <c r="F137" s="16">
        <f>Members!F137</f>
        <v>0</v>
      </c>
      <c r="G137" s="15">
        <f>MAX(0,Assumptions!$B$10-C137)</f>
        <v>13</v>
      </c>
      <c r="H137" s="17">
        <f>IF(B137="Active",E137*(1+Assumptions!$B$7)^G137,E137)</f>
        <v>2509223.1457421668</v>
      </c>
      <c r="I137" s="17">
        <f>IF(B137="Active",MIN(Assumptions!$B$12,D137+G137),IF(B137="Deferred",MIN(Assumptions!$B$12,D137),D137))</f>
        <v>17.7</v>
      </c>
      <c r="J137" s="17">
        <f>IF(B137="Active",H137*I137*Assumptions!$B$11,IF(B137="Deferred",E137*I137*Assumptions!$B$11*(1+Assumptions!$B$9)^G137,F137))</f>
        <v>740220.82799393917</v>
      </c>
      <c r="K137" s="11">
        <f>IF(B137="Pensioner",1,VLOOKUP(Assumptions!$B$10,Mortality!$A$2:$F$104,6,FALSE)/VLOOKUP(C137,Mortality!$A$2:$F$104,6,FALSE))</f>
        <v>0.97844516757479894</v>
      </c>
      <c r="L137" s="11">
        <f>VLOOKUP(IF(B137="Pensioner",C137,Assumptions!$B$10),Mortality!$A$2:$E$104,5,FALSE)</f>
        <v>17.296790022132885</v>
      </c>
      <c r="M137" s="11">
        <f>1+Assumptions!$B$13*Assumptions!$B$14*Assumptions!$B$15</f>
        <v>1.3187500000000001</v>
      </c>
      <c r="N137" s="11">
        <f>IF(B137="Pensioner",1,1/(1+Assumptions!$B$6)^G137)</f>
        <v>0.44101676468547191</v>
      </c>
      <c r="O137" s="17">
        <f t="shared" si="2"/>
        <v>7285860.9477034146</v>
      </c>
    </row>
    <row r="138" spans="1:15">
      <c r="A138" s="13" t="str">
        <f>Members!A138</f>
        <v>A0606</v>
      </c>
      <c r="B138" s="13" t="str">
        <f>Members!B138</f>
        <v>Active</v>
      </c>
      <c r="C138" s="13">
        <f>Members!C138</f>
        <v>43</v>
      </c>
      <c r="D138" s="14">
        <f>Members!D138</f>
        <v>13.2</v>
      </c>
      <c r="E138" s="16">
        <f>Members!E138</f>
        <v>1182000</v>
      </c>
      <c r="F138" s="16">
        <f>Members!F138</f>
        <v>0</v>
      </c>
      <c r="G138" s="15">
        <f>MAX(0,Assumptions!$B$10-C138)</f>
        <v>17</v>
      </c>
      <c r="H138" s="17">
        <f>IF(B138="Active",E138*(1+Assumptions!$B$7)^G138,E138)</f>
        <v>2937036.1386678559</v>
      </c>
      <c r="I138" s="17">
        <f>IF(B138="Active",MIN(Assumptions!$B$12,D138+G138),IF(B138="Deferred",MIN(Assumptions!$B$12,D138),D138))</f>
        <v>30.2</v>
      </c>
      <c r="J138" s="17">
        <f>IF(B138="Active",H138*I138*Assumptions!$B$11,IF(B138="Deferred",E138*I138*Assumptions!$B$11*(1+Assumptions!$B$9)^G138,F138))</f>
        <v>1478308.1897961542</v>
      </c>
      <c r="K138" s="11">
        <f>IF(B138="Pensioner",1,VLOOKUP(Assumptions!$B$10,Mortality!$A$2:$F$104,6,FALSE)/VLOOKUP(C138,Mortality!$A$2:$F$104,6,FALSE))</f>
        <v>0.97565175842493801</v>
      </c>
      <c r="L138" s="11">
        <f>VLOOKUP(IF(B138="Pensioner",C138,Assumptions!$B$10),Mortality!$A$2:$E$104,5,FALSE)</f>
        <v>17.296790022132885</v>
      </c>
      <c r="M138" s="11">
        <f>1+Assumptions!$B$13*Assumptions!$B$14*Assumptions!$B$15</f>
        <v>1.3187500000000001</v>
      </c>
      <c r="N138" s="11">
        <f>IF(B138="Pensioner",1,1/(1+Assumptions!$B$6)^G138)</f>
        <v>0.34281251466174323</v>
      </c>
      <c r="O138" s="17">
        <f t="shared" si="2"/>
        <v>11278321.442639768</v>
      </c>
    </row>
    <row r="139" spans="1:15">
      <c r="A139" s="13" t="str">
        <f>Members!A139</f>
        <v>A0395</v>
      </c>
      <c r="B139" s="13" t="str">
        <f>Members!B139</f>
        <v>Active</v>
      </c>
      <c r="C139" s="13">
        <f>Members!C139</f>
        <v>59</v>
      </c>
      <c r="D139" s="14">
        <f>Members!D139</f>
        <v>12.8</v>
      </c>
      <c r="E139" s="16">
        <f>Members!E139</f>
        <v>1651000</v>
      </c>
      <c r="F139" s="16">
        <f>Members!F139</f>
        <v>0</v>
      </c>
      <c r="G139" s="15">
        <f>MAX(0,Assumptions!$B$10-C139)</f>
        <v>1</v>
      </c>
      <c r="H139" s="17">
        <f>IF(B139="Active",E139*(1+Assumptions!$B$7)^G139,E139)</f>
        <v>1741805</v>
      </c>
      <c r="I139" s="17">
        <f>IF(B139="Active",MIN(Assumptions!$B$12,D139+G139),IF(B139="Deferred",MIN(Assumptions!$B$12,D139),D139))</f>
        <v>13.8</v>
      </c>
      <c r="J139" s="17">
        <f>IF(B139="Active",H139*I139*Assumptions!$B$11,IF(B139="Deferred",E139*I139*Assumptions!$B$11*(1+Assumptions!$B$9)^G139,F139))</f>
        <v>400615.15</v>
      </c>
      <c r="K139" s="11">
        <f>IF(B139="Pensioner",1,VLOOKUP(Assumptions!$B$10,Mortality!$A$2:$F$104,6,FALSE)/VLOOKUP(C139,Mortality!$A$2:$F$104,6,FALSE))</f>
        <v>0.99710960118319747</v>
      </c>
      <c r="L139" s="11">
        <f>VLOOKUP(IF(B139="Pensioner",C139,Assumptions!$B$10),Mortality!$A$2:$E$104,5,FALSE)</f>
        <v>17.296790022132885</v>
      </c>
      <c r="M139" s="11">
        <f>1+Assumptions!$B$13*Assumptions!$B$14*Assumptions!$B$15</f>
        <v>1.3187500000000001</v>
      </c>
      <c r="N139" s="11">
        <f>IF(B139="Pensioner",1,1/(1+Assumptions!$B$6)^G139)</f>
        <v>0.93896713615023475</v>
      </c>
      <c r="O139" s="17">
        <f t="shared" si="2"/>
        <v>8555564.014594391</v>
      </c>
    </row>
    <row r="140" spans="1:15">
      <c r="A140" s="13" t="str">
        <f>Members!A140</f>
        <v>A0068</v>
      </c>
      <c r="B140" s="13" t="str">
        <f>Members!B140</f>
        <v>Active</v>
      </c>
      <c r="C140" s="13">
        <f>Members!C140</f>
        <v>34</v>
      </c>
      <c r="D140" s="14">
        <f>Members!D140</f>
        <v>1.8</v>
      </c>
      <c r="E140" s="16">
        <f>Members!E140</f>
        <v>686000</v>
      </c>
      <c r="F140" s="16">
        <f>Members!F140</f>
        <v>0</v>
      </c>
      <c r="G140" s="15">
        <f>MAX(0,Assumptions!$B$10-C140)</f>
        <v>26</v>
      </c>
      <c r="H140" s="17">
        <f>IF(B140="Active",E140*(1+Assumptions!$B$7)^G140,E140)</f>
        <v>2759866.4444674198</v>
      </c>
      <c r="I140" s="17">
        <f>IF(B140="Active",MIN(Assumptions!$B$12,D140+G140),IF(B140="Deferred",MIN(Assumptions!$B$12,D140),D140))</f>
        <v>27.8</v>
      </c>
      <c r="J140" s="17">
        <f>IF(B140="Active",H140*I140*Assumptions!$B$11,IF(B140="Deferred",E140*I140*Assumptions!$B$11*(1+Assumptions!$B$9)^G140,F140))</f>
        <v>1278738.1192699044</v>
      </c>
      <c r="K140" s="11">
        <f>IF(B140="Pensioner",1,VLOOKUP(Assumptions!$B$10,Mortality!$A$2:$F$104,6,FALSE)/VLOOKUP(C140,Mortality!$A$2:$F$104,6,FALSE))</f>
        <v>0.97162058192333911</v>
      </c>
      <c r="L140" s="11">
        <f>VLOOKUP(IF(B140="Pensioner",C140,Assumptions!$B$10),Mortality!$A$2:$E$104,5,FALSE)</f>
        <v>17.296790022132885</v>
      </c>
      <c r="M140" s="11">
        <f>1+Assumptions!$B$13*Assumptions!$B$14*Assumptions!$B$15</f>
        <v>1.3187500000000001</v>
      </c>
      <c r="N140" s="11">
        <f>IF(B140="Pensioner",1,1/(1+Assumptions!$B$6)^G140)</f>
        <v>0.19449578673364096</v>
      </c>
      <c r="O140" s="17">
        <f t="shared" si="2"/>
        <v>5512092.5559278699</v>
      </c>
    </row>
    <row r="141" spans="1:15">
      <c r="A141" s="13" t="str">
        <f>Members!A141</f>
        <v>P0146</v>
      </c>
      <c r="B141" s="13" t="str">
        <f>Members!B141</f>
        <v>Pensioner</v>
      </c>
      <c r="C141" s="13">
        <f>Members!C141</f>
        <v>85</v>
      </c>
      <c r="D141" s="14">
        <f>Members!D141</f>
        <v>39.1</v>
      </c>
      <c r="E141" s="16">
        <f>Members!E141</f>
        <v>0</v>
      </c>
      <c r="F141" s="16">
        <f>Members!F141</f>
        <v>764000</v>
      </c>
      <c r="G141" s="15">
        <f>MAX(0,Assumptions!$B$10-C141)</f>
        <v>0</v>
      </c>
      <c r="H141" s="17">
        <f>IF(B141="Active",E141*(1+Assumptions!$B$7)^G141,E141)</f>
        <v>0</v>
      </c>
      <c r="I141" s="17">
        <f>IF(B141="Active",MIN(Assumptions!$B$12,D141+G141),IF(B141="Deferred",MIN(Assumptions!$B$12,D141),D141))</f>
        <v>39.1</v>
      </c>
      <c r="J141" s="17">
        <f>IF(B141="Active",H141*I141*Assumptions!$B$11,IF(B141="Deferred",E141*I141*Assumptions!$B$11*(1+Assumptions!$B$9)^G141,F141))</f>
        <v>764000</v>
      </c>
      <c r="K141" s="11">
        <f>IF(B141="Pensioner",1,VLOOKUP(Assumptions!$B$10,Mortality!$A$2:$F$104,6,FALSE)/VLOOKUP(C141,Mortality!$A$2:$F$104,6,FALSE))</f>
        <v>1</v>
      </c>
      <c r="L141" s="11">
        <f>VLOOKUP(IF(B141="Pensioner",C141,Assumptions!$B$10),Mortality!$A$2:$E$104,5,FALSE)</f>
        <v>6.2282827560748935</v>
      </c>
      <c r="M141" s="11">
        <f>1+Assumptions!$B$13*Assumptions!$B$14*Assumptions!$B$15</f>
        <v>1.3187500000000001</v>
      </c>
      <c r="N141" s="11">
        <f>IF(B141="Pensioner",1,1/(1+Assumptions!$B$6)^G141)</f>
        <v>1</v>
      </c>
      <c r="O141" s="17">
        <f t="shared" si="2"/>
        <v>6275150.5838143574</v>
      </c>
    </row>
    <row r="142" spans="1:15">
      <c r="A142" s="13" t="str">
        <f>Members!A142</f>
        <v>A0350</v>
      </c>
      <c r="B142" s="13" t="str">
        <f>Members!B142</f>
        <v>Active</v>
      </c>
      <c r="C142" s="13">
        <f>Members!C142</f>
        <v>43</v>
      </c>
      <c r="D142" s="14">
        <f>Members!D142</f>
        <v>7.7</v>
      </c>
      <c r="E142" s="16">
        <f>Members!E142</f>
        <v>807000</v>
      </c>
      <c r="F142" s="16">
        <f>Members!F142</f>
        <v>0</v>
      </c>
      <c r="G142" s="15">
        <f>MAX(0,Assumptions!$B$10-C142)</f>
        <v>17</v>
      </c>
      <c r="H142" s="17">
        <f>IF(B142="Active",E142*(1+Assumptions!$B$7)^G142,E142)</f>
        <v>2005235.3332529271</v>
      </c>
      <c r="I142" s="17">
        <f>IF(B142="Active",MIN(Assumptions!$B$12,D142+G142),IF(B142="Deferred",MIN(Assumptions!$B$12,D142),D142))</f>
        <v>24.7</v>
      </c>
      <c r="J142" s="17">
        <f>IF(B142="Active",H142*I142*Assumptions!$B$11,IF(B142="Deferred",E142*I142*Assumptions!$B$11*(1+Assumptions!$B$9)^G142,F142))</f>
        <v>825488.54552245501</v>
      </c>
      <c r="K142" s="11">
        <f>IF(B142="Pensioner",1,VLOOKUP(Assumptions!$B$10,Mortality!$A$2:$F$104,6,FALSE)/VLOOKUP(C142,Mortality!$A$2:$F$104,6,FALSE))</f>
        <v>0.97565175842493801</v>
      </c>
      <c r="L142" s="11">
        <f>VLOOKUP(IF(B142="Pensioner",C142,Assumptions!$B$10),Mortality!$A$2:$E$104,5,FALSE)</f>
        <v>17.296790022132885</v>
      </c>
      <c r="M142" s="11">
        <f>1+Assumptions!$B$13*Assumptions!$B$14*Assumptions!$B$15</f>
        <v>1.3187500000000001</v>
      </c>
      <c r="N142" s="11">
        <f>IF(B142="Pensioner",1,1/(1+Assumptions!$B$6)^G142)</f>
        <v>0.34281251466174323</v>
      </c>
      <c r="O142" s="17">
        <f t="shared" si="2"/>
        <v>6297824.2479352048</v>
      </c>
    </row>
    <row r="143" spans="1:15">
      <c r="A143" s="13" t="str">
        <f>Members!A143</f>
        <v>A0362</v>
      </c>
      <c r="B143" s="13" t="str">
        <f>Members!B143</f>
        <v>Active</v>
      </c>
      <c r="C143" s="13">
        <f>Members!C143</f>
        <v>36</v>
      </c>
      <c r="D143" s="14">
        <f>Members!D143</f>
        <v>10.4</v>
      </c>
      <c r="E143" s="16">
        <f>Members!E143</f>
        <v>664000</v>
      </c>
      <c r="F143" s="16">
        <f>Members!F143</f>
        <v>0</v>
      </c>
      <c r="G143" s="15">
        <f>MAX(0,Assumptions!$B$10-C143)</f>
        <v>24</v>
      </c>
      <c r="H143" s="17">
        <f>IF(B143="Active",E143*(1+Assumptions!$B$7)^G143,E143)</f>
        <v>2400087.6961936415</v>
      </c>
      <c r="I143" s="17">
        <f>IF(B143="Active",MIN(Assumptions!$B$12,D143+G143),IF(B143="Deferred",MIN(Assumptions!$B$12,D143),D143))</f>
        <v>34.4</v>
      </c>
      <c r="J143" s="17">
        <f>IF(B143="Active",H143*I143*Assumptions!$B$11,IF(B143="Deferred",E143*I143*Assumptions!$B$11*(1+Assumptions!$B$9)^G143,F143))</f>
        <v>1376050.2791510213</v>
      </c>
      <c r="K143" s="11">
        <f>IF(B143="Pensioner",1,VLOOKUP(Assumptions!$B$10,Mortality!$A$2:$F$104,6,FALSE)/VLOOKUP(C143,Mortality!$A$2:$F$104,6,FALSE))</f>
        <v>0.97234503055413524</v>
      </c>
      <c r="L143" s="11">
        <f>VLOOKUP(IF(B143="Pensioner",C143,Assumptions!$B$10),Mortality!$A$2:$E$104,5,FALSE)</f>
        <v>17.296790022132885</v>
      </c>
      <c r="M143" s="11">
        <f>1+Assumptions!$B$13*Assumptions!$B$14*Assumptions!$B$15</f>
        <v>1.3187500000000001</v>
      </c>
      <c r="N143" s="11">
        <f>IF(B143="Pensioner",1,1/(1+Assumptions!$B$6)^G143)</f>
        <v>0.22060198370796386</v>
      </c>
      <c r="O143" s="17">
        <f t="shared" si="2"/>
        <v>6732743.9917085916</v>
      </c>
    </row>
    <row r="144" spans="1:15">
      <c r="A144" s="13" t="str">
        <f>Members!A144</f>
        <v>P0145</v>
      </c>
      <c r="B144" s="13" t="str">
        <f>Members!B144</f>
        <v>Pensioner</v>
      </c>
      <c r="C144" s="13">
        <f>Members!C144</f>
        <v>66</v>
      </c>
      <c r="D144" s="14">
        <f>Members!D144</f>
        <v>30.9</v>
      </c>
      <c r="E144" s="16">
        <f>Members!E144</f>
        <v>0</v>
      </c>
      <c r="F144" s="16">
        <f>Members!F144</f>
        <v>288000</v>
      </c>
      <c r="G144" s="15">
        <f>MAX(0,Assumptions!$B$10-C144)</f>
        <v>0</v>
      </c>
      <c r="H144" s="17">
        <f>IF(B144="Active",E144*(1+Assumptions!$B$7)^G144,E144)</f>
        <v>0</v>
      </c>
      <c r="I144" s="17">
        <f>IF(B144="Active",MIN(Assumptions!$B$12,D144+G144),IF(B144="Deferred",MIN(Assumptions!$B$12,D144),D144))</f>
        <v>30.9</v>
      </c>
      <c r="J144" s="17">
        <f>IF(B144="Active",H144*I144*Assumptions!$B$11,IF(B144="Deferred",E144*I144*Assumptions!$B$11*(1+Assumptions!$B$9)^G144,F144))</f>
        <v>288000</v>
      </c>
      <c r="K144" s="11">
        <f>IF(B144="Pensioner",1,VLOOKUP(Assumptions!$B$10,Mortality!$A$2:$F$104,6,FALSE)/VLOOKUP(C144,Mortality!$A$2:$F$104,6,FALSE))</f>
        <v>1</v>
      </c>
      <c r="L144" s="11">
        <f>VLOOKUP(IF(B144="Pensioner",C144,Assumptions!$B$10),Mortality!$A$2:$E$104,5,FALSE)</f>
        <v>14.759005103694845</v>
      </c>
      <c r="M144" s="11">
        <f>1+Assumptions!$B$13*Assumptions!$B$14*Assumptions!$B$15</f>
        <v>1.3187500000000001</v>
      </c>
      <c r="N144" s="11">
        <f>IF(B144="Pensioner",1,1/(1+Assumptions!$B$6)^G144)</f>
        <v>1</v>
      </c>
      <c r="O144" s="17">
        <f t="shared" si="2"/>
        <v>5605470.1383833019</v>
      </c>
    </row>
    <row r="145" spans="1:15">
      <c r="A145" s="13" t="str">
        <f>Members!A145</f>
        <v>D0124</v>
      </c>
      <c r="B145" s="13" t="str">
        <f>Members!B145</f>
        <v>Deferred</v>
      </c>
      <c r="C145" s="13">
        <f>Members!C145</f>
        <v>36</v>
      </c>
      <c r="D145" s="14">
        <f>Members!D145</f>
        <v>3.1</v>
      </c>
      <c r="E145" s="16">
        <f>Members!E145</f>
        <v>592000</v>
      </c>
      <c r="F145" s="16">
        <f>Members!F145</f>
        <v>0</v>
      </c>
      <c r="G145" s="15">
        <f>MAX(0,Assumptions!$B$10-C145)</f>
        <v>24</v>
      </c>
      <c r="H145" s="17">
        <f>IF(B145="Active",E145*(1+Assumptions!$B$7)^G145,E145)</f>
        <v>592000</v>
      </c>
      <c r="I145" s="17">
        <f>IF(B145="Active",MIN(Assumptions!$B$12,D145+G145),IF(B145="Deferred",MIN(Assumptions!$B$12,D145),D145))</f>
        <v>3.1</v>
      </c>
      <c r="J145" s="17">
        <f>IF(B145="Active",H145*I145*Assumptions!$B$11,IF(B145="Deferred",E145*I145*Assumptions!$B$11*(1+Assumptions!$B$9)^G145,F145))</f>
        <v>78402.930056822413</v>
      </c>
      <c r="K145" s="11">
        <f>IF(B145="Pensioner",1,VLOOKUP(Assumptions!$B$10,Mortality!$A$2:$F$104,6,FALSE)/VLOOKUP(C145,Mortality!$A$2:$F$104,6,FALSE))</f>
        <v>0.97234503055413524</v>
      </c>
      <c r="L145" s="11">
        <f>VLOOKUP(IF(B145="Pensioner",C145,Assumptions!$B$10),Mortality!$A$2:$E$104,5,FALSE)</f>
        <v>17.296790022132885</v>
      </c>
      <c r="M145" s="11">
        <f>1+Assumptions!$B$13*Assumptions!$B$14*Assumptions!$B$15</f>
        <v>1.3187500000000001</v>
      </c>
      <c r="N145" s="11">
        <f>IF(B145="Pensioner",1,1/(1+Assumptions!$B$6)^G145)</f>
        <v>0.22060198370796386</v>
      </c>
      <c r="O145" s="17">
        <f t="shared" si="2"/>
        <v>383610.15165673813</v>
      </c>
    </row>
    <row r="146" spans="1:15">
      <c r="A146" s="13" t="str">
        <f>Members!A146</f>
        <v>A0593</v>
      </c>
      <c r="B146" s="13" t="str">
        <f>Members!B146</f>
        <v>Active</v>
      </c>
      <c r="C146" s="13">
        <f>Members!C146</f>
        <v>56</v>
      </c>
      <c r="D146" s="14">
        <f>Members!D146</f>
        <v>22.6</v>
      </c>
      <c r="E146" s="16">
        <f>Members!E146</f>
        <v>2130000</v>
      </c>
      <c r="F146" s="16">
        <f>Members!F146</f>
        <v>0</v>
      </c>
      <c r="G146" s="15">
        <f>MAX(0,Assumptions!$B$10-C146)</f>
        <v>4</v>
      </c>
      <c r="H146" s="17">
        <f>IF(B146="Active",E146*(1+Assumptions!$B$7)^G146,E146)</f>
        <v>2638696.5058312495</v>
      </c>
      <c r="I146" s="17">
        <f>IF(B146="Active",MIN(Assumptions!$B$12,D146+G146),IF(B146="Deferred",MIN(Assumptions!$B$12,D146),D146))</f>
        <v>26.6</v>
      </c>
      <c r="J146" s="17">
        <f>IF(B146="Active",H146*I146*Assumptions!$B$11,IF(B146="Deferred",E146*I146*Assumptions!$B$11*(1+Assumptions!$B$9)^G146,F146))</f>
        <v>1169822.1175851873</v>
      </c>
      <c r="K146" s="11">
        <f>IF(B146="Pensioner",1,VLOOKUP(Assumptions!$B$10,Mortality!$A$2:$F$104,6,FALSE)/VLOOKUP(C146,Mortality!$A$2:$F$104,6,FALSE))</f>
        <v>0.99011625581042195</v>
      </c>
      <c r="L146" s="11">
        <f>VLOOKUP(IF(B146="Pensioner",C146,Assumptions!$B$10),Mortality!$A$2:$E$104,5,FALSE)</f>
        <v>17.296790022132885</v>
      </c>
      <c r="M146" s="11">
        <f>1+Assumptions!$B$13*Assumptions!$B$14*Assumptions!$B$15</f>
        <v>1.3187500000000001</v>
      </c>
      <c r="N146" s="11">
        <f>IF(B146="Pensioner",1,1/(1+Assumptions!$B$6)^G146)</f>
        <v>0.77732309089481699</v>
      </c>
      <c r="O146" s="17">
        <f t="shared" si="2"/>
        <v>20536932.413571343</v>
      </c>
    </row>
    <row r="147" spans="1:15">
      <c r="A147" s="13" t="str">
        <f>Members!A147</f>
        <v>A0051</v>
      </c>
      <c r="B147" s="13" t="str">
        <f>Members!B147</f>
        <v>Active</v>
      </c>
      <c r="C147" s="13">
        <f>Members!C147</f>
        <v>32</v>
      </c>
      <c r="D147" s="14">
        <f>Members!D147</f>
        <v>1.1000000000000001</v>
      </c>
      <c r="E147" s="16">
        <f>Members!E147</f>
        <v>774000</v>
      </c>
      <c r="F147" s="16">
        <f>Members!F147</f>
        <v>0</v>
      </c>
      <c r="G147" s="15">
        <f>MAX(0,Assumptions!$B$10-C147)</f>
        <v>28</v>
      </c>
      <c r="H147" s="17">
        <f>IF(B147="Active",E147*(1+Assumptions!$B$7)^G147,E147)</f>
        <v>3465850.5399409514</v>
      </c>
      <c r="I147" s="17">
        <f>IF(B147="Active",MIN(Assumptions!$B$12,D147+G147),IF(B147="Deferred",MIN(Assumptions!$B$12,D147),D147))</f>
        <v>29.1</v>
      </c>
      <c r="J147" s="17">
        <f>IF(B147="Active",H147*I147*Assumptions!$B$11,IF(B147="Deferred",E147*I147*Assumptions!$B$11*(1+Assumptions!$B$9)^G147,F147))</f>
        <v>1680937.5118713614</v>
      </c>
      <c r="K147" s="11">
        <f>IF(B147="Pensioner",1,VLOOKUP(Assumptions!$B$10,Mortality!$A$2:$F$104,6,FALSE)/VLOOKUP(C147,Mortality!$A$2:$F$104,6,FALSE))</f>
        <v>0.97095846876649572</v>
      </c>
      <c r="L147" s="11">
        <f>VLOOKUP(IF(B147="Pensioner",C147,Assumptions!$B$10),Mortality!$A$2:$E$104,5,FALSE)</f>
        <v>17.296790022132885</v>
      </c>
      <c r="M147" s="11">
        <f>1+Assumptions!$B$13*Assumptions!$B$14*Assumptions!$B$15</f>
        <v>1.3187500000000001</v>
      </c>
      <c r="N147" s="11">
        <f>IF(B147="Pensioner",1,1/(1+Assumptions!$B$6)^G147)</f>
        <v>0.17147901583340255</v>
      </c>
      <c r="O147" s="17">
        <f t="shared" si="2"/>
        <v>6383975.2003908269</v>
      </c>
    </row>
    <row r="148" spans="1:15">
      <c r="A148" s="13" t="str">
        <f>Members!A148</f>
        <v>P0097</v>
      </c>
      <c r="B148" s="13" t="str">
        <f>Members!B148</f>
        <v>Pensioner</v>
      </c>
      <c r="C148" s="13">
        <f>Members!C148</f>
        <v>83</v>
      </c>
      <c r="D148" s="14">
        <f>Members!D148</f>
        <v>24.8</v>
      </c>
      <c r="E148" s="16">
        <f>Members!E148</f>
        <v>0</v>
      </c>
      <c r="F148" s="16">
        <f>Members!F148</f>
        <v>384000</v>
      </c>
      <c r="G148" s="15">
        <f>MAX(0,Assumptions!$B$10-C148)</f>
        <v>0</v>
      </c>
      <c r="H148" s="17">
        <f>IF(B148="Active",E148*(1+Assumptions!$B$7)^G148,E148)</f>
        <v>0</v>
      </c>
      <c r="I148" s="17">
        <f>IF(B148="Active",MIN(Assumptions!$B$12,D148+G148),IF(B148="Deferred",MIN(Assumptions!$B$12,D148),D148))</f>
        <v>24.8</v>
      </c>
      <c r="J148" s="17">
        <f>IF(B148="Active",H148*I148*Assumptions!$B$11,IF(B148="Deferred",E148*I148*Assumptions!$B$11*(1+Assumptions!$B$9)^G148,F148))</f>
        <v>384000</v>
      </c>
      <c r="K148" s="11">
        <f>IF(B148="Pensioner",1,VLOOKUP(Assumptions!$B$10,Mortality!$A$2:$F$104,6,FALSE)/VLOOKUP(C148,Mortality!$A$2:$F$104,6,FALSE))</f>
        <v>1</v>
      </c>
      <c r="L148" s="11">
        <f>VLOOKUP(IF(B148="Pensioner",C148,Assumptions!$B$10),Mortality!$A$2:$E$104,5,FALSE)</f>
        <v>7.0669562738307876</v>
      </c>
      <c r="M148" s="11">
        <f>1+Assumptions!$B$13*Assumptions!$B$14*Assumptions!$B$15</f>
        <v>1.3187500000000001</v>
      </c>
      <c r="N148" s="11">
        <f>IF(B148="Pensioner",1,1/(1+Assumptions!$B$6)^G148)</f>
        <v>1</v>
      </c>
      <c r="O148" s="17">
        <f t="shared" si="2"/>
        <v>3578706.6570679112</v>
      </c>
    </row>
    <row r="149" spans="1:15">
      <c r="A149" s="13" t="str">
        <f>Members!A149</f>
        <v>P0012</v>
      </c>
      <c r="B149" s="13" t="str">
        <f>Members!B149</f>
        <v>Pensioner</v>
      </c>
      <c r="C149" s="13">
        <f>Members!C149</f>
        <v>81</v>
      </c>
      <c r="D149" s="14">
        <f>Members!D149</f>
        <v>20.7</v>
      </c>
      <c r="E149" s="16">
        <f>Members!E149</f>
        <v>0</v>
      </c>
      <c r="F149" s="16">
        <f>Members!F149</f>
        <v>596000</v>
      </c>
      <c r="G149" s="15">
        <f>MAX(0,Assumptions!$B$10-C149)</f>
        <v>0</v>
      </c>
      <c r="H149" s="17">
        <f>IF(B149="Active",E149*(1+Assumptions!$B$7)^G149,E149)</f>
        <v>0</v>
      </c>
      <c r="I149" s="17">
        <f>IF(B149="Active",MIN(Assumptions!$B$12,D149+G149),IF(B149="Deferred",MIN(Assumptions!$B$12,D149),D149))</f>
        <v>20.7</v>
      </c>
      <c r="J149" s="17">
        <f>IF(B149="Active",H149*I149*Assumptions!$B$11,IF(B149="Deferred",E149*I149*Assumptions!$B$11*(1+Assumptions!$B$9)^G149,F149))</f>
        <v>596000</v>
      </c>
      <c r="K149" s="11">
        <f>IF(B149="Pensioner",1,VLOOKUP(Assumptions!$B$10,Mortality!$A$2:$F$104,6,FALSE)/VLOOKUP(C149,Mortality!$A$2:$F$104,6,FALSE))</f>
        <v>1</v>
      </c>
      <c r="L149" s="11">
        <f>VLOOKUP(IF(B149="Pensioner",C149,Assumptions!$B$10),Mortality!$A$2:$E$104,5,FALSE)</f>
        <v>7.9368977140485031</v>
      </c>
      <c r="M149" s="11">
        <f>1+Assumptions!$B$13*Assumptions!$B$14*Assumptions!$B$15</f>
        <v>1.3187500000000001</v>
      </c>
      <c r="N149" s="11">
        <f>IF(B149="Pensioner",1,1/(1+Assumptions!$B$6)^G149)</f>
        <v>1</v>
      </c>
      <c r="O149" s="17">
        <f t="shared" si="2"/>
        <v>6238203.1807992728</v>
      </c>
    </row>
    <row r="150" spans="1:15">
      <c r="A150" s="13" t="str">
        <f>Members!A150</f>
        <v>A0579</v>
      </c>
      <c r="B150" s="13" t="str">
        <f>Members!B150</f>
        <v>Active</v>
      </c>
      <c r="C150" s="13">
        <f>Members!C150</f>
        <v>33</v>
      </c>
      <c r="D150" s="14">
        <f>Members!D150</f>
        <v>11.7</v>
      </c>
      <c r="E150" s="16">
        <f>Members!E150</f>
        <v>577000</v>
      </c>
      <c r="F150" s="16">
        <f>Members!F150</f>
        <v>0</v>
      </c>
      <c r="G150" s="15">
        <f>MAX(0,Assumptions!$B$10-C150)</f>
        <v>27</v>
      </c>
      <c r="H150" s="17">
        <f>IF(B150="Active",E150*(1+Assumptions!$B$7)^G150,E150)</f>
        <v>2449019.3878613333</v>
      </c>
      <c r="I150" s="17">
        <f>IF(B150="Active",MIN(Assumptions!$B$12,D150+G150),IF(B150="Deferred",MIN(Assumptions!$B$12,D150),D150))</f>
        <v>38.700000000000003</v>
      </c>
      <c r="J150" s="17">
        <f>IF(B150="Active",H150*I150*Assumptions!$B$11,IF(B150="Deferred",E150*I150*Assumptions!$B$11*(1+Assumptions!$B$9)^G150,F150))</f>
        <v>1579617.5051705602</v>
      </c>
      <c r="K150" s="11">
        <f>IF(B150="Pensioner",1,VLOOKUP(Assumptions!$B$10,Mortality!$A$2:$F$104,6,FALSE)/VLOOKUP(C150,Mortality!$A$2:$F$104,6,FALSE))</f>
        <v>0.9712826176321353</v>
      </c>
      <c r="L150" s="11">
        <f>VLOOKUP(IF(B150="Pensioner",C150,Assumptions!$B$10),Mortality!$A$2:$E$104,5,FALSE)</f>
        <v>17.296790022132885</v>
      </c>
      <c r="M150" s="11">
        <f>1+Assumptions!$B$13*Assumptions!$B$14*Assumptions!$B$15</f>
        <v>1.3187500000000001</v>
      </c>
      <c r="N150" s="11">
        <f>IF(B150="Pensioner",1,1/(1+Assumptions!$B$6)^G150)</f>
        <v>0.18262515186257369</v>
      </c>
      <c r="O150" s="17">
        <f t="shared" si="2"/>
        <v>6391254.7780142808</v>
      </c>
    </row>
    <row r="151" spans="1:15">
      <c r="A151" s="13" t="str">
        <f>Members!A151</f>
        <v>A0402</v>
      </c>
      <c r="B151" s="13" t="str">
        <f>Members!B151</f>
        <v>Active</v>
      </c>
      <c r="C151" s="13">
        <f>Members!C151</f>
        <v>41</v>
      </c>
      <c r="D151" s="14">
        <f>Members!D151</f>
        <v>6.5</v>
      </c>
      <c r="E151" s="16">
        <f>Members!E151</f>
        <v>935000</v>
      </c>
      <c r="F151" s="16">
        <f>Members!F151</f>
        <v>0</v>
      </c>
      <c r="G151" s="15">
        <f>MAX(0,Assumptions!$B$10-C151)</f>
        <v>19</v>
      </c>
      <c r="H151" s="17">
        <f>IF(B151="Active",E151*(1+Assumptions!$B$7)^G151,E151)</f>
        <v>2585879.8613410648</v>
      </c>
      <c r="I151" s="17">
        <f>IF(B151="Active",MIN(Assumptions!$B$12,D151+G151),IF(B151="Deferred",MIN(Assumptions!$B$12,D151),D151))</f>
        <v>25.5</v>
      </c>
      <c r="J151" s="17">
        <f>IF(B151="Active",H151*I151*Assumptions!$B$11,IF(B151="Deferred",E151*I151*Assumptions!$B$11*(1+Assumptions!$B$9)^G151,F151))</f>
        <v>1098998.9410699524</v>
      </c>
      <c r="K151" s="11">
        <f>IF(B151="Pensioner",1,VLOOKUP(Assumptions!$B$10,Mortality!$A$2:$F$104,6,FALSE)/VLOOKUP(C151,Mortality!$A$2:$F$104,6,FALSE))</f>
        <v>0.97454789540795339</v>
      </c>
      <c r="L151" s="11">
        <f>VLOOKUP(IF(B151="Pensioner",C151,Assumptions!$B$10),Mortality!$A$2:$E$104,5,FALSE)</f>
        <v>17.296790022132885</v>
      </c>
      <c r="M151" s="11">
        <f>1+Assumptions!$B$13*Assumptions!$B$14*Assumptions!$B$15</f>
        <v>1.3187500000000001</v>
      </c>
      <c r="N151" s="11">
        <f>IF(B151="Pensioner",1,1/(1+Assumptions!$B$6)^G151)</f>
        <v>0.30224383580131214</v>
      </c>
      <c r="O151" s="17">
        <f t="shared" si="2"/>
        <v>7383901.5922287181</v>
      </c>
    </row>
    <row r="152" spans="1:15">
      <c r="A152" s="13" t="str">
        <f>Members!A152</f>
        <v>D0007</v>
      </c>
      <c r="B152" s="13" t="str">
        <f>Members!B152</f>
        <v>Deferred</v>
      </c>
      <c r="C152" s="13">
        <f>Members!C152</f>
        <v>30</v>
      </c>
      <c r="D152" s="14">
        <f>Members!D152</f>
        <v>4.9000000000000004</v>
      </c>
      <c r="E152" s="16">
        <f>Members!E152</f>
        <v>510000</v>
      </c>
      <c r="F152" s="16">
        <f>Members!F152</f>
        <v>0</v>
      </c>
      <c r="G152" s="15">
        <f>MAX(0,Assumptions!$B$10-C152)</f>
        <v>30</v>
      </c>
      <c r="H152" s="17">
        <f>IF(B152="Active",E152*(1+Assumptions!$B$7)^G152,E152)</f>
        <v>510000</v>
      </c>
      <c r="I152" s="17">
        <f>IF(B152="Active",MIN(Assumptions!$B$12,D152+G152),IF(B152="Deferred",MIN(Assumptions!$B$12,D152),D152))</f>
        <v>4.9000000000000004</v>
      </c>
      <c r="J152" s="17">
        <f>IF(B152="Active",H152*I152*Assumptions!$B$11,IF(B152="Deferred",E152*I152*Assumptions!$B$11*(1+Assumptions!$B$9)^G152,F152))</f>
        <v>135087.50629264713</v>
      </c>
      <c r="K152" s="11">
        <f>IF(B152="Pensioner",1,VLOOKUP(Assumptions!$B$10,Mortality!$A$2:$F$104,6,FALSE)/VLOOKUP(C152,Mortality!$A$2:$F$104,6,FALSE))</f>
        <v>0.97034568803187526</v>
      </c>
      <c r="L152" s="11">
        <f>VLOOKUP(IF(B152="Pensioner",C152,Assumptions!$B$10),Mortality!$A$2:$E$104,5,FALSE)</f>
        <v>17.296790022132885</v>
      </c>
      <c r="M152" s="11">
        <f>1+Assumptions!$B$13*Assumptions!$B$14*Assumptions!$B$15</f>
        <v>1.3187500000000001</v>
      </c>
      <c r="N152" s="11">
        <f>IF(B152="Pensioner",1,1/(1+Assumptions!$B$6)^G152)</f>
        <v>0.15118606610981289</v>
      </c>
      <c r="O152" s="17">
        <f t="shared" si="2"/>
        <v>452044.73740197928</v>
      </c>
    </row>
    <row r="153" spans="1:15">
      <c r="A153" s="13" t="str">
        <f>Members!A153</f>
        <v>A0581</v>
      </c>
      <c r="B153" s="13" t="str">
        <f>Members!B153</f>
        <v>Active</v>
      </c>
      <c r="C153" s="13">
        <f>Members!C153</f>
        <v>45</v>
      </c>
      <c r="D153" s="14">
        <f>Members!D153</f>
        <v>10.3</v>
      </c>
      <c r="E153" s="16">
        <f>Members!E153</f>
        <v>1119000</v>
      </c>
      <c r="F153" s="16">
        <f>Members!F153</f>
        <v>0</v>
      </c>
      <c r="G153" s="15">
        <f>MAX(0,Assumptions!$B$10-C153)</f>
        <v>15</v>
      </c>
      <c r="H153" s="17">
        <f>IF(B153="Active",E153*(1+Assumptions!$B$7)^G153,E153)</f>
        <v>2498141.1948142657</v>
      </c>
      <c r="I153" s="17">
        <f>IF(B153="Active",MIN(Assumptions!$B$12,D153+G153),IF(B153="Deferred",MIN(Assumptions!$B$12,D153),D153))</f>
        <v>25.3</v>
      </c>
      <c r="J153" s="17">
        <f>IF(B153="Active",H153*I153*Assumptions!$B$11,IF(B153="Deferred",E153*I153*Assumptions!$B$11*(1+Assumptions!$B$9)^G153,F153))</f>
        <v>1053382.8704800154</v>
      </c>
      <c r="K153" s="11">
        <f>IF(B153="Pensioner",1,VLOOKUP(Assumptions!$B$10,Mortality!$A$2:$F$104,6,FALSE)/VLOOKUP(C153,Mortality!$A$2:$F$104,6,FALSE))</f>
        <v>0.97693494781946555</v>
      </c>
      <c r="L153" s="11">
        <f>VLOOKUP(IF(B153="Pensioner",C153,Assumptions!$B$10),Mortality!$A$2:$E$104,5,FALSE)</f>
        <v>17.296790022132885</v>
      </c>
      <c r="M153" s="11">
        <f>1+Assumptions!$B$13*Assumptions!$B$14*Assumptions!$B$15</f>
        <v>1.3187500000000001</v>
      </c>
      <c r="N153" s="11">
        <f>IF(B153="Pensioner",1,1/(1+Assumptions!$B$6)^G153)</f>
        <v>0.38882652444221566</v>
      </c>
      <c r="O153" s="17">
        <f t="shared" si="2"/>
        <v>9127162.1674461104</v>
      </c>
    </row>
    <row r="154" spans="1:15">
      <c r="A154" s="13" t="str">
        <f>Members!A154</f>
        <v>D0120</v>
      </c>
      <c r="B154" s="13" t="str">
        <f>Members!B154</f>
        <v>Deferred</v>
      </c>
      <c r="C154" s="13">
        <f>Members!C154</f>
        <v>37</v>
      </c>
      <c r="D154" s="14">
        <f>Members!D154</f>
        <v>8.1999999999999993</v>
      </c>
      <c r="E154" s="16">
        <f>Members!E154</f>
        <v>633000</v>
      </c>
      <c r="F154" s="16">
        <f>Members!F154</f>
        <v>0</v>
      </c>
      <c r="G154" s="15">
        <f>MAX(0,Assumptions!$B$10-C154)</f>
        <v>23</v>
      </c>
      <c r="H154" s="17">
        <f>IF(B154="Active",E154*(1+Assumptions!$B$7)^G154,E154)</f>
        <v>633000</v>
      </c>
      <c r="I154" s="17">
        <f>IF(B154="Active",MIN(Assumptions!$B$12,D154+G154),IF(B154="Deferred",MIN(Assumptions!$B$12,D154),D154))</f>
        <v>8.1999999999999993</v>
      </c>
      <c r="J154" s="17">
        <f>IF(B154="Active",H154*I154*Assumptions!$B$11,IF(B154="Deferred",E154*I154*Assumptions!$B$11*(1+Assumptions!$B$9)^G154,F154))</f>
        <v>213222.54163921683</v>
      </c>
      <c r="K154" s="11">
        <f>IF(B154="Pensioner",1,VLOOKUP(Assumptions!$B$10,Mortality!$A$2:$F$104,6,FALSE)/VLOOKUP(C154,Mortality!$A$2:$F$104,6,FALSE))</f>
        <v>0.97273561412651877</v>
      </c>
      <c r="L154" s="11">
        <f>VLOOKUP(IF(B154="Pensioner",C154,Assumptions!$B$10),Mortality!$A$2:$E$104,5,FALSE)</f>
        <v>17.296790022132885</v>
      </c>
      <c r="M154" s="11">
        <f>1+Assumptions!$B$13*Assumptions!$B$14*Assumptions!$B$15</f>
        <v>1.3187500000000001</v>
      </c>
      <c r="N154" s="11">
        <f>IF(B154="Pensioner",1,1/(1+Assumptions!$B$6)^G154)</f>
        <v>0.23494111264898151</v>
      </c>
      <c r="O154" s="17">
        <f t="shared" si="2"/>
        <v>1111514.0063007022</v>
      </c>
    </row>
    <row r="155" spans="1:15">
      <c r="A155" s="13" t="str">
        <f>Members!A155</f>
        <v>A0460</v>
      </c>
      <c r="B155" s="13" t="str">
        <f>Members!B155</f>
        <v>Active</v>
      </c>
      <c r="C155" s="13">
        <f>Members!C155</f>
        <v>39</v>
      </c>
      <c r="D155" s="14">
        <f>Members!D155</f>
        <v>8.5</v>
      </c>
      <c r="E155" s="16">
        <f>Members!E155</f>
        <v>918000</v>
      </c>
      <c r="F155" s="16">
        <f>Members!F155</f>
        <v>0</v>
      </c>
      <c r="G155" s="15">
        <f>MAX(0,Assumptions!$B$10-C155)</f>
        <v>21</v>
      </c>
      <c r="H155" s="17">
        <f>IF(B155="Active",E155*(1+Assumptions!$B$7)^G155,E155)</f>
        <v>2825818.9520751541</v>
      </c>
      <c r="I155" s="17">
        <f>IF(B155="Active",MIN(Assumptions!$B$12,D155+G155),IF(B155="Deferred",MIN(Assumptions!$B$12,D155),D155))</f>
        <v>29.5</v>
      </c>
      <c r="J155" s="17">
        <f>IF(B155="Active",H155*I155*Assumptions!$B$11,IF(B155="Deferred",E155*I155*Assumptions!$B$11*(1+Assumptions!$B$9)^G155,F155))</f>
        <v>1389360.984770284</v>
      </c>
      <c r="K155" s="11">
        <f>IF(B155="Pensioner",1,VLOOKUP(Assumptions!$B$10,Mortality!$A$2:$F$104,6,FALSE)/VLOOKUP(C155,Mortality!$A$2:$F$104,6,FALSE))</f>
        <v>0.97358574177887802</v>
      </c>
      <c r="L155" s="11">
        <f>VLOOKUP(IF(B155="Pensioner",C155,Assumptions!$B$10),Mortality!$A$2:$E$104,5,FALSE)</f>
        <v>17.296790022132885</v>
      </c>
      <c r="M155" s="11">
        <f>1+Assumptions!$B$13*Assumptions!$B$14*Assumptions!$B$15</f>
        <v>1.3187500000000001</v>
      </c>
      <c r="N155" s="11">
        <f>IF(B155="Pensioner",1,1/(1+Assumptions!$B$6)^G155)</f>
        <v>0.26647608349429097</v>
      </c>
      <c r="O155" s="17">
        <f t="shared" si="2"/>
        <v>8221963.1638861131</v>
      </c>
    </row>
    <row r="156" spans="1:15">
      <c r="A156" s="13" t="str">
        <f>Members!A156</f>
        <v>A0130</v>
      </c>
      <c r="B156" s="13" t="str">
        <f>Members!B156</f>
        <v>Active</v>
      </c>
      <c r="C156" s="13">
        <f>Members!C156</f>
        <v>54</v>
      </c>
      <c r="D156" s="14">
        <f>Members!D156</f>
        <v>14.3</v>
      </c>
      <c r="E156" s="16">
        <f>Members!E156</f>
        <v>1778000</v>
      </c>
      <c r="F156" s="16">
        <f>Members!F156</f>
        <v>0</v>
      </c>
      <c r="G156" s="15">
        <f>MAX(0,Assumptions!$B$10-C156)</f>
        <v>6</v>
      </c>
      <c r="H156" s="17">
        <f>IF(B156="Active",E156*(1+Assumptions!$B$7)^G156,E156)</f>
        <v>2451582.5104226409</v>
      </c>
      <c r="I156" s="17">
        <f>IF(B156="Active",MIN(Assumptions!$B$12,D156+G156),IF(B156="Deferred",MIN(Assumptions!$B$12,D156),D156))</f>
        <v>20.3</v>
      </c>
      <c r="J156" s="17">
        <f>IF(B156="Active",H156*I156*Assumptions!$B$11,IF(B156="Deferred",E156*I156*Assumptions!$B$11*(1+Assumptions!$B$9)^G156,F156))</f>
        <v>829452.08269299357</v>
      </c>
      <c r="K156" s="11">
        <f>IF(B156="Pensioner",1,VLOOKUP(Assumptions!$B$10,Mortality!$A$2:$F$104,6,FALSE)/VLOOKUP(C156,Mortality!$A$2:$F$104,6,FALSE))</f>
        <v>0.98655351190569374</v>
      </c>
      <c r="L156" s="11">
        <f>VLOOKUP(IF(B156="Pensioner",C156,Assumptions!$B$10),Mortality!$A$2:$E$104,5,FALSE)</f>
        <v>17.296790022132885</v>
      </c>
      <c r="M156" s="11">
        <f>1+Assumptions!$B$13*Assumptions!$B$14*Assumptions!$B$15</f>
        <v>1.3187500000000001</v>
      </c>
      <c r="N156" s="11">
        <f>IF(B156="Pensioner",1,1/(1+Assumptions!$B$6)^G156)</f>
        <v>0.68533411879901873</v>
      </c>
      <c r="O156" s="17">
        <f t="shared" si="2"/>
        <v>12792113.028994381</v>
      </c>
    </row>
    <row r="157" spans="1:15">
      <c r="A157" s="13" t="str">
        <f>Members!A157</f>
        <v>P0194</v>
      </c>
      <c r="B157" s="13" t="str">
        <f>Members!B157</f>
        <v>Pensioner</v>
      </c>
      <c r="C157" s="13">
        <f>Members!C157</f>
        <v>84</v>
      </c>
      <c r="D157" s="14">
        <f>Members!D157</f>
        <v>17.100000000000001</v>
      </c>
      <c r="E157" s="16">
        <f>Members!E157</f>
        <v>0</v>
      </c>
      <c r="F157" s="16">
        <f>Members!F157</f>
        <v>805000</v>
      </c>
      <c r="G157" s="15">
        <f>MAX(0,Assumptions!$B$10-C157)</f>
        <v>0</v>
      </c>
      <c r="H157" s="17">
        <f>IF(B157="Active",E157*(1+Assumptions!$B$7)^G157,E157)</f>
        <v>0</v>
      </c>
      <c r="I157" s="17">
        <f>IF(B157="Active",MIN(Assumptions!$B$12,D157+G157),IF(B157="Deferred",MIN(Assumptions!$B$12,D157),D157))</f>
        <v>17.100000000000001</v>
      </c>
      <c r="J157" s="17">
        <f>IF(B157="Active",H157*I157*Assumptions!$B$11,IF(B157="Deferred",E157*I157*Assumptions!$B$11*(1+Assumptions!$B$9)^G157,F157))</f>
        <v>805000</v>
      </c>
      <c r="K157" s="11">
        <f>IF(B157="Pensioner",1,VLOOKUP(Assumptions!$B$10,Mortality!$A$2:$F$104,6,FALSE)/VLOOKUP(C157,Mortality!$A$2:$F$104,6,FALSE))</f>
        <v>1</v>
      </c>
      <c r="L157" s="11">
        <f>VLOOKUP(IF(B157="Pensioner",C157,Assumptions!$B$10),Mortality!$A$2:$E$104,5,FALSE)</f>
        <v>6.6432720965175314</v>
      </c>
      <c r="M157" s="11">
        <f>1+Assumptions!$B$13*Assumptions!$B$14*Assumptions!$B$15</f>
        <v>1.3187500000000001</v>
      </c>
      <c r="N157" s="11">
        <f>IF(B157="Pensioner",1,1/(1+Assumptions!$B$6)^G157)</f>
        <v>1</v>
      </c>
      <c r="O157" s="17">
        <f t="shared" si="2"/>
        <v>7052456.1372124087</v>
      </c>
    </row>
    <row r="158" spans="1:15">
      <c r="A158" s="13" t="str">
        <f>Members!A158</f>
        <v>P0168</v>
      </c>
      <c r="B158" s="13" t="str">
        <f>Members!B158</f>
        <v>Pensioner</v>
      </c>
      <c r="C158" s="13">
        <f>Members!C158</f>
        <v>69</v>
      </c>
      <c r="D158" s="14">
        <f>Members!D158</f>
        <v>27.7</v>
      </c>
      <c r="E158" s="16">
        <f>Members!E158</f>
        <v>0</v>
      </c>
      <c r="F158" s="16">
        <f>Members!F158</f>
        <v>347000</v>
      </c>
      <c r="G158" s="15">
        <f>MAX(0,Assumptions!$B$10-C158)</f>
        <v>0</v>
      </c>
      <c r="H158" s="17">
        <f>IF(B158="Active",E158*(1+Assumptions!$B$7)^G158,E158)</f>
        <v>0</v>
      </c>
      <c r="I158" s="17">
        <f>IF(B158="Active",MIN(Assumptions!$B$12,D158+G158),IF(B158="Deferred",MIN(Assumptions!$B$12,D158),D158))</f>
        <v>27.7</v>
      </c>
      <c r="J158" s="17">
        <f>IF(B158="Active",H158*I158*Assumptions!$B$11,IF(B158="Deferred",E158*I158*Assumptions!$B$11*(1+Assumptions!$B$9)^G158,F158))</f>
        <v>347000</v>
      </c>
      <c r="K158" s="11">
        <f>IF(B158="Pensioner",1,VLOOKUP(Assumptions!$B$10,Mortality!$A$2:$F$104,6,FALSE)/VLOOKUP(C158,Mortality!$A$2:$F$104,6,FALSE))</f>
        <v>1</v>
      </c>
      <c r="L158" s="11">
        <f>VLOOKUP(IF(B158="Pensioner",C158,Assumptions!$B$10),Mortality!$A$2:$E$104,5,FALSE)</f>
        <v>13.418448528291036</v>
      </c>
      <c r="M158" s="11">
        <f>1+Assumptions!$B$13*Assumptions!$B$14*Assumptions!$B$15</f>
        <v>1.3187500000000001</v>
      </c>
      <c r="N158" s="11">
        <f>IF(B158="Pensioner",1,1/(1+Assumptions!$B$6)^G158)</f>
        <v>1</v>
      </c>
      <c r="O158" s="17">
        <f t="shared" si="2"/>
        <v>6140365.9118492799</v>
      </c>
    </row>
    <row r="159" spans="1:15">
      <c r="A159" s="13" t="str">
        <f>Members!A159</f>
        <v>A0386</v>
      </c>
      <c r="B159" s="13" t="str">
        <f>Members!B159</f>
        <v>Active</v>
      </c>
      <c r="C159" s="13">
        <f>Members!C159</f>
        <v>56</v>
      </c>
      <c r="D159" s="14">
        <f>Members!D159</f>
        <v>28.6</v>
      </c>
      <c r="E159" s="16">
        <f>Members!E159</f>
        <v>1579000</v>
      </c>
      <c r="F159" s="16">
        <f>Members!F159</f>
        <v>0</v>
      </c>
      <c r="G159" s="15">
        <f>MAX(0,Assumptions!$B$10-C159)</f>
        <v>4</v>
      </c>
      <c r="H159" s="17">
        <f>IF(B159="Active",E159*(1+Assumptions!$B$7)^G159,E159)</f>
        <v>1956104.1233368746</v>
      </c>
      <c r="I159" s="17">
        <f>IF(B159="Active",MIN(Assumptions!$B$12,D159+G159),IF(B159="Deferred",MIN(Assumptions!$B$12,D159),D159))</f>
        <v>32.6</v>
      </c>
      <c r="J159" s="17">
        <f>IF(B159="Active",H159*I159*Assumptions!$B$11,IF(B159="Deferred",E159*I159*Assumptions!$B$11*(1+Assumptions!$B$9)^G159,F159))</f>
        <v>1062816.5736797019</v>
      </c>
      <c r="K159" s="11">
        <f>IF(B159="Pensioner",1,VLOOKUP(Assumptions!$B$10,Mortality!$A$2:$F$104,6,FALSE)/VLOOKUP(C159,Mortality!$A$2:$F$104,6,FALSE))</f>
        <v>0.99011625581042195</v>
      </c>
      <c r="L159" s="11">
        <f>VLOOKUP(IF(B159="Pensioner",C159,Assumptions!$B$10),Mortality!$A$2:$E$104,5,FALSE)</f>
        <v>17.296790022132885</v>
      </c>
      <c r="M159" s="11">
        <f>1+Assumptions!$B$13*Assumptions!$B$14*Assumptions!$B$15</f>
        <v>1.3187500000000001</v>
      </c>
      <c r="N159" s="11">
        <f>IF(B159="Pensioner",1,1/(1+Assumptions!$B$6)^G159)</f>
        <v>0.77732309089481699</v>
      </c>
      <c r="O159" s="17">
        <f t="shared" si="2"/>
        <v>18658385.590058777</v>
      </c>
    </row>
    <row r="160" spans="1:15">
      <c r="A160" s="13" t="str">
        <f>Members!A160</f>
        <v>A0452</v>
      </c>
      <c r="B160" s="13" t="str">
        <f>Members!B160</f>
        <v>Active</v>
      </c>
      <c r="C160" s="13">
        <f>Members!C160</f>
        <v>44</v>
      </c>
      <c r="D160" s="14">
        <f>Members!D160</f>
        <v>6.7</v>
      </c>
      <c r="E160" s="16">
        <f>Members!E160</f>
        <v>1263000</v>
      </c>
      <c r="F160" s="16">
        <f>Members!F160</f>
        <v>0</v>
      </c>
      <c r="G160" s="15">
        <f>MAX(0,Assumptions!$B$10-C160)</f>
        <v>16</v>
      </c>
      <c r="H160" s="17">
        <f>IF(B160="Active",E160*(1+Assumptions!$B$7)^G160,E160)</f>
        <v>2974696.7892298396</v>
      </c>
      <c r="I160" s="17">
        <f>IF(B160="Active",MIN(Assumptions!$B$12,D160+G160),IF(B160="Deferred",MIN(Assumptions!$B$12,D160),D160))</f>
        <v>22.7</v>
      </c>
      <c r="J160" s="17">
        <f>IF(B160="Active",H160*I160*Assumptions!$B$11,IF(B160="Deferred",E160*I160*Assumptions!$B$11*(1+Assumptions!$B$9)^G160,F160))</f>
        <v>1125426.9519252894</v>
      </c>
      <c r="K160" s="11">
        <f>IF(B160="Pensioner",1,VLOOKUP(Assumptions!$B$10,Mortality!$A$2:$F$104,6,FALSE)/VLOOKUP(C160,Mortality!$A$2:$F$104,6,FALSE))</f>
        <v>0.97626822121787327</v>
      </c>
      <c r="L160" s="11">
        <f>VLOOKUP(IF(B160="Pensioner",C160,Assumptions!$B$10),Mortality!$A$2:$E$104,5,FALSE)</f>
        <v>17.296790022132885</v>
      </c>
      <c r="M160" s="11">
        <f>1+Assumptions!$B$13*Assumptions!$B$14*Assumptions!$B$15</f>
        <v>1.3187500000000001</v>
      </c>
      <c r="N160" s="11">
        <f>IF(B160="Pensioner",1,1/(1+Assumptions!$B$6)^G160)</f>
        <v>0.36509532811475648</v>
      </c>
      <c r="O160" s="17">
        <f t="shared" si="2"/>
        <v>9149992.2388453204</v>
      </c>
    </row>
    <row r="161" spans="1:15">
      <c r="A161" s="13" t="str">
        <f>Members!A161</f>
        <v>A0425</v>
      </c>
      <c r="B161" s="13" t="str">
        <f>Members!B161</f>
        <v>Active</v>
      </c>
      <c r="C161" s="13">
        <f>Members!C161</f>
        <v>47</v>
      </c>
      <c r="D161" s="14">
        <f>Members!D161</f>
        <v>16.3</v>
      </c>
      <c r="E161" s="16">
        <f>Members!E161</f>
        <v>995000</v>
      </c>
      <c r="F161" s="16">
        <f>Members!F161</f>
        <v>0</v>
      </c>
      <c r="G161" s="15">
        <f>MAX(0,Assumptions!$B$10-C161)</f>
        <v>13</v>
      </c>
      <c r="H161" s="17">
        <f>IF(B161="Active",E161*(1+Assumptions!$B$7)^G161,E161)</f>
        <v>1995745.027988374</v>
      </c>
      <c r="I161" s="17">
        <f>IF(B161="Active",MIN(Assumptions!$B$12,D161+G161),IF(B161="Deferred",MIN(Assumptions!$B$12,D161),D161))</f>
        <v>29.3</v>
      </c>
      <c r="J161" s="17">
        <f>IF(B161="Active",H161*I161*Assumptions!$B$11,IF(B161="Deferred",E161*I161*Assumptions!$B$11*(1+Assumptions!$B$9)^G161,F161))</f>
        <v>974588.82200098934</v>
      </c>
      <c r="K161" s="11">
        <f>IF(B161="Pensioner",1,VLOOKUP(Assumptions!$B$10,Mortality!$A$2:$F$104,6,FALSE)/VLOOKUP(C161,Mortality!$A$2:$F$104,6,FALSE))</f>
        <v>0.97844516757479894</v>
      </c>
      <c r="L161" s="11">
        <f>VLOOKUP(IF(B161="Pensioner",C161,Assumptions!$B$10),Mortality!$A$2:$E$104,5,FALSE)</f>
        <v>17.296790022132885</v>
      </c>
      <c r="M161" s="11">
        <f>1+Assumptions!$B$13*Assumptions!$B$14*Assumptions!$B$15</f>
        <v>1.3187500000000001</v>
      </c>
      <c r="N161" s="11">
        <f>IF(B161="Pensioner",1,1/(1+Assumptions!$B$6)^G161)</f>
        <v>0.44101676468547191</v>
      </c>
      <c r="O161" s="17">
        <f t="shared" si="2"/>
        <v>9592703.1093259417</v>
      </c>
    </row>
    <row r="162" spans="1:15">
      <c r="A162" s="13" t="str">
        <f>Members!A162</f>
        <v>D0115</v>
      </c>
      <c r="B162" s="13" t="str">
        <f>Members!B162</f>
        <v>Deferred</v>
      </c>
      <c r="C162" s="13">
        <f>Members!C162</f>
        <v>43</v>
      </c>
      <c r="D162" s="14">
        <f>Members!D162</f>
        <v>16.100000000000001</v>
      </c>
      <c r="E162" s="16">
        <f>Members!E162</f>
        <v>821000</v>
      </c>
      <c r="F162" s="16">
        <f>Members!F162</f>
        <v>0</v>
      </c>
      <c r="G162" s="15">
        <f>MAX(0,Assumptions!$B$10-C162)</f>
        <v>17</v>
      </c>
      <c r="H162" s="17">
        <f>IF(B162="Active",E162*(1+Assumptions!$B$7)^G162,E162)</f>
        <v>821000</v>
      </c>
      <c r="I162" s="17">
        <f>IF(B162="Active",MIN(Assumptions!$B$12,D162+G162),IF(B162="Deferred",MIN(Assumptions!$B$12,D162),D162))</f>
        <v>16.100000000000001</v>
      </c>
      <c r="J162" s="17">
        <f>IF(B162="Active",H162*I162*Assumptions!$B$11,IF(B162="Deferred",E162*I162*Assumptions!$B$11*(1+Assumptions!$B$9)^G162,F162))</f>
        <v>429125.72567187477</v>
      </c>
      <c r="K162" s="11">
        <f>IF(B162="Pensioner",1,VLOOKUP(Assumptions!$B$10,Mortality!$A$2:$F$104,6,FALSE)/VLOOKUP(C162,Mortality!$A$2:$F$104,6,FALSE))</f>
        <v>0.97565175842493801</v>
      </c>
      <c r="L162" s="11">
        <f>VLOOKUP(IF(B162="Pensioner",C162,Assumptions!$B$10),Mortality!$A$2:$E$104,5,FALSE)</f>
        <v>17.296790022132885</v>
      </c>
      <c r="M162" s="11">
        <f>1+Assumptions!$B$13*Assumptions!$B$14*Assumptions!$B$15</f>
        <v>1.3187500000000001</v>
      </c>
      <c r="N162" s="11">
        <f>IF(B162="Pensioner",1,1/(1+Assumptions!$B$6)^G162)</f>
        <v>0.34281251466174323</v>
      </c>
      <c r="O162" s="17">
        <f t="shared" si="2"/>
        <v>3273889.6441484406</v>
      </c>
    </row>
    <row r="163" spans="1:15">
      <c r="A163" s="13" t="str">
        <f>Members!A163</f>
        <v>A0316</v>
      </c>
      <c r="B163" s="13" t="str">
        <f>Members!B163</f>
        <v>Active</v>
      </c>
      <c r="C163" s="13">
        <f>Members!C163</f>
        <v>42</v>
      </c>
      <c r="D163" s="14">
        <f>Members!D163</f>
        <v>5.6</v>
      </c>
      <c r="E163" s="16">
        <f>Members!E163</f>
        <v>794000</v>
      </c>
      <c r="F163" s="16">
        <f>Members!F163</f>
        <v>0</v>
      </c>
      <c r="G163" s="15">
        <f>MAX(0,Assumptions!$B$10-C163)</f>
        <v>18</v>
      </c>
      <c r="H163" s="17">
        <f>IF(B163="Active",E163*(1+Assumptions!$B$7)^G163,E163)</f>
        <v>2081444.2151251293</v>
      </c>
      <c r="I163" s="17">
        <f>IF(B163="Active",MIN(Assumptions!$B$12,D163+G163),IF(B163="Deferred",MIN(Assumptions!$B$12,D163),D163))</f>
        <v>23.6</v>
      </c>
      <c r="J163" s="17">
        <f>IF(B163="Active",H163*I163*Assumptions!$B$11,IF(B163="Deferred",E163*I163*Assumptions!$B$11*(1+Assumptions!$B$9)^G163,F163))</f>
        <v>818701.39128255087</v>
      </c>
      <c r="K163" s="11">
        <f>IF(B163="Pensioner",1,VLOOKUP(Assumptions!$B$10,Mortality!$A$2:$F$104,6,FALSE)/VLOOKUP(C163,Mortality!$A$2:$F$104,6,FALSE))</f>
        <v>0.97507997078383857</v>
      </c>
      <c r="L163" s="11">
        <f>VLOOKUP(IF(B163="Pensioner",C163,Assumptions!$B$10),Mortality!$A$2:$E$104,5,FALSE)</f>
        <v>17.296790022132885</v>
      </c>
      <c r="M163" s="11">
        <f>1+Assumptions!$B$13*Assumptions!$B$14*Assumptions!$B$15</f>
        <v>1.3187500000000001</v>
      </c>
      <c r="N163" s="11">
        <f>IF(B163="Pensioner",1,1/(1+Assumptions!$B$6)^G163)</f>
        <v>0.32188968512839738</v>
      </c>
      <c r="O163" s="17">
        <f t="shared" si="2"/>
        <v>5861392.5772118298</v>
      </c>
    </row>
    <row r="164" spans="1:15">
      <c r="A164" s="13" t="str">
        <f>Members!A164</f>
        <v>A0280</v>
      </c>
      <c r="B164" s="13" t="str">
        <f>Members!B164</f>
        <v>Active</v>
      </c>
      <c r="C164" s="13">
        <f>Members!C164</f>
        <v>47</v>
      </c>
      <c r="D164" s="14">
        <f>Members!D164</f>
        <v>20.3</v>
      </c>
      <c r="E164" s="16">
        <f>Members!E164</f>
        <v>1432000</v>
      </c>
      <c r="F164" s="16">
        <f>Members!F164</f>
        <v>0</v>
      </c>
      <c r="G164" s="15">
        <f>MAX(0,Assumptions!$B$10-C164)</f>
        <v>13</v>
      </c>
      <c r="H164" s="17">
        <f>IF(B164="Active",E164*(1+Assumptions!$B$7)^G164,E164)</f>
        <v>2872268.2211852781</v>
      </c>
      <c r="I164" s="17">
        <f>IF(B164="Active",MIN(Assumptions!$B$12,D164+G164),IF(B164="Deferred",MIN(Assumptions!$B$12,D164),D164))</f>
        <v>33.299999999999997</v>
      </c>
      <c r="J164" s="17">
        <f>IF(B164="Active",H164*I164*Assumptions!$B$11,IF(B164="Deferred",E164*I164*Assumptions!$B$11*(1+Assumptions!$B$9)^G164,F164))</f>
        <v>1594108.8627578293</v>
      </c>
      <c r="K164" s="11">
        <f>IF(B164="Pensioner",1,VLOOKUP(Assumptions!$B$10,Mortality!$A$2:$F$104,6,FALSE)/VLOOKUP(C164,Mortality!$A$2:$F$104,6,FALSE))</f>
        <v>0.97844516757479894</v>
      </c>
      <c r="L164" s="11">
        <f>VLOOKUP(IF(B164="Pensioner",C164,Assumptions!$B$10),Mortality!$A$2:$E$104,5,FALSE)</f>
        <v>17.296790022132885</v>
      </c>
      <c r="M164" s="11">
        <f>1+Assumptions!$B$13*Assumptions!$B$14*Assumptions!$B$15</f>
        <v>1.3187500000000001</v>
      </c>
      <c r="N164" s="11">
        <f>IF(B164="Pensioner",1,1/(1+Assumptions!$B$6)^G164)</f>
        <v>0.44101676468547191</v>
      </c>
      <c r="O164" s="17">
        <f t="shared" si="2"/>
        <v>15690527.840227526</v>
      </c>
    </row>
    <row r="165" spans="1:15">
      <c r="A165" s="13" t="str">
        <f>Members!A165</f>
        <v>A0511</v>
      </c>
      <c r="B165" s="13" t="str">
        <f>Members!B165</f>
        <v>Active</v>
      </c>
      <c r="C165" s="13">
        <f>Members!C165</f>
        <v>48</v>
      </c>
      <c r="D165" s="14">
        <f>Members!D165</f>
        <v>7.9</v>
      </c>
      <c r="E165" s="16">
        <f>Members!E165</f>
        <v>1218000</v>
      </c>
      <c r="F165" s="16">
        <f>Members!F165</f>
        <v>0</v>
      </c>
      <c r="G165" s="15">
        <f>MAX(0,Assumptions!$B$10-C165)</f>
        <v>12</v>
      </c>
      <c r="H165" s="17">
        <f>IF(B165="Active",E165*(1+Assumptions!$B$7)^G165,E165)</f>
        <v>2315670.7176544713</v>
      </c>
      <c r="I165" s="17">
        <f>IF(B165="Active",MIN(Assumptions!$B$12,D165+G165),IF(B165="Deferred",MIN(Assumptions!$B$12,D165),D165))</f>
        <v>19.899999999999999</v>
      </c>
      <c r="J165" s="17">
        <f>IF(B165="Active",H165*I165*Assumptions!$B$11,IF(B165="Deferred",E165*I165*Assumptions!$B$11*(1+Assumptions!$B$9)^G165,F165))</f>
        <v>768030.78802206623</v>
      </c>
      <c r="K165" s="11">
        <f>IF(B165="Pensioner",1,VLOOKUP(Assumptions!$B$10,Mortality!$A$2:$F$104,6,FALSE)/VLOOKUP(C165,Mortality!$A$2:$F$104,6,FALSE))</f>
        <v>0.97930374297365907</v>
      </c>
      <c r="L165" s="11">
        <f>VLOOKUP(IF(B165="Pensioner",C165,Assumptions!$B$10),Mortality!$A$2:$E$104,5,FALSE)</f>
        <v>17.296790022132885</v>
      </c>
      <c r="M165" s="11">
        <f>1+Assumptions!$B$13*Assumptions!$B$14*Assumptions!$B$15</f>
        <v>1.3187500000000001</v>
      </c>
      <c r="N165" s="11">
        <f>IF(B165="Pensioner",1,1/(1+Assumptions!$B$6)^G165)</f>
        <v>0.4696828543900276</v>
      </c>
      <c r="O165" s="17">
        <f t="shared" si="2"/>
        <v>8058027.3467315407</v>
      </c>
    </row>
    <row r="166" spans="1:15">
      <c r="A166" s="13" t="str">
        <f>Members!A166</f>
        <v>A0349</v>
      </c>
      <c r="B166" s="13" t="str">
        <f>Members!B166</f>
        <v>Active</v>
      </c>
      <c r="C166" s="13">
        <f>Members!C166</f>
        <v>55</v>
      </c>
      <c r="D166" s="14">
        <f>Members!D166</f>
        <v>4.2</v>
      </c>
      <c r="E166" s="16">
        <f>Members!E166</f>
        <v>1735000</v>
      </c>
      <c r="F166" s="16">
        <f>Members!F166</f>
        <v>0</v>
      </c>
      <c r="G166" s="15">
        <f>MAX(0,Assumptions!$B$10-C166)</f>
        <v>5</v>
      </c>
      <c r="H166" s="17">
        <f>IF(B166="Active",E166*(1+Assumptions!$B$7)^G166,E166)</f>
        <v>2267575.611120265</v>
      </c>
      <c r="I166" s="17">
        <f>IF(B166="Active",MIN(Assumptions!$B$12,D166+G166),IF(B166="Deferred",MIN(Assumptions!$B$12,D166),D166))</f>
        <v>9.1999999999999993</v>
      </c>
      <c r="J166" s="17">
        <f>IF(B166="Active",H166*I166*Assumptions!$B$11,IF(B166="Deferred",E166*I166*Assumptions!$B$11*(1+Assumptions!$B$9)^G166,F166))</f>
        <v>347694.9270384406</v>
      </c>
      <c r="K166" s="11">
        <f>IF(B166="Pensioner",1,VLOOKUP(Assumptions!$B$10,Mortality!$A$2:$F$104,6,FALSE)/VLOOKUP(C166,Mortality!$A$2:$F$104,6,FALSE))</f>
        <v>0.98824190874991746</v>
      </c>
      <c r="L166" s="11">
        <f>VLOOKUP(IF(B166="Pensioner",C166,Assumptions!$B$10),Mortality!$A$2:$E$104,5,FALSE)</f>
        <v>17.296790022132885</v>
      </c>
      <c r="M166" s="11">
        <f>1+Assumptions!$B$13*Assumptions!$B$14*Assumptions!$B$15</f>
        <v>1.3187500000000001</v>
      </c>
      <c r="N166" s="11">
        <f>IF(B166="Pensioner",1,1/(1+Assumptions!$B$6)^G166)</f>
        <v>0.72988083652095492</v>
      </c>
      <c r="O166" s="17">
        <f t="shared" si="2"/>
        <v>5720599.8252595142</v>
      </c>
    </row>
    <row r="167" spans="1:15">
      <c r="A167" s="13" t="str">
        <f>Members!A167</f>
        <v>P0013</v>
      </c>
      <c r="B167" s="13" t="str">
        <f>Members!B167</f>
        <v>Pensioner</v>
      </c>
      <c r="C167" s="13">
        <f>Members!C167</f>
        <v>66</v>
      </c>
      <c r="D167" s="14">
        <f>Members!D167</f>
        <v>35.799999999999997</v>
      </c>
      <c r="E167" s="16">
        <f>Members!E167</f>
        <v>0</v>
      </c>
      <c r="F167" s="16">
        <f>Members!F167</f>
        <v>255000</v>
      </c>
      <c r="G167" s="15">
        <f>MAX(0,Assumptions!$B$10-C167)</f>
        <v>0</v>
      </c>
      <c r="H167" s="17">
        <f>IF(B167="Active",E167*(1+Assumptions!$B$7)^G167,E167)</f>
        <v>0</v>
      </c>
      <c r="I167" s="17">
        <f>IF(B167="Active",MIN(Assumptions!$B$12,D167+G167),IF(B167="Deferred",MIN(Assumptions!$B$12,D167),D167))</f>
        <v>35.799999999999997</v>
      </c>
      <c r="J167" s="17">
        <f>IF(B167="Active",H167*I167*Assumptions!$B$11,IF(B167="Deferred",E167*I167*Assumptions!$B$11*(1+Assumptions!$B$9)^G167,F167))</f>
        <v>255000</v>
      </c>
      <c r="K167" s="11">
        <f>IF(B167="Pensioner",1,VLOOKUP(Assumptions!$B$10,Mortality!$A$2:$F$104,6,FALSE)/VLOOKUP(C167,Mortality!$A$2:$F$104,6,FALSE))</f>
        <v>1</v>
      </c>
      <c r="L167" s="11">
        <f>VLOOKUP(IF(B167="Pensioner",C167,Assumptions!$B$10),Mortality!$A$2:$E$104,5,FALSE)</f>
        <v>14.759005103694845</v>
      </c>
      <c r="M167" s="11">
        <f>1+Assumptions!$B$13*Assumptions!$B$14*Assumptions!$B$15</f>
        <v>1.3187500000000001</v>
      </c>
      <c r="N167" s="11">
        <f>IF(B167="Pensioner",1,1/(1+Assumptions!$B$6)^G167)</f>
        <v>1</v>
      </c>
      <c r="O167" s="17">
        <f t="shared" si="2"/>
        <v>4963176.6850268822</v>
      </c>
    </row>
    <row r="168" spans="1:15">
      <c r="A168" s="13" t="str">
        <f>Members!A168</f>
        <v>D0072</v>
      </c>
      <c r="B168" s="13" t="str">
        <f>Members!B168</f>
        <v>Deferred</v>
      </c>
      <c r="C168" s="13">
        <f>Members!C168</f>
        <v>30</v>
      </c>
      <c r="D168" s="14">
        <f>Members!D168</f>
        <v>2.7</v>
      </c>
      <c r="E168" s="16">
        <f>Members!E168</f>
        <v>383000</v>
      </c>
      <c r="F168" s="16">
        <f>Members!F168</f>
        <v>0</v>
      </c>
      <c r="G168" s="15">
        <f>MAX(0,Assumptions!$B$10-C168)</f>
        <v>30</v>
      </c>
      <c r="H168" s="17">
        <f>IF(B168="Active",E168*(1+Assumptions!$B$7)^G168,E168)</f>
        <v>383000</v>
      </c>
      <c r="I168" s="17">
        <f>IF(B168="Active",MIN(Assumptions!$B$12,D168+G168),IF(B168="Deferred",MIN(Assumptions!$B$12,D168),D168))</f>
        <v>2.7</v>
      </c>
      <c r="J168" s="17">
        <f>IF(B168="Active",H168*I168*Assumptions!$B$11,IF(B168="Deferred",E168*I168*Assumptions!$B$11*(1+Assumptions!$B$9)^G168,F168))</f>
        <v>55899.956085324695</v>
      </c>
      <c r="K168" s="11">
        <f>IF(B168="Pensioner",1,VLOOKUP(Assumptions!$B$10,Mortality!$A$2:$F$104,6,FALSE)/VLOOKUP(C168,Mortality!$A$2:$F$104,6,FALSE))</f>
        <v>0.97034568803187526</v>
      </c>
      <c r="L168" s="11">
        <f>VLOOKUP(IF(B168="Pensioner",C168,Assumptions!$B$10),Mortality!$A$2:$E$104,5,FALSE)</f>
        <v>17.296790022132885</v>
      </c>
      <c r="M168" s="11">
        <f>1+Assumptions!$B$13*Assumptions!$B$14*Assumptions!$B$15</f>
        <v>1.3187500000000001</v>
      </c>
      <c r="N168" s="11">
        <f>IF(B168="Pensioner",1,1/(1+Assumptions!$B$6)^G168)</f>
        <v>0.15118606610981289</v>
      </c>
      <c r="O168" s="17">
        <f t="shared" si="2"/>
        <v>187058.60862240367</v>
      </c>
    </row>
    <row r="169" spans="1:15">
      <c r="A169" s="13" t="str">
        <f>Members!A169</f>
        <v>P0160</v>
      </c>
      <c r="B169" s="13" t="str">
        <f>Members!B169</f>
        <v>Pensioner</v>
      </c>
      <c r="C169" s="13">
        <f>Members!C169</f>
        <v>89</v>
      </c>
      <c r="D169" s="14">
        <f>Members!D169</f>
        <v>36.6</v>
      </c>
      <c r="E169" s="16">
        <f>Members!E169</f>
        <v>0</v>
      </c>
      <c r="F169" s="16">
        <f>Members!F169</f>
        <v>791000</v>
      </c>
      <c r="G169" s="15">
        <f>MAX(0,Assumptions!$B$10-C169)</f>
        <v>0</v>
      </c>
      <c r="H169" s="17">
        <f>IF(B169="Active",E169*(1+Assumptions!$B$7)^G169,E169)</f>
        <v>0</v>
      </c>
      <c r="I169" s="17">
        <f>IF(B169="Active",MIN(Assumptions!$B$12,D169+G169),IF(B169="Deferred",MIN(Assumptions!$B$12,D169),D169))</f>
        <v>36.6</v>
      </c>
      <c r="J169" s="17">
        <f>IF(B169="Active",H169*I169*Assumptions!$B$11,IF(B169="Deferred",E169*I169*Assumptions!$B$11*(1+Assumptions!$B$9)^G169,F169))</f>
        <v>791000</v>
      </c>
      <c r="K169" s="11">
        <f>IF(B169="Pensioner",1,VLOOKUP(Assumptions!$B$10,Mortality!$A$2:$F$104,6,FALSE)/VLOOKUP(C169,Mortality!$A$2:$F$104,6,FALSE))</f>
        <v>1</v>
      </c>
      <c r="L169" s="11">
        <f>VLOOKUP(IF(B169="Pensioner",C169,Assumptions!$B$10),Mortality!$A$2:$E$104,5,FALSE)</f>
        <v>4.6715821823893648</v>
      </c>
      <c r="M169" s="11">
        <f>1+Assumptions!$B$13*Assumptions!$B$14*Assumptions!$B$15</f>
        <v>1.3187500000000001</v>
      </c>
      <c r="N169" s="11">
        <f>IF(B169="Pensioner",1,1/(1+Assumptions!$B$6)^G169)</f>
        <v>1</v>
      </c>
      <c r="O169" s="17">
        <f t="shared" si="2"/>
        <v>4873073.3613935467</v>
      </c>
    </row>
    <row r="170" spans="1:15">
      <c r="A170" s="13" t="str">
        <f>Members!A170</f>
        <v>P0178</v>
      </c>
      <c r="B170" s="13" t="str">
        <f>Members!B170</f>
        <v>Pensioner</v>
      </c>
      <c r="C170" s="13">
        <f>Members!C170</f>
        <v>85</v>
      </c>
      <c r="D170" s="14">
        <f>Members!D170</f>
        <v>37.200000000000003</v>
      </c>
      <c r="E170" s="16">
        <f>Members!E170</f>
        <v>0</v>
      </c>
      <c r="F170" s="16">
        <f>Members!F170</f>
        <v>308000</v>
      </c>
      <c r="G170" s="15">
        <f>MAX(0,Assumptions!$B$10-C170)</f>
        <v>0</v>
      </c>
      <c r="H170" s="17">
        <f>IF(B170="Active",E170*(1+Assumptions!$B$7)^G170,E170)</f>
        <v>0</v>
      </c>
      <c r="I170" s="17">
        <f>IF(B170="Active",MIN(Assumptions!$B$12,D170+G170),IF(B170="Deferred",MIN(Assumptions!$B$12,D170),D170))</f>
        <v>37.200000000000003</v>
      </c>
      <c r="J170" s="17">
        <f>IF(B170="Active",H170*I170*Assumptions!$B$11,IF(B170="Deferred",E170*I170*Assumptions!$B$11*(1+Assumptions!$B$9)^G170,F170))</f>
        <v>308000</v>
      </c>
      <c r="K170" s="11">
        <f>IF(B170="Pensioner",1,VLOOKUP(Assumptions!$B$10,Mortality!$A$2:$F$104,6,FALSE)/VLOOKUP(C170,Mortality!$A$2:$F$104,6,FALSE))</f>
        <v>1</v>
      </c>
      <c r="L170" s="11">
        <f>VLOOKUP(IF(B170="Pensioner",C170,Assumptions!$B$10),Mortality!$A$2:$E$104,5,FALSE)</f>
        <v>6.2282827560748935</v>
      </c>
      <c r="M170" s="11">
        <f>1+Assumptions!$B$13*Assumptions!$B$14*Assumptions!$B$15</f>
        <v>1.3187500000000001</v>
      </c>
      <c r="N170" s="11">
        <f>IF(B170="Pensioner",1,1/(1+Assumptions!$B$6)^G170)</f>
        <v>1</v>
      </c>
      <c r="O170" s="17">
        <f t="shared" si="2"/>
        <v>2529772.7484487202</v>
      </c>
    </row>
    <row r="171" spans="1:15">
      <c r="A171" s="13" t="str">
        <f>Members!A171</f>
        <v>A0066</v>
      </c>
      <c r="B171" s="13" t="str">
        <f>Members!B171</f>
        <v>Active</v>
      </c>
      <c r="C171" s="13">
        <f>Members!C171</f>
        <v>34</v>
      </c>
      <c r="D171" s="14">
        <f>Members!D171</f>
        <v>9.8000000000000007</v>
      </c>
      <c r="E171" s="16">
        <f>Members!E171</f>
        <v>828000</v>
      </c>
      <c r="F171" s="16">
        <f>Members!F171</f>
        <v>0</v>
      </c>
      <c r="G171" s="15">
        <f>MAX(0,Assumptions!$B$10-C171)</f>
        <v>26</v>
      </c>
      <c r="H171" s="17">
        <f>IF(B171="Active",E171*(1+Assumptions!$B$7)^G171,E171)</f>
        <v>3331150.75221432</v>
      </c>
      <c r="I171" s="17">
        <f>IF(B171="Active",MIN(Assumptions!$B$12,D171+G171),IF(B171="Deferred",MIN(Assumptions!$B$12,D171),D171))</f>
        <v>35.799999999999997</v>
      </c>
      <c r="J171" s="17">
        <f>IF(B171="Active",H171*I171*Assumptions!$B$11,IF(B171="Deferred",E171*I171*Assumptions!$B$11*(1+Assumptions!$B$9)^G171,F171))</f>
        <v>1987586.6154878775</v>
      </c>
      <c r="K171" s="11">
        <f>IF(B171="Pensioner",1,VLOOKUP(Assumptions!$B$10,Mortality!$A$2:$F$104,6,FALSE)/VLOOKUP(C171,Mortality!$A$2:$F$104,6,FALSE))</f>
        <v>0.97162058192333911</v>
      </c>
      <c r="L171" s="11">
        <f>VLOOKUP(IF(B171="Pensioner",C171,Assumptions!$B$10),Mortality!$A$2:$E$104,5,FALSE)</f>
        <v>17.296790022132885</v>
      </c>
      <c r="M171" s="11">
        <f>1+Assumptions!$B$13*Assumptions!$B$14*Assumptions!$B$15</f>
        <v>1.3187500000000001</v>
      </c>
      <c r="N171" s="11">
        <f>IF(B171="Pensioner",1,1/(1+Assumptions!$B$6)^G171)</f>
        <v>0.19449578673364096</v>
      </c>
      <c r="O171" s="17">
        <f t="shared" si="2"/>
        <v>8567634.9382215887</v>
      </c>
    </row>
    <row r="172" spans="1:15">
      <c r="A172" s="13" t="str">
        <f>Members!A172</f>
        <v>A0264</v>
      </c>
      <c r="B172" s="13" t="str">
        <f>Members!B172</f>
        <v>Active</v>
      </c>
      <c r="C172" s="13">
        <f>Members!C172</f>
        <v>57</v>
      </c>
      <c r="D172" s="14">
        <f>Members!D172</f>
        <v>15.8</v>
      </c>
      <c r="E172" s="16">
        <f>Members!E172</f>
        <v>1920000</v>
      </c>
      <c r="F172" s="16">
        <f>Members!F172</f>
        <v>0</v>
      </c>
      <c r="G172" s="15">
        <f>MAX(0,Assumptions!$B$10-C172)</f>
        <v>3</v>
      </c>
      <c r="H172" s="17">
        <f>IF(B172="Active",E172*(1+Assumptions!$B$7)^G172,E172)</f>
        <v>2254543.4399999995</v>
      </c>
      <c r="I172" s="17">
        <f>IF(B172="Active",MIN(Assumptions!$B$12,D172+G172),IF(B172="Deferred",MIN(Assumptions!$B$12,D172),D172))</f>
        <v>18.8</v>
      </c>
      <c r="J172" s="17">
        <f>IF(B172="Active",H172*I172*Assumptions!$B$11,IF(B172="Deferred",E172*I172*Assumptions!$B$11*(1+Assumptions!$B$9)^G172,F172))</f>
        <v>706423.61119999981</v>
      </c>
      <c r="K172" s="11">
        <f>IF(B172="Pensioner",1,VLOOKUP(Assumptions!$B$10,Mortality!$A$2:$F$104,6,FALSE)/VLOOKUP(C172,Mortality!$A$2:$F$104,6,FALSE))</f>
        <v>0.99220038929214172</v>
      </c>
      <c r="L172" s="11">
        <f>VLOOKUP(IF(B172="Pensioner",C172,Assumptions!$B$10),Mortality!$A$2:$E$104,5,FALSE)</f>
        <v>17.296790022132885</v>
      </c>
      <c r="M172" s="11">
        <f>1+Assumptions!$B$13*Assumptions!$B$14*Assumptions!$B$15</f>
        <v>1.3187500000000001</v>
      </c>
      <c r="N172" s="11">
        <f>IF(B172="Pensioner",1,1/(1+Assumptions!$B$6)^G172)</f>
        <v>0.82784909180297994</v>
      </c>
      <c r="O172" s="17">
        <f t="shared" si="2"/>
        <v>13235603.916078899</v>
      </c>
    </row>
    <row r="173" spans="1:15">
      <c r="A173" s="13" t="str">
        <f>Members!A173</f>
        <v>A0271</v>
      </c>
      <c r="B173" s="13" t="str">
        <f>Members!B173</f>
        <v>Active</v>
      </c>
      <c r="C173" s="13">
        <f>Members!C173</f>
        <v>59</v>
      </c>
      <c r="D173" s="14">
        <f>Members!D173</f>
        <v>11.5</v>
      </c>
      <c r="E173" s="16">
        <f>Members!E173</f>
        <v>2048000</v>
      </c>
      <c r="F173" s="16">
        <f>Members!F173</f>
        <v>0</v>
      </c>
      <c r="G173" s="15">
        <f>MAX(0,Assumptions!$B$10-C173)</f>
        <v>1</v>
      </c>
      <c r="H173" s="17">
        <f>IF(B173="Active",E173*(1+Assumptions!$B$7)^G173,E173)</f>
        <v>2160640</v>
      </c>
      <c r="I173" s="17">
        <f>IF(B173="Active",MIN(Assumptions!$B$12,D173+G173),IF(B173="Deferred",MIN(Assumptions!$B$12,D173),D173))</f>
        <v>12.5</v>
      </c>
      <c r="J173" s="17">
        <f>IF(B173="Active",H173*I173*Assumptions!$B$11,IF(B173="Deferred",E173*I173*Assumptions!$B$11*(1+Assumptions!$B$9)^G173,F173))</f>
        <v>450133.33333333331</v>
      </c>
      <c r="K173" s="11">
        <f>IF(B173="Pensioner",1,VLOOKUP(Assumptions!$B$10,Mortality!$A$2:$F$104,6,FALSE)/VLOOKUP(C173,Mortality!$A$2:$F$104,6,FALSE))</f>
        <v>0.99710960118319747</v>
      </c>
      <c r="L173" s="11">
        <f>VLOOKUP(IF(B173="Pensioner",C173,Assumptions!$B$10),Mortality!$A$2:$E$104,5,FALSE)</f>
        <v>17.296790022132885</v>
      </c>
      <c r="M173" s="11">
        <f>1+Assumptions!$B$13*Assumptions!$B$14*Assumptions!$B$15</f>
        <v>1.3187500000000001</v>
      </c>
      <c r="N173" s="11">
        <f>IF(B173="Pensioner",1,1/(1+Assumptions!$B$6)^G173)</f>
        <v>0.93896713615023475</v>
      </c>
      <c r="O173" s="17">
        <f t="shared" si="2"/>
        <v>9613077.6592849493</v>
      </c>
    </row>
    <row r="174" spans="1:15">
      <c r="A174" s="13" t="str">
        <f>Members!A174</f>
        <v>P0218</v>
      </c>
      <c r="B174" s="13" t="str">
        <f>Members!B174</f>
        <v>Pensioner</v>
      </c>
      <c r="C174" s="13">
        <f>Members!C174</f>
        <v>78</v>
      </c>
      <c r="D174" s="14">
        <f>Members!D174</f>
        <v>30.2</v>
      </c>
      <c r="E174" s="16">
        <f>Members!E174</f>
        <v>0</v>
      </c>
      <c r="F174" s="16">
        <f>Members!F174</f>
        <v>356000</v>
      </c>
      <c r="G174" s="15">
        <f>MAX(0,Assumptions!$B$10-C174)</f>
        <v>0</v>
      </c>
      <c r="H174" s="17">
        <f>IF(B174="Active",E174*(1+Assumptions!$B$7)^G174,E174)</f>
        <v>0</v>
      </c>
      <c r="I174" s="17">
        <f>IF(B174="Active",MIN(Assumptions!$B$12,D174+G174),IF(B174="Deferred",MIN(Assumptions!$B$12,D174),D174))</f>
        <v>30.2</v>
      </c>
      <c r="J174" s="17">
        <f>IF(B174="Active",H174*I174*Assumptions!$B$11,IF(B174="Deferred",E174*I174*Assumptions!$B$11*(1+Assumptions!$B$9)^G174,F174))</f>
        <v>356000</v>
      </c>
      <c r="K174" s="11">
        <f>IF(B174="Pensioner",1,VLOOKUP(Assumptions!$B$10,Mortality!$A$2:$F$104,6,FALSE)/VLOOKUP(C174,Mortality!$A$2:$F$104,6,FALSE))</f>
        <v>1</v>
      </c>
      <c r="L174" s="11">
        <f>VLOOKUP(IF(B174="Pensioner",C174,Assumptions!$B$10),Mortality!$A$2:$E$104,5,FALSE)</f>
        <v>9.2847179241203879</v>
      </c>
      <c r="M174" s="11">
        <f>1+Assumptions!$B$13*Assumptions!$B$14*Assumptions!$B$15</f>
        <v>1.3187500000000001</v>
      </c>
      <c r="N174" s="11">
        <f>IF(B174="Pensioner",1,1/(1+Assumptions!$B$6)^G174)</f>
        <v>1</v>
      </c>
      <c r="O174" s="17">
        <f t="shared" si="2"/>
        <v>4358942.9474264188</v>
      </c>
    </row>
    <row r="175" spans="1:15">
      <c r="A175" s="13" t="str">
        <f>Members!A175</f>
        <v>P0005</v>
      </c>
      <c r="B175" s="13" t="str">
        <f>Members!B175</f>
        <v>Pensioner</v>
      </c>
      <c r="C175" s="13">
        <f>Members!C175</f>
        <v>86</v>
      </c>
      <c r="D175" s="14">
        <f>Members!D175</f>
        <v>18.2</v>
      </c>
      <c r="E175" s="16">
        <f>Members!E175</f>
        <v>0</v>
      </c>
      <c r="F175" s="16">
        <f>Members!F175</f>
        <v>531000</v>
      </c>
      <c r="G175" s="15">
        <f>MAX(0,Assumptions!$B$10-C175)</f>
        <v>0</v>
      </c>
      <c r="H175" s="17">
        <f>IF(B175="Active",E175*(1+Assumptions!$B$7)^G175,E175)</f>
        <v>0</v>
      </c>
      <c r="I175" s="17">
        <f>IF(B175="Active",MIN(Assumptions!$B$12,D175+G175),IF(B175="Deferred",MIN(Assumptions!$B$12,D175),D175))</f>
        <v>18.2</v>
      </c>
      <c r="J175" s="17">
        <f>IF(B175="Active",H175*I175*Assumptions!$B$11,IF(B175="Deferred",E175*I175*Assumptions!$B$11*(1+Assumptions!$B$9)^G175,F175))</f>
        <v>531000</v>
      </c>
      <c r="K175" s="11">
        <f>IF(B175="Pensioner",1,VLOOKUP(Assumptions!$B$10,Mortality!$A$2:$F$104,6,FALSE)/VLOOKUP(C175,Mortality!$A$2:$F$104,6,FALSE))</f>
        <v>1</v>
      </c>
      <c r="L175" s="11">
        <f>VLOOKUP(IF(B175="Pensioner",C175,Assumptions!$B$10),Mortality!$A$2:$E$104,5,FALSE)</f>
        <v>5.822832972912483</v>
      </c>
      <c r="M175" s="11">
        <f>1+Assumptions!$B$13*Assumptions!$B$14*Assumptions!$B$15</f>
        <v>1.3187500000000001</v>
      </c>
      <c r="N175" s="11">
        <f>IF(B175="Pensioner",1,1/(1+Assumptions!$B$6)^G175)</f>
        <v>1</v>
      </c>
      <c r="O175" s="17">
        <f t="shared" si="2"/>
        <v>4077475.181988047</v>
      </c>
    </row>
    <row r="176" spans="1:15">
      <c r="A176" s="13" t="str">
        <f>Members!A176</f>
        <v>A0582</v>
      </c>
      <c r="B176" s="13" t="str">
        <f>Members!B176</f>
        <v>Active</v>
      </c>
      <c r="C176" s="13">
        <f>Members!C176</f>
        <v>58</v>
      </c>
      <c r="D176" s="14">
        <f>Members!D176</f>
        <v>15.8</v>
      </c>
      <c r="E176" s="16">
        <f>Members!E176</f>
        <v>2255000</v>
      </c>
      <c r="F176" s="16">
        <f>Members!F176</f>
        <v>0</v>
      </c>
      <c r="G176" s="15">
        <f>MAX(0,Assumptions!$B$10-C176)</f>
        <v>2</v>
      </c>
      <c r="H176" s="17">
        <f>IF(B176="Active",E176*(1+Assumptions!$B$7)^G176,E176)</f>
        <v>2509871.375</v>
      </c>
      <c r="I176" s="17">
        <f>IF(B176="Active",MIN(Assumptions!$B$12,D176+G176),IF(B176="Deferred",MIN(Assumptions!$B$12,D176),D176))</f>
        <v>17.8</v>
      </c>
      <c r="J176" s="17">
        <f>IF(B176="Active",H176*I176*Assumptions!$B$11,IF(B176="Deferred",E176*I176*Assumptions!$B$11*(1+Assumptions!$B$9)^G176,F176))</f>
        <v>744595.17458333331</v>
      </c>
      <c r="K176" s="11">
        <f>IF(B176="Pensioner",1,VLOOKUP(Assumptions!$B$10,Mortality!$A$2:$F$104,6,FALSE)/VLOOKUP(C176,Mortality!$A$2:$F$104,6,FALSE))</f>
        <v>0.99452130442038367</v>
      </c>
      <c r="L176" s="11">
        <f>VLOOKUP(IF(B176="Pensioner",C176,Assumptions!$B$10),Mortality!$A$2:$E$104,5,FALSE)</f>
        <v>17.296790022132885</v>
      </c>
      <c r="M176" s="11">
        <f>1+Assumptions!$B$13*Assumptions!$B$14*Assumptions!$B$15</f>
        <v>1.3187500000000001</v>
      </c>
      <c r="N176" s="11">
        <f>IF(B176="Pensioner",1,1/(1+Assumptions!$B$6)^G176)</f>
        <v>0.88165928277017358</v>
      </c>
      <c r="O176" s="17">
        <f t="shared" si="2"/>
        <v>14892344.657806341</v>
      </c>
    </row>
    <row r="177" spans="1:15">
      <c r="A177" s="13" t="str">
        <f>Members!A177</f>
        <v>P0138</v>
      </c>
      <c r="B177" s="13" t="str">
        <f>Members!B177</f>
        <v>Pensioner</v>
      </c>
      <c r="C177" s="13">
        <f>Members!C177</f>
        <v>84</v>
      </c>
      <c r="D177" s="14">
        <f>Members!D177</f>
        <v>17.899999999999999</v>
      </c>
      <c r="E177" s="16">
        <f>Members!E177</f>
        <v>0</v>
      </c>
      <c r="F177" s="16">
        <f>Members!F177</f>
        <v>699000</v>
      </c>
      <c r="G177" s="15">
        <f>MAX(0,Assumptions!$B$10-C177)</f>
        <v>0</v>
      </c>
      <c r="H177" s="17">
        <f>IF(B177="Active",E177*(1+Assumptions!$B$7)^G177,E177)</f>
        <v>0</v>
      </c>
      <c r="I177" s="17">
        <f>IF(B177="Active",MIN(Assumptions!$B$12,D177+G177),IF(B177="Deferred",MIN(Assumptions!$B$12,D177),D177))</f>
        <v>17.899999999999999</v>
      </c>
      <c r="J177" s="17">
        <f>IF(B177="Active",H177*I177*Assumptions!$B$11,IF(B177="Deferred",E177*I177*Assumptions!$B$11*(1+Assumptions!$B$9)^G177,F177))</f>
        <v>699000</v>
      </c>
      <c r="K177" s="11">
        <f>IF(B177="Pensioner",1,VLOOKUP(Assumptions!$B$10,Mortality!$A$2:$F$104,6,FALSE)/VLOOKUP(C177,Mortality!$A$2:$F$104,6,FALSE))</f>
        <v>1</v>
      </c>
      <c r="L177" s="11">
        <f>VLOOKUP(IF(B177="Pensioner",C177,Assumptions!$B$10),Mortality!$A$2:$E$104,5,FALSE)</f>
        <v>6.6432720965175314</v>
      </c>
      <c r="M177" s="11">
        <f>1+Assumptions!$B$13*Assumptions!$B$14*Assumptions!$B$15</f>
        <v>1.3187500000000001</v>
      </c>
      <c r="N177" s="11">
        <f>IF(B177="Pensioner",1,1/(1+Assumptions!$B$6)^G177)</f>
        <v>1</v>
      </c>
      <c r="O177" s="17">
        <f t="shared" si="2"/>
        <v>6123809.739020464</v>
      </c>
    </row>
    <row r="178" spans="1:15">
      <c r="A178" s="13" t="str">
        <f>Members!A178</f>
        <v>P0132</v>
      </c>
      <c r="B178" s="13" t="str">
        <f>Members!B178</f>
        <v>Pensioner</v>
      </c>
      <c r="C178" s="13">
        <f>Members!C178</f>
        <v>64</v>
      </c>
      <c r="D178" s="14">
        <f>Members!D178</f>
        <v>36.299999999999997</v>
      </c>
      <c r="E178" s="16">
        <f>Members!E178</f>
        <v>0</v>
      </c>
      <c r="F178" s="16">
        <f>Members!F178</f>
        <v>150000</v>
      </c>
      <c r="G178" s="15">
        <f>MAX(0,Assumptions!$B$10-C178)</f>
        <v>0</v>
      </c>
      <c r="H178" s="17">
        <f>IF(B178="Active",E178*(1+Assumptions!$B$7)^G178,E178)</f>
        <v>0</v>
      </c>
      <c r="I178" s="17">
        <f>IF(B178="Active",MIN(Assumptions!$B$12,D178+G178),IF(B178="Deferred",MIN(Assumptions!$B$12,D178),D178))</f>
        <v>36.299999999999997</v>
      </c>
      <c r="J178" s="17">
        <f>IF(B178="Active",H178*I178*Assumptions!$B$11,IF(B178="Deferred",E178*I178*Assumptions!$B$11*(1+Assumptions!$B$9)^G178,F178))</f>
        <v>150000</v>
      </c>
      <c r="K178" s="11">
        <f>IF(B178="Pensioner",1,VLOOKUP(Assumptions!$B$10,Mortality!$A$2:$F$104,6,FALSE)/VLOOKUP(C178,Mortality!$A$2:$F$104,6,FALSE))</f>
        <v>1</v>
      </c>
      <c r="L178" s="11">
        <f>VLOOKUP(IF(B178="Pensioner",C178,Assumptions!$B$10),Mortality!$A$2:$E$104,5,FALSE)</f>
        <v>15.628758769824573</v>
      </c>
      <c r="M178" s="11">
        <f>1+Assumptions!$B$13*Assumptions!$B$14*Assumptions!$B$15</f>
        <v>1.3187500000000001</v>
      </c>
      <c r="N178" s="11">
        <f>IF(B178="Pensioner",1,1/(1+Assumptions!$B$6)^G178)</f>
        <v>1</v>
      </c>
      <c r="O178" s="17">
        <f t="shared" si="2"/>
        <v>3091563.8441559235</v>
      </c>
    </row>
    <row r="179" spans="1:15">
      <c r="A179" s="13" t="str">
        <f>Members!A179</f>
        <v>P0048</v>
      </c>
      <c r="B179" s="13" t="str">
        <f>Members!B179</f>
        <v>Pensioner</v>
      </c>
      <c r="C179" s="13">
        <f>Members!C179</f>
        <v>72</v>
      </c>
      <c r="D179" s="14">
        <f>Members!D179</f>
        <v>18</v>
      </c>
      <c r="E179" s="16">
        <f>Members!E179</f>
        <v>0</v>
      </c>
      <c r="F179" s="16">
        <f>Members!F179</f>
        <v>229000</v>
      </c>
      <c r="G179" s="15">
        <f>MAX(0,Assumptions!$B$10-C179)</f>
        <v>0</v>
      </c>
      <c r="H179" s="17">
        <f>IF(B179="Active",E179*(1+Assumptions!$B$7)^G179,E179)</f>
        <v>0</v>
      </c>
      <c r="I179" s="17">
        <f>IF(B179="Active",MIN(Assumptions!$B$12,D179+G179),IF(B179="Deferred",MIN(Assumptions!$B$12,D179),D179))</f>
        <v>18</v>
      </c>
      <c r="J179" s="17">
        <f>IF(B179="Active",H179*I179*Assumptions!$B$11,IF(B179="Deferred",E179*I179*Assumptions!$B$11*(1+Assumptions!$B$9)^G179,F179))</f>
        <v>229000</v>
      </c>
      <c r="K179" s="11">
        <f>IF(B179="Pensioner",1,VLOOKUP(Assumptions!$B$10,Mortality!$A$2:$F$104,6,FALSE)/VLOOKUP(C179,Mortality!$A$2:$F$104,6,FALSE))</f>
        <v>1</v>
      </c>
      <c r="L179" s="11">
        <f>VLOOKUP(IF(B179="Pensioner",C179,Assumptions!$B$10),Mortality!$A$2:$E$104,5,FALSE)</f>
        <v>12.047202362945457</v>
      </c>
      <c r="M179" s="11">
        <f>1+Assumptions!$B$13*Assumptions!$B$14*Assumptions!$B$15</f>
        <v>1.3187500000000001</v>
      </c>
      <c r="N179" s="11">
        <f>IF(B179="Pensioner",1,1/(1+Assumptions!$B$6)^G179)</f>
        <v>1</v>
      </c>
      <c r="O179" s="17">
        <f t="shared" si="2"/>
        <v>3638179.8185947603</v>
      </c>
    </row>
    <row r="180" spans="1:15">
      <c r="A180" s="13" t="str">
        <f>Members!A180</f>
        <v>P0129</v>
      </c>
      <c r="B180" s="13" t="str">
        <f>Members!B180</f>
        <v>Pensioner</v>
      </c>
      <c r="C180" s="13">
        <f>Members!C180</f>
        <v>86</v>
      </c>
      <c r="D180" s="14">
        <f>Members!D180</f>
        <v>22.8</v>
      </c>
      <c r="E180" s="16">
        <f>Members!E180</f>
        <v>0</v>
      </c>
      <c r="F180" s="16">
        <f>Members!F180</f>
        <v>531000</v>
      </c>
      <c r="G180" s="15">
        <f>MAX(0,Assumptions!$B$10-C180)</f>
        <v>0</v>
      </c>
      <c r="H180" s="17">
        <f>IF(B180="Active",E180*(1+Assumptions!$B$7)^G180,E180)</f>
        <v>0</v>
      </c>
      <c r="I180" s="17">
        <f>IF(B180="Active",MIN(Assumptions!$B$12,D180+G180),IF(B180="Deferred",MIN(Assumptions!$B$12,D180),D180))</f>
        <v>22.8</v>
      </c>
      <c r="J180" s="17">
        <f>IF(B180="Active",H180*I180*Assumptions!$B$11,IF(B180="Deferred",E180*I180*Assumptions!$B$11*(1+Assumptions!$B$9)^G180,F180))</f>
        <v>531000</v>
      </c>
      <c r="K180" s="11">
        <f>IF(B180="Pensioner",1,VLOOKUP(Assumptions!$B$10,Mortality!$A$2:$F$104,6,FALSE)/VLOOKUP(C180,Mortality!$A$2:$F$104,6,FALSE))</f>
        <v>1</v>
      </c>
      <c r="L180" s="11">
        <f>VLOOKUP(IF(B180="Pensioner",C180,Assumptions!$B$10),Mortality!$A$2:$E$104,5,FALSE)</f>
        <v>5.822832972912483</v>
      </c>
      <c r="M180" s="11">
        <f>1+Assumptions!$B$13*Assumptions!$B$14*Assumptions!$B$15</f>
        <v>1.3187500000000001</v>
      </c>
      <c r="N180" s="11">
        <f>IF(B180="Pensioner",1,1/(1+Assumptions!$B$6)^G180)</f>
        <v>1</v>
      </c>
      <c r="O180" s="17">
        <f t="shared" si="2"/>
        <v>4077475.181988047</v>
      </c>
    </row>
    <row r="181" spans="1:15">
      <c r="A181" s="13" t="str">
        <f>Members!A181</f>
        <v>D0014</v>
      </c>
      <c r="B181" s="13" t="str">
        <f>Members!B181</f>
        <v>Deferred</v>
      </c>
      <c r="C181" s="13">
        <f>Members!C181</f>
        <v>35</v>
      </c>
      <c r="D181" s="14">
        <f>Members!D181</f>
        <v>5</v>
      </c>
      <c r="E181" s="16">
        <f>Members!E181</f>
        <v>479000</v>
      </c>
      <c r="F181" s="16">
        <f>Members!F181</f>
        <v>0</v>
      </c>
      <c r="G181" s="15">
        <f>MAX(0,Assumptions!$B$10-C181)</f>
        <v>25</v>
      </c>
      <c r="H181" s="17">
        <f>IF(B181="Active",E181*(1+Assumptions!$B$7)^G181,E181)</f>
        <v>479000</v>
      </c>
      <c r="I181" s="17">
        <f>IF(B181="Active",MIN(Assumptions!$B$12,D181+G181),IF(B181="Deferred",MIN(Assumptions!$B$12,D181),D181))</f>
        <v>5</v>
      </c>
      <c r="J181" s="17">
        <f>IF(B181="Active",H181*I181*Assumptions!$B$11,IF(B181="Deferred",E181*I181*Assumptions!$B$11*(1+Assumptions!$B$9)^G181,F181))</f>
        <v>106411.30023187297</v>
      </c>
      <c r="K181" s="11">
        <f>IF(B181="Pensioner",1,VLOOKUP(Assumptions!$B$10,Mortality!$A$2:$F$104,6,FALSE)/VLOOKUP(C181,Mortality!$A$2:$F$104,6,FALSE))</f>
        <v>0.97197407653867529</v>
      </c>
      <c r="L181" s="11">
        <f>VLOOKUP(IF(B181="Pensioner",C181,Assumptions!$B$10),Mortality!$A$2:$E$104,5,FALSE)</f>
        <v>17.296790022132885</v>
      </c>
      <c r="M181" s="11">
        <f>1+Assumptions!$B$13*Assumptions!$B$14*Assumptions!$B$15</f>
        <v>1.3187500000000001</v>
      </c>
      <c r="N181" s="11">
        <f>IF(B181="Pensioner",1,1/(1+Assumptions!$B$6)^G181)</f>
        <v>0.20713801287132758</v>
      </c>
      <c r="O181" s="17">
        <f t="shared" si="2"/>
        <v>488686.36678714509</v>
      </c>
    </row>
    <row r="182" spans="1:15">
      <c r="A182" s="13" t="str">
        <f>Members!A182</f>
        <v>A0518</v>
      </c>
      <c r="B182" s="13" t="str">
        <f>Members!B182</f>
        <v>Active</v>
      </c>
      <c r="C182" s="13">
        <f>Members!C182</f>
        <v>42</v>
      </c>
      <c r="D182" s="14">
        <f>Members!D182</f>
        <v>12.3</v>
      </c>
      <c r="E182" s="16">
        <f>Members!E182</f>
        <v>880000</v>
      </c>
      <c r="F182" s="16">
        <f>Members!F182</f>
        <v>0</v>
      </c>
      <c r="G182" s="15">
        <f>MAX(0,Assumptions!$B$10-C182)</f>
        <v>18</v>
      </c>
      <c r="H182" s="17">
        <f>IF(B182="Active",E182*(1+Assumptions!$B$7)^G182,E182)</f>
        <v>2306890.3139925865</v>
      </c>
      <c r="I182" s="17">
        <f>IF(B182="Active",MIN(Assumptions!$B$12,D182+G182),IF(B182="Deferred",MIN(Assumptions!$B$12,D182),D182))</f>
        <v>30.3</v>
      </c>
      <c r="J182" s="17">
        <f>IF(B182="Active",H182*I182*Assumptions!$B$11,IF(B182="Deferred",E182*I182*Assumptions!$B$11*(1+Assumptions!$B$9)^G182,F182))</f>
        <v>1164979.608566256</v>
      </c>
      <c r="K182" s="11">
        <f>IF(B182="Pensioner",1,VLOOKUP(Assumptions!$B$10,Mortality!$A$2:$F$104,6,FALSE)/VLOOKUP(C182,Mortality!$A$2:$F$104,6,FALSE))</f>
        <v>0.97507997078383857</v>
      </c>
      <c r="L182" s="11">
        <f>VLOOKUP(IF(B182="Pensioner",C182,Assumptions!$B$10),Mortality!$A$2:$E$104,5,FALSE)</f>
        <v>17.296790022132885</v>
      </c>
      <c r="M182" s="11">
        <f>1+Assumptions!$B$13*Assumptions!$B$14*Assumptions!$B$15</f>
        <v>1.3187500000000001</v>
      </c>
      <c r="N182" s="11">
        <f>IF(B182="Pensioner",1,1/(1+Assumptions!$B$6)^G182)</f>
        <v>0.32188968512839738</v>
      </c>
      <c r="O182" s="17">
        <f t="shared" si="2"/>
        <v>8340529.1635772623</v>
      </c>
    </row>
    <row r="183" spans="1:15">
      <c r="A183" s="13" t="str">
        <f>Members!A183</f>
        <v>D0118</v>
      </c>
      <c r="B183" s="13" t="str">
        <f>Members!B183</f>
        <v>Deferred</v>
      </c>
      <c r="C183" s="13">
        <f>Members!C183</f>
        <v>37</v>
      </c>
      <c r="D183" s="14">
        <f>Members!D183</f>
        <v>5.0999999999999996</v>
      </c>
      <c r="E183" s="16">
        <f>Members!E183</f>
        <v>415000</v>
      </c>
      <c r="F183" s="16">
        <f>Members!F183</f>
        <v>0</v>
      </c>
      <c r="G183" s="15">
        <f>MAX(0,Assumptions!$B$10-C183)</f>
        <v>23</v>
      </c>
      <c r="H183" s="17">
        <f>IF(B183="Active",E183*(1+Assumptions!$B$7)^G183,E183)</f>
        <v>415000</v>
      </c>
      <c r="I183" s="17">
        <f>IF(B183="Active",MIN(Assumptions!$B$12,D183+G183),IF(B183="Deferred",MIN(Assumptions!$B$12,D183),D183))</f>
        <v>5.0999999999999996</v>
      </c>
      <c r="J183" s="17">
        <f>IF(B183="Active",H183*I183*Assumptions!$B$11,IF(B183="Deferred",E183*I183*Assumptions!$B$11*(1+Assumptions!$B$9)^G183,F183))</f>
        <v>86942.840785150547</v>
      </c>
      <c r="K183" s="11">
        <f>IF(B183="Pensioner",1,VLOOKUP(Assumptions!$B$10,Mortality!$A$2:$F$104,6,FALSE)/VLOOKUP(C183,Mortality!$A$2:$F$104,6,FALSE))</f>
        <v>0.97273561412651877</v>
      </c>
      <c r="L183" s="11">
        <f>VLOOKUP(IF(B183="Pensioner",C183,Assumptions!$B$10),Mortality!$A$2:$E$104,5,FALSE)</f>
        <v>17.296790022132885</v>
      </c>
      <c r="M183" s="11">
        <f>1+Assumptions!$B$13*Assumptions!$B$14*Assumptions!$B$15</f>
        <v>1.3187500000000001</v>
      </c>
      <c r="N183" s="11">
        <f>IF(B183="Pensioner",1,1/(1+Assumptions!$B$6)^G183)</f>
        <v>0.23494111264898151</v>
      </c>
      <c r="O183" s="17">
        <f t="shared" si="2"/>
        <v>453226.87056129077</v>
      </c>
    </row>
    <row r="184" spans="1:15">
      <c r="A184" s="13" t="str">
        <f>Members!A184</f>
        <v>P0208</v>
      </c>
      <c r="B184" s="13" t="str">
        <f>Members!B184</f>
        <v>Pensioner</v>
      </c>
      <c r="C184" s="13">
        <f>Members!C184</f>
        <v>82</v>
      </c>
      <c r="D184" s="14">
        <f>Members!D184</f>
        <v>20.5</v>
      </c>
      <c r="E184" s="16">
        <f>Members!E184</f>
        <v>0</v>
      </c>
      <c r="F184" s="16">
        <f>Members!F184</f>
        <v>518000</v>
      </c>
      <c r="G184" s="15">
        <f>MAX(0,Assumptions!$B$10-C184)</f>
        <v>0</v>
      </c>
      <c r="H184" s="17">
        <f>IF(B184="Active",E184*(1+Assumptions!$B$7)^G184,E184)</f>
        <v>0</v>
      </c>
      <c r="I184" s="17">
        <f>IF(B184="Active",MIN(Assumptions!$B$12,D184+G184),IF(B184="Deferred",MIN(Assumptions!$B$12,D184),D184))</f>
        <v>20.5</v>
      </c>
      <c r="J184" s="17">
        <f>IF(B184="Active",H184*I184*Assumptions!$B$11,IF(B184="Deferred",E184*I184*Assumptions!$B$11*(1+Assumptions!$B$9)^G184,F184))</f>
        <v>518000</v>
      </c>
      <c r="K184" s="11">
        <f>IF(B184="Pensioner",1,VLOOKUP(Assumptions!$B$10,Mortality!$A$2:$F$104,6,FALSE)/VLOOKUP(C184,Mortality!$A$2:$F$104,6,FALSE))</f>
        <v>1</v>
      </c>
      <c r="L184" s="11">
        <f>VLOOKUP(IF(B184="Pensioner",C184,Assumptions!$B$10),Mortality!$A$2:$E$104,5,FALSE)</f>
        <v>7.4984624308085976</v>
      </c>
      <c r="M184" s="11">
        <f>1+Assumptions!$B$13*Assumptions!$B$14*Assumptions!$B$15</f>
        <v>1.3187500000000001</v>
      </c>
      <c r="N184" s="11">
        <f>IF(B184="Pensioner",1,1/(1+Assumptions!$B$6)^G184)</f>
        <v>1</v>
      </c>
      <c r="O184" s="17">
        <f t="shared" si="2"/>
        <v>5122293.4172657384</v>
      </c>
    </row>
    <row r="185" spans="1:15">
      <c r="A185" s="13" t="str">
        <f>Members!A185</f>
        <v>A0208</v>
      </c>
      <c r="B185" s="13" t="str">
        <f>Members!B185</f>
        <v>Active</v>
      </c>
      <c r="C185" s="13">
        <f>Members!C185</f>
        <v>56</v>
      </c>
      <c r="D185" s="14">
        <f>Members!D185</f>
        <v>23.8</v>
      </c>
      <c r="E185" s="16">
        <f>Members!E185</f>
        <v>1452000</v>
      </c>
      <c r="F185" s="16">
        <f>Members!F185</f>
        <v>0</v>
      </c>
      <c r="G185" s="15">
        <f>MAX(0,Assumptions!$B$10-C185)</f>
        <v>4</v>
      </c>
      <c r="H185" s="17">
        <f>IF(B185="Active",E185*(1+Assumptions!$B$7)^G185,E185)</f>
        <v>1798773.3927074997</v>
      </c>
      <c r="I185" s="17">
        <f>IF(B185="Active",MIN(Assumptions!$B$12,D185+G185),IF(B185="Deferred",MIN(Assumptions!$B$12,D185),D185))</f>
        <v>27.8</v>
      </c>
      <c r="J185" s="17">
        <f>IF(B185="Active",H185*I185*Assumptions!$B$11,IF(B185="Deferred",E185*I185*Assumptions!$B$11*(1+Assumptions!$B$9)^G185,F185))</f>
        <v>833431.67195447488</v>
      </c>
      <c r="K185" s="11">
        <f>IF(B185="Pensioner",1,VLOOKUP(Assumptions!$B$10,Mortality!$A$2:$F$104,6,FALSE)/VLOOKUP(C185,Mortality!$A$2:$F$104,6,FALSE))</f>
        <v>0.99011625581042195</v>
      </c>
      <c r="L185" s="11">
        <f>VLOOKUP(IF(B185="Pensioner",C185,Assumptions!$B$10),Mortality!$A$2:$E$104,5,FALSE)</f>
        <v>17.296790022132885</v>
      </c>
      <c r="M185" s="11">
        <f>1+Assumptions!$B$13*Assumptions!$B$14*Assumptions!$B$15</f>
        <v>1.3187500000000001</v>
      </c>
      <c r="N185" s="11">
        <f>IF(B185="Pensioner",1,1/(1+Assumptions!$B$6)^G185)</f>
        <v>0.77732309089481699</v>
      </c>
      <c r="O185" s="17">
        <f t="shared" si="2"/>
        <v>14631395.372820349</v>
      </c>
    </row>
    <row r="186" spans="1:15">
      <c r="A186" s="13" t="str">
        <f>Members!A186</f>
        <v>A0614</v>
      </c>
      <c r="B186" s="13" t="str">
        <f>Members!B186</f>
        <v>Active</v>
      </c>
      <c r="C186" s="13">
        <f>Members!C186</f>
        <v>48</v>
      </c>
      <c r="D186" s="14">
        <f>Members!D186</f>
        <v>7.8</v>
      </c>
      <c r="E186" s="16">
        <f>Members!E186</f>
        <v>1366000</v>
      </c>
      <c r="F186" s="16">
        <f>Members!F186</f>
        <v>0</v>
      </c>
      <c r="G186" s="15">
        <f>MAX(0,Assumptions!$B$10-C186)</f>
        <v>12</v>
      </c>
      <c r="H186" s="17">
        <f>IF(B186="Active",E186*(1+Assumptions!$B$7)^G186,E186)</f>
        <v>2597049.4255468044</v>
      </c>
      <c r="I186" s="17">
        <f>IF(B186="Active",MIN(Assumptions!$B$12,D186+G186),IF(B186="Deferred",MIN(Assumptions!$B$12,D186),D186))</f>
        <v>19.8</v>
      </c>
      <c r="J186" s="17">
        <f>IF(B186="Active",H186*I186*Assumptions!$B$11,IF(B186="Deferred",E186*I186*Assumptions!$B$11*(1+Assumptions!$B$9)^G186,F186))</f>
        <v>857026.31043044548</v>
      </c>
      <c r="K186" s="11">
        <f>IF(B186="Pensioner",1,VLOOKUP(Assumptions!$B$10,Mortality!$A$2:$F$104,6,FALSE)/VLOOKUP(C186,Mortality!$A$2:$F$104,6,FALSE))</f>
        <v>0.97930374297365907</v>
      </c>
      <c r="L186" s="11">
        <f>VLOOKUP(IF(B186="Pensioner",C186,Assumptions!$B$10),Mortality!$A$2:$E$104,5,FALSE)</f>
        <v>17.296790022132885</v>
      </c>
      <c r="M186" s="11">
        <f>1+Assumptions!$B$13*Assumptions!$B$14*Assumptions!$B$15</f>
        <v>1.3187500000000001</v>
      </c>
      <c r="N186" s="11">
        <f>IF(B186="Pensioner",1,1/(1+Assumptions!$B$6)^G186)</f>
        <v>0.4696828543900276</v>
      </c>
      <c r="O186" s="17">
        <f t="shared" si="2"/>
        <v>8991750.7917905897</v>
      </c>
    </row>
    <row r="187" spans="1:15">
      <c r="A187" s="13" t="str">
        <f>Members!A187</f>
        <v>A0528</v>
      </c>
      <c r="B187" s="13" t="str">
        <f>Members!B187</f>
        <v>Active</v>
      </c>
      <c r="C187" s="13">
        <f>Members!C187</f>
        <v>34</v>
      </c>
      <c r="D187" s="14">
        <f>Members!D187</f>
        <v>7.4</v>
      </c>
      <c r="E187" s="16">
        <f>Members!E187</f>
        <v>561000</v>
      </c>
      <c r="F187" s="16">
        <f>Members!F187</f>
        <v>0</v>
      </c>
      <c r="G187" s="15">
        <f>MAX(0,Assumptions!$B$10-C187)</f>
        <v>26</v>
      </c>
      <c r="H187" s="17">
        <f>IF(B187="Active",E187*(1+Assumptions!$B$7)^G187,E187)</f>
        <v>2256975.3284930359</v>
      </c>
      <c r="I187" s="17">
        <f>IF(B187="Active",MIN(Assumptions!$B$12,D187+G187),IF(B187="Deferred",MIN(Assumptions!$B$12,D187),D187))</f>
        <v>33.4</v>
      </c>
      <c r="J187" s="17">
        <f>IF(B187="Active",H187*I187*Assumptions!$B$11,IF(B187="Deferred",E187*I187*Assumptions!$B$11*(1+Assumptions!$B$9)^G187,F187))</f>
        <v>1256382.9328611232</v>
      </c>
      <c r="K187" s="11">
        <f>IF(B187="Pensioner",1,VLOOKUP(Assumptions!$B$10,Mortality!$A$2:$F$104,6,FALSE)/VLOOKUP(C187,Mortality!$A$2:$F$104,6,FALSE))</f>
        <v>0.97162058192333911</v>
      </c>
      <c r="L187" s="11">
        <f>VLOOKUP(IF(B187="Pensioner",C187,Assumptions!$B$10),Mortality!$A$2:$E$104,5,FALSE)</f>
        <v>17.296790022132885</v>
      </c>
      <c r="M187" s="11">
        <f>1+Assumptions!$B$13*Assumptions!$B$14*Assumptions!$B$15</f>
        <v>1.3187500000000001</v>
      </c>
      <c r="N187" s="11">
        <f>IF(B187="Pensioner",1,1/(1+Assumptions!$B$6)^G187)</f>
        <v>0.19449578673364096</v>
      </c>
      <c r="O187" s="17">
        <f t="shared" si="2"/>
        <v>5415728.9184220312</v>
      </c>
    </row>
    <row r="188" spans="1:15">
      <c r="A188" s="13" t="str">
        <f>Members!A188</f>
        <v>A0424</v>
      </c>
      <c r="B188" s="13" t="str">
        <f>Members!B188</f>
        <v>Active</v>
      </c>
      <c r="C188" s="13">
        <f>Members!C188</f>
        <v>42</v>
      </c>
      <c r="D188" s="14">
        <f>Members!D188</f>
        <v>17.600000000000001</v>
      </c>
      <c r="E188" s="16">
        <f>Members!E188</f>
        <v>732000</v>
      </c>
      <c r="F188" s="16">
        <f>Members!F188</f>
        <v>0</v>
      </c>
      <c r="G188" s="15">
        <f>MAX(0,Assumptions!$B$10-C188)</f>
        <v>18</v>
      </c>
      <c r="H188" s="17">
        <f>IF(B188="Active",E188*(1+Assumptions!$B$7)^G188,E188)</f>
        <v>1918913.3066392881</v>
      </c>
      <c r="I188" s="17">
        <f>IF(B188="Active",MIN(Assumptions!$B$12,D188+G188),IF(B188="Deferred",MIN(Assumptions!$B$12,D188),D188))</f>
        <v>35.6</v>
      </c>
      <c r="J188" s="17">
        <f>IF(B188="Active",H188*I188*Assumptions!$B$11,IF(B188="Deferred",E188*I188*Assumptions!$B$11*(1+Assumptions!$B$9)^G188,F188))</f>
        <v>1138555.2286059777</v>
      </c>
      <c r="K188" s="11">
        <f>IF(B188="Pensioner",1,VLOOKUP(Assumptions!$B$10,Mortality!$A$2:$F$104,6,FALSE)/VLOOKUP(C188,Mortality!$A$2:$F$104,6,FALSE))</f>
        <v>0.97507997078383857</v>
      </c>
      <c r="L188" s="11">
        <f>VLOOKUP(IF(B188="Pensioner",C188,Assumptions!$B$10),Mortality!$A$2:$E$104,5,FALSE)</f>
        <v>17.296790022132885</v>
      </c>
      <c r="M188" s="11">
        <f>1+Assumptions!$B$13*Assumptions!$B$14*Assumptions!$B$15</f>
        <v>1.3187500000000001</v>
      </c>
      <c r="N188" s="11">
        <f>IF(B188="Pensioner",1,1/(1+Assumptions!$B$6)^G188)</f>
        <v>0.32188968512839738</v>
      </c>
      <c r="O188" s="17">
        <f t="shared" si="2"/>
        <v>8151347.0439353706</v>
      </c>
    </row>
    <row r="189" spans="1:15">
      <c r="A189" s="13" t="str">
        <f>Members!A189</f>
        <v>A0485</v>
      </c>
      <c r="B189" s="13" t="str">
        <f>Members!B189</f>
        <v>Active</v>
      </c>
      <c r="C189" s="13">
        <f>Members!C189</f>
        <v>59</v>
      </c>
      <c r="D189" s="14">
        <f>Members!D189</f>
        <v>19.399999999999999</v>
      </c>
      <c r="E189" s="16">
        <f>Members!E189</f>
        <v>1728000</v>
      </c>
      <c r="F189" s="16">
        <f>Members!F189</f>
        <v>0</v>
      </c>
      <c r="G189" s="15">
        <f>MAX(0,Assumptions!$B$10-C189)</f>
        <v>1</v>
      </c>
      <c r="H189" s="17">
        <f>IF(B189="Active",E189*(1+Assumptions!$B$7)^G189,E189)</f>
        <v>1823040</v>
      </c>
      <c r="I189" s="17">
        <f>IF(B189="Active",MIN(Assumptions!$B$12,D189+G189),IF(B189="Deferred",MIN(Assumptions!$B$12,D189),D189))</f>
        <v>20.399999999999999</v>
      </c>
      <c r="J189" s="17">
        <f>IF(B189="Active",H189*I189*Assumptions!$B$11,IF(B189="Deferred",E189*I189*Assumptions!$B$11*(1+Assumptions!$B$9)^G189,F189))</f>
        <v>619833.59999999998</v>
      </c>
      <c r="K189" s="11">
        <f>IF(B189="Pensioner",1,VLOOKUP(Assumptions!$B$10,Mortality!$A$2:$F$104,6,FALSE)/VLOOKUP(C189,Mortality!$A$2:$F$104,6,FALSE))</f>
        <v>0.99710960118319747</v>
      </c>
      <c r="L189" s="11">
        <f>VLOOKUP(IF(B189="Pensioner",C189,Assumptions!$B$10),Mortality!$A$2:$E$104,5,FALSE)</f>
        <v>17.296790022132885</v>
      </c>
      <c r="M189" s="11">
        <f>1+Assumptions!$B$13*Assumptions!$B$14*Assumptions!$B$15</f>
        <v>1.3187500000000001</v>
      </c>
      <c r="N189" s="11">
        <f>IF(B189="Pensioner",1,1/(1+Assumptions!$B$6)^G189)</f>
        <v>0.93896713615023475</v>
      </c>
      <c r="O189" s="17">
        <f t="shared" si="2"/>
        <v>13237207.936835373</v>
      </c>
    </row>
    <row r="190" spans="1:15">
      <c r="A190" s="13" t="str">
        <f>Members!A190</f>
        <v>A0075</v>
      </c>
      <c r="B190" s="13" t="str">
        <f>Members!B190</f>
        <v>Active</v>
      </c>
      <c r="C190" s="13">
        <f>Members!C190</f>
        <v>43</v>
      </c>
      <c r="D190" s="14">
        <f>Members!D190</f>
        <v>17.100000000000001</v>
      </c>
      <c r="E190" s="16">
        <f>Members!E190</f>
        <v>1155000</v>
      </c>
      <c r="F190" s="16">
        <f>Members!F190</f>
        <v>0</v>
      </c>
      <c r="G190" s="15">
        <f>MAX(0,Assumptions!$B$10-C190)</f>
        <v>17</v>
      </c>
      <c r="H190" s="17">
        <f>IF(B190="Active",E190*(1+Assumptions!$B$7)^G190,E190)</f>
        <v>2869946.4806779809</v>
      </c>
      <c r="I190" s="17">
        <f>IF(B190="Active",MIN(Assumptions!$B$12,D190+G190),IF(B190="Deferred",MIN(Assumptions!$B$12,D190),D190))</f>
        <v>34.1</v>
      </c>
      <c r="J190" s="17">
        <f>IF(B190="Active",H190*I190*Assumptions!$B$11,IF(B190="Deferred",E190*I190*Assumptions!$B$11*(1+Assumptions!$B$9)^G190,F190))</f>
        <v>1631086.2498519858</v>
      </c>
      <c r="K190" s="11">
        <f>IF(B190="Pensioner",1,VLOOKUP(Assumptions!$B$10,Mortality!$A$2:$F$104,6,FALSE)/VLOOKUP(C190,Mortality!$A$2:$F$104,6,FALSE))</f>
        <v>0.97565175842493801</v>
      </c>
      <c r="L190" s="11">
        <f>VLOOKUP(IF(B190="Pensioner",C190,Assumptions!$B$10),Mortality!$A$2:$E$104,5,FALSE)</f>
        <v>17.296790022132885</v>
      </c>
      <c r="M190" s="11">
        <f>1+Assumptions!$B$13*Assumptions!$B$14*Assumptions!$B$15</f>
        <v>1.3187500000000001</v>
      </c>
      <c r="N190" s="11">
        <f>IF(B190="Pensioner",1,1/(1+Assumptions!$B$6)^G190)</f>
        <v>0.34281251466174323</v>
      </c>
      <c r="O190" s="17">
        <f t="shared" si="2"/>
        <v>12443897.120692525</v>
      </c>
    </row>
    <row r="191" spans="1:15">
      <c r="A191" s="13" t="str">
        <f>Members!A191</f>
        <v>A0173</v>
      </c>
      <c r="B191" s="13" t="str">
        <f>Members!B191</f>
        <v>Active</v>
      </c>
      <c r="C191" s="13">
        <f>Members!C191</f>
        <v>24</v>
      </c>
      <c r="D191" s="14">
        <f>Members!D191</f>
        <v>1</v>
      </c>
      <c r="E191" s="16">
        <f>Members!E191</f>
        <v>480000</v>
      </c>
      <c r="F191" s="16">
        <f>Members!F191</f>
        <v>0</v>
      </c>
      <c r="G191" s="15">
        <f>MAX(0,Assumptions!$B$10-C191)</f>
        <v>36</v>
      </c>
      <c r="H191" s="17">
        <f>IF(B191="Active",E191*(1+Assumptions!$B$7)^G191,E191)</f>
        <v>3298600.9839624884</v>
      </c>
      <c r="I191" s="17">
        <f>IF(B191="Active",MIN(Assumptions!$B$12,D191+G191),IF(B191="Deferred",MIN(Assumptions!$B$12,D191),D191))</f>
        <v>37</v>
      </c>
      <c r="J191" s="17">
        <f>IF(B191="Active",H191*I191*Assumptions!$B$11,IF(B191="Deferred",E191*I191*Assumptions!$B$11*(1+Assumptions!$B$9)^G191,F191))</f>
        <v>2034137.2734435345</v>
      </c>
      <c r="K191" s="11">
        <f>IF(B191="Pensioner",1,VLOOKUP(Assumptions!$B$10,Mortality!$A$2:$F$104,6,FALSE)/VLOOKUP(C191,Mortality!$A$2:$F$104,6,FALSE))</f>
        <v>0.96871086700607645</v>
      </c>
      <c r="L191" s="11">
        <f>VLOOKUP(IF(B191="Pensioner",C191,Assumptions!$B$10),Mortality!$A$2:$E$104,5,FALSE)</f>
        <v>17.296790022132885</v>
      </c>
      <c r="M191" s="11">
        <f>1+Assumptions!$B$13*Assumptions!$B$14*Assumptions!$B$15</f>
        <v>1.3187500000000001</v>
      </c>
      <c r="N191" s="11">
        <f>IF(B191="Pensioner",1,1/(1+Assumptions!$B$6)^G191)</f>
        <v>0.10361296939205883</v>
      </c>
      <c r="O191" s="17">
        <f t="shared" si="2"/>
        <v>4657110.4240786321</v>
      </c>
    </row>
    <row r="192" spans="1:15">
      <c r="A192" s="13" t="str">
        <f>Members!A192</f>
        <v>D0129</v>
      </c>
      <c r="B192" s="13" t="str">
        <f>Members!B192</f>
        <v>Deferred</v>
      </c>
      <c r="C192" s="13">
        <f>Members!C192</f>
        <v>53</v>
      </c>
      <c r="D192" s="14">
        <f>Members!D192</f>
        <v>16.8</v>
      </c>
      <c r="E192" s="16">
        <f>Members!E192</f>
        <v>1229000</v>
      </c>
      <c r="F192" s="16">
        <f>Members!F192</f>
        <v>0</v>
      </c>
      <c r="G192" s="15">
        <f>MAX(0,Assumptions!$B$10-C192)</f>
        <v>7</v>
      </c>
      <c r="H192" s="17">
        <f>IF(B192="Active",E192*(1+Assumptions!$B$7)^G192,E192)</f>
        <v>1229000</v>
      </c>
      <c r="I192" s="17">
        <f>IF(B192="Active",MIN(Assumptions!$B$12,D192+G192),IF(B192="Deferred",MIN(Assumptions!$B$12,D192),D192))</f>
        <v>16.8</v>
      </c>
      <c r="J192" s="17">
        <f>IF(B192="Active",H192*I192*Assumptions!$B$11,IF(B192="Deferred",E192*I192*Assumptions!$B$11*(1+Assumptions!$B$9)^G192,F192))</f>
        <v>452838.44387063733</v>
      </c>
      <c r="K192" s="11">
        <f>IF(B192="Pensioner",1,VLOOKUP(Assumptions!$B$10,Mortality!$A$2:$F$104,6,FALSE)/VLOOKUP(C192,Mortality!$A$2:$F$104,6,FALSE))</f>
        <v>0.98503000174313171</v>
      </c>
      <c r="L192" s="11">
        <f>VLOOKUP(IF(B192="Pensioner",C192,Assumptions!$B$10),Mortality!$A$2:$E$104,5,FALSE)</f>
        <v>17.296790022132885</v>
      </c>
      <c r="M192" s="11">
        <f>1+Assumptions!$B$13*Assumptions!$B$14*Assumptions!$B$15</f>
        <v>1.3187500000000001</v>
      </c>
      <c r="N192" s="11">
        <f>IF(B192="Pensioner",1,1/(1+Assumptions!$B$6)^G192)</f>
        <v>0.64350621483475945</v>
      </c>
      <c r="O192" s="17">
        <f t="shared" si="2"/>
        <v>6547469.4254682614</v>
      </c>
    </row>
    <row r="193" spans="1:15">
      <c r="A193" s="13" t="str">
        <f>Members!A193</f>
        <v>A0290</v>
      </c>
      <c r="B193" s="13" t="str">
        <f>Members!B193</f>
        <v>Active</v>
      </c>
      <c r="C193" s="13">
        <f>Members!C193</f>
        <v>53</v>
      </c>
      <c r="D193" s="14">
        <f>Members!D193</f>
        <v>8.8000000000000007</v>
      </c>
      <c r="E193" s="16">
        <f>Members!E193</f>
        <v>1222000</v>
      </c>
      <c r="F193" s="16">
        <f>Members!F193</f>
        <v>0</v>
      </c>
      <c r="G193" s="15">
        <f>MAX(0,Assumptions!$B$10-C193)</f>
        <v>7</v>
      </c>
      <c r="H193" s="17">
        <f>IF(B193="Active",E193*(1+Assumptions!$B$7)^G193,E193)</f>
        <v>1777617.9349054964</v>
      </c>
      <c r="I193" s="17">
        <f>IF(B193="Active",MIN(Assumptions!$B$12,D193+G193),IF(B193="Deferred",MIN(Assumptions!$B$12,D193),D193))</f>
        <v>15.8</v>
      </c>
      <c r="J193" s="17">
        <f>IF(B193="Active",H193*I193*Assumptions!$B$11,IF(B193="Deferred",E193*I193*Assumptions!$B$11*(1+Assumptions!$B$9)^G193,F193))</f>
        <v>468106.05619178072</v>
      </c>
      <c r="K193" s="11">
        <f>IF(B193="Pensioner",1,VLOOKUP(Assumptions!$B$10,Mortality!$A$2:$F$104,6,FALSE)/VLOOKUP(C193,Mortality!$A$2:$F$104,6,FALSE))</f>
        <v>0.98503000174313171</v>
      </c>
      <c r="L193" s="11">
        <f>VLOOKUP(IF(B193="Pensioner",C193,Assumptions!$B$10),Mortality!$A$2:$E$104,5,FALSE)</f>
        <v>17.296790022132885</v>
      </c>
      <c r="M193" s="11">
        <f>1+Assumptions!$B$13*Assumptions!$B$14*Assumptions!$B$15</f>
        <v>1.3187500000000001</v>
      </c>
      <c r="N193" s="11">
        <f>IF(B193="Pensioner",1,1/(1+Assumptions!$B$6)^G193)</f>
        <v>0.64350621483475945</v>
      </c>
      <c r="O193" s="17">
        <f t="shared" si="2"/>
        <v>6768219.7310698451</v>
      </c>
    </row>
    <row r="194" spans="1:15">
      <c r="A194" s="13" t="str">
        <f>Members!A194</f>
        <v>A0463</v>
      </c>
      <c r="B194" s="13" t="str">
        <f>Members!B194</f>
        <v>Active</v>
      </c>
      <c r="C194" s="13">
        <f>Members!C194</f>
        <v>55</v>
      </c>
      <c r="D194" s="14">
        <f>Members!D194</f>
        <v>25.1</v>
      </c>
      <c r="E194" s="16">
        <f>Members!E194</f>
        <v>2105000</v>
      </c>
      <c r="F194" s="16">
        <f>Members!F194</f>
        <v>0</v>
      </c>
      <c r="G194" s="15">
        <f>MAX(0,Assumptions!$B$10-C194)</f>
        <v>5</v>
      </c>
      <c r="H194" s="17">
        <f>IF(B194="Active",E194*(1+Assumptions!$B$7)^G194,E194)</f>
        <v>2751150.8134917337</v>
      </c>
      <c r="I194" s="17">
        <f>IF(B194="Active",MIN(Assumptions!$B$12,D194+G194),IF(B194="Deferred",MIN(Assumptions!$B$12,D194),D194))</f>
        <v>30.1</v>
      </c>
      <c r="J194" s="17">
        <f>IF(B194="Active",H194*I194*Assumptions!$B$11,IF(B194="Deferred",E194*I194*Assumptions!$B$11*(1+Assumptions!$B$9)^G194,F194))</f>
        <v>1380160.6581016865</v>
      </c>
      <c r="K194" s="11">
        <f>IF(B194="Pensioner",1,VLOOKUP(Assumptions!$B$10,Mortality!$A$2:$F$104,6,FALSE)/VLOOKUP(C194,Mortality!$A$2:$F$104,6,FALSE))</f>
        <v>0.98824190874991746</v>
      </c>
      <c r="L194" s="11">
        <f>VLOOKUP(IF(B194="Pensioner",C194,Assumptions!$B$10),Mortality!$A$2:$E$104,5,FALSE)</f>
        <v>17.296790022132885</v>
      </c>
      <c r="M194" s="11">
        <f>1+Assumptions!$B$13*Assumptions!$B$14*Assumptions!$B$15</f>
        <v>1.3187500000000001</v>
      </c>
      <c r="N194" s="11">
        <f>IF(B194="Pensioner",1,1/(1+Assumptions!$B$6)^G194)</f>
        <v>0.72988083652095492</v>
      </c>
      <c r="O194" s="17">
        <f t="shared" ref="O194:O257" si="3">J194*K194*L194*M194*N194</f>
        <v>22707684.828239292</v>
      </c>
    </row>
    <row r="195" spans="1:15">
      <c r="A195" s="13" t="str">
        <f>Members!A195</f>
        <v>A0516</v>
      </c>
      <c r="B195" s="13" t="str">
        <f>Members!B195</f>
        <v>Active</v>
      </c>
      <c r="C195" s="13">
        <f>Members!C195</f>
        <v>36</v>
      </c>
      <c r="D195" s="14">
        <f>Members!D195</f>
        <v>2.9</v>
      </c>
      <c r="E195" s="16">
        <f>Members!E195</f>
        <v>586000</v>
      </c>
      <c r="F195" s="16">
        <f>Members!F195</f>
        <v>0</v>
      </c>
      <c r="G195" s="15">
        <f>MAX(0,Assumptions!$B$10-C195)</f>
        <v>24</v>
      </c>
      <c r="H195" s="17">
        <f>IF(B195="Active",E195*(1+Assumptions!$B$7)^G195,E195)</f>
        <v>2118149.683688967</v>
      </c>
      <c r="I195" s="17">
        <f>IF(B195="Active",MIN(Assumptions!$B$12,D195+G195),IF(B195="Deferred",MIN(Assumptions!$B$12,D195),D195))</f>
        <v>26.9</v>
      </c>
      <c r="J195" s="17">
        <f>IF(B195="Active",H195*I195*Assumptions!$B$11,IF(B195="Deferred",E195*I195*Assumptions!$B$11*(1+Assumptions!$B$9)^G195,F195))</f>
        <v>949637.10818722006</v>
      </c>
      <c r="K195" s="11">
        <f>IF(B195="Pensioner",1,VLOOKUP(Assumptions!$B$10,Mortality!$A$2:$F$104,6,FALSE)/VLOOKUP(C195,Mortality!$A$2:$F$104,6,FALSE))</f>
        <v>0.97234503055413524</v>
      </c>
      <c r="L195" s="11">
        <f>VLOOKUP(IF(B195="Pensioner",C195,Assumptions!$B$10),Mortality!$A$2:$E$104,5,FALSE)</f>
        <v>17.296790022132885</v>
      </c>
      <c r="M195" s="11">
        <f>1+Assumptions!$B$13*Assumptions!$B$14*Assumptions!$B$15</f>
        <v>1.3187500000000001</v>
      </c>
      <c r="N195" s="11">
        <f>IF(B195="Pensioner",1,1/(1+Assumptions!$B$6)^G195)</f>
        <v>0.22060198370796386</v>
      </c>
      <c r="O195" s="17">
        <f t="shared" si="3"/>
        <v>4646388.0218066685</v>
      </c>
    </row>
    <row r="196" spans="1:15">
      <c r="A196" s="13" t="str">
        <f>Members!A196</f>
        <v>A0335</v>
      </c>
      <c r="B196" s="13" t="str">
        <f>Members!B196</f>
        <v>Active</v>
      </c>
      <c r="C196" s="13">
        <f>Members!C196</f>
        <v>35</v>
      </c>
      <c r="D196" s="14">
        <f>Members!D196</f>
        <v>10.5</v>
      </c>
      <c r="E196" s="16">
        <f>Members!E196</f>
        <v>547000</v>
      </c>
      <c r="F196" s="16">
        <f>Members!F196</f>
        <v>0</v>
      </c>
      <c r="G196" s="15">
        <f>MAX(0,Assumptions!$B$10-C196)</f>
        <v>25</v>
      </c>
      <c r="H196" s="17">
        <f>IF(B196="Active",E196*(1+Assumptions!$B$7)^G196,E196)</f>
        <v>2085925.6146956442</v>
      </c>
      <c r="I196" s="17">
        <f>IF(B196="Active",MIN(Assumptions!$B$12,D196+G196),IF(B196="Deferred",MIN(Assumptions!$B$12,D196),D196))</f>
        <v>35.5</v>
      </c>
      <c r="J196" s="17">
        <f>IF(B196="Active",H196*I196*Assumptions!$B$11,IF(B196="Deferred",E196*I196*Assumptions!$B$11*(1+Assumptions!$B$9)^G196,F196))</f>
        <v>1234172.6553615895</v>
      </c>
      <c r="K196" s="11">
        <f>IF(B196="Pensioner",1,VLOOKUP(Assumptions!$B$10,Mortality!$A$2:$F$104,6,FALSE)/VLOOKUP(C196,Mortality!$A$2:$F$104,6,FALSE))</f>
        <v>0.97197407653867529</v>
      </c>
      <c r="L196" s="11">
        <f>VLOOKUP(IF(B196="Pensioner",C196,Assumptions!$B$10),Mortality!$A$2:$E$104,5,FALSE)</f>
        <v>17.296790022132885</v>
      </c>
      <c r="M196" s="11">
        <f>1+Assumptions!$B$13*Assumptions!$B$14*Assumptions!$B$15</f>
        <v>1.3187500000000001</v>
      </c>
      <c r="N196" s="11">
        <f>IF(B196="Pensioner",1,1/(1+Assumptions!$B$6)^G196)</f>
        <v>0.20713801287132758</v>
      </c>
      <c r="O196" s="17">
        <f t="shared" si="3"/>
        <v>5667850.5912668779</v>
      </c>
    </row>
    <row r="197" spans="1:15">
      <c r="A197" s="13" t="str">
        <f>Members!A197</f>
        <v>A0256</v>
      </c>
      <c r="B197" s="13" t="str">
        <f>Members!B197</f>
        <v>Active</v>
      </c>
      <c r="C197" s="13">
        <f>Members!C197</f>
        <v>52</v>
      </c>
      <c r="D197" s="14">
        <f>Members!D197</f>
        <v>9.9</v>
      </c>
      <c r="E197" s="16">
        <f>Members!E197</f>
        <v>1085000</v>
      </c>
      <c r="F197" s="16">
        <f>Members!F197</f>
        <v>0</v>
      </c>
      <c r="G197" s="15">
        <f>MAX(0,Assumptions!$B$10-C197)</f>
        <v>8</v>
      </c>
      <c r="H197" s="17">
        <f>IF(B197="Active",E197*(1+Assumptions!$B$7)^G197,E197)</f>
        <v>1665134.8687708259</v>
      </c>
      <c r="I197" s="17">
        <f>IF(B197="Active",MIN(Assumptions!$B$12,D197+G197),IF(B197="Deferred",MIN(Assumptions!$B$12,D197),D197))</f>
        <v>17.899999999999999</v>
      </c>
      <c r="J197" s="17">
        <f>IF(B197="Active",H197*I197*Assumptions!$B$11,IF(B197="Deferred",E197*I197*Assumptions!$B$11*(1+Assumptions!$B$9)^G197,F197))</f>
        <v>496765.23584996298</v>
      </c>
      <c r="K197" s="11">
        <f>IF(B197="Pensioner",1,VLOOKUP(Assumptions!$B$10,Mortality!$A$2:$F$104,6,FALSE)/VLOOKUP(C197,Mortality!$A$2:$F$104,6,FALSE))</f>
        <v>0.98365275168798427</v>
      </c>
      <c r="L197" s="11">
        <f>VLOOKUP(IF(B197="Pensioner",C197,Assumptions!$B$10),Mortality!$A$2:$E$104,5,FALSE)</f>
        <v>17.296790022132885</v>
      </c>
      <c r="M197" s="11">
        <f>1+Assumptions!$B$13*Assumptions!$B$14*Assumptions!$B$15</f>
        <v>1.3187500000000001</v>
      </c>
      <c r="N197" s="11">
        <f>IF(B197="Pensioner",1,1/(1+Assumptions!$B$6)^G197)</f>
        <v>0.60423118763827188</v>
      </c>
      <c r="O197" s="17">
        <f t="shared" si="3"/>
        <v>6734791.1221051235</v>
      </c>
    </row>
    <row r="198" spans="1:15">
      <c r="A198" s="13" t="str">
        <f>Members!A198</f>
        <v>P0173</v>
      </c>
      <c r="B198" s="13" t="str">
        <f>Members!B198</f>
        <v>Pensioner</v>
      </c>
      <c r="C198" s="13">
        <f>Members!C198</f>
        <v>69</v>
      </c>
      <c r="D198" s="14">
        <f>Members!D198</f>
        <v>23.2</v>
      </c>
      <c r="E198" s="16">
        <f>Members!E198</f>
        <v>0</v>
      </c>
      <c r="F198" s="16">
        <f>Members!F198</f>
        <v>250000</v>
      </c>
      <c r="G198" s="15">
        <f>MAX(0,Assumptions!$B$10-C198)</f>
        <v>0</v>
      </c>
      <c r="H198" s="17">
        <f>IF(B198="Active",E198*(1+Assumptions!$B$7)^G198,E198)</f>
        <v>0</v>
      </c>
      <c r="I198" s="17">
        <f>IF(B198="Active",MIN(Assumptions!$B$12,D198+G198),IF(B198="Deferred",MIN(Assumptions!$B$12,D198),D198))</f>
        <v>23.2</v>
      </c>
      <c r="J198" s="17">
        <f>IF(B198="Active",H198*I198*Assumptions!$B$11,IF(B198="Deferred",E198*I198*Assumptions!$B$11*(1+Assumptions!$B$9)^G198,F198))</f>
        <v>250000</v>
      </c>
      <c r="K198" s="11">
        <f>IF(B198="Pensioner",1,VLOOKUP(Assumptions!$B$10,Mortality!$A$2:$F$104,6,FALSE)/VLOOKUP(C198,Mortality!$A$2:$F$104,6,FALSE))</f>
        <v>1</v>
      </c>
      <c r="L198" s="11">
        <f>VLOOKUP(IF(B198="Pensioner",C198,Assumptions!$B$10),Mortality!$A$2:$E$104,5,FALSE)</f>
        <v>13.418448528291036</v>
      </c>
      <c r="M198" s="11">
        <f>1+Assumptions!$B$13*Assumptions!$B$14*Assumptions!$B$15</f>
        <v>1.3187500000000001</v>
      </c>
      <c r="N198" s="11">
        <f>IF(B198="Pensioner",1,1/(1+Assumptions!$B$6)^G198)</f>
        <v>1</v>
      </c>
      <c r="O198" s="17">
        <f t="shared" si="3"/>
        <v>4423894.7491709506</v>
      </c>
    </row>
    <row r="199" spans="1:15">
      <c r="A199" s="13" t="str">
        <f>Members!A199</f>
        <v>P0060</v>
      </c>
      <c r="B199" s="13" t="str">
        <f>Members!B199</f>
        <v>Pensioner</v>
      </c>
      <c r="C199" s="13">
        <f>Members!C199</f>
        <v>74</v>
      </c>
      <c r="D199" s="14">
        <f>Members!D199</f>
        <v>24.2</v>
      </c>
      <c r="E199" s="16">
        <f>Members!E199</f>
        <v>0</v>
      </c>
      <c r="F199" s="16">
        <f>Members!F199</f>
        <v>345000</v>
      </c>
      <c r="G199" s="15">
        <f>MAX(0,Assumptions!$B$10-C199)</f>
        <v>0</v>
      </c>
      <c r="H199" s="17">
        <f>IF(B199="Active",E199*(1+Assumptions!$B$7)^G199,E199)</f>
        <v>0</v>
      </c>
      <c r="I199" s="17">
        <f>IF(B199="Active",MIN(Assumptions!$B$12,D199+G199),IF(B199="Deferred",MIN(Assumptions!$B$12,D199),D199))</f>
        <v>24.2</v>
      </c>
      <c r="J199" s="17">
        <f>IF(B199="Active",H199*I199*Assumptions!$B$11,IF(B199="Deferred",E199*I199*Assumptions!$B$11*(1+Assumptions!$B$9)^G199,F199))</f>
        <v>345000</v>
      </c>
      <c r="K199" s="11">
        <f>IF(B199="Pensioner",1,VLOOKUP(Assumptions!$B$10,Mortality!$A$2:$F$104,6,FALSE)/VLOOKUP(C199,Mortality!$A$2:$F$104,6,FALSE))</f>
        <v>1</v>
      </c>
      <c r="L199" s="11">
        <f>VLOOKUP(IF(B199="Pensioner",C199,Assumptions!$B$10),Mortality!$A$2:$E$104,5,FALSE)</f>
        <v>11.124346929912107</v>
      </c>
      <c r="M199" s="11">
        <f>1+Assumptions!$B$13*Assumptions!$B$14*Assumptions!$B$15</f>
        <v>1.3187500000000001</v>
      </c>
      <c r="N199" s="11">
        <f>IF(B199="Pensioner",1,1/(1+Assumptions!$B$6)^G199)</f>
        <v>1</v>
      </c>
      <c r="O199" s="17">
        <f t="shared" si="3"/>
        <v>5061230.2172684493</v>
      </c>
    </row>
    <row r="200" spans="1:15">
      <c r="A200" s="13" t="str">
        <f>Members!A200</f>
        <v>A0032</v>
      </c>
      <c r="B200" s="13" t="str">
        <f>Members!B200</f>
        <v>Active</v>
      </c>
      <c r="C200" s="13">
        <f>Members!C200</f>
        <v>53</v>
      </c>
      <c r="D200" s="14">
        <f>Members!D200</f>
        <v>11</v>
      </c>
      <c r="E200" s="16">
        <f>Members!E200</f>
        <v>1460000</v>
      </c>
      <c r="F200" s="16">
        <f>Members!F200</f>
        <v>0</v>
      </c>
      <c r="G200" s="15">
        <f>MAX(0,Assumptions!$B$10-C200)</f>
        <v>7</v>
      </c>
      <c r="H200" s="17">
        <f>IF(B200="Active",E200*(1+Assumptions!$B$7)^G200,E200)</f>
        <v>2123831.5752553395</v>
      </c>
      <c r="I200" s="17">
        <f>IF(B200="Active",MIN(Assumptions!$B$12,D200+G200),IF(B200="Deferred",MIN(Assumptions!$B$12,D200),D200))</f>
        <v>18</v>
      </c>
      <c r="J200" s="17">
        <f>IF(B200="Active",H200*I200*Assumptions!$B$11,IF(B200="Deferred",E200*I200*Assumptions!$B$11*(1+Assumptions!$B$9)^G200,F200))</f>
        <v>637149.47257660178</v>
      </c>
      <c r="K200" s="11">
        <f>IF(B200="Pensioner",1,VLOOKUP(Assumptions!$B$10,Mortality!$A$2:$F$104,6,FALSE)/VLOOKUP(C200,Mortality!$A$2:$F$104,6,FALSE))</f>
        <v>0.98503000174313171</v>
      </c>
      <c r="L200" s="11">
        <f>VLOOKUP(IF(B200="Pensioner",C200,Assumptions!$B$10),Mortality!$A$2:$E$104,5,FALSE)</f>
        <v>17.296790022132885</v>
      </c>
      <c r="M200" s="11">
        <f>1+Assumptions!$B$13*Assumptions!$B$14*Assumptions!$B$15</f>
        <v>1.3187500000000001</v>
      </c>
      <c r="N200" s="11">
        <f>IF(B200="Pensioner",1,1/(1+Assumptions!$B$6)^G200)</f>
        <v>0.64350621483475945</v>
      </c>
      <c r="O200" s="17">
        <f t="shared" si="3"/>
        <v>9212373.0827506036</v>
      </c>
    </row>
    <row r="201" spans="1:15">
      <c r="A201" s="13" t="str">
        <f>Members!A201</f>
        <v>P0030</v>
      </c>
      <c r="B201" s="13" t="str">
        <f>Members!B201</f>
        <v>Pensioner</v>
      </c>
      <c r="C201" s="13">
        <f>Members!C201</f>
        <v>85</v>
      </c>
      <c r="D201" s="14">
        <f>Members!D201</f>
        <v>35.299999999999997</v>
      </c>
      <c r="E201" s="16">
        <f>Members!E201</f>
        <v>0</v>
      </c>
      <c r="F201" s="16">
        <f>Members!F201</f>
        <v>316000</v>
      </c>
      <c r="G201" s="15">
        <f>MAX(0,Assumptions!$B$10-C201)</f>
        <v>0</v>
      </c>
      <c r="H201" s="17">
        <f>IF(B201="Active",E201*(1+Assumptions!$B$7)^G201,E201)</f>
        <v>0</v>
      </c>
      <c r="I201" s="17">
        <f>IF(B201="Active",MIN(Assumptions!$B$12,D201+G201),IF(B201="Deferred",MIN(Assumptions!$B$12,D201),D201))</f>
        <v>35.299999999999997</v>
      </c>
      <c r="J201" s="17">
        <f>IF(B201="Active",H201*I201*Assumptions!$B$11,IF(B201="Deferred",E201*I201*Assumptions!$B$11*(1+Assumptions!$B$9)^G201,F201))</f>
        <v>316000</v>
      </c>
      <c r="K201" s="11">
        <f>IF(B201="Pensioner",1,VLOOKUP(Assumptions!$B$10,Mortality!$A$2:$F$104,6,FALSE)/VLOOKUP(C201,Mortality!$A$2:$F$104,6,FALSE))</f>
        <v>1</v>
      </c>
      <c r="L201" s="11">
        <f>VLOOKUP(IF(B201="Pensioner",C201,Assumptions!$B$10),Mortality!$A$2:$E$104,5,FALSE)</f>
        <v>6.2282827560748935</v>
      </c>
      <c r="M201" s="11">
        <f>1+Assumptions!$B$13*Assumptions!$B$14*Assumptions!$B$15</f>
        <v>1.3187500000000001</v>
      </c>
      <c r="N201" s="11">
        <f>IF(B201="Pensioner",1,1/(1+Assumptions!$B$6)^G201)</f>
        <v>1</v>
      </c>
      <c r="O201" s="17">
        <f t="shared" si="3"/>
        <v>2595481.1315253102</v>
      </c>
    </row>
    <row r="202" spans="1:15">
      <c r="A202" s="13" t="str">
        <f>Members!A202</f>
        <v>A0611</v>
      </c>
      <c r="B202" s="13" t="str">
        <f>Members!B202</f>
        <v>Active</v>
      </c>
      <c r="C202" s="13">
        <f>Members!C202</f>
        <v>32</v>
      </c>
      <c r="D202" s="14">
        <f>Members!D202</f>
        <v>4</v>
      </c>
      <c r="E202" s="16">
        <f>Members!E202</f>
        <v>492000</v>
      </c>
      <c r="F202" s="16">
        <f>Members!F202</f>
        <v>0</v>
      </c>
      <c r="G202" s="15">
        <f>MAX(0,Assumptions!$B$10-C202)</f>
        <v>28</v>
      </c>
      <c r="H202" s="17">
        <f>IF(B202="Active",E202*(1+Assumptions!$B$7)^G202,E202)</f>
        <v>2203098.7928306824</v>
      </c>
      <c r="I202" s="17">
        <f>IF(B202="Active",MIN(Assumptions!$B$12,D202+G202),IF(B202="Deferred",MIN(Assumptions!$B$12,D202),D202))</f>
        <v>32</v>
      </c>
      <c r="J202" s="17">
        <f>IF(B202="Active",H202*I202*Assumptions!$B$11,IF(B202="Deferred",E202*I202*Assumptions!$B$11*(1+Assumptions!$B$9)^G202,F202))</f>
        <v>1174986.0228430305</v>
      </c>
      <c r="K202" s="11">
        <f>IF(B202="Pensioner",1,VLOOKUP(Assumptions!$B$10,Mortality!$A$2:$F$104,6,FALSE)/VLOOKUP(C202,Mortality!$A$2:$F$104,6,FALSE))</f>
        <v>0.97095846876649572</v>
      </c>
      <c r="L202" s="11">
        <f>VLOOKUP(IF(B202="Pensioner",C202,Assumptions!$B$10),Mortality!$A$2:$E$104,5,FALSE)</f>
        <v>17.296790022132885</v>
      </c>
      <c r="M202" s="11">
        <f>1+Assumptions!$B$13*Assumptions!$B$14*Assumptions!$B$15</f>
        <v>1.3187500000000001</v>
      </c>
      <c r="N202" s="11">
        <f>IF(B202="Pensioner",1,1/(1+Assumptions!$B$6)^G202)</f>
        <v>0.17147901583340255</v>
      </c>
      <c r="O202" s="17">
        <f t="shared" si="3"/>
        <v>4462439.3100044038</v>
      </c>
    </row>
    <row r="203" spans="1:15">
      <c r="A203" s="13" t="str">
        <f>Members!A203</f>
        <v>P0114</v>
      </c>
      <c r="B203" s="13" t="str">
        <f>Members!B203</f>
        <v>Pensioner</v>
      </c>
      <c r="C203" s="13">
        <f>Members!C203</f>
        <v>81</v>
      </c>
      <c r="D203" s="14">
        <f>Members!D203</f>
        <v>33.4</v>
      </c>
      <c r="E203" s="16">
        <f>Members!E203</f>
        <v>0</v>
      </c>
      <c r="F203" s="16">
        <f>Members!F203</f>
        <v>473000</v>
      </c>
      <c r="G203" s="15">
        <f>MAX(0,Assumptions!$B$10-C203)</f>
        <v>0</v>
      </c>
      <c r="H203" s="17">
        <f>IF(B203="Active",E203*(1+Assumptions!$B$7)^G203,E203)</f>
        <v>0</v>
      </c>
      <c r="I203" s="17">
        <f>IF(B203="Active",MIN(Assumptions!$B$12,D203+G203),IF(B203="Deferred",MIN(Assumptions!$B$12,D203),D203))</f>
        <v>33.4</v>
      </c>
      <c r="J203" s="17">
        <f>IF(B203="Active",H203*I203*Assumptions!$B$11,IF(B203="Deferred",E203*I203*Assumptions!$B$11*(1+Assumptions!$B$9)^G203,F203))</f>
        <v>473000</v>
      </c>
      <c r="K203" s="11">
        <f>IF(B203="Pensioner",1,VLOOKUP(Assumptions!$B$10,Mortality!$A$2:$F$104,6,FALSE)/VLOOKUP(C203,Mortality!$A$2:$F$104,6,FALSE))</f>
        <v>1</v>
      </c>
      <c r="L203" s="11">
        <f>VLOOKUP(IF(B203="Pensioner",C203,Assumptions!$B$10),Mortality!$A$2:$E$104,5,FALSE)</f>
        <v>7.9368977140485031</v>
      </c>
      <c r="M203" s="11">
        <f>1+Assumptions!$B$13*Assumptions!$B$14*Assumptions!$B$15</f>
        <v>1.3187500000000001</v>
      </c>
      <c r="N203" s="11">
        <f>IF(B203="Pensioner",1,1/(1+Assumptions!$B$6)^G203)</f>
        <v>1</v>
      </c>
      <c r="O203" s="17">
        <f t="shared" si="3"/>
        <v>4950788.765969892</v>
      </c>
    </row>
    <row r="204" spans="1:15">
      <c r="A204" s="13" t="str">
        <f>Members!A204</f>
        <v>A0052</v>
      </c>
      <c r="B204" s="13" t="str">
        <f>Members!B204</f>
        <v>Active</v>
      </c>
      <c r="C204" s="13">
        <f>Members!C204</f>
        <v>45</v>
      </c>
      <c r="D204" s="14">
        <f>Members!D204</f>
        <v>19.100000000000001</v>
      </c>
      <c r="E204" s="16">
        <f>Members!E204</f>
        <v>1408000</v>
      </c>
      <c r="F204" s="16">
        <f>Members!F204</f>
        <v>0</v>
      </c>
      <c r="G204" s="15">
        <f>MAX(0,Assumptions!$B$10-C204)</f>
        <v>15</v>
      </c>
      <c r="H204" s="17">
        <f>IF(B204="Active",E204*(1+Assumptions!$B$7)^G204,E204)</f>
        <v>3143326.901071033</v>
      </c>
      <c r="I204" s="17">
        <f>IF(B204="Active",MIN(Assumptions!$B$12,D204+G204),IF(B204="Deferred",MIN(Assumptions!$B$12,D204),D204))</f>
        <v>34.1</v>
      </c>
      <c r="J204" s="17">
        <f>IF(B204="Active",H204*I204*Assumptions!$B$11,IF(B204="Deferred",E204*I204*Assumptions!$B$11*(1+Assumptions!$B$9)^G204,F204))</f>
        <v>1786457.4554420372</v>
      </c>
      <c r="K204" s="11">
        <f>IF(B204="Pensioner",1,VLOOKUP(Assumptions!$B$10,Mortality!$A$2:$F$104,6,FALSE)/VLOOKUP(C204,Mortality!$A$2:$F$104,6,FALSE))</f>
        <v>0.97693494781946555</v>
      </c>
      <c r="L204" s="11">
        <f>VLOOKUP(IF(B204="Pensioner",C204,Assumptions!$B$10),Mortality!$A$2:$E$104,5,FALSE)</f>
        <v>17.296790022132885</v>
      </c>
      <c r="M204" s="11">
        <f>1+Assumptions!$B$13*Assumptions!$B$14*Assumptions!$B$15</f>
        <v>1.3187500000000001</v>
      </c>
      <c r="N204" s="11">
        <f>IF(B204="Pensioner",1,1/(1+Assumptions!$B$6)^G204)</f>
        <v>0.38882652444221566</v>
      </c>
      <c r="O204" s="17">
        <f t="shared" si="3"/>
        <v>15478974.794447212</v>
      </c>
    </row>
    <row r="205" spans="1:15">
      <c r="A205" s="13" t="str">
        <f>Members!A205</f>
        <v>P0151</v>
      </c>
      <c r="B205" s="13" t="str">
        <f>Members!B205</f>
        <v>Pensioner</v>
      </c>
      <c r="C205" s="13">
        <f>Members!C205</f>
        <v>76</v>
      </c>
      <c r="D205" s="14">
        <f>Members!D205</f>
        <v>19.899999999999999</v>
      </c>
      <c r="E205" s="16">
        <f>Members!E205</f>
        <v>0</v>
      </c>
      <c r="F205" s="16">
        <f>Members!F205</f>
        <v>351000</v>
      </c>
      <c r="G205" s="15">
        <f>MAX(0,Assumptions!$B$10-C205)</f>
        <v>0</v>
      </c>
      <c r="H205" s="17">
        <f>IF(B205="Active",E205*(1+Assumptions!$B$7)^G205,E205)</f>
        <v>0</v>
      </c>
      <c r="I205" s="17">
        <f>IF(B205="Active",MIN(Assumptions!$B$12,D205+G205),IF(B205="Deferred",MIN(Assumptions!$B$12,D205),D205))</f>
        <v>19.899999999999999</v>
      </c>
      <c r="J205" s="17">
        <f>IF(B205="Active",H205*I205*Assumptions!$B$11,IF(B205="Deferred",E205*I205*Assumptions!$B$11*(1+Assumptions!$B$9)^G205,F205))</f>
        <v>351000</v>
      </c>
      <c r="K205" s="11">
        <f>IF(B205="Pensioner",1,VLOOKUP(Assumptions!$B$10,Mortality!$A$2:$F$104,6,FALSE)/VLOOKUP(C205,Mortality!$A$2:$F$104,6,FALSE))</f>
        <v>1</v>
      </c>
      <c r="L205" s="11">
        <f>VLOOKUP(IF(B205="Pensioner",C205,Assumptions!$B$10),Mortality!$A$2:$E$104,5,FALSE)</f>
        <v>10.201355966192867</v>
      </c>
      <c r="M205" s="11">
        <f>1+Assumptions!$B$13*Assumptions!$B$14*Assumptions!$B$15</f>
        <v>1.3187500000000001</v>
      </c>
      <c r="N205" s="11">
        <f>IF(B205="Pensioner",1,1/(1+Assumptions!$B$6)^G205)</f>
        <v>1</v>
      </c>
      <c r="O205" s="17">
        <f t="shared" si="3"/>
        <v>4722016.4013263127</v>
      </c>
    </row>
    <row r="206" spans="1:15">
      <c r="A206" s="13" t="str">
        <f>Members!A206</f>
        <v>D0010</v>
      </c>
      <c r="B206" s="13" t="str">
        <f>Members!B206</f>
        <v>Deferred</v>
      </c>
      <c r="C206" s="13">
        <f>Members!C206</f>
        <v>31</v>
      </c>
      <c r="D206" s="14">
        <f>Members!D206</f>
        <v>2.6</v>
      </c>
      <c r="E206" s="16">
        <f>Members!E206</f>
        <v>336000</v>
      </c>
      <c r="F206" s="16">
        <f>Members!F206</f>
        <v>0</v>
      </c>
      <c r="G206" s="15">
        <f>MAX(0,Assumptions!$B$10-C206)</f>
        <v>29</v>
      </c>
      <c r="H206" s="17">
        <f>IF(B206="Active",E206*(1+Assumptions!$B$7)^G206,E206)</f>
        <v>336000</v>
      </c>
      <c r="I206" s="17">
        <f>IF(B206="Active",MIN(Assumptions!$B$12,D206+G206),IF(B206="Deferred",MIN(Assumptions!$B$12,D206),D206))</f>
        <v>2.6</v>
      </c>
      <c r="J206" s="17">
        <f>IF(B206="Active",H206*I206*Assumptions!$B$11,IF(B206="Deferred",E206*I206*Assumptions!$B$11*(1+Assumptions!$B$9)^G206,F206))</f>
        <v>45407.565140385595</v>
      </c>
      <c r="K206" s="11">
        <f>IF(B206="Pensioner",1,VLOOKUP(Assumptions!$B$10,Mortality!$A$2:$F$104,6,FALSE)/VLOOKUP(C206,Mortality!$A$2:$F$104,6,FALSE))</f>
        <v>0.97064661072952085</v>
      </c>
      <c r="L206" s="11">
        <f>VLOOKUP(IF(B206="Pensioner",C206,Assumptions!$B$10),Mortality!$A$2:$E$104,5,FALSE)</f>
        <v>17.296790022132885</v>
      </c>
      <c r="M206" s="11">
        <f>1+Assumptions!$B$13*Assumptions!$B$14*Assumptions!$B$15</f>
        <v>1.3187500000000001</v>
      </c>
      <c r="N206" s="11">
        <f>IF(B206="Pensioner",1,1/(1+Assumptions!$B$6)^G206)</f>
        <v>0.16101316040695074</v>
      </c>
      <c r="O206" s="17">
        <f t="shared" si="3"/>
        <v>161874.60343677865</v>
      </c>
    </row>
    <row r="207" spans="1:15">
      <c r="A207" s="13" t="str">
        <f>Members!A207</f>
        <v>A0556</v>
      </c>
      <c r="B207" s="13" t="str">
        <f>Members!B207</f>
        <v>Active</v>
      </c>
      <c r="C207" s="13">
        <f>Members!C207</f>
        <v>35</v>
      </c>
      <c r="D207" s="14">
        <f>Members!D207</f>
        <v>4.7</v>
      </c>
      <c r="E207" s="16">
        <f>Members!E207</f>
        <v>858000</v>
      </c>
      <c r="F207" s="16">
        <f>Members!F207</f>
        <v>0</v>
      </c>
      <c r="G207" s="15">
        <f>MAX(0,Assumptions!$B$10-C207)</f>
        <v>25</v>
      </c>
      <c r="H207" s="17">
        <f>IF(B207="Active",E207*(1+Assumptions!$B$7)^G207,E207)</f>
        <v>3271890.6351167508</v>
      </c>
      <c r="I207" s="17">
        <f>IF(B207="Active",MIN(Assumptions!$B$12,D207+G207),IF(B207="Deferred",MIN(Assumptions!$B$12,D207),D207))</f>
        <v>29.7</v>
      </c>
      <c r="J207" s="17">
        <f>IF(B207="Active",H207*I207*Assumptions!$B$11,IF(B207="Deferred",E207*I207*Assumptions!$B$11*(1+Assumptions!$B$9)^G207,F207))</f>
        <v>1619585.8643827916</v>
      </c>
      <c r="K207" s="11">
        <f>IF(B207="Pensioner",1,VLOOKUP(Assumptions!$B$10,Mortality!$A$2:$F$104,6,FALSE)/VLOOKUP(C207,Mortality!$A$2:$F$104,6,FALSE))</f>
        <v>0.97197407653867529</v>
      </c>
      <c r="L207" s="11">
        <f>VLOOKUP(IF(B207="Pensioner",C207,Assumptions!$B$10),Mortality!$A$2:$E$104,5,FALSE)</f>
        <v>17.296790022132885</v>
      </c>
      <c r="M207" s="11">
        <f>1+Assumptions!$B$13*Assumptions!$B$14*Assumptions!$B$15</f>
        <v>1.3187500000000001</v>
      </c>
      <c r="N207" s="11">
        <f>IF(B207="Pensioner",1,1/(1+Assumptions!$B$6)^G207)</f>
        <v>0.20713801287132758</v>
      </c>
      <c r="O207" s="17">
        <f t="shared" si="3"/>
        <v>7437833.4823501995</v>
      </c>
    </row>
    <row r="208" spans="1:15">
      <c r="A208" s="13" t="str">
        <f>Members!A208</f>
        <v>A0082</v>
      </c>
      <c r="B208" s="13" t="str">
        <f>Members!B208</f>
        <v>Active</v>
      </c>
      <c r="C208" s="13">
        <f>Members!C208</f>
        <v>26</v>
      </c>
      <c r="D208" s="14">
        <f>Members!D208</f>
        <v>2.2999999999999998</v>
      </c>
      <c r="E208" s="16">
        <f>Members!E208</f>
        <v>452000</v>
      </c>
      <c r="F208" s="16">
        <f>Members!F208</f>
        <v>0</v>
      </c>
      <c r="G208" s="15">
        <f>MAX(0,Assumptions!$B$10-C208)</f>
        <v>34</v>
      </c>
      <c r="H208" s="17">
        <f>IF(B208="Active",E208*(1+Assumptions!$B$7)^G208,E208)</f>
        <v>2790757.2545372685</v>
      </c>
      <c r="I208" s="17">
        <f>IF(B208="Active",MIN(Assumptions!$B$12,D208+G208),IF(B208="Deferred",MIN(Assumptions!$B$12,D208),D208))</f>
        <v>36.299999999999997</v>
      </c>
      <c r="J208" s="17">
        <f>IF(B208="Active",H208*I208*Assumptions!$B$11,IF(B208="Deferred",E208*I208*Assumptions!$B$11*(1+Assumptions!$B$9)^G208,F208))</f>
        <v>1688408.1389950474</v>
      </c>
      <c r="K208" s="11">
        <f>IF(B208="Pensioner",1,VLOOKUP(Assumptions!$B$10,Mortality!$A$2:$F$104,6,FALSE)/VLOOKUP(C208,Mortality!$A$2:$F$104,6,FALSE))</f>
        <v>0.96922916291892547</v>
      </c>
      <c r="L208" s="11">
        <f>VLOOKUP(IF(B208="Pensioner",C208,Assumptions!$B$10),Mortality!$A$2:$E$104,5,FALSE)</f>
        <v>17.296790022132885</v>
      </c>
      <c r="M208" s="11">
        <f>1+Assumptions!$B$13*Assumptions!$B$14*Assumptions!$B$15</f>
        <v>1.3187500000000001</v>
      </c>
      <c r="N208" s="11">
        <f>IF(B208="Pensioner",1,1/(1+Assumptions!$B$6)^G208)</f>
        <v>0.11752042020870793</v>
      </c>
      <c r="O208" s="17">
        <f t="shared" si="3"/>
        <v>4386773.7052731933</v>
      </c>
    </row>
    <row r="209" spans="1:15">
      <c r="A209" s="13" t="str">
        <f>Members!A209</f>
        <v>A0558</v>
      </c>
      <c r="B209" s="13" t="str">
        <f>Members!B209</f>
        <v>Active</v>
      </c>
      <c r="C209" s="13">
        <f>Members!C209</f>
        <v>37</v>
      </c>
      <c r="D209" s="14">
        <f>Members!D209</f>
        <v>3.8</v>
      </c>
      <c r="E209" s="16">
        <f>Members!E209</f>
        <v>773000</v>
      </c>
      <c r="F209" s="16">
        <f>Members!F209</f>
        <v>0</v>
      </c>
      <c r="G209" s="15">
        <f>MAX(0,Assumptions!$B$10-C209)</f>
        <v>23</v>
      </c>
      <c r="H209" s="17">
        <f>IF(B209="Active",E209*(1+Assumptions!$B$7)^G209,E209)</f>
        <v>2648415.1618193416</v>
      </c>
      <c r="I209" s="17">
        <f>IF(B209="Active",MIN(Assumptions!$B$12,D209+G209),IF(B209="Deferred",MIN(Assumptions!$B$12,D209),D209))</f>
        <v>26.8</v>
      </c>
      <c r="J209" s="17">
        <f>IF(B209="Active",H209*I209*Assumptions!$B$11,IF(B209="Deferred",E209*I209*Assumptions!$B$11*(1+Assumptions!$B$9)^G209,F209))</f>
        <v>1182958.7722793061</v>
      </c>
      <c r="K209" s="11">
        <f>IF(B209="Pensioner",1,VLOOKUP(Assumptions!$B$10,Mortality!$A$2:$F$104,6,FALSE)/VLOOKUP(C209,Mortality!$A$2:$F$104,6,FALSE))</f>
        <v>0.97273561412651877</v>
      </c>
      <c r="L209" s="11">
        <f>VLOOKUP(IF(B209="Pensioner",C209,Assumptions!$B$10),Mortality!$A$2:$E$104,5,FALSE)</f>
        <v>17.296790022132885</v>
      </c>
      <c r="M209" s="11">
        <f>1+Assumptions!$B$13*Assumptions!$B$14*Assumptions!$B$15</f>
        <v>1.3187500000000001</v>
      </c>
      <c r="N209" s="11">
        <f>IF(B209="Pensioner",1,1/(1+Assumptions!$B$6)^G209)</f>
        <v>0.23494111264898151</v>
      </c>
      <c r="O209" s="17">
        <f t="shared" si="3"/>
        <v>6166680.2869725004</v>
      </c>
    </row>
    <row r="210" spans="1:15">
      <c r="A210" s="13" t="str">
        <f>Members!A210</f>
        <v>A0401</v>
      </c>
      <c r="B210" s="13" t="str">
        <f>Members!B210</f>
        <v>Active</v>
      </c>
      <c r="C210" s="13">
        <f>Members!C210</f>
        <v>35</v>
      </c>
      <c r="D210" s="14">
        <f>Members!D210</f>
        <v>11.4</v>
      </c>
      <c r="E210" s="16">
        <f>Members!E210</f>
        <v>516000</v>
      </c>
      <c r="F210" s="16">
        <f>Members!F210</f>
        <v>0</v>
      </c>
      <c r="G210" s="15">
        <f>MAX(0,Assumptions!$B$10-C210)</f>
        <v>25</v>
      </c>
      <c r="H210" s="17">
        <f>IF(B210="Active",E210*(1+Assumptions!$B$7)^G210,E210)</f>
        <v>1967710.4518883957</v>
      </c>
      <c r="I210" s="17">
        <f>IF(B210="Active",MIN(Assumptions!$B$12,D210+G210),IF(B210="Deferred",MIN(Assumptions!$B$12,D210),D210))</f>
        <v>36.4</v>
      </c>
      <c r="J210" s="17">
        <f>IF(B210="Active",H210*I210*Assumptions!$B$11,IF(B210="Deferred",E210*I210*Assumptions!$B$11*(1+Assumptions!$B$9)^G210,F210))</f>
        <v>1193744.3408122933</v>
      </c>
      <c r="K210" s="11">
        <f>IF(B210="Pensioner",1,VLOOKUP(Assumptions!$B$10,Mortality!$A$2:$F$104,6,FALSE)/VLOOKUP(C210,Mortality!$A$2:$F$104,6,FALSE))</f>
        <v>0.97197407653867529</v>
      </c>
      <c r="L210" s="11">
        <f>VLOOKUP(IF(B210="Pensioner",C210,Assumptions!$B$10),Mortality!$A$2:$E$104,5,FALSE)</f>
        <v>17.296790022132885</v>
      </c>
      <c r="M210" s="11">
        <f>1+Assumptions!$B$13*Assumptions!$B$14*Assumptions!$B$15</f>
        <v>1.3187500000000001</v>
      </c>
      <c r="N210" s="11">
        <f>IF(B210="Pensioner",1,1/(1+Assumptions!$B$6)^G210)</f>
        <v>0.20713801287132758</v>
      </c>
      <c r="O210" s="17">
        <f t="shared" si="3"/>
        <v>5482186.4173551518</v>
      </c>
    </row>
    <row r="211" spans="1:15">
      <c r="A211" s="13" t="str">
        <f>Members!A211</f>
        <v>D0066</v>
      </c>
      <c r="B211" s="13" t="str">
        <f>Members!B211</f>
        <v>Deferred</v>
      </c>
      <c r="C211" s="13">
        <f>Members!C211</f>
        <v>57</v>
      </c>
      <c r="D211" s="14">
        <f>Members!D211</f>
        <v>27.8</v>
      </c>
      <c r="E211" s="16">
        <f>Members!E211</f>
        <v>1519000</v>
      </c>
      <c r="F211" s="16">
        <f>Members!F211</f>
        <v>0</v>
      </c>
      <c r="G211" s="15">
        <f>MAX(0,Assumptions!$B$10-C211)</f>
        <v>3</v>
      </c>
      <c r="H211" s="17">
        <f>IF(B211="Active",E211*(1+Assumptions!$B$7)^G211,E211)</f>
        <v>1519000</v>
      </c>
      <c r="I211" s="17">
        <f>IF(B211="Active",MIN(Assumptions!$B$12,D211+G211),IF(B211="Deferred",MIN(Assumptions!$B$12,D211),D211))</f>
        <v>27.8</v>
      </c>
      <c r="J211" s="17">
        <f>IF(B211="Active",H211*I211*Assumptions!$B$11,IF(B211="Deferred",E211*I211*Assumptions!$B$11*(1+Assumptions!$B$9)^G211,F211))</f>
        <v>791683.03274666681</v>
      </c>
      <c r="K211" s="11">
        <f>IF(B211="Pensioner",1,VLOOKUP(Assumptions!$B$10,Mortality!$A$2:$F$104,6,FALSE)/VLOOKUP(C211,Mortality!$A$2:$F$104,6,FALSE))</f>
        <v>0.99220038929214172</v>
      </c>
      <c r="L211" s="11">
        <f>VLOOKUP(IF(B211="Pensioner",C211,Assumptions!$B$10),Mortality!$A$2:$E$104,5,FALSE)</f>
        <v>17.296790022132885</v>
      </c>
      <c r="M211" s="11">
        <f>1+Assumptions!$B$13*Assumptions!$B$14*Assumptions!$B$15</f>
        <v>1.3187500000000001</v>
      </c>
      <c r="N211" s="11">
        <f>IF(B211="Pensioner",1,1/(1+Assumptions!$B$6)^G211)</f>
        <v>0.82784909180297994</v>
      </c>
      <c r="O211" s="17">
        <f t="shared" si="3"/>
        <v>14833030.609941488</v>
      </c>
    </row>
    <row r="212" spans="1:15">
      <c r="A212" s="13" t="str">
        <f>Members!A212</f>
        <v>A0304</v>
      </c>
      <c r="B212" s="13" t="str">
        <f>Members!B212</f>
        <v>Active</v>
      </c>
      <c r="C212" s="13">
        <f>Members!C212</f>
        <v>46</v>
      </c>
      <c r="D212" s="14">
        <f>Members!D212</f>
        <v>6.6</v>
      </c>
      <c r="E212" s="16">
        <f>Members!E212</f>
        <v>872000</v>
      </c>
      <c r="F212" s="16">
        <f>Members!F212</f>
        <v>0</v>
      </c>
      <c r="G212" s="15">
        <f>MAX(0,Assumptions!$B$10-C212)</f>
        <v>14</v>
      </c>
      <c r="H212" s="17">
        <f>IF(B212="Active",E212*(1+Assumptions!$B$7)^G212,E212)</f>
        <v>1845231.7547217936</v>
      </c>
      <c r="I212" s="17">
        <f>IF(B212="Active",MIN(Assumptions!$B$12,D212+G212),IF(B212="Deferred",MIN(Assumptions!$B$12,D212),D212))</f>
        <v>20.6</v>
      </c>
      <c r="J212" s="17">
        <f>IF(B212="Active",H212*I212*Assumptions!$B$11,IF(B212="Deferred",E212*I212*Assumptions!$B$11*(1+Assumptions!$B$9)^G212,F212))</f>
        <v>633529.56912114914</v>
      </c>
      <c r="K212" s="11">
        <f>IF(B212="Pensioner",1,VLOOKUP(Assumptions!$B$10,Mortality!$A$2:$F$104,6,FALSE)/VLOOKUP(C212,Mortality!$A$2:$F$104,6,FALSE))</f>
        <v>0.97765823283048059</v>
      </c>
      <c r="L212" s="11">
        <f>VLOOKUP(IF(B212="Pensioner",C212,Assumptions!$B$10),Mortality!$A$2:$E$104,5,FALSE)</f>
        <v>17.296790022132885</v>
      </c>
      <c r="M212" s="11">
        <f>1+Assumptions!$B$13*Assumptions!$B$14*Assumptions!$B$15</f>
        <v>1.3187500000000001</v>
      </c>
      <c r="N212" s="11">
        <f>IF(B212="Pensioner",1,1/(1+Assumptions!$B$6)^G212)</f>
        <v>0.41410024853095956</v>
      </c>
      <c r="O212" s="17">
        <f t="shared" si="3"/>
        <v>5850425.1668972755</v>
      </c>
    </row>
    <row r="213" spans="1:15">
      <c r="A213" s="13" t="str">
        <f>Members!A213</f>
        <v>P0215</v>
      </c>
      <c r="B213" s="13" t="str">
        <f>Members!B213</f>
        <v>Pensioner</v>
      </c>
      <c r="C213" s="13">
        <f>Members!C213</f>
        <v>63</v>
      </c>
      <c r="D213" s="14">
        <f>Members!D213</f>
        <v>13.7</v>
      </c>
      <c r="E213" s="16">
        <f>Members!E213</f>
        <v>0</v>
      </c>
      <c r="F213" s="16">
        <f>Members!F213</f>
        <v>141000</v>
      </c>
      <c r="G213" s="15">
        <f>MAX(0,Assumptions!$B$10-C213)</f>
        <v>0</v>
      </c>
      <c r="H213" s="17">
        <f>IF(B213="Active",E213*(1+Assumptions!$B$7)^G213,E213)</f>
        <v>0</v>
      </c>
      <c r="I213" s="17">
        <f>IF(B213="Active",MIN(Assumptions!$B$12,D213+G213),IF(B213="Deferred",MIN(Assumptions!$B$12,D213),D213))</f>
        <v>13.7</v>
      </c>
      <c r="J213" s="17">
        <f>IF(B213="Active",H213*I213*Assumptions!$B$11,IF(B213="Deferred",E213*I213*Assumptions!$B$11*(1+Assumptions!$B$9)^G213,F213))</f>
        <v>141000</v>
      </c>
      <c r="K213" s="11">
        <f>IF(B213="Pensioner",1,VLOOKUP(Assumptions!$B$10,Mortality!$A$2:$F$104,6,FALSE)/VLOOKUP(C213,Mortality!$A$2:$F$104,6,FALSE))</f>
        <v>1</v>
      </c>
      <c r="L213" s="11">
        <f>VLOOKUP(IF(B213="Pensioner",C213,Assumptions!$B$10),Mortality!$A$2:$E$104,5,FALSE)</f>
        <v>16.055191398346196</v>
      </c>
      <c r="M213" s="11">
        <f>1+Assumptions!$B$13*Assumptions!$B$14*Assumptions!$B$15</f>
        <v>1.3187500000000001</v>
      </c>
      <c r="N213" s="11">
        <f>IF(B213="Pensioner",1,1/(1+Assumptions!$B$6)^G213)</f>
        <v>1</v>
      </c>
      <c r="O213" s="17">
        <f t="shared" si="3"/>
        <v>2985362.4955762355</v>
      </c>
    </row>
    <row r="214" spans="1:15">
      <c r="A214" s="13" t="str">
        <f>Members!A214</f>
        <v>A0042</v>
      </c>
      <c r="B214" s="13" t="str">
        <f>Members!B214</f>
        <v>Active</v>
      </c>
      <c r="C214" s="13">
        <f>Members!C214</f>
        <v>41</v>
      </c>
      <c r="D214" s="14">
        <f>Members!D214</f>
        <v>2.1</v>
      </c>
      <c r="E214" s="16">
        <f>Members!E214</f>
        <v>716000</v>
      </c>
      <c r="F214" s="16">
        <f>Members!F214</f>
        <v>0</v>
      </c>
      <c r="G214" s="15">
        <f>MAX(0,Assumptions!$B$10-C214)</f>
        <v>19</v>
      </c>
      <c r="H214" s="17">
        <f>IF(B214="Active",E214*(1+Assumptions!$B$7)^G214,E214)</f>
        <v>1980203.1879360455</v>
      </c>
      <c r="I214" s="17">
        <f>IF(B214="Active",MIN(Assumptions!$B$12,D214+G214),IF(B214="Deferred",MIN(Assumptions!$B$12,D214),D214))</f>
        <v>21.1</v>
      </c>
      <c r="J214" s="17">
        <f>IF(B214="Active",H214*I214*Assumptions!$B$11,IF(B214="Deferred",E214*I214*Assumptions!$B$11*(1+Assumptions!$B$9)^G214,F214))</f>
        <v>696371.45442417602</v>
      </c>
      <c r="K214" s="11">
        <f>IF(B214="Pensioner",1,VLOOKUP(Assumptions!$B$10,Mortality!$A$2:$F$104,6,FALSE)/VLOOKUP(C214,Mortality!$A$2:$F$104,6,FALSE))</f>
        <v>0.97454789540795339</v>
      </c>
      <c r="L214" s="11">
        <f>VLOOKUP(IF(B214="Pensioner",C214,Assumptions!$B$10),Mortality!$A$2:$E$104,5,FALSE)</f>
        <v>17.296790022132885</v>
      </c>
      <c r="M214" s="11">
        <f>1+Assumptions!$B$13*Assumptions!$B$14*Assumptions!$B$15</f>
        <v>1.3187500000000001</v>
      </c>
      <c r="N214" s="11">
        <f>IF(B214="Pensioner",1,1/(1+Assumptions!$B$6)^G214)</f>
        <v>0.30224383580131214</v>
      </c>
      <c r="O214" s="17">
        <f t="shared" si="3"/>
        <v>4678747.2662159838</v>
      </c>
    </row>
    <row r="215" spans="1:15">
      <c r="A215" s="13" t="str">
        <f>Members!A215</f>
        <v>D0104</v>
      </c>
      <c r="B215" s="13" t="str">
        <f>Members!B215</f>
        <v>Deferred</v>
      </c>
      <c r="C215" s="13">
        <f>Members!C215</f>
        <v>46</v>
      </c>
      <c r="D215" s="14">
        <f>Members!D215</f>
        <v>10.1</v>
      </c>
      <c r="E215" s="16">
        <f>Members!E215</f>
        <v>795000</v>
      </c>
      <c r="F215" s="16">
        <f>Members!F215</f>
        <v>0</v>
      </c>
      <c r="G215" s="15">
        <f>MAX(0,Assumptions!$B$10-C215)</f>
        <v>14</v>
      </c>
      <c r="H215" s="17">
        <f>IF(B215="Active",E215*(1+Assumptions!$B$7)^G215,E215)</f>
        <v>795000</v>
      </c>
      <c r="I215" s="17">
        <f>IF(B215="Active",MIN(Assumptions!$B$12,D215+G215),IF(B215="Deferred",MIN(Assumptions!$B$12,D215),D215))</f>
        <v>10.1</v>
      </c>
      <c r="J215" s="17">
        <f>IF(B215="Active",H215*I215*Assumptions!$B$11,IF(B215="Deferred",E215*I215*Assumptions!$B$11*(1+Assumptions!$B$9)^G215,F215))</f>
        <v>231741.60060044532</v>
      </c>
      <c r="K215" s="11">
        <f>IF(B215="Pensioner",1,VLOOKUP(Assumptions!$B$10,Mortality!$A$2:$F$104,6,FALSE)/VLOOKUP(C215,Mortality!$A$2:$F$104,6,FALSE))</f>
        <v>0.97765823283048059</v>
      </c>
      <c r="L215" s="11">
        <f>VLOOKUP(IF(B215="Pensioner",C215,Assumptions!$B$10),Mortality!$A$2:$E$104,5,FALSE)</f>
        <v>17.296790022132885</v>
      </c>
      <c r="M215" s="11">
        <f>1+Assumptions!$B$13*Assumptions!$B$14*Assumptions!$B$15</f>
        <v>1.3187500000000001</v>
      </c>
      <c r="N215" s="11">
        <f>IF(B215="Pensioner",1,1/(1+Assumptions!$B$6)^G215)</f>
        <v>0.41410024853095956</v>
      </c>
      <c r="O215" s="17">
        <f t="shared" si="3"/>
        <v>2140053.0590082631</v>
      </c>
    </row>
    <row r="216" spans="1:15">
      <c r="A216" s="13" t="str">
        <f>Members!A216</f>
        <v>A0390</v>
      </c>
      <c r="B216" s="13" t="str">
        <f>Members!B216</f>
        <v>Active</v>
      </c>
      <c r="C216" s="13">
        <f>Members!C216</f>
        <v>49</v>
      </c>
      <c r="D216" s="14">
        <f>Members!D216</f>
        <v>4.5</v>
      </c>
      <c r="E216" s="16">
        <f>Members!E216</f>
        <v>1040000</v>
      </c>
      <c r="F216" s="16">
        <f>Members!F216</f>
        <v>0</v>
      </c>
      <c r="G216" s="15">
        <f>MAX(0,Assumptions!$B$10-C216)</f>
        <v>11</v>
      </c>
      <c r="H216" s="17">
        <f>IF(B216="Active",E216*(1+Assumptions!$B$7)^G216,E216)</f>
        <v>1874176.099705562</v>
      </c>
      <c r="I216" s="17">
        <f>IF(B216="Active",MIN(Assumptions!$B$12,D216+G216),IF(B216="Deferred",MIN(Assumptions!$B$12,D216),D216))</f>
        <v>15.5</v>
      </c>
      <c r="J216" s="17">
        <f>IF(B216="Active",H216*I216*Assumptions!$B$11,IF(B216="Deferred",E216*I216*Assumptions!$B$11*(1+Assumptions!$B$9)^G216,F216))</f>
        <v>484162.15909060353</v>
      </c>
      <c r="K216" s="11">
        <f>IF(B216="Pensioner",1,VLOOKUP(Assumptions!$B$10,Mortality!$A$2:$F$104,6,FALSE)/VLOOKUP(C216,Mortality!$A$2:$F$104,6,FALSE))</f>
        <v>0.98024296623595764</v>
      </c>
      <c r="L216" s="11">
        <f>VLOOKUP(IF(B216="Pensioner",C216,Assumptions!$B$10),Mortality!$A$2:$E$104,5,FALSE)</f>
        <v>17.296790022132885</v>
      </c>
      <c r="M216" s="11">
        <f>1+Assumptions!$B$13*Assumptions!$B$14*Assumptions!$B$15</f>
        <v>1.3187500000000001</v>
      </c>
      <c r="N216" s="11">
        <f>IF(B216="Pensioner",1,1/(1+Assumptions!$B$6)^G216)</f>
        <v>0.50021223992537933</v>
      </c>
      <c r="O216" s="17">
        <f t="shared" si="3"/>
        <v>5415104.9502016269</v>
      </c>
    </row>
    <row r="217" spans="1:15">
      <c r="A217" s="13" t="str">
        <f>Members!A217</f>
        <v>A0513</v>
      </c>
      <c r="B217" s="13" t="str">
        <f>Members!B217</f>
        <v>Active</v>
      </c>
      <c r="C217" s="13">
        <f>Members!C217</f>
        <v>47</v>
      </c>
      <c r="D217" s="14">
        <f>Members!D217</f>
        <v>17.100000000000001</v>
      </c>
      <c r="E217" s="16">
        <f>Members!E217</f>
        <v>1461000</v>
      </c>
      <c r="F217" s="16">
        <f>Members!F217</f>
        <v>0</v>
      </c>
      <c r="G217" s="15">
        <f>MAX(0,Assumptions!$B$10-C217)</f>
        <v>13</v>
      </c>
      <c r="H217" s="17">
        <f>IF(B217="Active",E217*(1+Assumptions!$B$7)^G217,E217)</f>
        <v>2930435.6642120751</v>
      </c>
      <c r="I217" s="17">
        <f>IF(B217="Active",MIN(Assumptions!$B$12,D217+G217),IF(B217="Deferred",MIN(Assumptions!$B$12,D217),D217))</f>
        <v>30.1</v>
      </c>
      <c r="J217" s="17">
        <f>IF(B217="Active",H217*I217*Assumptions!$B$11,IF(B217="Deferred",E217*I217*Assumptions!$B$11*(1+Assumptions!$B$9)^G217,F217))</f>
        <v>1470101.891546391</v>
      </c>
      <c r="K217" s="11">
        <f>IF(B217="Pensioner",1,VLOOKUP(Assumptions!$B$10,Mortality!$A$2:$F$104,6,FALSE)/VLOOKUP(C217,Mortality!$A$2:$F$104,6,FALSE))</f>
        <v>0.97844516757479894</v>
      </c>
      <c r="L217" s="11">
        <f>VLOOKUP(IF(B217="Pensioner",C217,Assumptions!$B$10),Mortality!$A$2:$E$104,5,FALSE)</f>
        <v>17.296790022132885</v>
      </c>
      <c r="M217" s="11">
        <f>1+Assumptions!$B$13*Assumptions!$B$14*Assumptions!$B$15</f>
        <v>1.3187500000000001</v>
      </c>
      <c r="N217" s="11">
        <f>IF(B217="Pensioner",1,1/(1+Assumptions!$B$6)^G217)</f>
        <v>0.44101676468547191</v>
      </c>
      <c r="O217" s="17">
        <f t="shared" si="3"/>
        <v>14469949.447099956</v>
      </c>
    </row>
    <row r="218" spans="1:15">
      <c r="A218" s="13" t="str">
        <f>Members!A218</f>
        <v>A0234</v>
      </c>
      <c r="B218" s="13" t="str">
        <f>Members!B218</f>
        <v>Active</v>
      </c>
      <c r="C218" s="13">
        <f>Members!C218</f>
        <v>33</v>
      </c>
      <c r="D218" s="14">
        <f>Members!D218</f>
        <v>2.7</v>
      </c>
      <c r="E218" s="16">
        <f>Members!E218</f>
        <v>649000</v>
      </c>
      <c r="F218" s="16">
        <f>Members!F218</f>
        <v>0</v>
      </c>
      <c r="G218" s="15">
        <f>MAX(0,Assumptions!$B$10-C218)</f>
        <v>27</v>
      </c>
      <c r="H218" s="17">
        <f>IF(B218="Active",E218*(1+Assumptions!$B$7)^G218,E218)</f>
        <v>2754616.261216647</v>
      </c>
      <c r="I218" s="17">
        <f>IF(B218="Active",MIN(Assumptions!$B$12,D218+G218),IF(B218="Deferred",MIN(Assumptions!$B$12,D218),D218))</f>
        <v>29.7</v>
      </c>
      <c r="J218" s="17">
        <f>IF(B218="Active",H218*I218*Assumptions!$B$11,IF(B218="Deferred",E218*I218*Assumptions!$B$11*(1+Assumptions!$B$9)^G218,F218))</f>
        <v>1363535.0493022401</v>
      </c>
      <c r="K218" s="11">
        <f>IF(B218="Pensioner",1,VLOOKUP(Assumptions!$B$10,Mortality!$A$2:$F$104,6,FALSE)/VLOOKUP(C218,Mortality!$A$2:$F$104,6,FALSE))</f>
        <v>0.9712826176321353</v>
      </c>
      <c r="L218" s="11">
        <f>VLOOKUP(IF(B218="Pensioner",C218,Assumptions!$B$10),Mortality!$A$2:$E$104,5,FALSE)</f>
        <v>17.296790022132885</v>
      </c>
      <c r="M218" s="11">
        <f>1+Assumptions!$B$13*Assumptions!$B$14*Assumptions!$B$15</f>
        <v>1.3187500000000001</v>
      </c>
      <c r="N218" s="11">
        <f>IF(B218="Pensioner",1,1/(1+Assumptions!$B$6)^G218)</f>
        <v>0.18262515186257369</v>
      </c>
      <c r="O218" s="17">
        <f t="shared" si="3"/>
        <v>5516968.4245186336</v>
      </c>
    </row>
    <row r="219" spans="1:15">
      <c r="A219" s="13" t="str">
        <f>Members!A219</f>
        <v>P0100</v>
      </c>
      <c r="B219" s="13" t="str">
        <f>Members!B219</f>
        <v>Pensioner</v>
      </c>
      <c r="C219" s="13">
        <f>Members!C219</f>
        <v>77</v>
      </c>
      <c r="D219" s="14">
        <f>Members!D219</f>
        <v>16.2</v>
      </c>
      <c r="E219" s="16">
        <f>Members!E219</f>
        <v>0</v>
      </c>
      <c r="F219" s="16">
        <f>Members!F219</f>
        <v>508000</v>
      </c>
      <c r="G219" s="15">
        <f>MAX(0,Assumptions!$B$10-C219)</f>
        <v>0</v>
      </c>
      <c r="H219" s="17">
        <f>IF(B219="Active",E219*(1+Assumptions!$B$7)^G219,E219)</f>
        <v>0</v>
      </c>
      <c r="I219" s="17">
        <f>IF(B219="Active",MIN(Assumptions!$B$12,D219+G219),IF(B219="Deferred",MIN(Assumptions!$B$12,D219),D219))</f>
        <v>16.2</v>
      </c>
      <c r="J219" s="17">
        <f>IF(B219="Active",H219*I219*Assumptions!$B$11,IF(B219="Deferred",E219*I219*Assumptions!$B$11*(1+Assumptions!$B$9)^G219,F219))</f>
        <v>508000</v>
      </c>
      <c r="K219" s="11">
        <f>IF(B219="Pensioner",1,VLOOKUP(Assumptions!$B$10,Mortality!$A$2:$F$104,6,FALSE)/VLOOKUP(C219,Mortality!$A$2:$F$104,6,FALSE))</f>
        <v>1</v>
      </c>
      <c r="L219" s="11">
        <f>VLOOKUP(IF(B219="Pensioner",C219,Assumptions!$B$10),Mortality!$A$2:$E$104,5,FALSE)</f>
        <v>9.7418184564319716</v>
      </c>
      <c r="M219" s="11">
        <f>1+Assumptions!$B$13*Assumptions!$B$14*Assumptions!$B$15</f>
        <v>1.3187500000000001</v>
      </c>
      <c r="N219" s="11">
        <f>IF(B219="Pensioner",1,1/(1+Assumptions!$B$6)^G219)</f>
        <v>1</v>
      </c>
      <c r="O219" s="17">
        <f t="shared" si="3"/>
        <v>6526287.7294251891</v>
      </c>
    </row>
    <row r="220" spans="1:15">
      <c r="A220" s="13" t="str">
        <f>Members!A220</f>
        <v>A0370</v>
      </c>
      <c r="B220" s="13" t="str">
        <f>Members!B220</f>
        <v>Active</v>
      </c>
      <c r="C220" s="13">
        <f>Members!C220</f>
        <v>22</v>
      </c>
      <c r="D220" s="14">
        <f>Members!D220</f>
        <v>1.8</v>
      </c>
      <c r="E220" s="16">
        <f>Members!E220</f>
        <v>445000</v>
      </c>
      <c r="F220" s="16">
        <f>Members!F220</f>
        <v>0</v>
      </c>
      <c r="G220" s="15">
        <f>MAX(0,Assumptions!$B$10-C220)</f>
        <v>38</v>
      </c>
      <c r="H220" s="17">
        <f>IF(B220="Active",E220*(1+Assumptions!$B$7)^G220,E220)</f>
        <v>3403717.2609954323</v>
      </c>
      <c r="I220" s="17">
        <f>IF(B220="Active",MIN(Assumptions!$B$12,D220+G220),IF(B220="Deferred",MIN(Assumptions!$B$12,D220),D220))</f>
        <v>39.799999999999997</v>
      </c>
      <c r="J220" s="17">
        <f>IF(B220="Active",H220*I220*Assumptions!$B$11,IF(B220="Deferred",E220*I220*Assumptions!$B$11*(1+Assumptions!$B$9)^G220,F220))</f>
        <v>2257799.1164603033</v>
      </c>
      <c r="K220" s="11">
        <f>IF(B220="Pensioner",1,VLOOKUP(Assumptions!$B$10,Mortality!$A$2:$F$104,6,FALSE)/VLOOKUP(C220,Mortality!$A$2:$F$104,6,FALSE))</f>
        <v>0.9682119922904866</v>
      </c>
      <c r="L220" s="11">
        <f>VLOOKUP(IF(B220="Pensioner",C220,Assumptions!$B$10),Mortality!$A$2:$E$104,5,FALSE)</f>
        <v>17.296790022132885</v>
      </c>
      <c r="M220" s="11">
        <f>1+Assumptions!$B$13*Assumptions!$B$14*Assumptions!$B$15</f>
        <v>1.3187500000000001</v>
      </c>
      <c r="N220" s="11">
        <f>IF(B220="Pensioner",1,1/(1+Assumptions!$B$6)^G220)</f>
        <v>9.1351336279890546E-2</v>
      </c>
      <c r="O220" s="17">
        <f t="shared" si="3"/>
        <v>4555107.6676551495</v>
      </c>
    </row>
    <row r="221" spans="1:15">
      <c r="A221" s="13" t="str">
        <f>Members!A221</f>
        <v>A0609</v>
      </c>
      <c r="B221" s="13" t="str">
        <f>Members!B221</f>
        <v>Active</v>
      </c>
      <c r="C221" s="13">
        <f>Members!C221</f>
        <v>30</v>
      </c>
      <c r="D221" s="14">
        <f>Members!D221</f>
        <v>2.2000000000000002</v>
      </c>
      <c r="E221" s="16">
        <f>Members!E221</f>
        <v>701000</v>
      </c>
      <c r="F221" s="16">
        <f>Members!F221</f>
        <v>0</v>
      </c>
      <c r="G221" s="15">
        <f>MAX(0,Assumptions!$B$10-C221)</f>
        <v>30</v>
      </c>
      <c r="H221" s="17">
        <f>IF(B221="Active",E221*(1+Assumptions!$B$7)^G221,E221)</f>
        <v>3493749.8531649369</v>
      </c>
      <c r="I221" s="17">
        <f>IF(B221="Active",MIN(Assumptions!$B$12,D221+G221),IF(B221="Deferred",MIN(Assumptions!$B$12,D221),D221))</f>
        <v>32.200000000000003</v>
      </c>
      <c r="J221" s="17">
        <f>IF(B221="Active",H221*I221*Assumptions!$B$11,IF(B221="Deferred",E221*I221*Assumptions!$B$11*(1+Assumptions!$B$9)^G221,F221))</f>
        <v>1874979.0878651829</v>
      </c>
      <c r="K221" s="11">
        <f>IF(B221="Pensioner",1,VLOOKUP(Assumptions!$B$10,Mortality!$A$2:$F$104,6,FALSE)/VLOOKUP(C221,Mortality!$A$2:$F$104,6,FALSE))</f>
        <v>0.97034568803187526</v>
      </c>
      <c r="L221" s="11">
        <f>VLOOKUP(IF(B221="Pensioner",C221,Assumptions!$B$10),Mortality!$A$2:$E$104,5,FALSE)</f>
        <v>17.296790022132885</v>
      </c>
      <c r="M221" s="11">
        <f>1+Assumptions!$B$13*Assumptions!$B$14*Assumptions!$B$15</f>
        <v>1.3187500000000001</v>
      </c>
      <c r="N221" s="11">
        <f>IF(B221="Pensioner",1,1/(1+Assumptions!$B$6)^G221)</f>
        <v>0.15118606610981289</v>
      </c>
      <c r="O221" s="17">
        <f t="shared" si="3"/>
        <v>6274262.1628685221</v>
      </c>
    </row>
    <row r="222" spans="1:15">
      <c r="A222" s="13" t="str">
        <f>Members!A222</f>
        <v>P0230</v>
      </c>
      <c r="B222" s="13" t="str">
        <f>Members!B222</f>
        <v>Pensioner</v>
      </c>
      <c r="C222" s="13">
        <f>Members!C222</f>
        <v>81</v>
      </c>
      <c r="D222" s="14">
        <f>Members!D222</f>
        <v>25.8</v>
      </c>
      <c r="E222" s="16">
        <f>Members!E222</f>
        <v>0</v>
      </c>
      <c r="F222" s="16">
        <f>Members!F222</f>
        <v>294000</v>
      </c>
      <c r="G222" s="15">
        <f>MAX(0,Assumptions!$B$10-C222)</f>
        <v>0</v>
      </c>
      <c r="H222" s="17">
        <f>IF(B222="Active",E222*(1+Assumptions!$B$7)^G222,E222)</f>
        <v>0</v>
      </c>
      <c r="I222" s="17">
        <f>IF(B222="Active",MIN(Assumptions!$B$12,D222+G222),IF(B222="Deferred",MIN(Assumptions!$B$12,D222),D222))</f>
        <v>25.8</v>
      </c>
      <c r="J222" s="17">
        <f>IF(B222="Active",H222*I222*Assumptions!$B$11,IF(B222="Deferred",E222*I222*Assumptions!$B$11*(1+Assumptions!$B$9)^G222,F222))</f>
        <v>294000</v>
      </c>
      <c r="K222" s="11">
        <f>IF(B222="Pensioner",1,VLOOKUP(Assumptions!$B$10,Mortality!$A$2:$F$104,6,FALSE)/VLOOKUP(C222,Mortality!$A$2:$F$104,6,FALSE))</f>
        <v>1</v>
      </c>
      <c r="L222" s="11">
        <f>VLOOKUP(IF(B222="Pensioner",C222,Assumptions!$B$10),Mortality!$A$2:$E$104,5,FALSE)</f>
        <v>7.9368977140485031</v>
      </c>
      <c r="M222" s="11">
        <f>1+Assumptions!$B$13*Assumptions!$B$14*Assumptions!$B$15</f>
        <v>1.3187500000000001</v>
      </c>
      <c r="N222" s="11">
        <f>IF(B222="Pensioner",1,1/(1+Assumptions!$B$6)^G222)</f>
        <v>1</v>
      </c>
      <c r="O222" s="17">
        <f t="shared" si="3"/>
        <v>3077234.4549580305</v>
      </c>
    </row>
    <row r="223" spans="1:15">
      <c r="A223" s="13" t="str">
        <f>Members!A223</f>
        <v>A0240</v>
      </c>
      <c r="B223" s="13" t="str">
        <f>Members!B223</f>
        <v>Active</v>
      </c>
      <c r="C223" s="13">
        <f>Members!C223</f>
        <v>31</v>
      </c>
      <c r="D223" s="14">
        <f>Members!D223</f>
        <v>5</v>
      </c>
      <c r="E223" s="16">
        <f>Members!E223</f>
        <v>526000</v>
      </c>
      <c r="F223" s="16">
        <f>Members!F223</f>
        <v>0</v>
      </c>
      <c r="G223" s="15">
        <f>MAX(0,Assumptions!$B$10-C223)</f>
        <v>29</v>
      </c>
      <c r="H223" s="17">
        <f>IF(B223="Active",E223*(1+Assumptions!$B$7)^G223,E223)</f>
        <v>2484889.4575315653</v>
      </c>
      <c r="I223" s="17">
        <f>IF(B223="Active",MIN(Assumptions!$B$12,D223+G223),IF(B223="Deferred",MIN(Assumptions!$B$12,D223),D223))</f>
        <v>34</v>
      </c>
      <c r="J223" s="17">
        <f>IF(B223="Active",H223*I223*Assumptions!$B$11,IF(B223="Deferred",E223*I223*Assumptions!$B$11*(1+Assumptions!$B$9)^G223,F223))</f>
        <v>1408104.0259345537</v>
      </c>
      <c r="K223" s="11">
        <f>IF(B223="Pensioner",1,VLOOKUP(Assumptions!$B$10,Mortality!$A$2:$F$104,6,FALSE)/VLOOKUP(C223,Mortality!$A$2:$F$104,6,FALSE))</f>
        <v>0.97064661072952085</v>
      </c>
      <c r="L223" s="11">
        <f>VLOOKUP(IF(B223="Pensioner",C223,Assumptions!$B$10),Mortality!$A$2:$E$104,5,FALSE)</f>
        <v>17.296790022132885</v>
      </c>
      <c r="M223" s="11">
        <f>1+Assumptions!$B$13*Assumptions!$B$14*Assumptions!$B$15</f>
        <v>1.3187500000000001</v>
      </c>
      <c r="N223" s="11">
        <f>IF(B223="Pensioner",1,1/(1+Assumptions!$B$6)^G223)</f>
        <v>0.16101316040695074</v>
      </c>
      <c r="O223" s="17">
        <f t="shared" si="3"/>
        <v>5019786.4627002496</v>
      </c>
    </row>
    <row r="224" spans="1:15">
      <c r="A224" s="13" t="str">
        <f>Members!A224</f>
        <v>A0332</v>
      </c>
      <c r="B224" s="13" t="str">
        <f>Members!B224</f>
        <v>Active</v>
      </c>
      <c r="C224" s="13">
        <f>Members!C224</f>
        <v>35</v>
      </c>
      <c r="D224" s="14">
        <f>Members!D224</f>
        <v>7.5</v>
      </c>
      <c r="E224" s="16">
        <f>Members!E224</f>
        <v>774000</v>
      </c>
      <c r="F224" s="16">
        <f>Members!F224</f>
        <v>0</v>
      </c>
      <c r="G224" s="15">
        <f>MAX(0,Assumptions!$B$10-C224)</f>
        <v>25</v>
      </c>
      <c r="H224" s="17">
        <f>IF(B224="Active",E224*(1+Assumptions!$B$7)^G224,E224)</f>
        <v>2951565.6778325937</v>
      </c>
      <c r="I224" s="17">
        <f>IF(B224="Active",MIN(Assumptions!$B$12,D224+G224),IF(B224="Deferred",MIN(Assumptions!$B$12,D224),D224))</f>
        <v>32.5</v>
      </c>
      <c r="J224" s="17">
        <f>IF(B224="Active",H224*I224*Assumptions!$B$11,IF(B224="Deferred",E224*I224*Assumptions!$B$11*(1+Assumptions!$B$9)^G224,F224))</f>
        <v>1598764.7421593217</v>
      </c>
      <c r="K224" s="11">
        <f>IF(B224="Pensioner",1,VLOOKUP(Assumptions!$B$10,Mortality!$A$2:$F$104,6,FALSE)/VLOOKUP(C224,Mortality!$A$2:$F$104,6,FALSE))</f>
        <v>0.97197407653867529</v>
      </c>
      <c r="L224" s="11">
        <f>VLOOKUP(IF(B224="Pensioner",C224,Assumptions!$B$10),Mortality!$A$2:$E$104,5,FALSE)</f>
        <v>17.296790022132885</v>
      </c>
      <c r="M224" s="11">
        <f>1+Assumptions!$B$13*Assumptions!$B$14*Assumptions!$B$15</f>
        <v>1.3187500000000001</v>
      </c>
      <c r="N224" s="11">
        <f>IF(B224="Pensioner",1,1/(1+Assumptions!$B$6)^G224)</f>
        <v>0.20713801287132758</v>
      </c>
      <c r="O224" s="17">
        <f t="shared" si="3"/>
        <v>7342213.9518149374</v>
      </c>
    </row>
    <row r="225" spans="1:15">
      <c r="A225" s="13" t="str">
        <f>Members!A225</f>
        <v>D0046</v>
      </c>
      <c r="B225" s="13" t="str">
        <f>Members!B225</f>
        <v>Deferred</v>
      </c>
      <c r="C225" s="13">
        <f>Members!C225</f>
        <v>53</v>
      </c>
      <c r="D225" s="14">
        <f>Members!D225</f>
        <v>10.6</v>
      </c>
      <c r="E225" s="16">
        <f>Members!E225</f>
        <v>855000</v>
      </c>
      <c r="F225" s="16">
        <f>Members!F225</f>
        <v>0</v>
      </c>
      <c r="G225" s="15">
        <f>MAX(0,Assumptions!$B$10-C225)</f>
        <v>7</v>
      </c>
      <c r="H225" s="17">
        <f>IF(B225="Active",E225*(1+Assumptions!$B$7)^G225,E225)</f>
        <v>855000</v>
      </c>
      <c r="I225" s="17">
        <f>IF(B225="Active",MIN(Assumptions!$B$12,D225+G225),IF(B225="Deferred",MIN(Assumptions!$B$12,D225),D225))</f>
        <v>10.6</v>
      </c>
      <c r="J225" s="17">
        <f>IF(B225="Active",H225*I225*Assumptions!$B$11,IF(B225="Deferred",E225*I225*Assumptions!$B$11*(1+Assumptions!$B$9)^G225,F225))</f>
        <v>198771.49525357367</v>
      </c>
      <c r="K225" s="11">
        <f>IF(B225="Pensioner",1,VLOOKUP(Assumptions!$B$10,Mortality!$A$2:$F$104,6,FALSE)/VLOOKUP(C225,Mortality!$A$2:$F$104,6,FALSE))</f>
        <v>0.98503000174313171</v>
      </c>
      <c r="L225" s="11">
        <f>VLOOKUP(IF(B225="Pensioner",C225,Assumptions!$B$10),Mortality!$A$2:$E$104,5,FALSE)</f>
        <v>17.296790022132885</v>
      </c>
      <c r="M225" s="11">
        <f>1+Assumptions!$B$13*Assumptions!$B$14*Assumptions!$B$15</f>
        <v>1.3187500000000001</v>
      </c>
      <c r="N225" s="11">
        <f>IF(B225="Pensioner",1,1/(1+Assumptions!$B$6)^G225)</f>
        <v>0.64350621483475945</v>
      </c>
      <c r="O225" s="17">
        <f t="shared" si="3"/>
        <v>2873983.6589474049</v>
      </c>
    </row>
    <row r="226" spans="1:15">
      <c r="A226" s="13" t="str">
        <f>Members!A226</f>
        <v>D0059</v>
      </c>
      <c r="B226" s="13" t="str">
        <f>Members!B226</f>
        <v>Deferred</v>
      </c>
      <c r="C226" s="13">
        <f>Members!C226</f>
        <v>37</v>
      </c>
      <c r="D226" s="14">
        <f>Members!D226</f>
        <v>7.6</v>
      </c>
      <c r="E226" s="16">
        <f>Members!E226</f>
        <v>685000</v>
      </c>
      <c r="F226" s="16">
        <f>Members!F226</f>
        <v>0</v>
      </c>
      <c r="G226" s="15">
        <f>MAX(0,Assumptions!$B$10-C226)</f>
        <v>23</v>
      </c>
      <c r="H226" s="17">
        <f>IF(B226="Active",E226*(1+Assumptions!$B$7)^G226,E226)</f>
        <v>685000</v>
      </c>
      <c r="I226" s="17">
        <f>IF(B226="Active",MIN(Assumptions!$B$12,D226+G226),IF(B226="Deferred",MIN(Assumptions!$B$12,D226),D226))</f>
        <v>7.6</v>
      </c>
      <c r="J226" s="17">
        <f>IF(B226="Active",H226*I226*Assumptions!$B$11,IF(B226="Deferred",E226*I226*Assumptions!$B$11*(1+Assumptions!$B$9)^G226,F226))</f>
        <v>213855.15196196258</v>
      </c>
      <c r="K226" s="11">
        <f>IF(B226="Pensioner",1,VLOOKUP(Assumptions!$B$10,Mortality!$A$2:$F$104,6,FALSE)/VLOOKUP(C226,Mortality!$A$2:$F$104,6,FALSE))</f>
        <v>0.97273561412651877</v>
      </c>
      <c r="L226" s="11">
        <f>VLOOKUP(IF(B226="Pensioner",C226,Assumptions!$B$10),Mortality!$A$2:$E$104,5,FALSE)</f>
        <v>17.296790022132885</v>
      </c>
      <c r="M226" s="11">
        <f>1+Assumptions!$B$13*Assumptions!$B$14*Assumptions!$B$15</f>
        <v>1.3187500000000001</v>
      </c>
      <c r="N226" s="11">
        <f>IF(B226="Pensioner",1,1/(1+Assumptions!$B$6)^G226)</f>
        <v>0.23494111264898151</v>
      </c>
      <c r="O226" s="17">
        <f t="shared" si="3"/>
        <v>1114811.7591032747</v>
      </c>
    </row>
    <row r="227" spans="1:15">
      <c r="A227" s="13" t="str">
        <f>Members!A227</f>
        <v>A0326</v>
      </c>
      <c r="B227" s="13" t="str">
        <f>Members!B227</f>
        <v>Active</v>
      </c>
      <c r="C227" s="13">
        <f>Members!C227</f>
        <v>30</v>
      </c>
      <c r="D227" s="14">
        <f>Members!D227</f>
        <v>2.8</v>
      </c>
      <c r="E227" s="16">
        <f>Members!E227</f>
        <v>710000</v>
      </c>
      <c r="F227" s="16">
        <f>Members!F227</f>
        <v>0</v>
      </c>
      <c r="G227" s="15">
        <f>MAX(0,Assumptions!$B$10-C227)</f>
        <v>30</v>
      </c>
      <c r="H227" s="17">
        <f>IF(B227="Active",E227*(1+Assumptions!$B$7)^G227,E227)</f>
        <v>3538605.4147604927</v>
      </c>
      <c r="I227" s="17">
        <f>IF(B227="Active",MIN(Assumptions!$B$12,D227+G227),IF(B227="Deferred",MIN(Assumptions!$B$12,D227),D227))</f>
        <v>32.799999999999997</v>
      </c>
      <c r="J227" s="17">
        <f>IF(B227="Active",H227*I227*Assumptions!$B$11,IF(B227="Deferred",E227*I227*Assumptions!$B$11*(1+Assumptions!$B$9)^G227,F227))</f>
        <v>1934437.6267357359</v>
      </c>
      <c r="K227" s="11">
        <f>IF(B227="Pensioner",1,VLOOKUP(Assumptions!$B$10,Mortality!$A$2:$F$104,6,FALSE)/VLOOKUP(C227,Mortality!$A$2:$F$104,6,FALSE))</f>
        <v>0.97034568803187526</v>
      </c>
      <c r="L227" s="11">
        <f>VLOOKUP(IF(B227="Pensioner",C227,Assumptions!$B$10),Mortality!$A$2:$E$104,5,FALSE)</f>
        <v>17.296790022132885</v>
      </c>
      <c r="M227" s="11">
        <f>1+Assumptions!$B$13*Assumptions!$B$14*Assumptions!$B$15</f>
        <v>1.3187500000000001</v>
      </c>
      <c r="N227" s="11">
        <f>IF(B227="Pensioner",1,1/(1+Assumptions!$B$6)^G227)</f>
        <v>0.15118606610981289</v>
      </c>
      <c r="O227" s="17">
        <f t="shared" si="3"/>
        <v>6473228.8943426926</v>
      </c>
    </row>
    <row r="228" spans="1:15">
      <c r="A228" s="13" t="str">
        <f>Members!A228</f>
        <v>A0517</v>
      </c>
      <c r="B228" s="13" t="str">
        <f>Members!B228</f>
        <v>Active</v>
      </c>
      <c r="C228" s="13">
        <f>Members!C228</f>
        <v>31</v>
      </c>
      <c r="D228" s="14">
        <f>Members!D228</f>
        <v>7.1</v>
      </c>
      <c r="E228" s="16">
        <f>Members!E228</f>
        <v>746000</v>
      </c>
      <c r="F228" s="16">
        <f>Members!F228</f>
        <v>0</v>
      </c>
      <c r="G228" s="15">
        <f>MAX(0,Assumptions!$B$10-C228)</f>
        <v>29</v>
      </c>
      <c r="H228" s="17">
        <f>IF(B228="Active",E228*(1+Assumptions!$B$7)^G228,E228)</f>
        <v>3524196.8352063647</v>
      </c>
      <c r="I228" s="17">
        <f>IF(B228="Active",MIN(Assumptions!$B$12,D228+G228),IF(B228="Deferred",MIN(Assumptions!$B$12,D228),D228))</f>
        <v>36.1</v>
      </c>
      <c r="J228" s="17">
        <f>IF(B228="Active",H228*I228*Assumptions!$B$11,IF(B228="Deferred",E228*I228*Assumptions!$B$11*(1+Assumptions!$B$9)^G228,F228))</f>
        <v>2120391.7625158294</v>
      </c>
      <c r="K228" s="11">
        <f>IF(B228="Pensioner",1,VLOOKUP(Assumptions!$B$10,Mortality!$A$2:$F$104,6,FALSE)/VLOOKUP(C228,Mortality!$A$2:$F$104,6,FALSE))</f>
        <v>0.97064661072952085</v>
      </c>
      <c r="L228" s="11">
        <f>VLOOKUP(IF(B228="Pensioner",C228,Assumptions!$B$10),Mortality!$A$2:$E$104,5,FALSE)</f>
        <v>17.296790022132885</v>
      </c>
      <c r="M228" s="11">
        <f>1+Assumptions!$B$13*Assumptions!$B$14*Assumptions!$B$15</f>
        <v>1.3187500000000001</v>
      </c>
      <c r="N228" s="11">
        <f>IF(B228="Pensioner",1,1/(1+Assumptions!$B$6)^G228)</f>
        <v>0.16101316040695074</v>
      </c>
      <c r="O228" s="17">
        <f t="shared" si="3"/>
        <v>7559039.4381791176</v>
      </c>
    </row>
    <row r="229" spans="1:15">
      <c r="A229" s="13" t="str">
        <f>Members!A229</f>
        <v>A0235</v>
      </c>
      <c r="B229" s="13" t="str">
        <f>Members!B229</f>
        <v>Active</v>
      </c>
      <c r="C229" s="13">
        <f>Members!C229</f>
        <v>28</v>
      </c>
      <c r="D229" s="14">
        <f>Members!D229</f>
        <v>1.4</v>
      </c>
      <c r="E229" s="16">
        <f>Members!E229</f>
        <v>390000</v>
      </c>
      <c r="F229" s="16">
        <f>Members!F229</f>
        <v>0</v>
      </c>
      <c r="G229" s="15">
        <f>MAX(0,Assumptions!$B$10-C229)</f>
        <v>32</v>
      </c>
      <c r="H229" s="17">
        <f>IF(B229="Active",E229*(1+Assumptions!$B$7)^G229,E229)</f>
        <v>2163432.3292787056</v>
      </c>
      <c r="I229" s="17">
        <f>IF(B229="Active",MIN(Assumptions!$B$12,D229+G229),IF(B229="Deferred",MIN(Assumptions!$B$12,D229),D229))</f>
        <v>33.4</v>
      </c>
      <c r="J229" s="17">
        <f>IF(B229="Active",H229*I229*Assumptions!$B$11,IF(B229="Deferred",E229*I229*Assumptions!$B$11*(1+Assumptions!$B$9)^G229,F229))</f>
        <v>1204310.6632984795</v>
      </c>
      <c r="K229" s="11">
        <f>IF(B229="Pensioner",1,VLOOKUP(Assumptions!$B$10,Mortality!$A$2:$F$104,6,FALSE)/VLOOKUP(C229,Mortality!$A$2:$F$104,6,FALSE))</f>
        <v>0.96977196143473232</v>
      </c>
      <c r="L229" s="11">
        <f>VLOOKUP(IF(B229="Pensioner",C229,Assumptions!$B$10),Mortality!$A$2:$E$104,5,FALSE)</f>
        <v>17.296790022132885</v>
      </c>
      <c r="M229" s="11">
        <f>1+Assumptions!$B$13*Assumptions!$B$14*Assumptions!$B$15</f>
        <v>1.3187500000000001</v>
      </c>
      <c r="N229" s="11">
        <f>IF(B229="Pensioner",1,1/(1+Assumptions!$B$6)^G229)</f>
        <v>0.13329459861122173</v>
      </c>
      <c r="O229" s="17">
        <f t="shared" si="3"/>
        <v>3550983.8100426234</v>
      </c>
    </row>
    <row r="230" spans="1:15">
      <c r="A230" s="13" t="str">
        <f>Members!A230</f>
        <v>P0009</v>
      </c>
      <c r="B230" s="13" t="str">
        <f>Members!B230</f>
        <v>Pensioner</v>
      </c>
      <c r="C230" s="13">
        <f>Members!C230</f>
        <v>75</v>
      </c>
      <c r="D230" s="14">
        <f>Members!D230</f>
        <v>14.5</v>
      </c>
      <c r="E230" s="16">
        <f>Members!E230</f>
        <v>0</v>
      </c>
      <c r="F230" s="16">
        <f>Members!F230</f>
        <v>270000</v>
      </c>
      <c r="G230" s="15">
        <f>MAX(0,Assumptions!$B$10-C230)</f>
        <v>0</v>
      </c>
      <c r="H230" s="17">
        <f>IF(B230="Active",E230*(1+Assumptions!$B$7)^G230,E230)</f>
        <v>0</v>
      </c>
      <c r="I230" s="17">
        <f>IF(B230="Active",MIN(Assumptions!$B$12,D230+G230),IF(B230="Deferred",MIN(Assumptions!$B$12,D230),D230))</f>
        <v>14.5</v>
      </c>
      <c r="J230" s="17">
        <f>IF(B230="Active",H230*I230*Assumptions!$B$11,IF(B230="Deferred",E230*I230*Assumptions!$B$11*(1+Assumptions!$B$9)^G230,F230))</f>
        <v>270000</v>
      </c>
      <c r="K230" s="11">
        <f>IF(B230="Pensioner",1,VLOOKUP(Assumptions!$B$10,Mortality!$A$2:$F$104,6,FALSE)/VLOOKUP(C230,Mortality!$A$2:$F$104,6,FALSE))</f>
        <v>1</v>
      </c>
      <c r="L230" s="11">
        <f>VLOOKUP(IF(B230="Pensioner",C230,Assumptions!$B$10),Mortality!$A$2:$E$104,5,FALSE)</f>
        <v>10.662474804432929</v>
      </c>
      <c r="M230" s="11">
        <f>1+Assumptions!$B$13*Assumptions!$B$14*Assumptions!$B$15</f>
        <v>1.3187500000000001</v>
      </c>
      <c r="N230" s="11">
        <f>IF(B230="Pensioner",1,1/(1+Assumptions!$B$6)^G230)</f>
        <v>1</v>
      </c>
      <c r="O230" s="17">
        <f t="shared" si="3"/>
        <v>3796507.4350533998</v>
      </c>
    </row>
    <row r="231" spans="1:15">
      <c r="A231" s="13" t="str">
        <f>Members!A231</f>
        <v>P0035</v>
      </c>
      <c r="B231" s="13" t="str">
        <f>Members!B231</f>
        <v>Pensioner</v>
      </c>
      <c r="C231" s="13">
        <f>Members!C231</f>
        <v>61</v>
      </c>
      <c r="D231" s="14">
        <f>Members!D231</f>
        <v>28.9</v>
      </c>
      <c r="E231" s="16">
        <f>Members!E231</f>
        <v>0</v>
      </c>
      <c r="F231" s="16">
        <f>Members!F231</f>
        <v>230000</v>
      </c>
      <c r="G231" s="15">
        <f>MAX(0,Assumptions!$B$10-C231)</f>
        <v>0</v>
      </c>
      <c r="H231" s="17">
        <f>IF(B231="Active",E231*(1+Assumptions!$B$7)^G231,E231)</f>
        <v>0</v>
      </c>
      <c r="I231" s="17">
        <f>IF(B231="Active",MIN(Assumptions!$B$12,D231+G231),IF(B231="Deferred",MIN(Assumptions!$B$12,D231),D231))</f>
        <v>28.9</v>
      </c>
      <c r="J231" s="17">
        <f>IF(B231="Active",H231*I231*Assumptions!$B$11,IF(B231="Deferred",E231*I231*Assumptions!$B$11*(1+Assumptions!$B$9)^G231,F231))</f>
        <v>230000</v>
      </c>
      <c r="K231" s="11">
        <f>IF(B231="Pensioner",1,VLOOKUP(Assumptions!$B$10,Mortality!$A$2:$F$104,6,FALSE)/VLOOKUP(C231,Mortality!$A$2:$F$104,6,FALSE))</f>
        <v>1</v>
      </c>
      <c r="L231" s="11">
        <f>VLOOKUP(IF(B231="Pensioner",C231,Assumptions!$B$10),Mortality!$A$2:$E$104,5,FALSE)</f>
        <v>16.889485221588366</v>
      </c>
      <c r="M231" s="11">
        <f>1+Assumptions!$B$13*Assumptions!$B$14*Assumptions!$B$15</f>
        <v>1.3187500000000001</v>
      </c>
      <c r="N231" s="11">
        <f>IF(B231="Pensioner",1,1/(1+Assumptions!$B$6)^G231)</f>
        <v>1</v>
      </c>
      <c r="O231" s="17">
        <f t="shared" si="3"/>
        <v>5122791.9862730214</v>
      </c>
    </row>
    <row r="232" spans="1:15">
      <c r="A232" s="13" t="str">
        <f>Members!A232</f>
        <v>P0054</v>
      </c>
      <c r="B232" s="13" t="str">
        <f>Members!B232</f>
        <v>Pensioner</v>
      </c>
      <c r="C232" s="13">
        <f>Members!C232</f>
        <v>65</v>
      </c>
      <c r="D232" s="14">
        <f>Members!D232</f>
        <v>38.799999999999997</v>
      </c>
      <c r="E232" s="16">
        <f>Members!E232</f>
        <v>0</v>
      </c>
      <c r="F232" s="16">
        <f>Members!F232</f>
        <v>217000</v>
      </c>
      <c r="G232" s="15">
        <f>MAX(0,Assumptions!$B$10-C232)</f>
        <v>0</v>
      </c>
      <c r="H232" s="17">
        <f>IF(B232="Active",E232*(1+Assumptions!$B$7)^G232,E232)</f>
        <v>0</v>
      </c>
      <c r="I232" s="17">
        <f>IF(B232="Active",MIN(Assumptions!$B$12,D232+G232),IF(B232="Deferred",MIN(Assumptions!$B$12,D232),D232))</f>
        <v>38.799999999999997</v>
      </c>
      <c r="J232" s="17">
        <f>IF(B232="Active",H232*I232*Assumptions!$B$11,IF(B232="Deferred",E232*I232*Assumptions!$B$11*(1+Assumptions!$B$9)^G232,F232))</f>
        <v>217000</v>
      </c>
      <c r="K232" s="11">
        <f>IF(B232="Pensioner",1,VLOOKUP(Assumptions!$B$10,Mortality!$A$2:$F$104,6,FALSE)/VLOOKUP(C232,Mortality!$A$2:$F$104,6,FALSE))</f>
        <v>1</v>
      </c>
      <c r="L232" s="11">
        <f>VLOOKUP(IF(B232="Pensioner",C232,Assumptions!$B$10),Mortality!$A$2:$E$104,5,FALSE)</f>
        <v>15.196570962158528</v>
      </c>
      <c r="M232" s="11">
        <f>1+Assumptions!$B$13*Assumptions!$B$14*Assumptions!$B$15</f>
        <v>1.3187500000000001</v>
      </c>
      <c r="N232" s="11">
        <f>IF(B232="Pensioner",1,1/(1+Assumptions!$B$6)^G232)</f>
        <v>1</v>
      </c>
      <c r="O232" s="17">
        <f t="shared" si="3"/>
        <v>4348783.7165272031</v>
      </c>
    </row>
    <row r="233" spans="1:15">
      <c r="A233" s="13" t="str">
        <f>Members!A233</f>
        <v>A0209</v>
      </c>
      <c r="B233" s="13" t="str">
        <f>Members!B233</f>
        <v>Active</v>
      </c>
      <c r="C233" s="13">
        <f>Members!C233</f>
        <v>33</v>
      </c>
      <c r="D233" s="14">
        <f>Members!D233</f>
        <v>5.3</v>
      </c>
      <c r="E233" s="16">
        <f>Members!E233</f>
        <v>515000</v>
      </c>
      <c r="F233" s="16">
        <f>Members!F233</f>
        <v>0</v>
      </c>
      <c r="G233" s="15">
        <f>MAX(0,Assumptions!$B$10-C233)</f>
        <v>27</v>
      </c>
      <c r="H233" s="17">
        <f>IF(B233="Active",E233*(1+Assumptions!$B$7)^G233,E233)</f>
        <v>2185866.5246942574</v>
      </c>
      <c r="I233" s="17">
        <f>IF(B233="Active",MIN(Assumptions!$B$12,D233+G233),IF(B233="Deferred",MIN(Assumptions!$B$12,D233),D233))</f>
        <v>32.299999999999997</v>
      </c>
      <c r="J233" s="17">
        <f>IF(B233="Active",H233*I233*Assumptions!$B$11,IF(B233="Deferred",E233*I233*Assumptions!$B$11*(1+Assumptions!$B$9)^G233,F233))</f>
        <v>1176724.8124604083</v>
      </c>
      <c r="K233" s="11">
        <f>IF(B233="Pensioner",1,VLOOKUP(Assumptions!$B$10,Mortality!$A$2:$F$104,6,FALSE)/VLOOKUP(C233,Mortality!$A$2:$F$104,6,FALSE))</f>
        <v>0.9712826176321353</v>
      </c>
      <c r="L233" s="11">
        <f>VLOOKUP(IF(B233="Pensioner",C233,Assumptions!$B$10),Mortality!$A$2:$E$104,5,FALSE)</f>
        <v>17.296790022132885</v>
      </c>
      <c r="M233" s="11">
        <f>1+Assumptions!$B$13*Assumptions!$B$14*Assumptions!$B$15</f>
        <v>1.3187500000000001</v>
      </c>
      <c r="N233" s="11">
        <f>IF(B233="Pensioner",1,1/(1+Assumptions!$B$6)^G233)</f>
        <v>0.18262515186257369</v>
      </c>
      <c r="O233" s="17">
        <f t="shared" si="3"/>
        <v>4761119.7365361461</v>
      </c>
    </row>
    <row r="234" spans="1:15">
      <c r="A234" s="13" t="str">
        <f>Members!A234</f>
        <v>A0445</v>
      </c>
      <c r="B234" s="13" t="str">
        <f>Members!B234</f>
        <v>Active</v>
      </c>
      <c r="C234" s="13">
        <f>Members!C234</f>
        <v>25</v>
      </c>
      <c r="D234" s="14">
        <f>Members!D234</f>
        <v>1.6</v>
      </c>
      <c r="E234" s="16">
        <f>Members!E234</f>
        <v>378000</v>
      </c>
      <c r="F234" s="16">
        <f>Members!F234</f>
        <v>0</v>
      </c>
      <c r="G234" s="15">
        <f>MAX(0,Assumptions!$B$10-C234)</f>
        <v>35</v>
      </c>
      <c r="H234" s="17">
        <f>IF(B234="Active",E234*(1+Assumptions!$B$7)^G234,E234)</f>
        <v>2462225.8529577814</v>
      </c>
      <c r="I234" s="17">
        <f>IF(B234="Active",MIN(Assumptions!$B$12,D234+G234),IF(B234="Deferred",MIN(Assumptions!$B$12,D234),D234))</f>
        <v>36.6</v>
      </c>
      <c r="J234" s="17">
        <f>IF(B234="Active",H234*I234*Assumptions!$B$11,IF(B234="Deferred",E234*I234*Assumptions!$B$11*(1+Assumptions!$B$9)^G234,F234))</f>
        <v>1501957.7703042468</v>
      </c>
      <c r="K234" s="11">
        <f>IF(B234="Pensioner",1,VLOOKUP(Assumptions!$B$10,Mortality!$A$2:$F$104,6,FALSE)/VLOOKUP(C234,Mortality!$A$2:$F$104,6,FALSE))</f>
        <v>0.96896729760411437</v>
      </c>
      <c r="L234" s="11">
        <f>VLOOKUP(IF(B234="Pensioner",C234,Assumptions!$B$10),Mortality!$A$2:$E$104,5,FALSE)</f>
        <v>17.296790022132885</v>
      </c>
      <c r="M234" s="11">
        <f>1+Assumptions!$B$13*Assumptions!$B$14*Assumptions!$B$15</f>
        <v>1.3187500000000001</v>
      </c>
      <c r="N234" s="11">
        <f>IF(B234="Pensioner",1,1/(1+Assumptions!$B$6)^G234)</f>
        <v>0.11034781240254267</v>
      </c>
      <c r="O234" s="17">
        <f t="shared" si="3"/>
        <v>3663182.4998627761</v>
      </c>
    </row>
    <row r="235" spans="1:15">
      <c r="A235" s="13" t="str">
        <f>Members!A235</f>
        <v>P0095</v>
      </c>
      <c r="B235" s="13" t="str">
        <f>Members!B235</f>
        <v>Pensioner</v>
      </c>
      <c r="C235" s="13">
        <f>Members!C235</f>
        <v>79</v>
      </c>
      <c r="D235" s="14">
        <f>Members!D235</f>
        <v>35.6</v>
      </c>
      <c r="E235" s="16">
        <f>Members!E235</f>
        <v>0</v>
      </c>
      <c r="F235" s="16">
        <f>Members!F235</f>
        <v>592000</v>
      </c>
      <c r="G235" s="15">
        <f>MAX(0,Assumptions!$B$10-C235)</f>
        <v>0</v>
      </c>
      <c r="H235" s="17">
        <f>IF(B235="Active",E235*(1+Assumptions!$B$7)^G235,E235)</f>
        <v>0</v>
      </c>
      <c r="I235" s="17">
        <f>IF(B235="Active",MIN(Assumptions!$B$12,D235+G235),IF(B235="Deferred",MIN(Assumptions!$B$12,D235),D235))</f>
        <v>35.6</v>
      </c>
      <c r="J235" s="17">
        <f>IF(B235="Active",H235*I235*Assumptions!$B$11,IF(B235="Deferred",E235*I235*Assumptions!$B$11*(1+Assumptions!$B$9)^G235,F235))</f>
        <v>592000</v>
      </c>
      <c r="K235" s="11">
        <f>IF(B235="Pensioner",1,VLOOKUP(Assumptions!$B$10,Mortality!$A$2:$F$104,6,FALSE)/VLOOKUP(C235,Mortality!$A$2:$F$104,6,FALSE))</f>
        <v>1</v>
      </c>
      <c r="L235" s="11">
        <f>VLOOKUP(IF(B235="Pensioner",C235,Assumptions!$B$10),Mortality!$A$2:$E$104,5,FALSE)</f>
        <v>8.8309325629147608</v>
      </c>
      <c r="M235" s="11">
        <f>1+Assumptions!$B$13*Assumptions!$B$14*Assumptions!$B$15</f>
        <v>1.3187500000000001</v>
      </c>
      <c r="N235" s="11">
        <f>IF(B235="Pensioner",1,1/(1+Assumptions!$B$6)^G235)</f>
        <v>1</v>
      </c>
      <c r="O235" s="17">
        <f t="shared" si="3"/>
        <v>6894309.051867554</v>
      </c>
    </row>
    <row r="236" spans="1:15">
      <c r="A236" s="13" t="str">
        <f>Members!A236</f>
        <v>P0003</v>
      </c>
      <c r="B236" s="13" t="str">
        <f>Members!B236</f>
        <v>Pensioner</v>
      </c>
      <c r="C236" s="13">
        <f>Members!C236</f>
        <v>63</v>
      </c>
      <c r="D236" s="14">
        <f>Members!D236</f>
        <v>24.1</v>
      </c>
      <c r="E236" s="16">
        <f>Members!E236</f>
        <v>0</v>
      </c>
      <c r="F236" s="16">
        <f>Members!F236</f>
        <v>332000</v>
      </c>
      <c r="G236" s="15">
        <f>MAX(0,Assumptions!$B$10-C236)</f>
        <v>0</v>
      </c>
      <c r="H236" s="17">
        <f>IF(B236="Active",E236*(1+Assumptions!$B$7)^G236,E236)</f>
        <v>0</v>
      </c>
      <c r="I236" s="17">
        <f>IF(B236="Active",MIN(Assumptions!$B$12,D236+G236),IF(B236="Deferred",MIN(Assumptions!$B$12,D236),D236))</f>
        <v>24.1</v>
      </c>
      <c r="J236" s="17">
        <f>IF(B236="Active",H236*I236*Assumptions!$B$11,IF(B236="Deferred",E236*I236*Assumptions!$B$11*(1+Assumptions!$B$9)^G236,F236))</f>
        <v>332000</v>
      </c>
      <c r="K236" s="11">
        <f>IF(B236="Pensioner",1,VLOOKUP(Assumptions!$B$10,Mortality!$A$2:$F$104,6,FALSE)/VLOOKUP(C236,Mortality!$A$2:$F$104,6,FALSE))</f>
        <v>1</v>
      </c>
      <c r="L236" s="11">
        <f>VLOOKUP(IF(B236="Pensioner",C236,Assumptions!$B$10),Mortality!$A$2:$E$104,5,FALSE)</f>
        <v>16.055191398346196</v>
      </c>
      <c r="M236" s="11">
        <f>1+Assumptions!$B$13*Assumptions!$B$14*Assumptions!$B$15</f>
        <v>1.3187500000000001</v>
      </c>
      <c r="N236" s="11">
        <f>IF(B236="Pensioner",1,1/(1+Assumptions!$B$6)^G236)</f>
        <v>1</v>
      </c>
      <c r="O236" s="17">
        <f t="shared" si="3"/>
        <v>7029364.1739809243</v>
      </c>
    </row>
    <row r="237" spans="1:15">
      <c r="A237" s="13" t="str">
        <f>Members!A237</f>
        <v>A0118</v>
      </c>
      <c r="B237" s="13" t="str">
        <f>Members!B237</f>
        <v>Active</v>
      </c>
      <c r="C237" s="13">
        <f>Members!C237</f>
        <v>49</v>
      </c>
      <c r="D237" s="14">
        <f>Members!D237</f>
        <v>13.7</v>
      </c>
      <c r="E237" s="16">
        <f>Members!E237</f>
        <v>1189000</v>
      </c>
      <c r="F237" s="16">
        <f>Members!F237</f>
        <v>0</v>
      </c>
      <c r="G237" s="15">
        <f>MAX(0,Assumptions!$B$10-C237)</f>
        <v>11</v>
      </c>
      <c r="H237" s="17">
        <f>IF(B237="Active",E237*(1+Assumptions!$B$7)^G237,E237)</f>
        <v>2142687.8678364549</v>
      </c>
      <c r="I237" s="17">
        <f>IF(B237="Active",MIN(Assumptions!$B$12,D237+G237),IF(B237="Deferred",MIN(Assumptions!$B$12,D237),D237))</f>
        <v>24.7</v>
      </c>
      <c r="J237" s="17">
        <f>IF(B237="Active",H237*I237*Assumptions!$B$11,IF(B237="Deferred",E237*I237*Assumptions!$B$11*(1+Assumptions!$B$9)^G237,F237))</f>
        <v>882073.17225934053</v>
      </c>
      <c r="K237" s="11">
        <f>IF(B237="Pensioner",1,VLOOKUP(Assumptions!$B$10,Mortality!$A$2:$F$104,6,FALSE)/VLOOKUP(C237,Mortality!$A$2:$F$104,6,FALSE))</f>
        <v>0.98024296623595764</v>
      </c>
      <c r="L237" s="11">
        <f>VLOOKUP(IF(B237="Pensioner",C237,Assumptions!$B$10),Mortality!$A$2:$E$104,5,FALSE)</f>
        <v>17.296790022132885</v>
      </c>
      <c r="M237" s="11">
        <f>1+Assumptions!$B$13*Assumptions!$B$14*Assumptions!$B$15</f>
        <v>1.3187500000000001</v>
      </c>
      <c r="N237" s="11">
        <f>IF(B237="Pensioner",1,1/(1+Assumptions!$B$6)^G237)</f>
        <v>0.50021223992537933</v>
      </c>
      <c r="O237" s="17">
        <f t="shared" si="3"/>
        <v>9865535.1556455605</v>
      </c>
    </row>
    <row r="238" spans="1:15">
      <c r="A238" s="13" t="str">
        <f>Members!A238</f>
        <v>A0361</v>
      </c>
      <c r="B238" s="13" t="str">
        <f>Members!B238</f>
        <v>Active</v>
      </c>
      <c r="C238" s="13">
        <f>Members!C238</f>
        <v>37</v>
      </c>
      <c r="D238" s="14">
        <f>Members!D238</f>
        <v>14.8</v>
      </c>
      <c r="E238" s="16">
        <f>Members!E238</f>
        <v>601000</v>
      </c>
      <c r="F238" s="16">
        <f>Members!F238</f>
        <v>0</v>
      </c>
      <c r="G238" s="15">
        <f>MAX(0,Assumptions!$B$10-C238)</f>
        <v>23</v>
      </c>
      <c r="H238" s="17">
        <f>IF(B238="Active",E238*(1+Assumptions!$B$7)^G238,E238)</f>
        <v>2059117.0921777803</v>
      </c>
      <c r="I238" s="17">
        <f>IF(B238="Active",MIN(Assumptions!$B$12,D238+G238),IF(B238="Deferred",MIN(Assumptions!$B$12,D238),D238))</f>
        <v>37.799999999999997</v>
      </c>
      <c r="J238" s="17">
        <f>IF(B238="Active",H238*I238*Assumptions!$B$11,IF(B238="Deferred",E238*I238*Assumptions!$B$11*(1+Assumptions!$B$9)^G238,F238))</f>
        <v>1297243.7680720016</v>
      </c>
      <c r="K238" s="11">
        <f>IF(B238="Pensioner",1,VLOOKUP(Assumptions!$B$10,Mortality!$A$2:$F$104,6,FALSE)/VLOOKUP(C238,Mortality!$A$2:$F$104,6,FALSE))</f>
        <v>0.97273561412651877</v>
      </c>
      <c r="L238" s="11">
        <f>VLOOKUP(IF(B238="Pensioner",C238,Assumptions!$B$10),Mortality!$A$2:$E$104,5,FALSE)</f>
        <v>17.296790022132885</v>
      </c>
      <c r="M238" s="11">
        <f>1+Assumptions!$B$13*Assumptions!$B$14*Assumptions!$B$15</f>
        <v>1.3187500000000001</v>
      </c>
      <c r="N238" s="11">
        <f>IF(B238="Pensioner",1,1/(1+Assumptions!$B$6)^G238)</f>
        <v>0.23494111264898151</v>
      </c>
      <c r="O238" s="17">
        <f t="shared" si="3"/>
        <v>6762439.8748519951</v>
      </c>
    </row>
    <row r="239" spans="1:15">
      <c r="A239" s="13" t="str">
        <f>Members!A239</f>
        <v>A0201</v>
      </c>
      <c r="B239" s="13" t="str">
        <f>Members!B239</f>
        <v>Active</v>
      </c>
      <c r="C239" s="13">
        <f>Members!C239</f>
        <v>36</v>
      </c>
      <c r="D239" s="14">
        <f>Members!D239</f>
        <v>6.7</v>
      </c>
      <c r="E239" s="16">
        <f>Members!E239</f>
        <v>826000</v>
      </c>
      <c r="F239" s="16">
        <f>Members!F239</f>
        <v>0</v>
      </c>
      <c r="G239" s="15">
        <f>MAX(0,Assumptions!$B$10-C239)</f>
        <v>24</v>
      </c>
      <c r="H239" s="17">
        <f>IF(B239="Active",E239*(1+Assumptions!$B$7)^G239,E239)</f>
        <v>2985651.2606264278</v>
      </c>
      <c r="I239" s="17">
        <f>IF(B239="Active",MIN(Assumptions!$B$12,D239+G239),IF(B239="Deferred",MIN(Assumptions!$B$12,D239),D239))</f>
        <v>30.7</v>
      </c>
      <c r="J239" s="17">
        <f>IF(B239="Active",H239*I239*Assumptions!$B$11,IF(B239="Deferred",E239*I239*Assumptions!$B$11*(1+Assumptions!$B$9)^G239,F239))</f>
        <v>1527658.2283538554</v>
      </c>
      <c r="K239" s="11">
        <f>IF(B239="Pensioner",1,VLOOKUP(Assumptions!$B$10,Mortality!$A$2:$F$104,6,FALSE)/VLOOKUP(C239,Mortality!$A$2:$F$104,6,FALSE))</f>
        <v>0.97234503055413524</v>
      </c>
      <c r="L239" s="11">
        <f>VLOOKUP(IF(B239="Pensioner",C239,Assumptions!$B$10),Mortality!$A$2:$E$104,5,FALSE)</f>
        <v>17.296790022132885</v>
      </c>
      <c r="M239" s="11">
        <f>1+Assumptions!$B$13*Assumptions!$B$14*Assumptions!$B$15</f>
        <v>1.3187500000000001</v>
      </c>
      <c r="N239" s="11">
        <f>IF(B239="Pensioner",1,1/(1+Assumptions!$B$6)^G239)</f>
        <v>0.22060198370796386</v>
      </c>
      <c r="O239" s="17">
        <f t="shared" si="3"/>
        <v>7474531.9369284464</v>
      </c>
    </row>
    <row r="240" spans="1:15">
      <c r="A240" s="13" t="str">
        <f>Members!A240</f>
        <v>A0484</v>
      </c>
      <c r="B240" s="13" t="str">
        <f>Members!B240</f>
        <v>Active</v>
      </c>
      <c r="C240" s="13">
        <f>Members!C240</f>
        <v>28</v>
      </c>
      <c r="D240" s="14">
        <f>Members!D240</f>
        <v>2.6</v>
      </c>
      <c r="E240" s="16">
        <f>Members!E240</f>
        <v>663000</v>
      </c>
      <c r="F240" s="16">
        <f>Members!F240</f>
        <v>0</v>
      </c>
      <c r="G240" s="15">
        <f>MAX(0,Assumptions!$B$10-C240)</f>
        <v>32</v>
      </c>
      <c r="H240" s="17">
        <f>IF(B240="Active",E240*(1+Assumptions!$B$7)^G240,E240)</f>
        <v>3677834.9597737994</v>
      </c>
      <c r="I240" s="17">
        <f>IF(B240="Active",MIN(Assumptions!$B$12,D240+G240),IF(B240="Deferred",MIN(Assumptions!$B$12,D240),D240))</f>
        <v>34.6</v>
      </c>
      <c r="J240" s="17">
        <f>IF(B240="Active",H240*I240*Assumptions!$B$11,IF(B240="Deferred",E240*I240*Assumptions!$B$11*(1+Assumptions!$B$9)^G240,F240))</f>
        <v>2120884.8268028907</v>
      </c>
      <c r="K240" s="11">
        <f>IF(B240="Pensioner",1,VLOOKUP(Assumptions!$B$10,Mortality!$A$2:$F$104,6,FALSE)/VLOOKUP(C240,Mortality!$A$2:$F$104,6,FALSE))</f>
        <v>0.96977196143473232</v>
      </c>
      <c r="L240" s="11">
        <f>VLOOKUP(IF(B240="Pensioner",C240,Assumptions!$B$10),Mortality!$A$2:$E$104,5,FALSE)</f>
        <v>17.296790022132885</v>
      </c>
      <c r="M240" s="11">
        <f>1+Assumptions!$B$13*Assumptions!$B$14*Assumptions!$B$15</f>
        <v>1.3187500000000001</v>
      </c>
      <c r="N240" s="11">
        <f>IF(B240="Pensioner",1,1/(1+Assumptions!$B$6)^G240)</f>
        <v>0.13329459861122173</v>
      </c>
      <c r="O240" s="17">
        <f t="shared" si="3"/>
        <v>6253558.9133744631</v>
      </c>
    </row>
    <row r="241" spans="1:15">
      <c r="A241" s="13" t="str">
        <f>Members!A241</f>
        <v>A0197</v>
      </c>
      <c r="B241" s="13" t="str">
        <f>Members!B241</f>
        <v>Active</v>
      </c>
      <c r="C241" s="13">
        <f>Members!C241</f>
        <v>49</v>
      </c>
      <c r="D241" s="14">
        <f>Members!D241</f>
        <v>18.8</v>
      </c>
      <c r="E241" s="16">
        <f>Members!E241</f>
        <v>1602000</v>
      </c>
      <c r="F241" s="16">
        <f>Members!F241</f>
        <v>0</v>
      </c>
      <c r="G241" s="15">
        <f>MAX(0,Assumptions!$B$10-C241)</f>
        <v>11</v>
      </c>
      <c r="H241" s="17">
        <f>IF(B241="Active",E241*(1+Assumptions!$B$7)^G241,E241)</f>
        <v>2886952.0305079906</v>
      </c>
      <c r="I241" s="17">
        <f>IF(B241="Active",MIN(Assumptions!$B$12,D241+G241),IF(B241="Deferred",MIN(Assumptions!$B$12,D241),D241))</f>
        <v>29.8</v>
      </c>
      <c r="J241" s="17">
        <f>IF(B241="Active",H241*I241*Assumptions!$B$11,IF(B241="Deferred",E241*I241*Assumptions!$B$11*(1+Assumptions!$B$9)^G241,F241))</f>
        <v>1433852.8418189688</v>
      </c>
      <c r="K241" s="11">
        <f>IF(B241="Pensioner",1,VLOOKUP(Assumptions!$B$10,Mortality!$A$2:$F$104,6,FALSE)/VLOOKUP(C241,Mortality!$A$2:$F$104,6,FALSE))</f>
        <v>0.98024296623595764</v>
      </c>
      <c r="L241" s="11">
        <f>VLOOKUP(IF(B241="Pensioner",C241,Assumptions!$B$10),Mortality!$A$2:$E$104,5,FALSE)</f>
        <v>17.296790022132885</v>
      </c>
      <c r="M241" s="11">
        <f>1+Assumptions!$B$13*Assumptions!$B$14*Assumptions!$B$15</f>
        <v>1.3187500000000001</v>
      </c>
      <c r="N241" s="11">
        <f>IF(B241="Pensioner",1,1/(1+Assumptions!$B$6)^G241)</f>
        <v>0.50021223992537933</v>
      </c>
      <c r="O241" s="17">
        <f t="shared" si="3"/>
        <v>16036907.213439554</v>
      </c>
    </row>
    <row r="242" spans="1:15">
      <c r="A242" s="13" t="str">
        <f>Members!A242</f>
        <v>D0009</v>
      </c>
      <c r="B242" s="13" t="str">
        <f>Members!B242</f>
        <v>Deferred</v>
      </c>
      <c r="C242" s="13">
        <f>Members!C242</f>
        <v>40</v>
      </c>
      <c r="D242" s="14">
        <f>Members!D242</f>
        <v>5.3</v>
      </c>
      <c r="E242" s="16">
        <f>Members!E242</f>
        <v>541000</v>
      </c>
      <c r="F242" s="16">
        <f>Members!F242</f>
        <v>0</v>
      </c>
      <c r="G242" s="15">
        <f>MAX(0,Assumptions!$B$10-C242)</f>
        <v>20</v>
      </c>
      <c r="H242" s="17">
        <f>IF(B242="Active",E242*(1+Assumptions!$B$7)^G242,E242)</f>
        <v>541000</v>
      </c>
      <c r="I242" s="17">
        <f>IF(B242="Active",MIN(Assumptions!$B$12,D242+G242),IF(B242="Deferred",MIN(Assumptions!$B$12,D242),D242))</f>
        <v>5.3</v>
      </c>
      <c r="J242" s="17">
        <f>IF(B242="Active",H242*I242*Assumptions!$B$11,IF(B242="Deferred",E242*I242*Assumptions!$B$11*(1+Assumptions!$B$9)^G242,F242))</f>
        <v>104710.12313366216</v>
      </c>
      <c r="K242" s="11">
        <f>IF(B242="Pensioner",1,VLOOKUP(Assumptions!$B$10,Mortality!$A$2:$F$104,6,FALSE)/VLOOKUP(C242,Mortality!$A$2:$F$104,6,FALSE))</f>
        <v>0.97405112431987673</v>
      </c>
      <c r="L242" s="11">
        <f>VLOOKUP(IF(B242="Pensioner",C242,Assumptions!$B$10),Mortality!$A$2:$E$104,5,FALSE)</f>
        <v>17.296790022132885</v>
      </c>
      <c r="M242" s="11">
        <f>1+Assumptions!$B$13*Assumptions!$B$14*Assumptions!$B$15</f>
        <v>1.3187500000000001</v>
      </c>
      <c r="N242" s="11">
        <f>IF(B242="Pensioner",1,1/(1+Assumptions!$B$6)^G242)</f>
        <v>0.28379702892141989</v>
      </c>
      <c r="O242" s="17">
        <f t="shared" si="3"/>
        <v>660246.72043877642</v>
      </c>
    </row>
    <row r="243" spans="1:15">
      <c r="A243" s="13" t="str">
        <f>Members!A243</f>
        <v>A0151</v>
      </c>
      <c r="B243" s="13" t="str">
        <f>Members!B243</f>
        <v>Active</v>
      </c>
      <c r="C243" s="13">
        <f>Members!C243</f>
        <v>23</v>
      </c>
      <c r="D243" s="14">
        <f>Members!D243</f>
        <v>1</v>
      </c>
      <c r="E243" s="16">
        <f>Members!E243</f>
        <v>332000</v>
      </c>
      <c r="F243" s="16">
        <f>Members!F243</f>
        <v>0</v>
      </c>
      <c r="G243" s="15">
        <f>MAX(0,Assumptions!$B$10-C243)</f>
        <v>37</v>
      </c>
      <c r="H243" s="17">
        <f>IF(B243="Active",E243*(1+Assumptions!$B$7)^G243,E243)</f>
        <v>2407016.6263389606</v>
      </c>
      <c r="I243" s="17">
        <f>IF(B243="Active",MIN(Assumptions!$B$12,D243+G243),IF(B243="Deferred",MIN(Assumptions!$B$12,D243),D243))</f>
        <v>38</v>
      </c>
      <c r="J243" s="17">
        <f>IF(B243="Active",H243*I243*Assumptions!$B$11,IF(B243="Deferred",E243*I243*Assumptions!$B$11*(1+Assumptions!$B$9)^G243,F243))</f>
        <v>1524443.8633480084</v>
      </c>
      <c r="K243" s="11">
        <f>IF(B243="Pensioner",1,VLOOKUP(Assumptions!$B$10,Mortality!$A$2:$F$104,6,FALSE)/VLOOKUP(C243,Mortality!$A$2:$F$104,6,FALSE))</f>
        <v>0.96845927521970809</v>
      </c>
      <c r="L243" s="11">
        <f>VLOOKUP(IF(B243="Pensioner",C243,Assumptions!$B$10),Mortality!$A$2:$E$104,5,FALSE)</f>
        <v>17.296790022132885</v>
      </c>
      <c r="M243" s="11">
        <f>1+Assumptions!$B$13*Assumptions!$B$14*Assumptions!$B$15</f>
        <v>1.3187500000000001</v>
      </c>
      <c r="N243" s="11">
        <f>IF(B243="Pensioner",1,1/(1+Assumptions!$B$6)^G243)</f>
        <v>9.7289173138083412E-2</v>
      </c>
      <c r="O243" s="17">
        <f t="shared" si="3"/>
        <v>3276312.3393470137</v>
      </c>
    </row>
    <row r="244" spans="1:15">
      <c r="A244" s="13" t="str">
        <f>Members!A244</f>
        <v>P0155</v>
      </c>
      <c r="B244" s="13" t="str">
        <f>Members!B244</f>
        <v>Pensioner</v>
      </c>
      <c r="C244" s="13">
        <f>Members!C244</f>
        <v>73</v>
      </c>
      <c r="D244" s="14">
        <f>Members!D244</f>
        <v>22.3</v>
      </c>
      <c r="E244" s="16">
        <f>Members!E244</f>
        <v>0</v>
      </c>
      <c r="F244" s="16">
        <f>Members!F244</f>
        <v>425000</v>
      </c>
      <c r="G244" s="15">
        <f>MAX(0,Assumptions!$B$10-C244)</f>
        <v>0</v>
      </c>
      <c r="H244" s="17">
        <f>IF(B244="Active",E244*(1+Assumptions!$B$7)^G244,E244)</f>
        <v>0</v>
      </c>
      <c r="I244" s="17">
        <f>IF(B244="Active",MIN(Assumptions!$B$12,D244+G244),IF(B244="Deferred",MIN(Assumptions!$B$12,D244),D244))</f>
        <v>22.3</v>
      </c>
      <c r="J244" s="17">
        <f>IF(B244="Active",H244*I244*Assumptions!$B$11,IF(B244="Deferred",E244*I244*Assumptions!$B$11*(1+Assumptions!$B$9)^G244,F244))</f>
        <v>425000</v>
      </c>
      <c r="K244" s="11">
        <f>IF(B244="Pensioner",1,VLOOKUP(Assumptions!$B$10,Mortality!$A$2:$F$104,6,FALSE)/VLOOKUP(C244,Mortality!$A$2:$F$104,6,FALSE))</f>
        <v>1</v>
      </c>
      <c r="L244" s="11">
        <f>VLOOKUP(IF(B244="Pensioner",C244,Assumptions!$B$10),Mortality!$A$2:$E$104,5,FALSE)</f>
        <v>11.586176267789867</v>
      </c>
      <c r="M244" s="11">
        <f>1+Assumptions!$B$13*Assumptions!$B$14*Assumptions!$B$15</f>
        <v>1.3187500000000001</v>
      </c>
      <c r="N244" s="11">
        <f>IF(B244="Pensioner",1,1/(1+Assumptions!$B$6)^G244)</f>
        <v>1</v>
      </c>
      <c r="O244" s="17">
        <f t="shared" si="3"/>
        <v>6493689.730087853</v>
      </c>
    </row>
    <row r="245" spans="1:15">
      <c r="A245" s="13" t="str">
        <f>Members!A245</f>
        <v>A0039</v>
      </c>
      <c r="B245" s="13" t="str">
        <f>Members!B245</f>
        <v>Active</v>
      </c>
      <c r="C245" s="13">
        <f>Members!C245</f>
        <v>30</v>
      </c>
      <c r="D245" s="14">
        <f>Members!D245</f>
        <v>4.8</v>
      </c>
      <c r="E245" s="16">
        <f>Members!E245</f>
        <v>637000</v>
      </c>
      <c r="F245" s="16">
        <f>Members!F245</f>
        <v>0</v>
      </c>
      <c r="G245" s="15">
        <f>MAX(0,Assumptions!$B$10-C245)</f>
        <v>30</v>
      </c>
      <c r="H245" s="17">
        <f>IF(B245="Active",E245*(1+Assumptions!$B$7)^G245,E245)</f>
        <v>3174776.9707076531</v>
      </c>
      <c r="I245" s="17">
        <f>IF(B245="Active",MIN(Assumptions!$B$12,D245+G245),IF(B245="Deferred",MIN(Assumptions!$B$12,D245),D245))</f>
        <v>34.799999999999997</v>
      </c>
      <c r="J245" s="17">
        <f>IF(B245="Active",H245*I245*Assumptions!$B$11,IF(B245="Deferred",E245*I245*Assumptions!$B$11*(1+Assumptions!$B$9)^G245,F245))</f>
        <v>1841370.6430104387</v>
      </c>
      <c r="K245" s="11">
        <f>IF(B245="Pensioner",1,VLOOKUP(Assumptions!$B$10,Mortality!$A$2:$F$104,6,FALSE)/VLOOKUP(C245,Mortality!$A$2:$F$104,6,FALSE))</f>
        <v>0.97034568803187526</v>
      </c>
      <c r="L245" s="11">
        <f>VLOOKUP(IF(B245="Pensioner",C245,Assumptions!$B$10),Mortality!$A$2:$E$104,5,FALSE)</f>
        <v>17.296790022132885</v>
      </c>
      <c r="M245" s="11">
        <f>1+Assumptions!$B$13*Assumptions!$B$14*Assumptions!$B$15</f>
        <v>1.3187500000000001</v>
      </c>
      <c r="N245" s="11">
        <f>IF(B245="Pensioner",1,1/(1+Assumptions!$B$6)^G245)</f>
        <v>0.15118606610981289</v>
      </c>
      <c r="O245" s="17">
        <f t="shared" si="3"/>
        <v>6161797.871789379</v>
      </c>
    </row>
    <row r="246" spans="1:15">
      <c r="A246" s="13" t="str">
        <f>Members!A246</f>
        <v>A0583</v>
      </c>
      <c r="B246" s="13" t="str">
        <f>Members!B246</f>
        <v>Active</v>
      </c>
      <c r="C246" s="13">
        <f>Members!C246</f>
        <v>42</v>
      </c>
      <c r="D246" s="14">
        <f>Members!D246</f>
        <v>3.8</v>
      </c>
      <c r="E246" s="16">
        <f>Members!E246</f>
        <v>1224000</v>
      </c>
      <c r="F246" s="16">
        <f>Members!F246</f>
        <v>0</v>
      </c>
      <c r="G246" s="15">
        <f>MAX(0,Assumptions!$B$10-C246)</f>
        <v>18</v>
      </c>
      <c r="H246" s="17">
        <f>IF(B246="Active",E246*(1+Assumptions!$B$7)^G246,E246)</f>
        <v>3208674.7094624159</v>
      </c>
      <c r="I246" s="17">
        <f>IF(B246="Active",MIN(Assumptions!$B$12,D246+G246),IF(B246="Deferred",MIN(Assumptions!$B$12,D246),D246))</f>
        <v>21.8</v>
      </c>
      <c r="J246" s="17">
        <f>IF(B246="Active",H246*I246*Assumptions!$B$11,IF(B246="Deferred",E246*I246*Assumptions!$B$11*(1+Assumptions!$B$9)^G246,F246))</f>
        <v>1165818.4777713446</v>
      </c>
      <c r="K246" s="11">
        <f>IF(B246="Pensioner",1,VLOOKUP(Assumptions!$B$10,Mortality!$A$2:$F$104,6,FALSE)/VLOOKUP(C246,Mortality!$A$2:$F$104,6,FALSE))</f>
        <v>0.97507997078383857</v>
      </c>
      <c r="L246" s="11">
        <f>VLOOKUP(IF(B246="Pensioner",C246,Assumptions!$B$10),Mortality!$A$2:$E$104,5,FALSE)</f>
        <v>17.296790022132885</v>
      </c>
      <c r="M246" s="11">
        <f>1+Assumptions!$B$13*Assumptions!$B$14*Assumptions!$B$15</f>
        <v>1.3187500000000001</v>
      </c>
      <c r="N246" s="11">
        <f>IF(B246="Pensioner",1,1/(1+Assumptions!$B$6)^G246)</f>
        <v>0.32188968512839738</v>
      </c>
      <c r="O246" s="17">
        <f t="shared" si="3"/>
        <v>8346534.9451531982</v>
      </c>
    </row>
    <row r="247" spans="1:15">
      <c r="A247" s="13" t="str">
        <f>Members!A247</f>
        <v>A0266</v>
      </c>
      <c r="B247" s="13" t="str">
        <f>Members!B247</f>
        <v>Active</v>
      </c>
      <c r="C247" s="13">
        <f>Members!C247</f>
        <v>39</v>
      </c>
      <c r="D247" s="14">
        <f>Members!D247</f>
        <v>4.0999999999999996</v>
      </c>
      <c r="E247" s="16">
        <f>Members!E247</f>
        <v>997000</v>
      </c>
      <c r="F247" s="16">
        <f>Members!F247</f>
        <v>0</v>
      </c>
      <c r="G247" s="15">
        <f>MAX(0,Assumptions!$B$10-C247)</f>
        <v>21</v>
      </c>
      <c r="H247" s="17">
        <f>IF(B247="Active",E247*(1+Assumptions!$B$7)^G247,E247)</f>
        <v>3068999.4501295523</v>
      </c>
      <c r="I247" s="17">
        <f>IF(B247="Active",MIN(Assumptions!$B$12,D247+G247),IF(B247="Deferred",MIN(Assumptions!$B$12,D247),D247))</f>
        <v>25.1</v>
      </c>
      <c r="J247" s="17">
        <f>IF(B247="Active",H247*I247*Assumptions!$B$11,IF(B247="Deferred",E247*I247*Assumptions!$B$11*(1+Assumptions!$B$9)^G247,F247))</f>
        <v>1283864.7699708629</v>
      </c>
      <c r="K247" s="11">
        <f>IF(B247="Pensioner",1,VLOOKUP(Assumptions!$B$10,Mortality!$A$2:$F$104,6,FALSE)/VLOOKUP(C247,Mortality!$A$2:$F$104,6,FALSE))</f>
        <v>0.97358574177887802</v>
      </c>
      <c r="L247" s="11">
        <f>VLOOKUP(IF(B247="Pensioner",C247,Assumptions!$B$10),Mortality!$A$2:$E$104,5,FALSE)</f>
        <v>17.296790022132885</v>
      </c>
      <c r="M247" s="11">
        <f>1+Assumptions!$B$13*Assumptions!$B$14*Assumptions!$B$15</f>
        <v>1.3187500000000001</v>
      </c>
      <c r="N247" s="11">
        <f>IF(B247="Pensioner",1,1/(1+Assumptions!$B$6)^G247)</f>
        <v>0.26647608349429097</v>
      </c>
      <c r="O247" s="17">
        <f t="shared" si="3"/>
        <v>7597657.4567889264</v>
      </c>
    </row>
    <row r="248" spans="1:15">
      <c r="A248" s="13" t="str">
        <f>Members!A248</f>
        <v>A0183</v>
      </c>
      <c r="B248" s="13" t="str">
        <f>Members!B248</f>
        <v>Active</v>
      </c>
      <c r="C248" s="13">
        <f>Members!C248</f>
        <v>32</v>
      </c>
      <c r="D248" s="14">
        <f>Members!D248</f>
        <v>8.6999999999999993</v>
      </c>
      <c r="E248" s="16">
        <f>Members!E248</f>
        <v>458000</v>
      </c>
      <c r="F248" s="16">
        <f>Members!F248</f>
        <v>0</v>
      </c>
      <c r="G248" s="15">
        <f>MAX(0,Assumptions!$B$10-C248)</f>
        <v>28</v>
      </c>
      <c r="H248" s="17">
        <f>IF(B248="Active",E248*(1+Assumptions!$B$7)^G248,E248)</f>
        <v>2050852.1282854725</v>
      </c>
      <c r="I248" s="17">
        <f>IF(B248="Active",MIN(Assumptions!$B$12,D248+G248),IF(B248="Deferred",MIN(Assumptions!$B$12,D248),D248))</f>
        <v>36.700000000000003</v>
      </c>
      <c r="J248" s="17">
        <f>IF(B248="Active",H248*I248*Assumptions!$B$11,IF(B248="Deferred",E248*I248*Assumptions!$B$11*(1+Assumptions!$B$9)^G248,F248))</f>
        <v>1254437.8851346141</v>
      </c>
      <c r="K248" s="11">
        <f>IF(B248="Pensioner",1,VLOOKUP(Assumptions!$B$10,Mortality!$A$2:$F$104,6,FALSE)/VLOOKUP(C248,Mortality!$A$2:$F$104,6,FALSE))</f>
        <v>0.97095846876649572</v>
      </c>
      <c r="L248" s="11">
        <f>VLOOKUP(IF(B248="Pensioner",C248,Assumptions!$B$10),Mortality!$A$2:$E$104,5,FALSE)</f>
        <v>17.296790022132885</v>
      </c>
      <c r="M248" s="11">
        <f>1+Assumptions!$B$13*Assumptions!$B$14*Assumptions!$B$15</f>
        <v>1.3187500000000001</v>
      </c>
      <c r="N248" s="11">
        <f>IF(B248="Pensioner",1,1/(1+Assumptions!$B$6)^G248)</f>
        <v>0.17147901583340255</v>
      </c>
      <c r="O248" s="17">
        <f t="shared" si="3"/>
        <v>4764186.8258473082</v>
      </c>
    </row>
    <row r="249" spans="1:15">
      <c r="A249" s="13" t="str">
        <f>Members!A249</f>
        <v>D0101</v>
      </c>
      <c r="B249" s="13" t="str">
        <f>Members!B249</f>
        <v>Deferred</v>
      </c>
      <c r="C249" s="13">
        <f>Members!C249</f>
        <v>30</v>
      </c>
      <c r="D249" s="14">
        <f>Members!D249</f>
        <v>2</v>
      </c>
      <c r="E249" s="16">
        <f>Members!E249</f>
        <v>325000</v>
      </c>
      <c r="F249" s="16">
        <f>Members!F249</f>
        <v>0</v>
      </c>
      <c r="G249" s="15">
        <f>MAX(0,Assumptions!$B$10-C249)</f>
        <v>30</v>
      </c>
      <c r="H249" s="17">
        <f>IF(B249="Active",E249*(1+Assumptions!$B$7)^G249,E249)</f>
        <v>325000</v>
      </c>
      <c r="I249" s="17">
        <f>IF(B249="Active",MIN(Assumptions!$B$12,D249+G249),IF(B249="Deferred",MIN(Assumptions!$B$12,D249),D249))</f>
        <v>2</v>
      </c>
      <c r="J249" s="17">
        <f>IF(B249="Active",H249*I249*Assumptions!$B$11,IF(B249="Deferred",E249*I249*Assumptions!$B$11*(1+Assumptions!$B$9)^G249,F249))</f>
        <v>35136.806358631708</v>
      </c>
      <c r="K249" s="11">
        <f>IF(B249="Pensioner",1,VLOOKUP(Assumptions!$B$10,Mortality!$A$2:$F$104,6,FALSE)/VLOOKUP(C249,Mortality!$A$2:$F$104,6,FALSE))</f>
        <v>0.97034568803187526</v>
      </c>
      <c r="L249" s="11">
        <f>VLOOKUP(IF(B249="Pensioner",C249,Assumptions!$B$10),Mortality!$A$2:$E$104,5,FALSE)</f>
        <v>17.296790022132885</v>
      </c>
      <c r="M249" s="11">
        <f>1+Assumptions!$B$13*Assumptions!$B$14*Assumptions!$B$15</f>
        <v>1.3187500000000001</v>
      </c>
      <c r="N249" s="11">
        <f>IF(B249="Pensioner",1,1/(1+Assumptions!$B$6)^G249)</f>
        <v>0.15118606610981289</v>
      </c>
      <c r="O249" s="17">
        <f t="shared" si="3"/>
        <v>117578.66318979053</v>
      </c>
    </row>
    <row r="250" spans="1:15">
      <c r="A250" s="13" t="str">
        <f>Members!A250</f>
        <v>A0490</v>
      </c>
      <c r="B250" s="13" t="str">
        <f>Members!B250</f>
        <v>Active</v>
      </c>
      <c r="C250" s="13">
        <f>Members!C250</f>
        <v>42</v>
      </c>
      <c r="D250" s="14">
        <f>Members!D250</f>
        <v>3.9</v>
      </c>
      <c r="E250" s="16">
        <f>Members!E250</f>
        <v>726000</v>
      </c>
      <c r="F250" s="16">
        <f>Members!F250</f>
        <v>0</v>
      </c>
      <c r="G250" s="15">
        <f>MAX(0,Assumptions!$B$10-C250)</f>
        <v>18</v>
      </c>
      <c r="H250" s="17">
        <f>IF(B250="Active",E250*(1+Assumptions!$B$7)^G250,E250)</f>
        <v>1903184.509043884</v>
      </c>
      <c r="I250" s="17">
        <f>IF(B250="Active",MIN(Assumptions!$B$12,D250+G250),IF(B250="Deferred",MIN(Assumptions!$B$12,D250),D250))</f>
        <v>21.9</v>
      </c>
      <c r="J250" s="17">
        <f>IF(B250="Active",H250*I250*Assumptions!$B$11,IF(B250="Deferred",E250*I250*Assumptions!$B$11*(1+Assumptions!$B$9)^G250,F250))</f>
        <v>694662.3458010176</v>
      </c>
      <c r="K250" s="11">
        <f>IF(B250="Pensioner",1,VLOOKUP(Assumptions!$B$10,Mortality!$A$2:$F$104,6,FALSE)/VLOOKUP(C250,Mortality!$A$2:$F$104,6,FALSE))</f>
        <v>0.97507997078383857</v>
      </c>
      <c r="L250" s="11">
        <f>VLOOKUP(IF(B250="Pensioner",C250,Assumptions!$B$10),Mortality!$A$2:$E$104,5,FALSE)</f>
        <v>17.296790022132885</v>
      </c>
      <c r="M250" s="11">
        <f>1+Assumptions!$B$13*Assumptions!$B$14*Assumptions!$B$15</f>
        <v>1.3187500000000001</v>
      </c>
      <c r="N250" s="11">
        <f>IF(B250="Pensioner",1,1/(1+Assumptions!$B$6)^G250)</f>
        <v>0.32188968512839738</v>
      </c>
      <c r="O250" s="17">
        <f t="shared" si="3"/>
        <v>4973350.1868954534</v>
      </c>
    </row>
    <row r="251" spans="1:15">
      <c r="A251" s="13" t="str">
        <f>Members!A251</f>
        <v>P0228</v>
      </c>
      <c r="B251" s="13" t="str">
        <f>Members!B251</f>
        <v>Pensioner</v>
      </c>
      <c r="C251" s="13">
        <f>Members!C251</f>
        <v>77</v>
      </c>
      <c r="D251" s="14">
        <f>Members!D251</f>
        <v>29.2</v>
      </c>
      <c r="E251" s="16">
        <f>Members!E251</f>
        <v>0</v>
      </c>
      <c r="F251" s="16">
        <f>Members!F251</f>
        <v>240000</v>
      </c>
      <c r="G251" s="15">
        <f>MAX(0,Assumptions!$B$10-C251)</f>
        <v>0</v>
      </c>
      <c r="H251" s="17">
        <f>IF(B251="Active",E251*(1+Assumptions!$B$7)^G251,E251)</f>
        <v>0</v>
      </c>
      <c r="I251" s="17">
        <f>IF(B251="Active",MIN(Assumptions!$B$12,D251+G251),IF(B251="Deferred",MIN(Assumptions!$B$12,D251),D251))</f>
        <v>29.2</v>
      </c>
      <c r="J251" s="17">
        <f>IF(B251="Active",H251*I251*Assumptions!$B$11,IF(B251="Deferred",E251*I251*Assumptions!$B$11*(1+Assumptions!$B$9)^G251,F251))</f>
        <v>240000</v>
      </c>
      <c r="K251" s="11">
        <f>IF(B251="Pensioner",1,VLOOKUP(Assumptions!$B$10,Mortality!$A$2:$F$104,6,FALSE)/VLOOKUP(C251,Mortality!$A$2:$F$104,6,FALSE))</f>
        <v>1</v>
      </c>
      <c r="L251" s="11">
        <f>VLOOKUP(IF(B251="Pensioner",C251,Assumptions!$B$10),Mortality!$A$2:$E$104,5,FALSE)</f>
        <v>9.7418184564319716</v>
      </c>
      <c r="M251" s="11">
        <f>1+Assumptions!$B$13*Assumptions!$B$14*Assumptions!$B$15</f>
        <v>1.3187500000000001</v>
      </c>
      <c r="N251" s="11">
        <f>IF(B251="Pensioner",1,1/(1+Assumptions!$B$6)^G251)</f>
        <v>1</v>
      </c>
      <c r="O251" s="17">
        <f t="shared" si="3"/>
        <v>3083285.541460719</v>
      </c>
    </row>
    <row r="252" spans="1:15">
      <c r="A252" s="13" t="str">
        <f>Members!A252</f>
        <v>A0398</v>
      </c>
      <c r="B252" s="13" t="str">
        <f>Members!B252</f>
        <v>Active</v>
      </c>
      <c r="C252" s="13">
        <f>Members!C252</f>
        <v>57</v>
      </c>
      <c r="D252" s="14">
        <f>Members!D252</f>
        <v>13.4</v>
      </c>
      <c r="E252" s="16">
        <f>Members!E252</f>
        <v>1650000</v>
      </c>
      <c r="F252" s="16">
        <f>Members!F252</f>
        <v>0</v>
      </c>
      <c r="G252" s="15">
        <f>MAX(0,Assumptions!$B$10-C252)</f>
        <v>3</v>
      </c>
      <c r="H252" s="17">
        <f>IF(B252="Active",E252*(1+Assumptions!$B$7)^G252,E252)</f>
        <v>1937498.2687499996</v>
      </c>
      <c r="I252" s="17">
        <f>IF(B252="Active",MIN(Assumptions!$B$12,D252+G252),IF(B252="Deferred",MIN(Assumptions!$B$12,D252),D252))</f>
        <v>16.399999999999999</v>
      </c>
      <c r="J252" s="17">
        <f>IF(B252="Active",H252*I252*Assumptions!$B$11,IF(B252="Deferred",E252*I252*Assumptions!$B$11*(1+Assumptions!$B$9)^G252,F252))</f>
        <v>529582.86012499989</v>
      </c>
      <c r="K252" s="11">
        <f>IF(B252="Pensioner",1,VLOOKUP(Assumptions!$B$10,Mortality!$A$2:$F$104,6,FALSE)/VLOOKUP(C252,Mortality!$A$2:$F$104,6,FALSE))</f>
        <v>0.99220038929214172</v>
      </c>
      <c r="L252" s="11">
        <f>VLOOKUP(IF(B252="Pensioner",C252,Assumptions!$B$10),Mortality!$A$2:$E$104,5,FALSE)</f>
        <v>17.296790022132885</v>
      </c>
      <c r="M252" s="11">
        <f>1+Assumptions!$B$13*Assumptions!$B$14*Assumptions!$B$15</f>
        <v>1.3187500000000001</v>
      </c>
      <c r="N252" s="11">
        <f>IF(B252="Pensioner",1,1/(1+Assumptions!$B$6)^G252)</f>
        <v>0.82784909180297994</v>
      </c>
      <c r="O252" s="17">
        <f t="shared" si="3"/>
        <v>9922302.8027785625</v>
      </c>
    </row>
    <row r="253" spans="1:15">
      <c r="A253" s="13" t="str">
        <f>Members!A253</f>
        <v>A0607</v>
      </c>
      <c r="B253" s="13" t="str">
        <f>Members!B253</f>
        <v>Active</v>
      </c>
      <c r="C253" s="13">
        <f>Members!C253</f>
        <v>30</v>
      </c>
      <c r="D253" s="14">
        <f>Members!D253</f>
        <v>7.2</v>
      </c>
      <c r="E253" s="16">
        <f>Members!E253</f>
        <v>442000</v>
      </c>
      <c r="F253" s="16">
        <f>Members!F253</f>
        <v>0</v>
      </c>
      <c r="G253" s="15">
        <f>MAX(0,Assumptions!$B$10-C253)</f>
        <v>30</v>
      </c>
      <c r="H253" s="17">
        <f>IF(B253="Active",E253*(1+Assumptions!$B$7)^G253,E253)</f>
        <v>2202906.4694706164</v>
      </c>
      <c r="I253" s="17">
        <f>IF(B253="Active",MIN(Assumptions!$B$12,D253+G253),IF(B253="Deferred",MIN(Assumptions!$B$12,D253),D253))</f>
        <v>37.200000000000003</v>
      </c>
      <c r="J253" s="17">
        <f>IF(B253="Active",H253*I253*Assumptions!$B$11,IF(B253="Deferred",E253*I253*Assumptions!$B$11*(1+Assumptions!$B$9)^G253,F253))</f>
        <v>1365802.0110717823</v>
      </c>
      <c r="K253" s="11">
        <f>IF(B253="Pensioner",1,VLOOKUP(Assumptions!$B$10,Mortality!$A$2:$F$104,6,FALSE)/VLOOKUP(C253,Mortality!$A$2:$F$104,6,FALSE))</f>
        <v>0.97034568803187526</v>
      </c>
      <c r="L253" s="11">
        <f>VLOOKUP(IF(B253="Pensioner",C253,Assumptions!$B$10),Mortality!$A$2:$E$104,5,FALSE)</f>
        <v>17.296790022132885</v>
      </c>
      <c r="M253" s="11">
        <f>1+Assumptions!$B$13*Assumptions!$B$14*Assumptions!$B$15</f>
        <v>1.3187500000000001</v>
      </c>
      <c r="N253" s="11">
        <f>IF(B253="Pensioner",1,1/(1+Assumptions!$B$6)^G253)</f>
        <v>0.15118606610981289</v>
      </c>
      <c r="O253" s="17">
        <f t="shared" si="3"/>
        <v>4570397.5769641139</v>
      </c>
    </row>
    <row r="254" spans="1:15">
      <c r="A254" s="13" t="str">
        <f>Members!A254</f>
        <v>A0444</v>
      </c>
      <c r="B254" s="13" t="str">
        <f>Members!B254</f>
        <v>Active</v>
      </c>
      <c r="C254" s="13">
        <f>Members!C254</f>
        <v>41</v>
      </c>
      <c r="D254" s="14">
        <f>Members!D254</f>
        <v>16.8</v>
      </c>
      <c r="E254" s="16">
        <f>Members!E254</f>
        <v>749000</v>
      </c>
      <c r="F254" s="16">
        <f>Members!F254</f>
        <v>0</v>
      </c>
      <c r="G254" s="15">
        <f>MAX(0,Assumptions!$B$10-C254)</f>
        <v>19</v>
      </c>
      <c r="H254" s="17">
        <f>IF(B254="Active",E254*(1+Assumptions!$B$7)^G254,E254)</f>
        <v>2071469.5359833771</v>
      </c>
      <c r="I254" s="17">
        <f>IF(B254="Active",MIN(Assumptions!$B$12,D254+G254),IF(B254="Deferred",MIN(Assumptions!$B$12,D254),D254))</f>
        <v>35.799999999999997</v>
      </c>
      <c r="J254" s="17">
        <f>IF(B254="Active",H254*I254*Assumptions!$B$11,IF(B254="Deferred",E254*I254*Assumptions!$B$11*(1+Assumptions!$B$9)^G254,F254))</f>
        <v>1235976.8231367483</v>
      </c>
      <c r="K254" s="11">
        <f>IF(B254="Pensioner",1,VLOOKUP(Assumptions!$B$10,Mortality!$A$2:$F$104,6,FALSE)/VLOOKUP(C254,Mortality!$A$2:$F$104,6,FALSE))</f>
        <v>0.97454789540795339</v>
      </c>
      <c r="L254" s="11">
        <f>VLOOKUP(IF(B254="Pensioner",C254,Assumptions!$B$10),Mortality!$A$2:$E$104,5,FALSE)</f>
        <v>17.296790022132885</v>
      </c>
      <c r="M254" s="11">
        <f>1+Assumptions!$B$13*Assumptions!$B$14*Assumptions!$B$15</f>
        <v>1.3187500000000001</v>
      </c>
      <c r="N254" s="11">
        <f>IF(B254="Pensioner",1,1/(1+Assumptions!$B$6)^G254)</f>
        <v>0.30224383580131214</v>
      </c>
      <c r="O254" s="17">
        <f t="shared" si="3"/>
        <v>8304222.0435918747</v>
      </c>
    </row>
    <row r="255" spans="1:15">
      <c r="A255" s="13" t="str">
        <f>Members!A255</f>
        <v>A0546</v>
      </c>
      <c r="B255" s="13" t="str">
        <f>Members!B255</f>
        <v>Active</v>
      </c>
      <c r="C255" s="13">
        <f>Members!C255</f>
        <v>43</v>
      </c>
      <c r="D255" s="14">
        <f>Members!D255</f>
        <v>18.3</v>
      </c>
      <c r="E255" s="16">
        <f>Members!E255</f>
        <v>1278000</v>
      </c>
      <c r="F255" s="16">
        <f>Members!F255</f>
        <v>0</v>
      </c>
      <c r="G255" s="15">
        <f>MAX(0,Assumptions!$B$10-C255)</f>
        <v>17</v>
      </c>
      <c r="H255" s="17">
        <f>IF(B255="Active",E255*(1+Assumptions!$B$7)^G255,E255)</f>
        <v>3175577.1448540776</v>
      </c>
      <c r="I255" s="17">
        <f>IF(B255="Active",MIN(Assumptions!$B$12,D255+G255),IF(B255="Deferred",MIN(Assumptions!$B$12,D255),D255))</f>
        <v>35.299999999999997</v>
      </c>
      <c r="J255" s="17">
        <f>IF(B255="Active",H255*I255*Assumptions!$B$11,IF(B255="Deferred",E255*I255*Assumptions!$B$11*(1+Assumptions!$B$9)^G255,F255))</f>
        <v>1868297.8868891487</v>
      </c>
      <c r="K255" s="11">
        <f>IF(B255="Pensioner",1,VLOOKUP(Assumptions!$B$10,Mortality!$A$2:$F$104,6,FALSE)/VLOOKUP(C255,Mortality!$A$2:$F$104,6,FALSE))</f>
        <v>0.97565175842493801</v>
      </c>
      <c r="L255" s="11">
        <f>VLOOKUP(IF(B255="Pensioner",C255,Assumptions!$B$10),Mortality!$A$2:$E$104,5,FALSE)</f>
        <v>17.296790022132885</v>
      </c>
      <c r="M255" s="11">
        <f>1+Assumptions!$B$13*Assumptions!$B$14*Assumptions!$B$15</f>
        <v>1.3187500000000001</v>
      </c>
      <c r="N255" s="11">
        <f>IF(B255="Pensioner",1,1/(1+Assumptions!$B$6)^G255)</f>
        <v>0.34281251466174323</v>
      </c>
      <c r="O255" s="17">
        <f t="shared" si="3"/>
        <v>14253634.163960086</v>
      </c>
    </row>
    <row r="256" spans="1:15">
      <c r="A256" s="13" t="str">
        <f>Members!A256</f>
        <v>A0407</v>
      </c>
      <c r="B256" s="13" t="str">
        <f>Members!B256</f>
        <v>Active</v>
      </c>
      <c r="C256" s="13">
        <f>Members!C256</f>
        <v>52</v>
      </c>
      <c r="D256" s="14">
        <f>Members!D256</f>
        <v>9.4</v>
      </c>
      <c r="E256" s="16">
        <f>Members!E256</f>
        <v>1629000</v>
      </c>
      <c r="F256" s="16">
        <f>Members!F256</f>
        <v>0</v>
      </c>
      <c r="G256" s="15">
        <f>MAX(0,Assumptions!$B$10-C256)</f>
        <v>8</v>
      </c>
      <c r="H256" s="17">
        <f>IF(B256="Active",E256*(1+Assumptions!$B$7)^G256,E256)</f>
        <v>2500004.332928733</v>
      </c>
      <c r="I256" s="17">
        <f>IF(B256="Active",MIN(Assumptions!$B$12,D256+G256),IF(B256="Deferred",MIN(Assumptions!$B$12,D256),D256))</f>
        <v>17.399999999999999</v>
      </c>
      <c r="J256" s="17">
        <f>IF(B256="Active",H256*I256*Assumptions!$B$11,IF(B256="Deferred",E256*I256*Assumptions!$B$11*(1+Assumptions!$B$9)^G256,F256))</f>
        <v>725001.25654933252</v>
      </c>
      <c r="K256" s="11">
        <f>IF(B256="Pensioner",1,VLOOKUP(Assumptions!$B$10,Mortality!$A$2:$F$104,6,FALSE)/VLOOKUP(C256,Mortality!$A$2:$F$104,6,FALSE))</f>
        <v>0.98365275168798427</v>
      </c>
      <c r="L256" s="11">
        <f>VLOOKUP(IF(B256="Pensioner",C256,Assumptions!$B$10),Mortality!$A$2:$E$104,5,FALSE)</f>
        <v>17.296790022132885</v>
      </c>
      <c r="M256" s="11">
        <f>1+Assumptions!$B$13*Assumptions!$B$14*Assumptions!$B$15</f>
        <v>1.3187500000000001</v>
      </c>
      <c r="N256" s="11">
        <f>IF(B256="Pensioner",1,1/(1+Assumptions!$B$6)^G256)</f>
        <v>0.60423118763827188</v>
      </c>
      <c r="O256" s="17">
        <f t="shared" si="3"/>
        <v>9829053.3913251273</v>
      </c>
    </row>
    <row r="257" spans="1:15">
      <c r="A257" s="13" t="str">
        <f>Members!A257</f>
        <v>A0287</v>
      </c>
      <c r="B257" s="13" t="str">
        <f>Members!B257</f>
        <v>Active</v>
      </c>
      <c r="C257" s="13">
        <f>Members!C257</f>
        <v>36</v>
      </c>
      <c r="D257" s="14">
        <f>Members!D257</f>
        <v>4</v>
      </c>
      <c r="E257" s="16">
        <f>Members!E257</f>
        <v>583000</v>
      </c>
      <c r="F257" s="16">
        <f>Members!F257</f>
        <v>0</v>
      </c>
      <c r="G257" s="15">
        <f>MAX(0,Assumptions!$B$10-C257)</f>
        <v>24</v>
      </c>
      <c r="H257" s="17">
        <f>IF(B257="Active",E257*(1+Assumptions!$B$7)^G257,E257)</f>
        <v>2107305.9139772486</v>
      </c>
      <c r="I257" s="17">
        <f>IF(B257="Active",MIN(Assumptions!$B$12,D257+G257),IF(B257="Deferred",MIN(Assumptions!$B$12,D257),D257))</f>
        <v>28</v>
      </c>
      <c r="J257" s="17">
        <f>IF(B257="Active",H257*I257*Assumptions!$B$11,IF(B257="Deferred",E257*I257*Assumptions!$B$11*(1+Assumptions!$B$9)^G257,F257))</f>
        <v>983409.42652271595</v>
      </c>
      <c r="K257" s="11">
        <f>IF(B257="Pensioner",1,VLOOKUP(Assumptions!$B$10,Mortality!$A$2:$F$104,6,FALSE)/VLOOKUP(C257,Mortality!$A$2:$F$104,6,FALSE))</f>
        <v>0.97234503055413524</v>
      </c>
      <c r="L257" s="11">
        <f>VLOOKUP(IF(B257="Pensioner",C257,Assumptions!$B$10),Mortality!$A$2:$E$104,5,FALSE)</f>
        <v>17.296790022132885</v>
      </c>
      <c r="M257" s="11">
        <f>1+Assumptions!$B$13*Assumptions!$B$14*Assumptions!$B$15</f>
        <v>1.3187500000000001</v>
      </c>
      <c r="N257" s="11">
        <f>IF(B257="Pensioner",1,1/(1+Assumptions!$B$6)^G257)</f>
        <v>0.22060198370796386</v>
      </c>
      <c r="O257" s="17">
        <f t="shared" si="3"/>
        <v>4811629.3482352821</v>
      </c>
    </row>
    <row r="258" spans="1:15">
      <c r="A258" s="13" t="str">
        <f>Members!A258</f>
        <v>A0330</v>
      </c>
      <c r="B258" s="13" t="str">
        <f>Members!B258</f>
        <v>Active</v>
      </c>
      <c r="C258" s="13">
        <f>Members!C258</f>
        <v>48</v>
      </c>
      <c r="D258" s="14">
        <f>Members!D258</f>
        <v>6.3</v>
      </c>
      <c r="E258" s="16">
        <f>Members!E258</f>
        <v>1371000</v>
      </c>
      <c r="F258" s="16">
        <f>Members!F258</f>
        <v>0</v>
      </c>
      <c r="G258" s="15">
        <f>MAX(0,Assumptions!$B$10-C258)</f>
        <v>12</v>
      </c>
      <c r="H258" s="17">
        <f>IF(B258="Active",E258*(1+Assumptions!$B$7)^G258,E258)</f>
        <v>2606555.4629755993</v>
      </c>
      <c r="I258" s="17">
        <f>IF(B258="Active",MIN(Assumptions!$B$12,D258+G258),IF(B258="Deferred",MIN(Assumptions!$B$12,D258),D258))</f>
        <v>18.3</v>
      </c>
      <c r="J258" s="17">
        <f>IF(B258="Active",H258*I258*Assumptions!$B$11,IF(B258="Deferred",E258*I258*Assumptions!$B$11*(1+Assumptions!$B$9)^G258,F258))</f>
        <v>794999.41620755778</v>
      </c>
      <c r="K258" s="11">
        <f>IF(B258="Pensioner",1,VLOOKUP(Assumptions!$B$10,Mortality!$A$2:$F$104,6,FALSE)/VLOOKUP(C258,Mortality!$A$2:$F$104,6,FALSE))</f>
        <v>0.97930374297365907</v>
      </c>
      <c r="L258" s="11">
        <f>VLOOKUP(IF(B258="Pensioner",C258,Assumptions!$B$10),Mortality!$A$2:$E$104,5,FALSE)</f>
        <v>17.296790022132885</v>
      </c>
      <c r="M258" s="11">
        <f>1+Assumptions!$B$13*Assumptions!$B$14*Assumptions!$B$15</f>
        <v>1.3187500000000001</v>
      </c>
      <c r="N258" s="11">
        <f>IF(B258="Pensioner",1,1/(1+Assumptions!$B$6)^G258)</f>
        <v>0.4696828543900276</v>
      </c>
      <c r="O258" s="17">
        <f t="shared" ref="O258:O321" si="4">J258*K258*L258*M258*N258</f>
        <v>8340976.8675211715</v>
      </c>
    </row>
    <row r="259" spans="1:15">
      <c r="A259" s="13" t="str">
        <f>Members!A259</f>
        <v>P0158</v>
      </c>
      <c r="B259" s="13" t="str">
        <f>Members!B259</f>
        <v>Pensioner</v>
      </c>
      <c r="C259" s="13">
        <f>Members!C259</f>
        <v>61</v>
      </c>
      <c r="D259" s="14">
        <f>Members!D259</f>
        <v>28.6</v>
      </c>
      <c r="E259" s="16">
        <f>Members!E259</f>
        <v>0</v>
      </c>
      <c r="F259" s="16">
        <f>Members!F259</f>
        <v>274000</v>
      </c>
      <c r="G259" s="15">
        <f>MAX(0,Assumptions!$B$10-C259)</f>
        <v>0</v>
      </c>
      <c r="H259" s="17">
        <f>IF(B259="Active",E259*(1+Assumptions!$B$7)^G259,E259)</f>
        <v>0</v>
      </c>
      <c r="I259" s="17">
        <f>IF(B259="Active",MIN(Assumptions!$B$12,D259+G259),IF(B259="Deferred",MIN(Assumptions!$B$12,D259),D259))</f>
        <v>28.6</v>
      </c>
      <c r="J259" s="17">
        <f>IF(B259="Active",H259*I259*Assumptions!$B$11,IF(B259="Deferred",E259*I259*Assumptions!$B$11*(1+Assumptions!$B$9)^G259,F259))</f>
        <v>274000</v>
      </c>
      <c r="K259" s="11">
        <f>IF(B259="Pensioner",1,VLOOKUP(Assumptions!$B$10,Mortality!$A$2:$F$104,6,FALSE)/VLOOKUP(C259,Mortality!$A$2:$F$104,6,FALSE))</f>
        <v>1</v>
      </c>
      <c r="L259" s="11">
        <f>VLOOKUP(IF(B259="Pensioner",C259,Assumptions!$B$10),Mortality!$A$2:$E$104,5,FALSE)</f>
        <v>16.889485221588366</v>
      </c>
      <c r="M259" s="11">
        <f>1+Assumptions!$B$13*Assumptions!$B$14*Assumptions!$B$15</f>
        <v>1.3187500000000001</v>
      </c>
      <c r="N259" s="11">
        <f>IF(B259="Pensioner",1,1/(1+Assumptions!$B$6)^G259)</f>
        <v>1</v>
      </c>
      <c r="O259" s="17">
        <f t="shared" si="4"/>
        <v>6102804.3662556866</v>
      </c>
    </row>
    <row r="260" spans="1:15">
      <c r="A260" s="13" t="str">
        <f>Members!A260</f>
        <v>A0537</v>
      </c>
      <c r="B260" s="13" t="str">
        <f>Members!B260</f>
        <v>Active</v>
      </c>
      <c r="C260" s="13">
        <f>Members!C260</f>
        <v>35</v>
      </c>
      <c r="D260" s="14">
        <f>Members!D260</f>
        <v>9.3000000000000007</v>
      </c>
      <c r="E260" s="16">
        <f>Members!E260</f>
        <v>578000</v>
      </c>
      <c r="F260" s="16">
        <f>Members!F260</f>
        <v>0</v>
      </c>
      <c r="G260" s="15">
        <f>MAX(0,Assumptions!$B$10-C260)</f>
        <v>25</v>
      </c>
      <c r="H260" s="17">
        <f>IF(B260="Active",E260*(1+Assumptions!$B$7)^G260,E260)</f>
        <v>2204140.777502893</v>
      </c>
      <c r="I260" s="17">
        <f>IF(B260="Active",MIN(Assumptions!$B$12,D260+G260),IF(B260="Deferred",MIN(Assumptions!$B$12,D260),D260))</f>
        <v>34.299999999999997</v>
      </c>
      <c r="J260" s="17">
        <f>IF(B260="Active",H260*I260*Assumptions!$B$11,IF(B260="Deferred",E260*I260*Assumptions!$B$11*(1+Assumptions!$B$9)^G260,F260))</f>
        <v>1260033.8111391538</v>
      </c>
      <c r="K260" s="11">
        <f>IF(B260="Pensioner",1,VLOOKUP(Assumptions!$B$10,Mortality!$A$2:$F$104,6,FALSE)/VLOOKUP(C260,Mortality!$A$2:$F$104,6,FALSE))</f>
        <v>0.97197407653867529</v>
      </c>
      <c r="L260" s="11">
        <f>VLOOKUP(IF(B260="Pensioner",C260,Assumptions!$B$10),Mortality!$A$2:$E$104,5,FALSE)</f>
        <v>17.296790022132885</v>
      </c>
      <c r="M260" s="11">
        <f>1+Assumptions!$B$13*Assumptions!$B$14*Assumptions!$B$15</f>
        <v>1.3187500000000001</v>
      </c>
      <c r="N260" s="11">
        <f>IF(B260="Pensioner",1,1/(1+Assumptions!$B$6)^G260)</f>
        <v>0.20713801287132758</v>
      </c>
      <c r="O260" s="17">
        <f t="shared" si="4"/>
        <v>5786616.1192729799</v>
      </c>
    </row>
    <row r="261" spans="1:15">
      <c r="A261" s="13" t="str">
        <f>Members!A261</f>
        <v>D0084</v>
      </c>
      <c r="B261" s="13" t="str">
        <f>Members!B261</f>
        <v>Deferred</v>
      </c>
      <c r="C261" s="13">
        <f>Members!C261</f>
        <v>55</v>
      </c>
      <c r="D261" s="14">
        <f>Members!D261</f>
        <v>4.8</v>
      </c>
      <c r="E261" s="16">
        <f>Members!E261</f>
        <v>1176000</v>
      </c>
      <c r="F261" s="16">
        <f>Members!F261</f>
        <v>0</v>
      </c>
      <c r="G261" s="15">
        <f>MAX(0,Assumptions!$B$10-C261)</f>
        <v>5</v>
      </c>
      <c r="H261" s="17">
        <f>IF(B261="Active",E261*(1+Assumptions!$B$7)^G261,E261)</f>
        <v>1176000</v>
      </c>
      <c r="I261" s="17">
        <f>IF(B261="Active",MIN(Assumptions!$B$12,D261+G261),IF(B261="Deferred",MIN(Assumptions!$B$12,D261),D261))</f>
        <v>4.8</v>
      </c>
      <c r="J261" s="17">
        <f>IF(B261="Active",H261*I261*Assumptions!$B$11,IF(B261="Deferred",E261*I261*Assumptions!$B$11*(1+Assumptions!$B$9)^G261,F261))</f>
        <v>114462.70505779203</v>
      </c>
      <c r="K261" s="11">
        <f>IF(B261="Pensioner",1,VLOOKUP(Assumptions!$B$10,Mortality!$A$2:$F$104,6,FALSE)/VLOOKUP(C261,Mortality!$A$2:$F$104,6,FALSE))</f>
        <v>0.98824190874991746</v>
      </c>
      <c r="L261" s="11">
        <f>VLOOKUP(IF(B261="Pensioner",C261,Assumptions!$B$10),Mortality!$A$2:$E$104,5,FALSE)</f>
        <v>17.296790022132885</v>
      </c>
      <c r="M261" s="11">
        <f>1+Assumptions!$B$13*Assumptions!$B$14*Assumptions!$B$15</f>
        <v>1.3187500000000001</v>
      </c>
      <c r="N261" s="11">
        <f>IF(B261="Pensioner",1,1/(1+Assumptions!$B$6)^G261)</f>
        <v>0.72988083652095492</v>
      </c>
      <c r="O261" s="17">
        <f t="shared" si="4"/>
        <v>1883246.7189834588</v>
      </c>
    </row>
    <row r="262" spans="1:15">
      <c r="A262" s="13" t="str">
        <f>Members!A262</f>
        <v>P0203</v>
      </c>
      <c r="B262" s="13" t="str">
        <f>Members!B262</f>
        <v>Pensioner</v>
      </c>
      <c r="C262" s="13">
        <f>Members!C262</f>
        <v>87</v>
      </c>
      <c r="D262" s="14">
        <f>Members!D262</f>
        <v>20.6</v>
      </c>
      <c r="E262" s="16">
        <f>Members!E262</f>
        <v>0</v>
      </c>
      <c r="F262" s="16">
        <f>Members!F262</f>
        <v>860000</v>
      </c>
      <c r="G262" s="15">
        <f>MAX(0,Assumptions!$B$10-C262)</f>
        <v>0</v>
      </c>
      <c r="H262" s="17">
        <f>IF(B262="Active",E262*(1+Assumptions!$B$7)^G262,E262)</f>
        <v>0</v>
      </c>
      <c r="I262" s="17">
        <f>IF(B262="Active",MIN(Assumptions!$B$12,D262+G262),IF(B262="Deferred",MIN(Assumptions!$B$12,D262),D262))</f>
        <v>20.6</v>
      </c>
      <c r="J262" s="17">
        <f>IF(B262="Active",H262*I262*Assumptions!$B$11,IF(B262="Deferred",E262*I262*Assumptions!$B$11*(1+Assumptions!$B$9)^G262,F262))</f>
        <v>860000</v>
      </c>
      <c r="K262" s="11">
        <f>IF(B262="Pensioner",1,VLOOKUP(Assumptions!$B$10,Mortality!$A$2:$F$104,6,FALSE)/VLOOKUP(C262,Mortality!$A$2:$F$104,6,FALSE))</f>
        <v>1</v>
      </c>
      <c r="L262" s="11">
        <f>VLOOKUP(IF(B262="Pensioner",C262,Assumptions!$B$10),Mortality!$A$2:$E$104,5,FALSE)</f>
        <v>5.427731360162463</v>
      </c>
      <c r="M262" s="11">
        <f>1+Assumptions!$B$13*Assumptions!$B$14*Assumptions!$B$15</f>
        <v>1.3187500000000001</v>
      </c>
      <c r="N262" s="11">
        <f>IF(B262="Pensioner",1,1/(1+Assumptions!$B$6)^G262)</f>
        <v>1</v>
      </c>
      <c r="O262" s="17">
        <f t="shared" si="4"/>
        <v>6155725.8288442539</v>
      </c>
    </row>
    <row r="263" spans="1:15">
      <c r="A263" s="13" t="str">
        <f>Members!A263</f>
        <v>A0585</v>
      </c>
      <c r="B263" s="13" t="str">
        <f>Members!B263</f>
        <v>Active</v>
      </c>
      <c r="C263" s="13">
        <f>Members!C263</f>
        <v>52</v>
      </c>
      <c r="D263" s="14">
        <f>Members!D263</f>
        <v>24.5</v>
      </c>
      <c r="E263" s="16">
        <f>Members!E263</f>
        <v>1709000</v>
      </c>
      <c r="F263" s="16">
        <f>Members!F263</f>
        <v>0</v>
      </c>
      <c r="G263" s="15">
        <f>MAX(0,Assumptions!$B$10-C263)</f>
        <v>8</v>
      </c>
      <c r="H263" s="17">
        <f>IF(B263="Active",E263*(1+Assumptions!$B$7)^G263,E263)</f>
        <v>2622779.2541284254</v>
      </c>
      <c r="I263" s="17">
        <f>IF(B263="Active",MIN(Assumptions!$B$12,D263+G263),IF(B263="Deferred",MIN(Assumptions!$B$12,D263),D263))</f>
        <v>32.5</v>
      </c>
      <c r="J263" s="17">
        <f>IF(B263="Active",H263*I263*Assumptions!$B$11,IF(B263="Deferred",E263*I263*Assumptions!$B$11*(1+Assumptions!$B$9)^G263,F263))</f>
        <v>1420672.0959862303</v>
      </c>
      <c r="K263" s="11">
        <f>IF(B263="Pensioner",1,VLOOKUP(Assumptions!$B$10,Mortality!$A$2:$F$104,6,FALSE)/VLOOKUP(C263,Mortality!$A$2:$F$104,6,FALSE))</f>
        <v>0.98365275168798427</v>
      </c>
      <c r="L263" s="11">
        <f>VLOOKUP(IF(B263="Pensioner",C263,Assumptions!$B$10),Mortality!$A$2:$E$104,5,FALSE)</f>
        <v>17.296790022132885</v>
      </c>
      <c r="M263" s="11">
        <f>1+Assumptions!$B$13*Assumptions!$B$14*Assumptions!$B$15</f>
        <v>1.3187500000000001</v>
      </c>
      <c r="N263" s="11">
        <f>IF(B263="Pensioner",1,1/(1+Assumptions!$B$6)^G263)</f>
        <v>0.60423118763827188</v>
      </c>
      <c r="O263" s="17">
        <f t="shared" si="4"/>
        <v>19260465.767295208</v>
      </c>
    </row>
    <row r="264" spans="1:15">
      <c r="A264" s="13" t="str">
        <f>Members!A264</f>
        <v>D0039</v>
      </c>
      <c r="B264" s="13" t="str">
        <f>Members!B264</f>
        <v>Deferred</v>
      </c>
      <c r="C264" s="13">
        <f>Members!C264</f>
        <v>58</v>
      </c>
      <c r="D264" s="14">
        <f>Members!D264</f>
        <v>14.1</v>
      </c>
      <c r="E264" s="16">
        <f>Members!E264</f>
        <v>1243000</v>
      </c>
      <c r="F264" s="16">
        <f>Members!F264</f>
        <v>0</v>
      </c>
      <c r="G264" s="15">
        <f>MAX(0,Assumptions!$B$10-C264)</f>
        <v>2</v>
      </c>
      <c r="H264" s="17">
        <f>IF(B264="Active",E264*(1+Assumptions!$B$7)^G264,E264)</f>
        <v>1243000</v>
      </c>
      <c r="I264" s="17">
        <f>IF(B264="Active",MIN(Assumptions!$B$12,D264+G264),IF(B264="Deferred",MIN(Assumptions!$B$12,D264),D264))</f>
        <v>14.1</v>
      </c>
      <c r="J264" s="17">
        <f>IF(B264="Active",H264*I264*Assumptions!$B$11,IF(B264="Deferred",E264*I264*Assumptions!$B$11*(1+Assumptions!$B$9)^G264,F264))</f>
        <v>315940.76800000004</v>
      </c>
      <c r="K264" s="11">
        <f>IF(B264="Pensioner",1,VLOOKUP(Assumptions!$B$10,Mortality!$A$2:$F$104,6,FALSE)/VLOOKUP(C264,Mortality!$A$2:$F$104,6,FALSE))</f>
        <v>0.99452130442038367</v>
      </c>
      <c r="L264" s="11">
        <f>VLOOKUP(IF(B264="Pensioner",C264,Assumptions!$B$10),Mortality!$A$2:$E$104,5,FALSE)</f>
        <v>17.296790022132885</v>
      </c>
      <c r="M264" s="11">
        <f>1+Assumptions!$B$13*Assumptions!$B$14*Assumptions!$B$15</f>
        <v>1.3187500000000001</v>
      </c>
      <c r="N264" s="11">
        <f>IF(B264="Pensioner",1,1/(1+Assumptions!$B$6)^G264)</f>
        <v>0.88165928277017358</v>
      </c>
      <c r="O264" s="17">
        <f t="shared" si="4"/>
        <v>6319002.5521464748</v>
      </c>
    </row>
    <row r="265" spans="1:15">
      <c r="A265" s="13" t="str">
        <f>Members!A265</f>
        <v>A0011</v>
      </c>
      <c r="B265" s="13" t="str">
        <f>Members!B265</f>
        <v>Active</v>
      </c>
      <c r="C265" s="13">
        <f>Members!C265</f>
        <v>34</v>
      </c>
      <c r="D265" s="14">
        <f>Members!D265</f>
        <v>11.5</v>
      </c>
      <c r="E265" s="16">
        <f>Members!E265</f>
        <v>869000</v>
      </c>
      <c r="F265" s="16">
        <f>Members!F265</f>
        <v>0</v>
      </c>
      <c r="G265" s="15">
        <f>MAX(0,Assumptions!$B$10-C265)</f>
        <v>26</v>
      </c>
      <c r="H265" s="17">
        <f>IF(B265="Active",E265*(1+Assumptions!$B$7)^G265,E265)</f>
        <v>3496099.0382539183</v>
      </c>
      <c r="I265" s="17">
        <f>IF(B265="Active",MIN(Assumptions!$B$12,D265+G265),IF(B265="Deferred",MIN(Assumptions!$B$12,D265),D265))</f>
        <v>37.5</v>
      </c>
      <c r="J265" s="17">
        <f>IF(B265="Active",H265*I265*Assumptions!$B$11,IF(B265="Deferred",E265*I265*Assumptions!$B$11*(1+Assumptions!$B$9)^G265,F265))</f>
        <v>2185061.8989086989</v>
      </c>
      <c r="K265" s="11">
        <f>IF(B265="Pensioner",1,VLOOKUP(Assumptions!$B$10,Mortality!$A$2:$F$104,6,FALSE)/VLOOKUP(C265,Mortality!$A$2:$F$104,6,FALSE))</f>
        <v>0.97162058192333911</v>
      </c>
      <c r="L265" s="11">
        <f>VLOOKUP(IF(B265="Pensioner",C265,Assumptions!$B$10),Mortality!$A$2:$E$104,5,FALSE)</f>
        <v>17.296790022132885</v>
      </c>
      <c r="M265" s="11">
        <f>1+Assumptions!$B$13*Assumptions!$B$14*Assumptions!$B$15</f>
        <v>1.3187500000000001</v>
      </c>
      <c r="N265" s="11">
        <f>IF(B265="Pensioner",1,1/(1+Assumptions!$B$6)^G265)</f>
        <v>0.19449578673364096</v>
      </c>
      <c r="O265" s="17">
        <f t="shared" si="4"/>
        <v>9418866.338396892</v>
      </c>
    </row>
    <row r="266" spans="1:15">
      <c r="A266" s="13" t="str">
        <f>Members!A266</f>
        <v>A0481</v>
      </c>
      <c r="B266" s="13" t="str">
        <f>Members!B266</f>
        <v>Active</v>
      </c>
      <c r="C266" s="13">
        <f>Members!C266</f>
        <v>31</v>
      </c>
      <c r="D266" s="14">
        <f>Members!D266</f>
        <v>8.5</v>
      </c>
      <c r="E266" s="16">
        <f>Members!E266</f>
        <v>542000</v>
      </c>
      <c r="F266" s="16">
        <f>Members!F266</f>
        <v>0</v>
      </c>
      <c r="G266" s="15">
        <f>MAX(0,Assumptions!$B$10-C266)</f>
        <v>29</v>
      </c>
      <c r="H266" s="17">
        <f>IF(B266="Active",E266*(1+Assumptions!$B$7)^G266,E266)</f>
        <v>2560475.4486351875</v>
      </c>
      <c r="I266" s="17">
        <f>IF(B266="Active",MIN(Assumptions!$B$12,D266+G266),IF(B266="Deferred",MIN(Assumptions!$B$12,D266),D266))</f>
        <v>37.5</v>
      </c>
      <c r="J266" s="17">
        <f>IF(B266="Active",H266*I266*Assumptions!$B$11,IF(B266="Deferred",E266*I266*Assumptions!$B$11*(1+Assumptions!$B$9)^G266,F266))</f>
        <v>1600297.1553969921</v>
      </c>
      <c r="K266" s="11">
        <f>IF(B266="Pensioner",1,VLOOKUP(Assumptions!$B$10,Mortality!$A$2:$F$104,6,FALSE)/VLOOKUP(C266,Mortality!$A$2:$F$104,6,FALSE))</f>
        <v>0.97064661072952085</v>
      </c>
      <c r="L266" s="11">
        <f>VLOOKUP(IF(B266="Pensioner",C266,Assumptions!$B$10),Mortality!$A$2:$E$104,5,FALSE)</f>
        <v>17.296790022132885</v>
      </c>
      <c r="M266" s="11">
        <f>1+Assumptions!$B$13*Assumptions!$B$14*Assumptions!$B$15</f>
        <v>1.3187500000000001</v>
      </c>
      <c r="N266" s="11">
        <f>IF(B266="Pensioner",1,1/(1+Assumptions!$B$6)^G266)</f>
        <v>0.16101316040695074</v>
      </c>
      <c r="O266" s="17">
        <f t="shared" si="4"/>
        <v>5704940.7210010383</v>
      </c>
    </row>
    <row r="267" spans="1:15">
      <c r="A267" s="13" t="str">
        <f>Members!A267</f>
        <v>A0030</v>
      </c>
      <c r="B267" s="13" t="str">
        <f>Members!B267</f>
        <v>Active</v>
      </c>
      <c r="C267" s="13">
        <f>Members!C267</f>
        <v>29</v>
      </c>
      <c r="D267" s="14">
        <f>Members!D267</f>
        <v>1</v>
      </c>
      <c r="E267" s="16">
        <f>Members!E267</f>
        <v>526000</v>
      </c>
      <c r="F267" s="16">
        <f>Members!F267</f>
        <v>0</v>
      </c>
      <c r="G267" s="15">
        <f>MAX(0,Assumptions!$B$10-C267)</f>
        <v>31</v>
      </c>
      <c r="H267" s="17">
        <f>IF(B267="Active",E267*(1+Assumptions!$B$7)^G267,E267)</f>
        <v>2765744.0884690704</v>
      </c>
      <c r="I267" s="17">
        <f>IF(B267="Active",MIN(Assumptions!$B$12,D267+G267),IF(B267="Deferred",MIN(Assumptions!$B$12,D267),D267))</f>
        <v>32</v>
      </c>
      <c r="J267" s="17">
        <f>IF(B267="Active",H267*I267*Assumptions!$B$11,IF(B267="Deferred",E267*I267*Assumptions!$B$11*(1+Assumptions!$B$9)^G267,F267))</f>
        <v>1475063.5138501709</v>
      </c>
      <c r="K267" s="11">
        <f>IF(B267="Pensioner",1,VLOOKUP(Assumptions!$B$10,Mortality!$A$2:$F$104,6,FALSE)/VLOOKUP(C267,Mortality!$A$2:$F$104,6,FALSE))</f>
        <v>0.9700544954739736</v>
      </c>
      <c r="L267" s="11">
        <f>VLOOKUP(IF(B267="Pensioner",C267,Assumptions!$B$10),Mortality!$A$2:$E$104,5,FALSE)</f>
        <v>17.296790022132885</v>
      </c>
      <c r="M267" s="11">
        <f>1+Assumptions!$B$13*Assumptions!$B$14*Assumptions!$B$15</f>
        <v>1.3187500000000001</v>
      </c>
      <c r="N267" s="11">
        <f>IF(B267="Pensioner",1,1/(1+Assumptions!$B$6)^G267)</f>
        <v>0.14195874752095111</v>
      </c>
      <c r="O267" s="17">
        <f t="shared" si="4"/>
        <v>4633370.1691516098</v>
      </c>
    </row>
    <row r="268" spans="1:15">
      <c r="A268" s="13" t="str">
        <f>Members!A268</f>
        <v>P0063</v>
      </c>
      <c r="B268" s="13" t="str">
        <f>Members!B268</f>
        <v>Pensioner</v>
      </c>
      <c r="C268" s="13">
        <f>Members!C268</f>
        <v>74</v>
      </c>
      <c r="D268" s="14">
        <f>Members!D268</f>
        <v>19.399999999999999</v>
      </c>
      <c r="E268" s="16">
        <f>Members!E268</f>
        <v>0</v>
      </c>
      <c r="F268" s="16">
        <f>Members!F268</f>
        <v>471000</v>
      </c>
      <c r="G268" s="15">
        <f>MAX(0,Assumptions!$B$10-C268)</f>
        <v>0</v>
      </c>
      <c r="H268" s="17">
        <f>IF(B268="Active",E268*(1+Assumptions!$B$7)^G268,E268)</f>
        <v>0</v>
      </c>
      <c r="I268" s="17">
        <f>IF(B268="Active",MIN(Assumptions!$B$12,D268+G268),IF(B268="Deferred",MIN(Assumptions!$B$12,D268),D268))</f>
        <v>19.399999999999999</v>
      </c>
      <c r="J268" s="17">
        <f>IF(B268="Active",H268*I268*Assumptions!$B$11,IF(B268="Deferred",E268*I268*Assumptions!$B$11*(1+Assumptions!$B$9)^G268,F268))</f>
        <v>471000</v>
      </c>
      <c r="K268" s="11">
        <f>IF(B268="Pensioner",1,VLOOKUP(Assumptions!$B$10,Mortality!$A$2:$F$104,6,FALSE)/VLOOKUP(C268,Mortality!$A$2:$F$104,6,FALSE))</f>
        <v>1</v>
      </c>
      <c r="L268" s="11">
        <f>VLOOKUP(IF(B268="Pensioner",C268,Assumptions!$B$10),Mortality!$A$2:$E$104,5,FALSE)</f>
        <v>11.124346929912107</v>
      </c>
      <c r="M268" s="11">
        <f>1+Assumptions!$B$13*Assumptions!$B$14*Assumptions!$B$15</f>
        <v>1.3187500000000001</v>
      </c>
      <c r="N268" s="11">
        <f>IF(B268="Pensioner",1,1/(1+Assumptions!$B$6)^G268)</f>
        <v>1</v>
      </c>
      <c r="O268" s="17">
        <f t="shared" si="4"/>
        <v>6909679.5140099702</v>
      </c>
    </row>
    <row r="269" spans="1:15">
      <c r="A269" s="13" t="str">
        <f>Members!A269</f>
        <v>A0443</v>
      </c>
      <c r="B269" s="13" t="str">
        <f>Members!B269</f>
        <v>Active</v>
      </c>
      <c r="C269" s="13">
        <f>Members!C269</f>
        <v>23</v>
      </c>
      <c r="D269" s="14">
        <f>Members!D269</f>
        <v>1</v>
      </c>
      <c r="E269" s="16">
        <f>Members!E269</f>
        <v>540000</v>
      </c>
      <c r="F269" s="16">
        <f>Members!F269</f>
        <v>0</v>
      </c>
      <c r="G269" s="15">
        <f>MAX(0,Assumptions!$B$10-C269)</f>
        <v>37</v>
      </c>
      <c r="H269" s="17">
        <f>IF(B269="Active",E269*(1+Assumptions!$B$7)^G269,E269)</f>
        <v>3915027.0428404785</v>
      </c>
      <c r="I269" s="17">
        <f>IF(B269="Active",MIN(Assumptions!$B$12,D269+G269),IF(B269="Deferred",MIN(Assumptions!$B$12,D269),D269))</f>
        <v>38</v>
      </c>
      <c r="J269" s="17">
        <f>IF(B269="Active",H269*I269*Assumptions!$B$11,IF(B269="Deferred",E269*I269*Assumptions!$B$11*(1+Assumptions!$B$9)^G269,F269))</f>
        <v>2479517.1271323031</v>
      </c>
      <c r="K269" s="11">
        <f>IF(B269="Pensioner",1,VLOOKUP(Assumptions!$B$10,Mortality!$A$2:$F$104,6,FALSE)/VLOOKUP(C269,Mortality!$A$2:$F$104,6,FALSE))</f>
        <v>0.96845927521970809</v>
      </c>
      <c r="L269" s="11">
        <f>VLOOKUP(IF(B269="Pensioner",C269,Assumptions!$B$10),Mortality!$A$2:$E$104,5,FALSE)</f>
        <v>17.296790022132885</v>
      </c>
      <c r="M269" s="11">
        <f>1+Assumptions!$B$13*Assumptions!$B$14*Assumptions!$B$15</f>
        <v>1.3187500000000001</v>
      </c>
      <c r="N269" s="11">
        <f>IF(B269="Pensioner",1,1/(1+Assumptions!$B$6)^G269)</f>
        <v>9.7289173138083412E-2</v>
      </c>
      <c r="O269" s="17">
        <f t="shared" si="4"/>
        <v>5328941.7567692399</v>
      </c>
    </row>
    <row r="270" spans="1:15">
      <c r="A270" s="13" t="str">
        <f>Members!A270</f>
        <v>A0497</v>
      </c>
      <c r="B270" s="13" t="str">
        <f>Members!B270</f>
        <v>Active</v>
      </c>
      <c r="C270" s="13">
        <f>Members!C270</f>
        <v>49</v>
      </c>
      <c r="D270" s="14">
        <f>Members!D270</f>
        <v>14.2</v>
      </c>
      <c r="E270" s="16">
        <f>Members!E270</f>
        <v>1034000</v>
      </c>
      <c r="F270" s="16">
        <f>Members!F270</f>
        <v>0</v>
      </c>
      <c r="G270" s="15">
        <f>MAX(0,Assumptions!$B$10-C270)</f>
        <v>11</v>
      </c>
      <c r="H270" s="17">
        <f>IF(B270="Active",E270*(1+Assumptions!$B$7)^G270,E270)</f>
        <v>1863363.5452841837</v>
      </c>
      <c r="I270" s="17">
        <f>IF(B270="Active",MIN(Assumptions!$B$12,D270+G270),IF(B270="Deferred",MIN(Assumptions!$B$12,D270),D270))</f>
        <v>25.2</v>
      </c>
      <c r="J270" s="17">
        <f>IF(B270="Active",H270*I270*Assumptions!$B$11,IF(B270="Deferred",E270*I270*Assumptions!$B$11*(1+Assumptions!$B$9)^G270,F270))</f>
        <v>782612.6890193572</v>
      </c>
      <c r="K270" s="11">
        <f>IF(B270="Pensioner",1,VLOOKUP(Assumptions!$B$10,Mortality!$A$2:$F$104,6,FALSE)/VLOOKUP(C270,Mortality!$A$2:$F$104,6,FALSE))</f>
        <v>0.98024296623595764</v>
      </c>
      <c r="L270" s="11">
        <f>VLOOKUP(IF(B270="Pensioner",C270,Assumptions!$B$10),Mortality!$A$2:$E$104,5,FALSE)</f>
        <v>17.296790022132885</v>
      </c>
      <c r="M270" s="11">
        <f>1+Assumptions!$B$13*Assumptions!$B$14*Assumptions!$B$15</f>
        <v>1.3187500000000001</v>
      </c>
      <c r="N270" s="11">
        <f>IF(B270="Pensioner",1,1/(1+Assumptions!$B$6)^G270)</f>
        <v>0.50021223992537933</v>
      </c>
      <c r="O270" s="17">
        <f t="shared" si="4"/>
        <v>8753120.7609437816</v>
      </c>
    </row>
    <row r="271" spans="1:15">
      <c r="A271" s="13" t="str">
        <f>Members!A271</f>
        <v>A0128</v>
      </c>
      <c r="B271" s="13" t="str">
        <f>Members!B271</f>
        <v>Active</v>
      </c>
      <c r="C271" s="13">
        <f>Members!C271</f>
        <v>55</v>
      </c>
      <c r="D271" s="14">
        <f>Members!D271</f>
        <v>17.2</v>
      </c>
      <c r="E271" s="16">
        <f>Members!E271</f>
        <v>2189000</v>
      </c>
      <c r="F271" s="16">
        <f>Members!F271</f>
        <v>0</v>
      </c>
      <c r="G271" s="15">
        <f>MAX(0,Assumptions!$B$10-C271)</f>
        <v>5</v>
      </c>
      <c r="H271" s="17">
        <f>IF(B271="Active",E271*(1+Assumptions!$B$7)^G271,E271)</f>
        <v>2860935.4540301212</v>
      </c>
      <c r="I271" s="17">
        <f>IF(B271="Active",MIN(Assumptions!$B$12,D271+G271),IF(B271="Deferred",MIN(Assumptions!$B$12,D271),D271))</f>
        <v>22.2</v>
      </c>
      <c r="J271" s="17">
        <f>IF(B271="Active",H271*I271*Assumptions!$B$11,IF(B271="Deferred",E271*I271*Assumptions!$B$11*(1+Assumptions!$B$9)^G271,F271))</f>
        <v>1058546.1179911448</v>
      </c>
      <c r="K271" s="11">
        <f>IF(B271="Pensioner",1,VLOOKUP(Assumptions!$B$10,Mortality!$A$2:$F$104,6,FALSE)/VLOOKUP(C271,Mortality!$A$2:$F$104,6,FALSE))</f>
        <v>0.98824190874991746</v>
      </c>
      <c r="L271" s="11">
        <f>VLOOKUP(IF(B271="Pensioner",C271,Assumptions!$B$10),Mortality!$A$2:$E$104,5,FALSE)</f>
        <v>17.296790022132885</v>
      </c>
      <c r="M271" s="11">
        <f>1+Assumptions!$B$13*Assumptions!$B$14*Assumptions!$B$15</f>
        <v>1.3187500000000001</v>
      </c>
      <c r="N271" s="11">
        <f>IF(B271="Pensioner",1,1/(1+Assumptions!$B$6)^G271)</f>
        <v>0.72988083652095492</v>
      </c>
      <c r="O271" s="17">
        <f t="shared" si="4"/>
        <v>17416183.748173557</v>
      </c>
    </row>
    <row r="272" spans="1:15">
      <c r="A272" s="13" t="str">
        <f>Members!A272</f>
        <v>P0105</v>
      </c>
      <c r="B272" s="13" t="str">
        <f>Members!B272</f>
        <v>Pensioner</v>
      </c>
      <c r="C272" s="13">
        <f>Members!C272</f>
        <v>65</v>
      </c>
      <c r="D272" s="14">
        <f>Members!D272</f>
        <v>22.2</v>
      </c>
      <c r="E272" s="16">
        <f>Members!E272</f>
        <v>0</v>
      </c>
      <c r="F272" s="16">
        <f>Members!F272</f>
        <v>314000</v>
      </c>
      <c r="G272" s="15">
        <f>MAX(0,Assumptions!$B$10-C272)</f>
        <v>0</v>
      </c>
      <c r="H272" s="17">
        <f>IF(B272="Active",E272*(1+Assumptions!$B$7)^G272,E272)</f>
        <v>0</v>
      </c>
      <c r="I272" s="17">
        <f>IF(B272="Active",MIN(Assumptions!$B$12,D272+G272),IF(B272="Deferred",MIN(Assumptions!$B$12,D272),D272))</f>
        <v>22.2</v>
      </c>
      <c r="J272" s="17">
        <f>IF(B272="Active",H272*I272*Assumptions!$B$11,IF(B272="Deferred",E272*I272*Assumptions!$B$11*(1+Assumptions!$B$9)^G272,F272))</f>
        <v>314000</v>
      </c>
      <c r="K272" s="11">
        <f>IF(B272="Pensioner",1,VLOOKUP(Assumptions!$B$10,Mortality!$A$2:$F$104,6,FALSE)/VLOOKUP(C272,Mortality!$A$2:$F$104,6,FALSE))</f>
        <v>1</v>
      </c>
      <c r="L272" s="11">
        <f>VLOOKUP(IF(B272="Pensioner",C272,Assumptions!$B$10),Mortality!$A$2:$E$104,5,FALSE)</f>
        <v>15.196570962158528</v>
      </c>
      <c r="M272" s="11">
        <f>1+Assumptions!$B$13*Assumptions!$B$14*Assumptions!$B$15</f>
        <v>1.3187500000000001</v>
      </c>
      <c r="N272" s="11">
        <f>IF(B272="Pensioner",1,1/(1+Assumptions!$B$6)^G272)</f>
        <v>1</v>
      </c>
      <c r="O272" s="17">
        <f t="shared" si="4"/>
        <v>6292710.0782928197</v>
      </c>
    </row>
    <row r="273" spans="1:15">
      <c r="A273" s="13" t="str">
        <f>Members!A273</f>
        <v>D0041</v>
      </c>
      <c r="B273" s="13" t="str">
        <f>Members!B273</f>
        <v>Deferred</v>
      </c>
      <c r="C273" s="13">
        <f>Members!C273</f>
        <v>42</v>
      </c>
      <c r="D273" s="14">
        <f>Members!D273</f>
        <v>4.9000000000000004</v>
      </c>
      <c r="E273" s="16">
        <f>Members!E273</f>
        <v>762000</v>
      </c>
      <c r="F273" s="16">
        <f>Members!F273</f>
        <v>0</v>
      </c>
      <c r="G273" s="15">
        <f>MAX(0,Assumptions!$B$10-C273)</f>
        <v>18</v>
      </c>
      <c r="H273" s="17">
        <f>IF(B273="Active",E273*(1+Assumptions!$B$7)^G273,E273)</f>
        <v>762000</v>
      </c>
      <c r="I273" s="17">
        <f>IF(B273="Active",MIN(Assumptions!$B$12,D273+G273),IF(B273="Deferred",MIN(Assumptions!$B$12,D273),D273))</f>
        <v>4.9000000000000004</v>
      </c>
      <c r="J273" s="17">
        <f>IF(B273="Active",H273*I273*Assumptions!$B$11,IF(B273="Deferred",E273*I273*Assumptions!$B$11*(1+Assumptions!$B$9)^G273,F273))</f>
        <v>126066.56175200612</v>
      </c>
      <c r="K273" s="11">
        <f>IF(B273="Pensioner",1,VLOOKUP(Assumptions!$B$10,Mortality!$A$2:$F$104,6,FALSE)/VLOOKUP(C273,Mortality!$A$2:$F$104,6,FALSE))</f>
        <v>0.97507997078383857</v>
      </c>
      <c r="L273" s="11">
        <f>VLOOKUP(IF(B273="Pensioner",C273,Assumptions!$B$10),Mortality!$A$2:$E$104,5,FALSE)</f>
        <v>17.296790022132885</v>
      </c>
      <c r="M273" s="11">
        <f>1+Assumptions!$B$13*Assumptions!$B$14*Assumptions!$B$15</f>
        <v>1.3187500000000001</v>
      </c>
      <c r="N273" s="11">
        <f>IF(B273="Pensioner",1,1/(1+Assumptions!$B$6)^G273)</f>
        <v>0.32188968512839738</v>
      </c>
      <c r="O273" s="17">
        <f t="shared" si="4"/>
        <v>902558.14532115147</v>
      </c>
    </row>
    <row r="274" spans="1:15">
      <c r="A274" s="13" t="str">
        <f>Members!A274</f>
        <v>P0075</v>
      </c>
      <c r="B274" s="13" t="str">
        <f>Members!B274</f>
        <v>Pensioner</v>
      </c>
      <c r="C274" s="13">
        <f>Members!C274</f>
        <v>61</v>
      </c>
      <c r="D274" s="14">
        <f>Members!D274</f>
        <v>28.5</v>
      </c>
      <c r="E274" s="16">
        <f>Members!E274</f>
        <v>0</v>
      </c>
      <c r="F274" s="16">
        <f>Members!F274</f>
        <v>165000</v>
      </c>
      <c r="G274" s="15">
        <f>MAX(0,Assumptions!$B$10-C274)</f>
        <v>0</v>
      </c>
      <c r="H274" s="17">
        <f>IF(B274="Active",E274*(1+Assumptions!$B$7)^G274,E274)</f>
        <v>0</v>
      </c>
      <c r="I274" s="17">
        <f>IF(B274="Active",MIN(Assumptions!$B$12,D274+G274),IF(B274="Deferred",MIN(Assumptions!$B$12,D274),D274))</f>
        <v>28.5</v>
      </c>
      <c r="J274" s="17">
        <f>IF(B274="Active",H274*I274*Assumptions!$B$11,IF(B274="Deferred",E274*I274*Assumptions!$B$11*(1+Assumptions!$B$9)^G274,F274))</f>
        <v>165000</v>
      </c>
      <c r="K274" s="11">
        <f>IF(B274="Pensioner",1,VLOOKUP(Assumptions!$B$10,Mortality!$A$2:$F$104,6,FALSE)/VLOOKUP(C274,Mortality!$A$2:$F$104,6,FALSE))</f>
        <v>1</v>
      </c>
      <c r="L274" s="11">
        <f>VLOOKUP(IF(B274="Pensioner",C274,Assumptions!$B$10),Mortality!$A$2:$E$104,5,FALSE)</f>
        <v>16.889485221588366</v>
      </c>
      <c r="M274" s="11">
        <f>1+Assumptions!$B$13*Assumptions!$B$14*Assumptions!$B$15</f>
        <v>1.3187500000000001</v>
      </c>
      <c r="N274" s="11">
        <f>IF(B274="Pensioner",1,1/(1+Assumptions!$B$6)^G274)</f>
        <v>1</v>
      </c>
      <c r="O274" s="17">
        <f t="shared" si="4"/>
        <v>3675046.424934994</v>
      </c>
    </row>
    <row r="275" spans="1:15">
      <c r="A275" s="13" t="str">
        <f>Members!A275</f>
        <v>P0104</v>
      </c>
      <c r="B275" s="13" t="str">
        <f>Members!B275</f>
        <v>Pensioner</v>
      </c>
      <c r="C275" s="13">
        <f>Members!C275</f>
        <v>67</v>
      </c>
      <c r="D275" s="14">
        <f>Members!D275</f>
        <v>33.6</v>
      </c>
      <c r="E275" s="16">
        <f>Members!E275</f>
        <v>0</v>
      </c>
      <c r="F275" s="16">
        <f>Members!F275</f>
        <v>298000</v>
      </c>
      <c r="G275" s="15">
        <f>MAX(0,Assumptions!$B$10-C275)</f>
        <v>0</v>
      </c>
      <c r="H275" s="17">
        <f>IF(B275="Active",E275*(1+Assumptions!$B$7)^G275,E275)</f>
        <v>0</v>
      </c>
      <c r="I275" s="17">
        <f>IF(B275="Active",MIN(Assumptions!$B$12,D275+G275),IF(B275="Deferred",MIN(Assumptions!$B$12,D275),D275))</f>
        <v>33.6</v>
      </c>
      <c r="J275" s="17">
        <f>IF(B275="Active",H275*I275*Assumptions!$B$11,IF(B275="Deferred",E275*I275*Assumptions!$B$11*(1+Assumptions!$B$9)^G275,F275))</f>
        <v>298000</v>
      </c>
      <c r="K275" s="11">
        <f>IF(B275="Pensioner",1,VLOOKUP(Assumptions!$B$10,Mortality!$A$2:$F$104,6,FALSE)/VLOOKUP(C275,Mortality!$A$2:$F$104,6,FALSE))</f>
        <v>1</v>
      </c>
      <c r="L275" s="11">
        <f>VLOOKUP(IF(B275="Pensioner",C275,Assumptions!$B$10),Mortality!$A$2:$E$104,5,FALSE)</f>
        <v>14.316480461373482</v>
      </c>
      <c r="M275" s="11">
        <f>1+Assumptions!$B$13*Assumptions!$B$14*Assumptions!$B$15</f>
        <v>1.3187500000000001</v>
      </c>
      <c r="N275" s="11">
        <f>IF(B275="Pensioner",1,1/(1+Assumptions!$B$6)^G275)</f>
        <v>1</v>
      </c>
      <c r="O275" s="17">
        <f t="shared" si="4"/>
        <v>5626197.8653140115</v>
      </c>
    </row>
    <row r="276" spans="1:15">
      <c r="A276" s="13" t="str">
        <f>Members!A276</f>
        <v>A0336</v>
      </c>
      <c r="B276" s="13" t="str">
        <f>Members!B276</f>
        <v>Active</v>
      </c>
      <c r="C276" s="13">
        <f>Members!C276</f>
        <v>24</v>
      </c>
      <c r="D276" s="14">
        <f>Members!D276</f>
        <v>1.6</v>
      </c>
      <c r="E276" s="16">
        <f>Members!E276</f>
        <v>463000</v>
      </c>
      <c r="F276" s="16">
        <f>Members!F276</f>
        <v>0</v>
      </c>
      <c r="G276" s="15">
        <f>MAX(0,Assumptions!$B$10-C276)</f>
        <v>36</v>
      </c>
      <c r="H276" s="17">
        <f>IF(B276="Active",E276*(1+Assumptions!$B$7)^G276,E276)</f>
        <v>3181775.5324471504</v>
      </c>
      <c r="I276" s="17">
        <f>IF(B276="Active",MIN(Assumptions!$B$12,D276+G276),IF(B276="Deferred",MIN(Assumptions!$B$12,D276),D276))</f>
        <v>37.6</v>
      </c>
      <c r="J276" s="17">
        <f>IF(B276="Active",H276*I276*Assumptions!$B$11,IF(B276="Deferred",E276*I276*Assumptions!$B$11*(1+Assumptions!$B$9)^G276,F276))</f>
        <v>1993912.6670002143</v>
      </c>
      <c r="K276" s="11">
        <f>IF(B276="Pensioner",1,VLOOKUP(Assumptions!$B$10,Mortality!$A$2:$F$104,6,FALSE)/VLOOKUP(C276,Mortality!$A$2:$F$104,6,FALSE))</f>
        <v>0.96871086700607645</v>
      </c>
      <c r="L276" s="11">
        <f>VLOOKUP(IF(B276="Pensioner",C276,Assumptions!$B$10),Mortality!$A$2:$E$104,5,FALSE)</f>
        <v>17.296790022132885</v>
      </c>
      <c r="M276" s="11">
        <f>1+Assumptions!$B$13*Assumptions!$B$14*Assumptions!$B$15</f>
        <v>1.3187500000000001</v>
      </c>
      <c r="N276" s="11">
        <f>IF(B276="Pensioner",1,1/(1+Assumptions!$B$6)^G276)</f>
        <v>0.10361296939205883</v>
      </c>
      <c r="O276" s="17">
        <f t="shared" si="4"/>
        <v>4565017.1143412217</v>
      </c>
    </row>
    <row r="277" spans="1:15">
      <c r="A277" s="13" t="str">
        <f>Members!A277</f>
        <v>A0385</v>
      </c>
      <c r="B277" s="13" t="str">
        <f>Members!B277</f>
        <v>Active</v>
      </c>
      <c r="C277" s="13">
        <f>Members!C277</f>
        <v>24</v>
      </c>
      <c r="D277" s="14">
        <f>Members!D277</f>
        <v>1</v>
      </c>
      <c r="E277" s="16">
        <f>Members!E277</f>
        <v>549000</v>
      </c>
      <c r="F277" s="16">
        <f>Members!F277</f>
        <v>0</v>
      </c>
      <c r="G277" s="15">
        <f>MAX(0,Assumptions!$B$10-C277)</f>
        <v>36</v>
      </c>
      <c r="H277" s="17">
        <f>IF(B277="Active",E277*(1+Assumptions!$B$7)^G277,E277)</f>
        <v>3772774.875407096</v>
      </c>
      <c r="I277" s="17">
        <f>IF(B277="Active",MIN(Assumptions!$B$12,D277+G277),IF(B277="Deferred",MIN(Assumptions!$B$12,D277),D277))</f>
        <v>37</v>
      </c>
      <c r="J277" s="17">
        <f>IF(B277="Active",H277*I277*Assumptions!$B$11,IF(B277="Deferred",E277*I277*Assumptions!$B$11*(1+Assumptions!$B$9)^G277,F277))</f>
        <v>2326544.5065010423</v>
      </c>
      <c r="K277" s="11">
        <f>IF(B277="Pensioner",1,VLOOKUP(Assumptions!$B$10,Mortality!$A$2:$F$104,6,FALSE)/VLOOKUP(C277,Mortality!$A$2:$F$104,6,FALSE))</f>
        <v>0.96871086700607645</v>
      </c>
      <c r="L277" s="11">
        <f>VLOOKUP(IF(B277="Pensioner",C277,Assumptions!$B$10),Mortality!$A$2:$E$104,5,FALSE)</f>
        <v>17.296790022132885</v>
      </c>
      <c r="M277" s="11">
        <f>1+Assumptions!$B$13*Assumptions!$B$14*Assumptions!$B$15</f>
        <v>1.3187500000000001</v>
      </c>
      <c r="N277" s="11">
        <f>IF(B277="Pensioner",1,1/(1+Assumptions!$B$6)^G277)</f>
        <v>0.10361296939205883</v>
      </c>
      <c r="O277" s="17">
        <f t="shared" si="4"/>
        <v>5326570.0475399354</v>
      </c>
    </row>
    <row r="278" spans="1:15">
      <c r="A278" s="13" t="str">
        <f>Members!A278</f>
        <v>A0435</v>
      </c>
      <c r="B278" s="13" t="str">
        <f>Members!B278</f>
        <v>Active</v>
      </c>
      <c r="C278" s="13">
        <f>Members!C278</f>
        <v>22</v>
      </c>
      <c r="D278" s="14">
        <f>Members!D278</f>
        <v>1</v>
      </c>
      <c r="E278" s="16">
        <f>Members!E278</f>
        <v>388000</v>
      </c>
      <c r="F278" s="16">
        <f>Members!F278</f>
        <v>0</v>
      </c>
      <c r="G278" s="15">
        <f>MAX(0,Assumptions!$B$10-C278)</f>
        <v>38</v>
      </c>
      <c r="H278" s="17">
        <f>IF(B278="Active",E278*(1+Assumptions!$B$7)^G278,E278)</f>
        <v>2967735.4994746689</v>
      </c>
      <c r="I278" s="17">
        <f>IF(B278="Active",MIN(Assumptions!$B$12,D278+G278),IF(B278="Deferred",MIN(Assumptions!$B$12,D278),D278))</f>
        <v>39</v>
      </c>
      <c r="J278" s="17">
        <f>IF(B278="Active",H278*I278*Assumptions!$B$11,IF(B278="Deferred",E278*I278*Assumptions!$B$11*(1+Assumptions!$B$9)^G278,F278))</f>
        <v>1929028.0746585347</v>
      </c>
      <c r="K278" s="11">
        <f>IF(B278="Pensioner",1,VLOOKUP(Assumptions!$B$10,Mortality!$A$2:$F$104,6,FALSE)/VLOOKUP(C278,Mortality!$A$2:$F$104,6,FALSE))</f>
        <v>0.9682119922904866</v>
      </c>
      <c r="L278" s="11">
        <f>VLOOKUP(IF(B278="Pensioner",C278,Assumptions!$B$10),Mortality!$A$2:$E$104,5,FALSE)</f>
        <v>17.296790022132885</v>
      </c>
      <c r="M278" s="11">
        <f>1+Assumptions!$B$13*Assumptions!$B$14*Assumptions!$B$15</f>
        <v>1.3187500000000001</v>
      </c>
      <c r="N278" s="11">
        <f>IF(B278="Pensioner",1,1/(1+Assumptions!$B$6)^G278)</f>
        <v>9.1351336279890546E-2</v>
      </c>
      <c r="O278" s="17">
        <f t="shared" si="4"/>
        <v>3891812.389303694</v>
      </c>
    </row>
    <row r="279" spans="1:15">
      <c r="A279" s="13" t="str">
        <f>Members!A279</f>
        <v>P0223</v>
      </c>
      <c r="B279" s="13" t="str">
        <f>Members!B279</f>
        <v>Pensioner</v>
      </c>
      <c r="C279" s="13">
        <f>Members!C279</f>
        <v>79</v>
      </c>
      <c r="D279" s="14">
        <f>Members!D279</f>
        <v>22.9</v>
      </c>
      <c r="E279" s="16">
        <f>Members!E279</f>
        <v>0</v>
      </c>
      <c r="F279" s="16">
        <f>Members!F279</f>
        <v>369000</v>
      </c>
      <c r="G279" s="15">
        <f>MAX(0,Assumptions!$B$10-C279)</f>
        <v>0</v>
      </c>
      <c r="H279" s="17">
        <f>IF(B279="Active",E279*(1+Assumptions!$B$7)^G279,E279)</f>
        <v>0</v>
      </c>
      <c r="I279" s="17">
        <f>IF(B279="Active",MIN(Assumptions!$B$12,D279+G279),IF(B279="Deferred",MIN(Assumptions!$B$12,D279),D279))</f>
        <v>22.9</v>
      </c>
      <c r="J279" s="17">
        <f>IF(B279="Active",H279*I279*Assumptions!$B$11,IF(B279="Deferred",E279*I279*Assumptions!$B$11*(1+Assumptions!$B$9)^G279,F279))</f>
        <v>369000</v>
      </c>
      <c r="K279" s="11">
        <f>IF(B279="Pensioner",1,VLOOKUP(Assumptions!$B$10,Mortality!$A$2:$F$104,6,FALSE)/VLOOKUP(C279,Mortality!$A$2:$F$104,6,FALSE))</f>
        <v>1</v>
      </c>
      <c r="L279" s="11">
        <f>VLOOKUP(IF(B279="Pensioner",C279,Assumptions!$B$10),Mortality!$A$2:$E$104,5,FALSE)</f>
        <v>8.8309325629147608</v>
      </c>
      <c r="M279" s="11">
        <f>1+Assumptions!$B$13*Assumptions!$B$14*Assumptions!$B$15</f>
        <v>1.3187500000000001</v>
      </c>
      <c r="N279" s="11">
        <f>IF(B279="Pensioner",1,1/(1+Assumptions!$B$6)^G279)</f>
        <v>1</v>
      </c>
      <c r="O279" s="17">
        <f t="shared" si="4"/>
        <v>4297297.3650998771</v>
      </c>
    </row>
    <row r="280" spans="1:15">
      <c r="A280" s="13" t="str">
        <f>Members!A280</f>
        <v>A0564</v>
      </c>
      <c r="B280" s="13" t="str">
        <f>Members!B280</f>
        <v>Active</v>
      </c>
      <c r="C280" s="13">
        <f>Members!C280</f>
        <v>57</v>
      </c>
      <c r="D280" s="14">
        <f>Members!D280</f>
        <v>26</v>
      </c>
      <c r="E280" s="16">
        <f>Members!E280</f>
        <v>2256000</v>
      </c>
      <c r="F280" s="16">
        <f>Members!F280</f>
        <v>0</v>
      </c>
      <c r="G280" s="15">
        <f>MAX(0,Assumptions!$B$10-C280)</f>
        <v>3</v>
      </c>
      <c r="H280" s="17">
        <f>IF(B280="Active",E280*(1+Assumptions!$B$7)^G280,E280)</f>
        <v>2649088.5419999994</v>
      </c>
      <c r="I280" s="17">
        <f>IF(B280="Active",MIN(Assumptions!$B$12,D280+G280),IF(B280="Deferred",MIN(Assumptions!$B$12,D280),D280))</f>
        <v>29</v>
      </c>
      <c r="J280" s="17">
        <f>IF(B280="Active",H280*I280*Assumptions!$B$11,IF(B280="Deferred",E280*I280*Assumptions!$B$11*(1+Assumptions!$B$9)^G280,F280))</f>
        <v>1280392.7952999996</v>
      </c>
      <c r="K280" s="11">
        <f>IF(B280="Pensioner",1,VLOOKUP(Assumptions!$B$10,Mortality!$A$2:$F$104,6,FALSE)/VLOOKUP(C280,Mortality!$A$2:$F$104,6,FALSE))</f>
        <v>0.99220038929214172</v>
      </c>
      <c r="L280" s="11">
        <f>VLOOKUP(IF(B280="Pensioner",C280,Assumptions!$B$10),Mortality!$A$2:$E$104,5,FALSE)</f>
        <v>17.296790022132885</v>
      </c>
      <c r="M280" s="11">
        <f>1+Assumptions!$B$13*Assumptions!$B$14*Assumptions!$B$15</f>
        <v>1.3187500000000001</v>
      </c>
      <c r="N280" s="11">
        <f>IF(B280="Pensioner",1,1/(1+Assumptions!$B$6)^G280)</f>
        <v>0.82784909180297994</v>
      </c>
      <c r="O280" s="17">
        <f t="shared" si="4"/>
        <v>23989532.097893003</v>
      </c>
    </row>
    <row r="281" spans="1:15">
      <c r="A281" s="13" t="str">
        <f>Members!A281</f>
        <v>A0436</v>
      </c>
      <c r="B281" s="13" t="str">
        <f>Members!B281</f>
        <v>Active</v>
      </c>
      <c r="C281" s="13">
        <f>Members!C281</f>
        <v>32</v>
      </c>
      <c r="D281" s="14">
        <f>Members!D281</f>
        <v>1.9</v>
      </c>
      <c r="E281" s="16">
        <f>Members!E281</f>
        <v>574000</v>
      </c>
      <c r="F281" s="16">
        <f>Members!F281</f>
        <v>0</v>
      </c>
      <c r="G281" s="15">
        <f>MAX(0,Assumptions!$B$10-C281)</f>
        <v>28</v>
      </c>
      <c r="H281" s="17">
        <f>IF(B281="Active",E281*(1+Assumptions!$B$7)^G281,E281)</f>
        <v>2570281.9249691293</v>
      </c>
      <c r="I281" s="17">
        <f>IF(B281="Active",MIN(Assumptions!$B$12,D281+G281),IF(B281="Deferred",MIN(Assumptions!$B$12,D281),D281))</f>
        <v>29.9</v>
      </c>
      <c r="J281" s="17">
        <f>IF(B281="Active",H281*I281*Assumptions!$B$11,IF(B281="Deferred",E281*I281*Assumptions!$B$11*(1+Assumptions!$B$9)^G281,F281))</f>
        <v>1280857.1592762829</v>
      </c>
      <c r="K281" s="11">
        <f>IF(B281="Pensioner",1,VLOOKUP(Assumptions!$B$10,Mortality!$A$2:$F$104,6,FALSE)/VLOOKUP(C281,Mortality!$A$2:$F$104,6,FALSE))</f>
        <v>0.97095846876649572</v>
      </c>
      <c r="L281" s="11">
        <f>VLOOKUP(IF(B281="Pensioner",C281,Assumptions!$B$10),Mortality!$A$2:$E$104,5,FALSE)</f>
        <v>17.296790022132885</v>
      </c>
      <c r="M281" s="11">
        <f>1+Assumptions!$B$13*Assumptions!$B$14*Assumptions!$B$15</f>
        <v>1.3187500000000001</v>
      </c>
      <c r="N281" s="11">
        <f>IF(B281="Pensioner",1,1/(1+Assumptions!$B$6)^G281)</f>
        <v>0.17147901583340255</v>
      </c>
      <c r="O281" s="17">
        <f t="shared" si="4"/>
        <v>4864523.685332926</v>
      </c>
    </row>
    <row r="282" spans="1:15">
      <c r="A282" s="13" t="str">
        <f>Members!A282</f>
        <v>A0325</v>
      </c>
      <c r="B282" s="13" t="str">
        <f>Members!B282</f>
        <v>Active</v>
      </c>
      <c r="C282" s="13">
        <f>Members!C282</f>
        <v>55</v>
      </c>
      <c r="D282" s="14">
        <f>Members!D282</f>
        <v>29</v>
      </c>
      <c r="E282" s="16">
        <f>Members!E282</f>
        <v>1669000</v>
      </c>
      <c r="F282" s="16">
        <f>Members!F282</f>
        <v>0</v>
      </c>
      <c r="G282" s="15">
        <f>MAX(0,Assumptions!$B$10-C282)</f>
        <v>5</v>
      </c>
      <c r="H282" s="17">
        <f>IF(B282="Active",E282*(1+Assumptions!$B$7)^G282,E282)</f>
        <v>2181316.2506972463</v>
      </c>
      <c r="I282" s="17">
        <f>IF(B282="Active",MIN(Assumptions!$B$12,D282+G282),IF(B282="Deferred",MIN(Assumptions!$B$12,D282),D282))</f>
        <v>34</v>
      </c>
      <c r="J282" s="17">
        <f>IF(B282="Active",H282*I282*Assumptions!$B$11,IF(B282="Deferred",E282*I282*Assumptions!$B$11*(1+Assumptions!$B$9)^G282,F282))</f>
        <v>1236079.2087284396</v>
      </c>
      <c r="K282" s="11">
        <f>IF(B282="Pensioner",1,VLOOKUP(Assumptions!$B$10,Mortality!$A$2:$F$104,6,FALSE)/VLOOKUP(C282,Mortality!$A$2:$F$104,6,FALSE))</f>
        <v>0.98824190874991746</v>
      </c>
      <c r="L282" s="11">
        <f>VLOOKUP(IF(B282="Pensioner",C282,Assumptions!$B$10),Mortality!$A$2:$E$104,5,FALSE)</f>
        <v>17.296790022132885</v>
      </c>
      <c r="M282" s="11">
        <f>1+Assumptions!$B$13*Assumptions!$B$14*Assumptions!$B$15</f>
        <v>1.3187500000000001</v>
      </c>
      <c r="N282" s="11">
        <f>IF(B282="Pensioner",1,1/(1+Assumptions!$B$6)^G282)</f>
        <v>0.72988083652095492</v>
      </c>
      <c r="O282" s="17">
        <f t="shared" si="4"/>
        <v>20337123.022439323</v>
      </c>
    </row>
    <row r="283" spans="1:15">
      <c r="A283" s="13" t="str">
        <f>Members!A283</f>
        <v>P0053</v>
      </c>
      <c r="B283" s="13" t="str">
        <f>Members!B283</f>
        <v>Pensioner</v>
      </c>
      <c r="C283" s="13">
        <f>Members!C283</f>
        <v>73</v>
      </c>
      <c r="D283" s="14">
        <f>Members!D283</f>
        <v>30.8</v>
      </c>
      <c r="E283" s="16">
        <f>Members!E283</f>
        <v>0</v>
      </c>
      <c r="F283" s="16">
        <f>Members!F283</f>
        <v>545000</v>
      </c>
      <c r="G283" s="15">
        <f>MAX(0,Assumptions!$B$10-C283)</f>
        <v>0</v>
      </c>
      <c r="H283" s="17">
        <f>IF(B283="Active",E283*(1+Assumptions!$B$7)^G283,E283)</f>
        <v>0</v>
      </c>
      <c r="I283" s="17">
        <f>IF(B283="Active",MIN(Assumptions!$B$12,D283+G283),IF(B283="Deferred",MIN(Assumptions!$B$12,D283),D283))</f>
        <v>30.8</v>
      </c>
      <c r="J283" s="17">
        <f>IF(B283="Active",H283*I283*Assumptions!$B$11,IF(B283="Deferred",E283*I283*Assumptions!$B$11*(1+Assumptions!$B$9)^G283,F283))</f>
        <v>545000</v>
      </c>
      <c r="K283" s="11">
        <f>IF(B283="Pensioner",1,VLOOKUP(Assumptions!$B$10,Mortality!$A$2:$F$104,6,FALSE)/VLOOKUP(C283,Mortality!$A$2:$F$104,6,FALSE))</f>
        <v>1</v>
      </c>
      <c r="L283" s="11">
        <f>VLOOKUP(IF(B283="Pensioner",C283,Assumptions!$B$10),Mortality!$A$2:$E$104,5,FALSE)</f>
        <v>11.586176267789867</v>
      </c>
      <c r="M283" s="11">
        <f>1+Assumptions!$B$13*Assumptions!$B$14*Assumptions!$B$15</f>
        <v>1.3187500000000001</v>
      </c>
      <c r="N283" s="11">
        <f>IF(B283="Pensioner",1,1/(1+Assumptions!$B$6)^G283)</f>
        <v>1</v>
      </c>
      <c r="O283" s="17">
        <f t="shared" si="4"/>
        <v>8327202.1244655987</v>
      </c>
    </row>
    <row r="284" spans="1:15">
      <c r="A284" s="13" t="str">
        <f>Members!A284</f>
        <v>A0428</v>
      </c>
      <c r="B284" s="13" t="str">
        <f>Members!B284</f>
        <v>Active</v>
      </c>
      <c r="C284" s="13">
        <f>Members!C284</f>
        <v>53</v>
      </c>
      <c r="D284" s="14">
        <f>Members!D284</f>
        <v>2</v>
      </c>
      <c r="E284" s="16">
        <f>Members!E284</f>
        <v>1967000</v>
      </c>
      <c r="F284" s="16">
        <f>Members!F284</f>
        <v>0</v>
      </c>
      <c r="G284" s="15">
        <f>MAX(0,Assumptions!$B$10-C284)</f>
        <v>7</v>
      </c>
      <c r="H284" s="17">
        <f>IF(B284="Active",E284*(1+Assumptions!$B$7)^G284,E284)</f>
        <v>2861353.909950173</v>
      </c>
      <c r="I284" s="17">
        <f>IF(B284="Active",MIN(Assumptions!$B$12,D284+G284),IF(B284="Deferred",MIN(Assumptions!$B$12,D284),D284))</f>
        <v>9</v>
      </c>
      <c r="J284" s="17">
        <f>IF(B284="Active",H284*I284*Assumptions!$B$11,IF(B284="Deferred",E284*I284*Assumptions!$B$11*(1+Assumptions!$B$9)^G284,F284))</f>
        <v>429203.08649252594</v>
      </c>
      <c r="K284" s="11">
        <f>IF(B284="Pensioner",1,VLOOKUP(Assumptions!$B$10,Mortality!$A$2:$F$104,6,FALSE)/VLOOKUP(C284,Mortality!$A$2:$F$104,6,FALSE))</f>
        <v>0.98503000174313171</v>
      </c>
      <c r="L284" s="11">
        <f>VLOOKUP(IF(B284="Pensioner",C284,Assumptions!$B$10),Mortality!$A$2:$E$104,5,FALSE)</f>
        <v>17.296790022132885</v>
      </c>
      <c r="M284" s="11">
        <f>1+Assumptions!$B$13*Assumptions!$B$14*Assumptions!$B$15</f>
        <v>1.3187500000000001</v>
      </c>
      <c r="N284" s="11">
        <f>IF(B284="Pensioner",1,1/(1+Assumptions!$B$6)^G284)</f>
        <v>0.64350621483475945</v>
      </c>
      <c r="O284" s="17">
        <f t="shared" si="4"/>
        <v>6205732.141702204</v>
      </c>
    </row>
    <row r="285" spans="1:15">
      <c r="A285" s="13" t="str">
        <f>Members!A285</f>
        <v>A0522</v>
      </c>
      <c r="B285" s="13" t="str">
        <f>Members!B285</f>
        <v>Active</v>
      </c>
      <c r="C285" s="13">
        <f>Members!C285</f>
        <v>39</v>
      </c>
      <c r="D285" s="14">
        <f>Members!D285</f>
        <v>7</v>
      </c>
      <c r="E285" s="16">
        <f>Members!E285</f>
        <v>1094000</v>
      </c>
      <c r="F285" s="16">
        <f>Members!F285</f>
        <v>0</v>
      </c>
      <c r="G285" s="15">
        <f>MAX(0,Assumptions!$B$10-C285)</f>
        <v>21</v>
      </c>
      <c r="H285" s="17">
        <f>IF(B285="Active",E285*(1+Assumptions!$B$7)^G285,E285)</f>
        <v>3367588.1629305216</v>
      </c>
      <c r="I285" s="17">
        <f>IF(B285="Active",MIN(Assumptions!$B$12,D285+G285),IF(B285="Deferred",MIN(Assumptions!$B$12,D285),D285))</f>
        <v>28</v>
      </c>
      <c r="J285" s="17">
        <f>IF(B285="Active",H285*I285*Assumptions!$B$11,IF(B285="Deferred",E285*I285*Assumptions!$B$11*(1+Assumptions!$B$9)^G285,F285))</f>
        <v>1571541.1427009101</v>
      </c>
      <c r="K285" s="11">
        <f>IF(B285="Pensioner",1,VLOOKUP(Assumptions!$B$10,Mortality!$A$2:$F$104,6,FALSE)/VLOOKUP(C285,Mortality!$A$2:$F$104,6,FALSE))</f>
        <v>0.97358574177887802</v>
      </c>
      <c r="L285" s="11">
        <f>VLOOKUP(IF(B285="Pensioner",C285,Assumptions!$B$10),Mortality!$A$2:$E$104,5,FALSE)</f>
        <v>17.296790022132885</v>
      </c>
      <c r="M285" s="11">
        <f>1+Assumptions!$B$13*Assumptions!$B$14*Assumptions!$B$15</f>
        <v>1.3187500000000001</v>
      </c>
      <c r="N285" s="11">
        <f>IF(B285="Pensioner",1,1/(1+Assumptions!$B$6)^G285)</f>
        <v>0.26647608349429097</v>
      </c>
      <c r="O285" s="17">
        <f t="shared" si="4"/>
        <v>9300069.260225229</v>
      </c>
    </row>
    <row r="286" spans="1:15">
      <c r="A286" s="13" t="str">
        <f>Members!A286</f>
        <v>A0119</v>
      </c>
      <c r="B286" s="13" t="str">
        <f>Members!B286</f>
        <v>Active</v>
      </c>
      <c r="C286" s="13">
        <f>Members!C286</f>
        <v>33</v>
      </c>
      <c r="D286" s="14">
        <f>Members!D286</f>
        <v>1.1000000000000001</v>
      </c>
      <c r="E286" s="16">
        <f>Members!E286</f>
        <v>839000</v>
      </c>
      <c r="F286" s="16">
        <f>Members!F286</f>
        <v>0</v>
      </c>
      <c r="G286" s="15">
        <f>MAX(0,Assumptions!$B$10-C286)</f>
        <v>27</v>
      </c>
      <c r="H286" s="17">
        <f>IF(B286="Active",E286*(1+Assumptions!$B$7)^G286,E286)</f>
        <v>3561052.4547931692</v>
      </c>
      <c r="I286" s="17">
        <f>IF(B286="Active",MIN(Assumptions!$B$12,D286+G286),IF(B286="Deferred",MIN(Assumptions!$B$12,D286),D286))</f>
        <v>28.1</v>
      </c>
      <c r="J286" s="17">
        <f>IF(B286="Active",H286*I286*Assumptions!$B$11,IF(B286="Deferred",E286*I286*Assumptions!$B$11*(1+Assumptions!$B$9)^G286,F286))</f>
        <v>1667759.5663281344</v>
      </c>
      <c r="K286" s="11">
        <f>IF(B286="Pensioner",1,VLOOKUP(Assumptions!$B$10,Mortality!$A$2:$F$104,6,FALSE)/VLOOKUP(C286,Mortality!$A$2:$F$104,6,FALSE))</f>
        <v>0.9712826176321353</v>
      </c>
      <c r="L286" s="11">
        <f>VLOOKUP(IF(B286="Pensioner",C286,Assumptions!$B$10),Mortality!$A$2:$E$104,5,FALSE)</f>
        <v>17.296790022132885</v>
      </c>
      <c r="M286" s="11">
        <f>1+Assumptions!$B$13*Assumptions!$B$14*Assumptions!$B$15</f>
        <v>1.3187500000000001</v>
      </c>
      <c r="N286" s="11">
        <f>IF(B286="Pensioner",1,1/(1+Assumptions!$B$6)^G286)</f>
        <v>0.18262515186257369</v>
      </c>
      <c r="O286" s="17">
        <f t="shared" si="4"/>
        <v>6747884.3846585453</v>
      </c>
    </row>
    <row r="287" spans="1:15">
      <c r="A287" s="13" t="str">
        <f>Members!A287</f>
        <v>D0090</v>
      </c>
      <c r="B287" s="13" t="str">
        <f>Members!B287</f>
        <v>Deferred</v>
      </c>
      <c r="C287" s="13">
        <f>Members!C287</f>
        <v>55</v>
      </c>
      <c r="D287" s="14">
        <f>Members!D287</f>
        <v>11.3</v>
      </c>
      <c r="E287" s="16">
        <f>Members!E287</f>
        <v>1286000</v>
      </c>
      <c r="F287" s="16">
        <f>Members!F287</f>
        <v>0</v>
      </c>
      <c r="G287" s="15">
        <f>MAX(0,Assumptions!$B$10-C287)</f>
        <v>5</v>
      </c>
      <c r="H287" s="17">
        <f>IF(B287="Active",E287*(1+Assumptions!$B$7)^G287,E287)</f>
        <v>1286000</v>
      </c>
      <c r="I287" s="17">
        <f>IF(B287="Active",MIN(Assumptions!$B$12,D287+G287),IF(B287="Deferred",MIN(Assumptions!$B$12,D287),D287))</f>
        <v>11.3</v>
      </c>
      <c r="J287" s="17">
        <f>IF(B287="Active",H287*I287*Assumptions!$B$11,IF(B287="Deferred",E287*I287*Assumptions!$B$11*(1+Assumptions!$B$9)^G287,F287))</f>
        <v>294669.27745160542</v>
      </c>
      <c r="K287" s="11">
        <f>IF(B287="Pensioner",1,VLOOKUP(Assumptions!$B$10,Mortality!$A$2:$F$104,6,FALSE)/VLOOKUP(C287,Mortality!$A$2:$F$104,6,FALSE))</f>
        <v>0.98824190874991746</v>
      </c>
      <c r="L287" s="11">
        <f>VLOOKUP(IF(B287="Pensioner",C287,Assumptions!$B$10),Mortality!$A$2:$E$104,5,FALSE)</f>
        <v>17.296790022132885</v>
      </c>
      <c r="M287" s="11">
        <f>1+Assumptions!$B$13*Assumptions!$B$14*Assumptions!$B$15</f>
        <v>1.3187500000000001</v>
      </c>
      <c r="N287" s="11">
        <f>IF(B287="Pensioner",1,1/(1+Assumptions!$B$6)^G287)</f>
        <v>0.72988083652095492</v>
      </c>
      <c r="O287" s="17">
        <f t="shared" si="4"/>
        <v>4848172.5961812343</v>
      </c>
    </row>
    <row r="288" spans="1:15">
      <c r="A288" s="13" t="str">
        <f>Members!A288</f>
        <v>A0538</v>
      </c>
      <c r="B288" s="13" t="str">
        <f>Members!B288</f>
        <v>Active</v>
      </c>
      <c r="C288" s="13">
        <f>Members!C288</f>
        <v>23</v>
      </c>
      <c r="D288" s="14">
        <f>Members!D288</f>
        <v>1</v>
      </c>
      <c r="E288" s="16">
        <f>Members!E288</f>
        <v>547000</v>
      </c>
      <c r="F288" s="16">
        <f>Members!F288</f>
        <v>0</v>
      </c>
      <c r="G288" s="15">
        <f>MAX(0,Assumptions!$B$10-C288)</f>
        <v>37</v>
      </c>
      <c r="H288" s="17">
        <f>IF(B288="Active",E288*(1+Assumptions!$B$7)^G288,E288)</f>
        <v>3965777.3933958178</v>
      </c>
      <c r="I288" s="17">
        <f>IF(B288="Active",MIN(Assumptions!$B$12,D288+G288),IF(B288="Deferred",MIN(Assumptions!$B$12,D288),D288))</f>
        <v>38</v>
      </c>
      <c r="J288" s="17">
        <f>IF(B288="Active",H288*I288*Assumptions!$B$11,IF(B288="Deferred",E288*I288*Assumptions!$B$11*(1+Assumptions!$B$9)^G288,F288))</f>
        <v>2511659.0158173512</v>
      </c>
      <c r="K288" s="11">
        <f>IF(B288="Pensioner",1,VLOOKUP(Assumptions!$B$10,Mortality!$A$2:$F$104,6,FALSE)/VLOOKUP(C288,Mortality!$A$2:$F$104,6,FALSE))</f>
        <v>0.96845927521970809</v>
      </c>
      <c r="L288" s="11">
        <f>VLOOKUP(IF(B288="Pensioner",C288,Assumptions!$B$10),Mortality!$A$2:$E$104,5,FALSE)</f>
        <v>17.296790022132885</v>
      </c>
      <c r="M288" s="11">
        <f>1+Assumptions!$B$13*Assumptions!$B$14*Assumptions!$B$15</f>
        <v>1.3187500000000001</v>
      </c>
      <c r="N288" s="11">
        <f>IF(B288="Pensioner",1,1/(1+Assumptions!$B$6)^G288)</f>
        <v>9.7289173138083412E-2</v>
      </c>
      <c r="O288" s="17">
        <f t="shared" si="4"/>
        <v>5398020.6313940268</v>
      </c>
    </row>
    <row r="289" spans="1:15">
      <c r="A289" s="13" t="str">
        <f>Members!A289</f>
        <v>P0186</v>
      </c>
      <c r="B289" s="13" t="str">
        <f>Members!B289</f>
        <v>Pensioner</v>
      </c>
      <c r="C289" s="13">
        <f>Members!C289</f>
        <v>89</v>
      </c>
      <c r="D289" s="14">
        <f>Members!D289</f>
        <v>22.8</v>
      </c>
      <c r="E289" s="16">
        <f>Members!E289</f>
        <v>0</v>
      </c>
      <c r="F289" s="16">
        <f>Members!F289</f>
        <v>566000</v>
      </c>
      <c r="G289" s="15">
        <f>MAX(0,Assumptions!$B$10-C289)</f>
        <v>0</v>
      </c>
      <c r="H289" s="17">
        <f>IF(B289="Active",E289*(1+Assumptions!$B$7)^G289,E289)</f>
        <v>0</v>
      </c>
      <c r="I289" s="17">
        <f>IF(B289="Active",MIN(Assumptions!$B$12,D289+G289),IF(B289="Deferred",MIN(Assumptions!$B$12,D289),D289))</f>
        <v>22.8</v>
      </c>
      <c r="J289" s="17">
        <f>IF(B289="Active",H289*I289*Assumptions!$B$11,IF(B289="Deferred",E289*I289*Assumptions!$B$11*(1+Assumptions!$B$9)^G289,F289))</f>
        <v>566000</v>
      </c>
      <c r="K289" s="11">
        <f>IF(B289="Pensioner",1,VLOOKUP(Assumptions!$B$10,Mortality!$A$2:$F$104,6,FALSE)/VLOOKUP(C289,Mortality!$A$2:$F$104,6,FALSE))</f>
        <v>1</v>
      </c>
      <c r="L289" s="11">
        <f>VLOOKUP(IF(B289="Pensioner",C289,Assumptions!$B$10),Mortality!$A$2:$E$104,5,FALSE)</f>
        <v>4.6715821823893648</v>
      </c>
      <c r="M289" s="11">
        <f>1+Assumptions!$B$13*Assumptions!$B$14*Assumptions!$B$15</f>
        <v>1.3187500000000001</v>
      </c>
      <c r="N289" s="11">
        <f>IF(B289="Pensioner",1,1/(1+Assumptions!$B$6)^G289)</f>
        <v>1</v>
      </c>
      <c r="O289" s="17">
        <f t="shared" si="4"/>
        <v>3486927.335712702</v>
      </c>
    </row>
    <row r="290" spans="1:15">
      <c r="A290" s="13" t="str">
        <f>Members!A290</f>
        <v>A0389</v>
      </c>
      <c r="B290" s="13" t="str">
        <f>Members!B290</f>
        <v>Active</v>
      </c>
      <c r="C290" s="13">
        <f>Members!C290</f>
        <v>54</v>
      </c>
      <c r="D290" s="14">
        <f>Members!D290</f>
        <v>11.7</v>
      </c>
      <c r="E290" s="16">
        <f>Members!E290</f>
        <v>1365000</v>
      </c>
      <c r="F290" s="16">
        <f>Members!F290</f>
        <v>0</v>
      </c>
      <c r="G290" s="15">
        <f>MAX(0,Assumptions!$B$10-C290)</f>
        <v>6</v>
      </c>
      <c r="H290" s="17">
        <f>IF(B290="Active",E290*(1+Assumptions!$B$7)^G290,E290)</f>
        <v>1882120.4312299802</v>
      </c>
      <c r="I290" s="17">
        <f>IF(B290="Active",MIN(Assumptions!$B$12,D290+G290),IF(B290="Deferred",MIN(Assumptions!$B$12,D290),D290))</f>
        <v>17.7</v>
      </c>
      <c r="J290" s="17">
        <f>IF(B290="Active",H290*I290*Assumptions!$B$11,IF(B290="Deferred",E290*I290*Assumptions!$B$11*(1+Assumptions!$B$9)^G290,F290))</f>
        <v>555225.52721284411</v>
      </c>
      <c r="K290" s="11">
        <f>IF(B290="Pensioner",1,VLOOKUP(Assumptions!$B$10,Mortality!$A$2:$F$104,6,FALSE)/VLOOKUP(C290,Mortality!$A$2:$F$104,6,FALSE))</f>
        <v>0.98655351190569374</v>
      </c>
      <c r="L290" s="11">
        <f>VLOOKUP(IF(B290="Pensioner",C290,Assumptions!$B$10),Mortality!$A$2:$E$104,5,FALSE)</f>
        <v>17.296790022132885</v>
      </c>
      <c r="M290" s="11">
        <f>1+Assumptions!$B$13*Assumptions!$B$14*Assumptions!$B$15</f>
        <v>1.3187500000000001</v>
      </c>
      <c r="N290" s="11">
        <f>IF(B290="Pensioner",1,1/(1+Assumptions!$B$6)^G290)</f>
        <v>0.68533411879901873</v>
      </c>
      <c r="O290" s="17">
        <f t="shared" si="4"/>
        <v>8562890.9118292741</v>
      </c>
    </row>
    <row r="291" spans="1:15">
      <c r="A291" s="13" t="str">
        <f>Members!A291</f>
        <v>A0368</v>
      </c>
      <c r="B291" s="13" t="str">
        <f>Members!B291</f>
        <v>Active</v>
      </c>
      <c r="C291" s="13">
        <f>Members!C291</f>
        <v>47</v>
      </c>
      <c r="D291" s="14">
        <f>Members!D291</f>
        <v>17.7</v>
      </c>
      <c r="E291" s="16">
        <f>Members!E291</f>
        <v>1488000</v>
      </c>
      <c r="F291" s="16">
        <f>Members!F291</f>
        <v>0</v>
      </c>
      <c r="G291" s="15">
        <f>MAX(0,Assumptions!$B$10-C291)</f>
        <v>13</v>
      </c>
      <c r="H291" s="17">
        <f>IF(B291="Active",E291*(1+Assumptions!$B$7)^G291,E291)</f>
        <v>2984591.5594439204</v>
      </c>
      <c r="I291" s="17">
        <f>IF(B291="Active",MIN(Assumptions!$B$12,D291+G291),IF(B291="Deferred",MIN(Assumptions!$B$12,D291),D291))</f>
        <v>30.7</v>
      </c>
      <c r="J291" s="17">
        <f>IF(B291="Active",H291*I291*Assumptions!$B$11,IF(B291="Deferred",E291*I291*Assumptions!$B$11*(1+Assumptions!$B$9)^G291,F291))</f>
        <v>1527116.0145821392</v>
      </c>
      <c r="K291" s="11">
        <f>IF(B291="Pensioner",1,VLOOKUP(Assumptions!$B$10,Mortality!$A$2:$F$104,6,FALSE)/VLOOKUP(C291,Mortality!$A$2:$F$104,6,FALSE))</f>
        <v>0.97844516757479894</v>
      </c>
      <c r="L291" s="11">
        <f>VLOOKUP(IF(B291="Pensioner",C291,Assumptions!$B$10),Mortality!$A$2:$E$104,5,FALSE)</f>
        <v>17.296790022132885</v>
      </c>
      <c r="M291" s="11">
        <f>1+Assumptions!$B$13*Assumptions!$B$14*Assumptions!$B$15</f>
        <v>1.3187500000000001</v>
      </c>
      <c r="N291" s="11">
        <f>IF(B291="Pensioner",1,1/(1+Assumptions!$B$6)^G291)</f>
        <v>0.44101676468547191</v>
      </c>
      <c r="O291" s="17">
        <f t="shared" si="4"/>
        <v>15031129.242080159</v>
      </c>
    </row>
    <row r="292" spans="1:15">
      <c r="A292" s="13" t="str">
        <f>Members!A292</f>
        <v>A0202</v>
      </c>
      <c r="B292" s="13" t="str">
        <f>Members!B292</f>
        <v>Active</v>
      </c>
      <c r="C292" s="13">
        <f>Members!C292</f>
        <v>39</v>
      </c>
      <c r="D292" s="14">
        <f>Members!D292</f>
        <v>9.1999999999999993</v>
      </c>
      <c r="E292" s="16">
        <f>Members!E292</f>
        <v>850000</v>
      </c>
      <c r="F292" s="16">
        <f>Members!F292</f>
        <v>0</v>
      </c>
      <c r="G292" s="15">
        <f>MAX(0,Assumptions!$B$10-C292)</f>
        <v>21</v>
      </c>
      <c r="H292" s="17">
        <f>IF(B292="Active",E292*(1+Assumptions!$B$7)^G292,E292)</f>
        <v>2616499.0296992171</v>
      </c>
      <c r="I292" s="17">
        <f>IF(B292="Active",MIN(Assumptions!$B$12,D292+G292),IF(B292="Deferred",MIN(Assumptions!$B$12,D292),D292))</f>
        <v>30.2</v>
      </c>
      <c r="J292" s="17">
        <f>IF(B292="Active",H292*I292*Assumptions!$B$11,IF(B292="Deferred",E292*I292*Assumptions!$B$11*(1+Assumptions!$B$9)^G292,F292))</f>
        <v>1316971.1782819394</v>
      </c>
      <c r="K292" s="11">
        <f>IF(B292="Pensioner",1,VLOOKUP(Assumptions!$B$10,Mortality!$A$2:$F$104,6,FALSE)/VLOOKUP(C292,Mortality!$A$2:$F$104,6,FALSE))</f>
        <v>0.97358574177887802</v>
      </c>
      <c r="L292" s="11">
        <f>VLOOKUP(IF(B292="Pensioner",C292,Assumptions!$B$10),Mortality!$A$2:$E$104,5,FALSE)</f>
        <v>17.296790022132885</v>
      </c>
      <c r="M292" s="11">
        <f>1+Assumptions!$B$13*Assumptions!$B$14*Assumptions!$B$15</f>
        <v>1.3187500000000001</v>
      </c>
      <c r="N292" s="11">
        <f>IF(B292="Pensioner",1,1/(1+Assumptions!$B$6)^G292)</f>
        <v>0.26647608349429097</v>
      </c>
      <c r="O292" s="17">
        <f t="shared" si="4"/>
        <v>7793574.6249014651</v>
      </c>
    </row>
    <row r="293" spans="1:15">
      <c r="A293" s="13" t="str">
        <f>Members!A293</f>
        <v>A0261</v>
      </c>
      <c r="B293" s="13" t="str">
        <f>Members!B293</f>
        <v>Active</v>
      </c>
      <c r="C293" s="13">
        <f>Members!C293</f>
        <v>41</v>
      </c>
      <c r="D293" s="14">
        <f>Members!D293</f>
        <v>15.6</v>
      </c>
      <c r="E293" s="16">
        <f>Members!E293</f>
        <v>873000</v>
      </c>
      <c r="F293" s="16">
        <f>Members!F293</f>
        <v>0</v>
      </c>
      <c r="G293" s="15">
        <f>MAX(0,Assumptions!$B$10-C293)</f>
        <v>19</v>
      </c>
      <c r="H293" s="17">
        <f>IF(B293="Active",E293*(1+Assumptions!$B$7)^G293,E293)</f>
        <v>2414409.7528885021</v>
      </c>
      <c r="I293" s="17">
        <f>IF(B293="Active",MIN(Assumptions!$B$12,D293+G293),IF(B293="Deferred",MIN(Assumptions!$B$12,D293),D293))</f>
        <v>34.6</v>
      </c>
      <c r="J293" s="17">
        <f>IF(B293="Active",H293*I293*Assumptions!$B$11,IF(B293="Deferred",E293*I293*Assumptions!$B$11*(1+Assumptions!$B$9)^G293,F293))</f>
        <v>1392309.6241657028</v>
      </c>
      <c r="K293" s="11">
        <f>IF(B293="Pensioner",1,VLOOKUP(Assumptions!$B$10,Mortality!$A$2:$F$104,6,FALSE)/VLOOKUP(C293,Mortality!$A$2:$F$104,6,FALSE))</f>
        <v>0.97454789540795339</v>
      </c>
      <c r="L293" s="11">
        <f>VLOOKUP(IF(B293="Pensioner",C293,Assumptions!$B$10),Mortality!$A$2:$E$104,5,FALSE)</f>
        <v>17.296790022132885</v>
      </c>
      <c r="M293" s="11">
        <f>1+Assumptions!$B$13*Assumptions!$B$14*Assumptions!$B$15</f>
        <v>1.3187500000000001</v>
      </c>
      <c r="N293" s="11">
        <f>IF(B293="Pensioner",1,1/(1+Assumptions!$B$6)^G293)</f>
        <v>0.30224383580131214</v>
      </c>
      <c r="O293" s="17">
        <f t="shared" si="4"/>
        <v>9354583.400001768</v>
      </c>
    </row>
    <row r="294" spans="1:15">
      <c r="A294" s="13" t="str">
        <f>Members!A294</f>
        <v>A0025</v>
      </c>
      <c r="B294" s="13" t="str">
        <f>Members!B294</f>
        <v>Active</v>
      </c>
      <c r="C294" s="13">
        <f>Members!C294</f>
        <v>54</v>
      </c>
      <c r="D294" s="14">
        <f>Members!D294</f>
        <v>26.6</v>
      </c>
      <c r="E294" s="16">
        <f>Members!E294</f>
        <v>1546000</v>
      </c>
      <c r="F294" s="16">
        <f>Members!F294</f>
        <v>0</v>
      </c>
      <c r="G294" s="15">
        <f>MAX(0,Assumptions!$B$10-C294)</f>
        <v>6</v>
      </c>
      <c r="H294" s="17">
        <f>IF(B294="Active",E294*(1+Assumptions!$B$7)^G294,E294)</f>
        <v>2131690.9792538825</v>
      </c>
      <c r="I294" s="17">
        <f>IF(B294="Active",MIN(Assumptions!$B$12,D294+G294),IF(B294="Deferred",MIN(Assumptions!$B$12,D294),D294))</f>
        <v>32.6</v>
      </c>
      <c r="J294" s="17">
        <f>IF(B294="Active",H294*I294*Assumptions!$B$11,IF(B294="Deferred",E294*I294*Assumptions!$B$11*(1+Assumptions!$B$9)^G294,F294))</f>
        <v>1158218.7653946097</v>
      </c>
      <c r="K294" s="11">
        <f>IF(B294="Pensioner",1,VLOOKUP(Assumptions!$B$10,Mortality!$A$2:$F$104,6,FALSE)/VLOOKUP(C294,Mortality!$A$2:$F$104,6,FALSE))</f>
        <v>0.98655351190569374</v>
      </c>
      <c r="L294" s="11">
        <f>VLOOKUP(IF(B294="Pensioner",C294,Assumptions!$B$10),Mortality!$A$2:$E$104,5,FALSE)</f>
        <v>17.296790022132885</v>
      </c>
      <c r="M294" s="11">
        <f>1+Assumptions!$B$13*Assumptions!$B$14*Assumptions!$B$15</f>
        <v>1.3187500000000001</v>
      </c>
      <c r="N294" s="11">
        <f>IF(B294="Pensioner",1,1/(1+Assumptions!$B$6)^G294)</f>
        <v>0.68533411879901873</v>
      </c>
      <c r="O294" s="17">
        <f t="shared" si="4"/>
        <v>17862472.912391331</v>
      </c>
    </row>
    <row r="295" spans="1:15">
      <c r="A295" s="13" t="str">
        <f>Members!A295</f>
        <v>A0168</v>
      </c>
      <c r="B295" s="13" t="str">
        <f>Members!B295</f>
        <v>Active</v>
      </c>
      <c r="C295" s="13">
        <f>Members!C295</f>
        <v>22</v>
      </c>
      <c r="D295" s="14">
        <f>Members!D295</f>
        <v>1</v>
      </c>
      <c r="E295" s="16">
        <f>Members!E295</f>
        <v>557000</v>
      </c>
      <c r="F295" s="16">
        <f>Members!F295</f>
        <v>0</v>
      </c>
      <c r="G295" s="15">
        <f>MAX(0,Assumptions!$B$10-C295)</f>
        <v>38</v>
      </c>
      <c r="H295" s="17">
        <f>IF(B295="Active",E295*(1+Assumptions!$B$7)^G295,E295)</f>
        <v>4260383.178369564</v>
      </c>
      <c r="I295" s="17">
        <f>IF(B295="Active",MIN(Assumptions!$B$12,D295+G295),IF(B295="Deferred",MIN(Assumptions!$B$12,D295),D295))</f>
        <v>39</v>
      </c>
      <c r="J295" s="17">
        <f>IF(B295="Active",H295*I295*Assumptions!$B$11,IF(B295="Deferred",E295*I295*Assumptions!$B$11*(1+Assumptions!$B$9)^G295,F295))</f>
        <v>2769249.0659402166</v>
      </c>
      <c r="K295" s="11">
        <f>IF(B295="Pensioner",1,VLOOKUP(Assumptions!$B$10,Mortality!$A$2:$F$104,6,FALSE)/VLOOKUP(C295,Mortality!$A$2:$F$104,6,FALSE))</f>
        <v>0.9682119922904866</v>
      </c>
      <c r="L295" s="11">
        <f>VLOOKUP(IF(B295="Pensioner",C295,Assumptions!$B$10),Mortality!$A$2:$E$104,5,FALSE)</f>
        <v>17.296790022132885</v>
      </c>
      <c r="M295" s="11">
        <f>1+Assumptions!$B$13*Assumptions!$B$14*Assumptions!$B$15</f>
        <v>1.3187500000000001</v>
      </c>
      <c r="N295" s="11">
        <f>IF(B295="Pensioner",1,1/(1+Assumptions!$B$6)^G295)</f>
        <v>9.1351336279890546E-2</v>
      </c>
      <c r="O295" s="17">
        <f t="shared" si="4"/>
        <v>5586957.4763973141</v>
      </c>
    </row>
    <row r="296" spans="1:15">
      <c r="A296" s="13" t="str">
        <f>Members!A296</f>
        <v>A0283</v>
      </c>
      <c r="B296" s="13" t="str">
        <f>Members!B296</f>
        <v>Active</v>
      </c>
      <c r="C296" s="13">
        <f>Members!C296</f>
        <v>51</v>
      </c>
      <c r="D296" s="14">
        <f>Members!D296</f>
        <v>23.9</v>
      </c>
      <c r="E296" s="16">
        <f>Members!E296</f>
        <v>1558000</v>
      </c>
      <c r="F296" s="16">
        <f>Members!F296</f>
        <v>0</v>
      </c>
      <c r="G296" s="15">
        <f>MAX(0,Assumptions!$B$10-C296)</f>
        <v>9</v>
      </c>
      <c r="H296" s="17">
        <f>IF(B296="Active",E296*(1+Assumptions!$B$7)^G296,E296)</f>
        <v>2522548.8778340262</v>
      </c>
      <c r="I296" s="17">
        <f>IF(B296="Active",MIN(Assumptions!$B$12,D296+G296),IF(B296="Deferred",MIN(Assumptions!$B$12,D296),D296))</f>
        <v>32.9</v>
      </c>
      <c r="J296" s="17">
        <f>IF(B296="Active",H296*I296*Assumptions!$B$11,IF(B296="Deferred",E296*I296*Assumptions!$B$11*(1+Assumptions!$B$9)^G296,F296))</f>
        <v>1383197.6346789908</v>
      </c>
      <c r="K296" s="11">
        <f>IF(B296="Pensioner",1,VLOOKUP(Assumptions!$B$10,Mortality!$A$2:$F$104,6,FALSE)/VLOOKUP(C296,Mortality!$A$2:$F$104,6,FALSE))</f>
        <v>0.98240527975061542</v>
      </c>
      <c r="L296" s="11">
        <f>VLOOKUP(IF(B296="Pensioner",C296,Assumptions!$B$10),Mortality!$A$2:$E$104,5,FALSE)</f>
        <v>17.296790022132885</v>
      </c>
      <c r="M296" s="11">
        <f>1+Assumptions!$B$13*Assumptions!$B$14*Assumptions!$B$15</f>
        <v>1.3187500000000001</v>
      </c>
      <c r="N296" s="11">
        <f>IF(B296="Pensioner",1,1/(1+Assumptions!$B$6)^G296)</f>
        <v>0.56735322782936326</v>
      </c>
      <c r="O296" s="17">
        <f t="shared" si="4"/>
        <v>17585569.664454423</v>
      </c>
    </row>
    <row r="297" spans="1:15">
      <c r="A297" s="13" t="str">
        <f>Members!A297</f>
        <v>A0471</v>
      </c>
      <c r="B297" s="13" t="str">
        <f>Members!B297</f>
        <v>Active</v>
      </c>
      <c r="C297" s="13">
        <f>Members!C297</f>
        <v>36</v>
      </c>
      <c r="D297" s="14">
        <f>Members!D297</f>
        <v>9.1999999999999993</v>
      </c>
      <c r="E297" s="16">
        <f>Members!E297</f>
        <v>621000</v>
      </c>
      <c r="F297" s="16">
        <f>Members!F297</f>
        <v>0</v>
      </c>
      <c r="G297" s="15">
        <f>MAX(0,Assumptions!$B$10-C297)</f>
        <v>24</v>
      </c>
      <c r="H297" s="17">
        <f>IF(B297="Active",E297*(1+Assumptions!$B$7)^G297,E297)</f>
        <v>2244660.3303256799</v>
      </c>
      <c r="I297" s="17">
        <f>IF(B297="Active",MIN(Assumptions!$B$12,D297+G297),IF(B297="Deferred",MIN(Assumptions!$B$12,D297),D297))</f>
        <v>33.200000000000003</v>
      </c>
      <c r="J297" s="17">
        <f>IF(B297="Active",H297*I297*Assumptions!$B$11,IF(B297="Deferred",E297*I297*Assumptions!$B$11*(1+Assumptions!$B$9)^G297,F297))</f>
        <v>1242045.3827802096</v>
      </c>
      <c r="K297" s="11">
        <f>IF(B297="Pensioner",1,VLOOKUP(Assumptions!$B$10,Mortality!$A$2:$F$104,6,FALSE)/VLOOKUP(C297,Mortality!$A$2:$F$104,6,FALSE))</f>
        <v>0.97234503055413524</v>
      </c>
      <c r="L297" s="11">
        <f>VLOOKUP(IF(B297="Pensioner",C297,Assumptions!$B$10),Mortality!$A$2:$E$104,5,FALSE)</f>
        <v>17.296790022132885</v>
      </c>
      <c r="M297" s="11">
        <f>1+Assumptions!$B$13*Assumptions!$B$14*Assumptions!$B$15</f>
        <v>1.3187500000000001</v>
      </c>
      <c r="N297" s="11">
        <f>IF(B297="Pensioner",1,1/(1+Assumptions!$B$6)^G297)</f>
        <v>0.22060198370796386</v>
      </c>
      <c r="O297" s="17">
        <f t="shared" si="4"/>
        <v>6077084.3297253428</v>
      </c>
    </row>
    <row r="298" spans="1:15">
      <c r="A298" s="13" t="str">
        <f>Members!A298</f>
        <v>A0410</v>
      </c>
      <c r="B298" s="13" t="str">
        <f>Members!B298</f>
        <v>Active</v>
      </c>
      <c r="C298" s="13">
        <f>Members!C298</f>
        <v>28</v>
      </c>
      <c r="D298" s="14">
        <f>Members!D298</f>
        <v>2.2000000000000002</v>
      </c>
      <c r="E298" s="16">
        <f>Members!E298</f>
        <v>447000</v>
      </c>
      <c r="F298" s="16">
        <f>Members!F298</f>
        <v>0</v>
      </c>
      <c r="G298" s="15">
        <f>MAX(0,Assumptions!$B$10-C298)</f>
        <v>32</v>
      </c>
      <c r="H298" s="17">
        <f>IF(B298="Active",E298*(1+Assumptions!$B$7)^G298,E298)</f>
        <v>2479626.2850963622</v>
      </c>
      <c r="I298" s="17">
        <f>IF(B298="Active",MIN(Assumptions!$B$12,D298+G298),IF(B298="Deferred",MIN(Assumptions!$B$12,D298),D298))</f>
        <v>34.200000000000003</v>
      </c>
      <c r="J298" s="17">
        <f>IF(B298="Active",H298*I298*Assumptions!$B$11,IF(B298="Deferred",E298*I298*Assumptions!$B$11*(1+Assumptions!$B$9)^G298,F298))</f>
        <v>1413386.9825049266</v>
      </c>
      <c r="K298" s="11">
        <f>IF(B298="Pensioner",1,VLOOKUP(Assumptions!$B$10,Mortality!$A$2:$F$104,6,FALSE)/VLOOKUP(C298,Mortality!$A$2:$F$104,6,FALSE))</f>
        <v>0.96977196143473232</v>
      </c>
      <c r="L298" s="11">
        <f>VLOOKUP(IF(B298="Pensioner",C298,Assumptions!$B$10),Mortality!$A$2:$E$104,5,FALSE)</f>
        <v>17.296790022132885</v>
      </c>
      <c r="M298" s="11">
        <f>1+Assumptions!$B$13*Assumptions!$B$14*Assumptions!$B$15</f>
        <v>1.3187500000000001</v>
      </c>
      <c r="N298" s="11">
        <f>IF(B298="Pensioner",1,1/(1+Assumptions!$B$6)^G298)</f>
        <v>0.13329459861122173</v>
      </c>
      <c r="O298" s="17">
        <f t="shared" si="4"/>
        <v>4167458.1527441731</v>
      </c>
    </row>
    <row r="299" spans="1:15">
      <c r="A299" s="13" t="str">
        <f>Members!A299</f>
        <v>A0553</v>
      </c>
      <c r="B299" s="13" t="str">
        <f>Members!B299</f>
        <v>Active</v>
      </c>
      <c r="C299" s="13">
        <f>Members!C299</f>
        <v>31</v>
      </c>
      <c r="D299" s="14">
        <f>Members!D299</f>
        <v>5.9</v>
      </c>
      <c r="E299" s="16">
        <f>Members!E299</f>
        <v>609000</v>
      </c>
      <c r="F299" s="16">
        <f>Members!F299</f>
        <v>0</v>
      </c>
      <c r="G299" s="15">
        <f>MAX(0,Assumptions!$B$10-C299)</f>
        <v>29</v>
      </c>
      <c r="H299" s="17">
        <f>IF(B299="Active",E299*(1+Assumptions!$B$7)^G299,E299)</f>
        <v>2876991.7863816032</v>
      </c>
      <c r="I299" s="17">
        <f>IF(B299="Active",MIN(Assumptions!$B$12,D299+G299),IF(B299="Deferred",MIN(Assumptions!$B$12,D299),D299))</f>
        <v>34.9</v>
      </c>
      <c r="J299" s="17">
        <f>IF(B299="Active",H299*I299*Assumptions!$B$11,IF(B299="Deferred",E299*I299*Assumptions!$B$11*(1+Assumptions!$B$9)^G299,F299))</f>
        <v>1673450.2224119657</v>
      </c>
      <c r="K299" s="11">
        <f>IF(B299="Pensioner",1,VLOOKUP(Assumptions!$B$10,Mortality!$A$2:$F$104,6,FALSE)/VLOOKUP(C299,Mortality!$A$2:$F$104,6,FALSE))</f>
        <v>0.97064661072952085</v>
      </c>
      <c r="L299" s="11">
        <f>VLOOKUP(IF(B299="Pensioner",C299,Assumptions!$B$10),Mortality!$A$2:$E$104,5,FALSE)</f>
        <v>17.296790022132885</v>
      </c>
      <c r="M299" s="11">
        <f>1+Assumptions!$B$13*Assumptions!$B$14*Assumptions!$B$15</f>
        <v>1.3187500000000001</v>
      </c>
      <c r="N299" s="11">
        <f>IF(B299="Pensioner",1,1/(1+Assumptions!$B$6)^G299)</f>
        <v>0.16101316040695074</v>
      </c>
      <c r="O299" s="17">
        <f t="shared" si="4"/>
        <v>5965725.981708643</v>
      </c>
    </row>
    <row r="300" spans="1:15">
      <c r="A300" s="13" t="str">
        <f>Members!A300</f>
        <v>P0024</v>
      </c>
      <c r="B300" s="13" t="str">
        <f>Members!B300</f>
        <v>Pensioner</v>
      </c>
      <c r="C300" s="13">
        <f>Members!C300</f>
        <v>64</v>
      </c>
      <c r="D300" s="14">
        <f>Members!D300</f>
        <v>36.799999999999997</v>
      </c>
      <c r="E300" s="16">
        <f>Members!E300</f>
        <v>0</v>
      </c>
      <c r="F300" s="16">
        <f>Members!F300</f>
        <v>376000</v>
      </c>
      <c r="G300" s="15">
        <f>MAX(0,Assumptions!$B$10-C300)</f>
        <v>0</v>
      </c>
      <c r="H300" s="17">
        <f>IF(B300="Active",E300*(1+Assumptions!$B$7)^G300,E300)</f>
        <v>0</v>
      </c>
      <c r="I300" s="17">
        <f>IF(B300="Active",MIN(Assumptions!$B$12,D300+G300),IF(B300="Deferred",MIN(Assumptions!$B$12,D300),D300))</f>
        <v>36.799999999999997</v>
      </c>
      <c r="J300" s="17">
        <f>IF(B300="Active",H300*I300*Assumptions!$B$11,IF(B300="Deferred",E300*I300*Assumptions!$B$11*(1+Assumptions!$B$9)^G300,F300))</f>
        <v>376000</v>
      </c>
      <c r="K300" s="11">
        <f>IF(B300="Pensioner",1,VLOOKUP(Assumptions!$B$10,Mortality!$A$2:$F$104,6,FALSE)/VLOOKUP(C300,Mortality!$A$2:$F$104,6,FALSE))</f>
        <v>1</v>
      </c>
      <c r="L300" s="11">
        <f>VLOOKUP(IF(B300="Pensioner",C300,Assumptions!$B$10),Mortality!$A$2:$E$104,5,FALSE)</f>
        <v>15.628758769824573</v>
      </c>
      <c r="M300" s="11">
        <f>1+Assumptions!$B$13*Assumptions!$B$14*Assumptions!$B$15</f>
        <v>1.3187500000000001</v>
      </c>
      <c r="N300" s="11">
        <f>IF(B300="Pensioner",1,1/(1+Assumptions!$B$6)^G300)</f>
        <v>1</v>
      </c>
      <c r="O300" s="17">
        <f t="shared" si="4"/>
        <v>7749520.0360175148</v>
      </c>
    </row>
    <row r="301" spans="1:15">
      <c r="A301" s="13" t="str">
        <f>Members!A301</f>
        <v>A0320</v>
      </c>
      <c r="B301" s="13" t="str">
        <f>Members!B301</f>
        <v>Active</v>
      </c>
      <c r="C301" s="13">
        <f>Members!C301</f>
        <v>33</v>
      </c>
      <c r="D301" s="14">
        <f>Members!D301</f>
        <v>3.5</v>
      </c>
      <c r="E301" s="16">
        <f>Members!E301</f>
        <v>574000</v>
      </c>
      <c r="F301" s="16">
        <f>Members!F301</f>
        <v>0</v>
      </c>
      <c r="G301" s="15">
        <f>MAX(0,Assumptions!$B$10-C301)</f>
        <v>27</v>
      </c>
      <c r="H301" s="17">
        <f>IF(B301="Active",E301*(1+Assumptions!$B$7)^G301,E301)</f>
        <v>2436286.1848048619</v>
      </c>
      <c r="I301" s="17">
        <f>IF(B301="Active",MIN(Assumptions!$B$12,D301+G301),IF(B301="Deferred",MIN(Assumptions!$B$12,D301),D301))</f>
        <v>30.5</v>
      </c>
      <c r="J301" s="17">
        <f>IF(B301="Active",H301*I301*Assumptions!$B$11,IF(B301="Deferred",E301*I301*Assumptions!$B$11*(1+Assumptions!$B$9)^G301,F301))</f>
        <v>1238445.4772758046</v>
      </c>
      <c r="K301" s="11">
        <f>IF(B301="Pensioner",1,VLOOKUP(Assumptions!$B$10,Mortality!$A$2:$F$104,6,FALSE)/VLOOKUP(C301,Mortality!$A$2:$F$104,6,FALSE))</f>
        <v>0.9712826176321353</v>
      </c>
      <c r="L301" s="11">
        <f>VLOOKUP(IF(B301="Pensioner",C301,Assumptions!$B$10),Mortality!$A$2:$E$104,5,FALSE)</f>
        <v>17.296790022132885</v>
      </c>
      <c r="M301" s="11">
        <f>1+Assumptions!$B$13*Assumptions!$B$14*Assumptions!$B$15</f>
        <v>1.3187500000000001</v>
      </c>
      <c r="N301" s="11">
        <f>IF(B301="Pensioner",1,1/(1+Assumptions!$B$6)^G301)</f>
        <v>0.18262515186257369</v>
      </c>
      <c r="O301" s="17">
        <f t="shared" si="4"/>
        <v>5010846.3270635316</v>
      </c>
    </row>
    <row r="302" spans="1:15">
      <c r="A302" s="13" t="str">
        <f>Members!A302</f>
        <v>P0040</v>
      </c>
      <c r="B302" s="13" t="str">
        <f>Members!B302</f>
        <v>Pensioner</v>
      </c>
      <c r="C302" s="13">
        <f>Members!C302</f>
        <v>84</v>
      </c>
      <c r="D302" s="14">
        <f>Members!D302</f>
        <v>21.4</v>
      </c>
      <c r="E302" s="16">
        <f>Members!E302</f>
        <v>0</v>
      </c>
      <c r="F302" s="16">
        <f>Members!F302</f>
        <v>669000</v>
      </c>
      <c r="G302" s="15">
        <f>MAX(0,Assumptions!$B$10-C302)</f>
        <v>0</v>
      </c>
      <c r="H302" s="17">
        <f>IF(B302="Active",E302*(1+Assumptions!$B$7)^G302,E302)</f>
        <v>0</v>
      </c>
      <c r="I302" s="17">
        <f>IF(B302="Active",MIN(Assumptions!$B$12,D302+G302),IF(B302="Deferred",MIN(Assumptions!$B$12,D302),D302))</f>
        <v>21.4</v>
      </c>
      <c r="J302" s="17">
        <f>IF(B302="Active",H302*I302*Assumptions!$B$11,IF(B302="Deferred",E302*I302*Assumptions!$B$11*(1+Assumptions!$B$9)^G302,F302))</f>
        <v>669000</v>
      </c>
      <c r="K302" s="11">
        <f>IF(B302="Pensioner",1,VLOOKUP(Assumptions!$B$10,Mortality!$A$2:$F$104,6,FALSE)/VLOOKUP(C302,Mortality!$A$2:$F$104,6,FALSE))</f>
        <v>1</v>
      </c>
      <c r="L302" s="11">
        <f>VLOOKUP(IF(B302="Pensioner",C302,Assumptions!$B$10),Mortality!$A$2:$E$104,5,FALSE)</f>
        <v>6.6432720965175314</v>
      </c>
      <c r="M302" s="11">
        <f>1+Assumptions!$B$13*Assumptions!$B$14*Assumptions!$B$15</f>
        <v>1.3187500000000001</v>
      </c>
      <c r="N302" s="11">
        <f>IF(B302="Pensioner",1,1/(1+Assumptions!$B$6)^G302)</f>
        <v>1</v>
      </c>
      <c r="O302" s="17">
        <f t="shared" si="4"/>
        <v>5860985.2867019894</v>
      </c>
    </row>
    <row r="303" spans="1:15">
      <c r="A303" s="13" t="str">
        <f>Members!A303</f>
        <v>P0093</v>
      </c>
      <c r="B303" s="13" t="str">
        <f>Members!B303</f>
        <v>Pensioner</v>
      </c>
      <c r="C303" s="13">
        <f>Members!C303</f>
        <v>64</v>
      </c>
      <c r="D303" s="14">
        <f>Members!D303</f>
        <v>37.700000000000003</v>
      </c>
      <c r="E303" s="16">
        <f>Members!E303</f>
        <v>0</v>
      </c>
      <c r="F303" s="16">
        <f>Members!F303</f>
        <v>384000</v>
      </c>
      <c r="G303" s="15">
        <f>MAX(0,Assumptions!$B$10-C303)</f>
        <v>0</v>
      </c>
      <c r="H303" s="17">
        <f>IF(B303="Active",E303*(1+Assumptions!$B$7)^G303,E303)</f>
        <v>0</v>
      </c>
      <c r="I303" s="17">
        <f>IF(B303="Active",MIN(Assumptions!$B$12,D303+G303),IF(B303="Deferred",MIN(Assumptions!$B$12,D303),D303))</f>
        <v>37.700000000000003</v>
      </c>
      <c r="J303" s="17">
        <f>IF(B303="Active",H303*I303*Assumptions!$B$11,IF(B303="Deferred",E303*I303*Assumptions!$B$11*(1+Assumptions!$B$9)^G303,F303))</f>
        <v>384000</v>
      </c>
      <c r="K303" s="11">
        <f>IF(B303="Pensioner",1,VLOOKUP(Assumptions!$B$10,Mortality!$A$2:$F$104,6,FALSE)/VLOOKUP(C303,Mortality!$A$2:$F$104,6,FALSE))</f>
        <v>1</v>
      </c>
      <c r="L303" s="11">
        <f>VLOOKUP(IF(B303="Pensioner",C303,Assumptions!$B$10),Mortality!$A$2:$E$104,5,FALSE)</f>
        <v>15.628758769824573</v>
      </c>
      <c r="M303" s="11">
        <f>1+Assumptions!$B$13*Assumptions!$B$14*Assumptions!$B$15</f>
        <v>1.3187500000000001</v>
      </c>
      <c r="N303" s="11">
        <f>IF(B303="Pensioner",1,1/(1+Assumptions!$B$6)^G303)</f>
        <v>1</v>
      </c>
      <c r="O303" s="17">
        <f t="shared" si="4"/>
        <v>7914403.4410391636</v>
      </c>
    </row>
    <row r="304" spans="1:15">
      <c r="A304" s="13" t="str">
        <f>Members!A304</f>
        <v>A0441</v>
      </c>
      <c r="B304" s="13" t="str">
        <f>Members!B304</f>
        <v>Active</v>
      </c>
      <c r="C304" s="13">
        <f>Members!C304</f>
        <v>54</v>
      </c>
      <c r="D304" s="14">
        <f>Members!D304</f>
        <v>21.4</v>
      </c>
      <c r="E304" s="16">
        <f>Members!E304</f>
        <v>1649000</v>
      </c>
      <c r="F304" s="16">
        <f>Members!F304</f>
        <v>0</v>
      </c>
      <c r="G304" s="15">
        <f>MAX(0,Assumptions!$B$10-C304)</f>
        <v>6</v>
      </c>
      <c r="H304" s="17">
        <f>IF(B304="Active",E304*(1+Assumptions!$B$7)^G304,E304)</f>
        <v>2273711.7883503572</v>
      </c>
      <c r="I304" s="17">
        <f>IF(B304="Active",MIN(Assumptions!$B$12,D304+G304),IF(B304="Deferred",MIN(Assumptions!$B$12,D304),D304))</f>
        <v>27.4</v>
      </c>
      <c r="J304" s="17">
        <f>IF(B304="Active",H304*I304*Assumptions!$B$11,IF(B304="Deferred",E304*I304*Assumptions!$B$11*(1+Assumptions!$B$9)^G304,F304))</f>
        <v>1038328.383346663</v>
      </c>
      <c r="K304" s="11">
        <f>IF(B304="Pensioner",1,VLOOKUP(Assumptions!$B$10,Mortality!$A$2:$F$104,6,FALSE)/VLOOKUP(C304,Mortality!$A$2:$F$104,6,FALSE))</f>
        <v>0.98655351190569374</v>
      </c>
      <c r="L304" s="11">
        <f>VLOOKUP(IF(B304="Pensioner",C304,Assumptions!$B$10),Mortality!$A$2:$E$104,5,FALSE)</f>
        <v>17.296790022132885</v>
      </c>
      <c r="M304" s="11">
        <f>1+Assumptions!$B$13*Assumptions!$B$14*Assumptions!$B$15</f>
        <v>1.3187500000000001</v>
      </c>
      <c r="N304" s="11">
        <f>IF(B304="Pensioner",1,1/(1+Assumptions!$B$6)^G304)</f>
        <v>0.68533411879901873</v>
      </c>
      <c r="O304" s="17">
        <f t="shared" si="4"/>
        <v>16013479.642922014</v>
      </c>
    </row>
    <row r="305" spans="1:15">
      <c r="A305" s="13" t="str">
        <f>Members!A305</f>
        <v>A0216</v>
      </c>
      <c r="B305" s="13" t="str">
        <f>Members!B305</f>
        <v>Active</v>
      </c>
      <c r="C305" s="13">
        <f>Members!C305</f>
        <v>58</v>
      </c>
      <c r="D305" s="14">
        <f>Members!D305</f>
        <v>1.5</v>
      </c>
      <c r="E305" s="16">
        <f>Members!E305</f>
        <v>1481000</v>
      </c>
      <c r="F305" s="16">
        <f>Members!F305</f>
        <v>0</v>
      </c>
      <c r="G305" s="15">
        <f>MAX(0,Assumptions!$B$10-C305)</f>
        <v>2</v>
      </c>
      <c r="H305" s="17">
        <f>IF(B305="Active",E305*(1+Assumptions!$B$7)^G305,E305)</f>
        <v>1648390.0249999999</v>
      </c>
      <c r="I305" s="17">
        <f>IF(B305="Active",MIN(Assumptions!$B$12,D305+G305),IF(B305="Deferred",MIN(Assumptions!$B$12,D305),D305))</f>
        <v>3.5</v>
      </c>
      <c r="J305" s="17">
        <f>IF(B305="Active",H305*I305*Assumptions!$B$11,IF(B305="Deferred",E305*I305*Assumptions!$B$11*(1+Assumptions!$B$9)^G305,F305))</f>
        <v>96156.084791666653</v>
      </c>
      <c r="K305" s="11">
        <f>IF(B305="Pensioner",1,VLOOKUP(Assumptions!$B$10,Mortality!$A$2:$F$104,6,FALSE)/VLOOKUP(C305,Mortality!$A$2:$F$104,6,FALSE))</f>
        <v>0.99452130442038367</v>
      </c>
      <c r="L305" s="11">
        <f>VLOOKUP(IF(B305="Pensioner",C305,Assumptions!$B$10),Mortality!$A$2:$E$104,5,FALSE)</f>
        <v>17.296790022132885</v>
      </c>
      <c r="M305" s="11">
        <f>1+Assumptions!$B$13*Assumptions!$B$14*Assumptions!$B$15</f>
        <v>1.3187500000000001</v>
      </c>
      <c r="N305" s="11">
        <f>IF(B305="Pensioner",1,1/(1+Assumptions!$B$6)^G305)</f>
        <v>0.88165928277017358</v>
      </c>
      <c r="O305" s="17">
        <f t="shared" si="4"/>
        <v>1923178.667474007</v>
      </c>
    </row>
    <row r="306" spans="1:15">
      <c r="A306" s="13" t="str">
        <f>Members!A306</f>
        <v>A0427</v>
      </c>
      <c r="B306" s="13" t="str">
        <f>Members!B306</f>
        <v>Active</v>
      </c>
      <c r="C306" s="13">
        <f>Members!C306</f>
        <v>31</v>
      </c>
      <c r="D306" s="14">
        <f>Members!D306</f>
        <v>1.3</v>
      </c>
      <c r="E306" s="16">
        <f>Members!E306</f>
        <v>498000</v>
      </c>
      <c r="F306" s="16">
        <f>Members!F306</f>
        <v>0</v>
      </c>
      <c r="G306" s="15">
        <f>MAX(0,Assumptions!$B$10-C306)</f>
        <v>29</v>
      </c>
      <c r="H306" s="17">
        <f>IF(B306="Active",E306*(1+Assumptions!$B$7)^G306,E306)</f>
        <v>2352613.9731002273</v>
      </c>
      <c r="I306" s="17">
        <f>IF(B306="Active",MIN(Assumptions!$B$12,D306+G306),IF(B306="Deferred",MIN(Assumptions!$B$12,D306),D306))</f>
        <v>30.3</v>
      </c>
      <c r="J306" s="17">
        <f>IF(B306="Active",H306*I306*Assumptions!$B$11,IF(B306="Deferred",E306*I306*Assumptions!$B$11*(1+Assumptions!$B$9)^G306,F306))</f>
        <v>1188070.0564156147</v>
      </c>
      <c r="K306" s="11">
        <f>IF(B306="Pensioner",1,VLOOKUP(Assumptions!$B$10,Mortality!$A$2:$F$104,6,FALSE)/VLOOKUP(C306,Mortality!$A$2:$F$104,6,FALSE))</f>
        <v>0.97064661072952085</v>
      </c>
      <c r="L306" s="11">
        <f>VLOOKUP(IF(B306="Pensioner",C306,Assumptions!$B$10),Mortality!$A$2:$E$104,5,FALSE)</f>
        <v>17.296790022132885</v>
      </c>
      <c r="M306" s="11">
        <f>1+Assumptions!$B$13*Assumptions!$B$14*Assumptions!$B$15</f>
        <v>1.3187500000000001</v>
      </c>
      <c r="N306" s="11">
        <f>IF(B306="Pensioner",1,1/(1+Assumptions!$B$6)^G306)</f>
        <v>0.16101316040695074</v>
      </c>
      <c r="O306" s="17">
        <f t="shared" si="4"/>
        <v>4235381.6735780109</v>
      </c>
    </row>
    <row r="307" spans="1:15">
      <c r="A307" s="13" t="str">
        <f>Members!A307</f>
        <v>P0239</v>
      </c>
      <c r="B307" s="13" t="str">
        <f>Members!B307</f>
        <v>Pensioner</v>
      </c>
      <c r="C307" s="13">
        <f>Members!C307</f>
        <v>68</v>
      </c>
      <c r="D307" s="14">
        <f>Members!D307</f>
        <v>23.8</v>
      </c>
      <c r="E307" s="16">
        <f>Members!E307</f>
        <v>0</v>
      </c>
      <c r="F307" s="16">
        <f>Members!F307</f>
        <v>461000</v>
      </c>
      <c r="G307" s="15">
        <f>MAX(0,Assumptions!$B$10-C307)</f>
        <v>0</v>
      </c>
      <c r="H307" s="17">
        <f>IF(B307="Active",E307*(1+Assumptions!$B$7)^G307,E307)</f>
        <v>0</v>
      </c>
      <c r="I307" s="17">
        <f>IF(B307="Active",MIN(Assumptions!$B$12,D307+G307),IF(B307="Deferred",MIN(Assumptions!$B$12,D307),D307))</f>
        <v>23.8</v>
      </c>
      <c r="J307" s="17">
        <f>IF(B307="Active",H307*I307*Assumptions!$B$11,IF(B307="Deferred",E307*I307*Assumptions!$B$11*(1+Assumptions!$B$9)^G307,F307))</f>
        <v>461000</v>
      </c>
      <c r="K307" s="11">
        <f>IF(B307="Pensioner",1,VLOOKUP(Assumptions!$B$10,Mortality!$A$2:$F$104,6,FALSE)/VLOOKUP(C307,Mortality!$A$2:$F$104,6,FALSE))</f>
        <v>1</v>
      </c>
      <c r="L307" s="11">
        <f>VLOOKUP(IF(B307="Pensioner",C307,Assumptions!$B$10),Mortality!$A$2:$E$104,5,FALSE)</f>
        <v>13.869459484105445</v>
      </c>
      <c r="M307" s="11">
        <f>1+Assumptions!$B$13*Assumptions!$B$14*Assumptions!$B$15</f>
        <v>1.3187500000000001</v>
      </c>
      <c r="N307" s="11">
        <f>IF(B307="Pensioner",1,1/(1+Assumptions!$B$6)^G307)</f>
        <v>1</v>
      </c>
      <c r="O307" s="17">
        <f t="shared" si="4"/>
        <v>8431851.2092401292</v>
      </c>
    </row>
    <row r="308" spans="1:15">
      <c r="A308" s="13" t="str">
        <f>Members!A308</f>
        <v>A0589</v>
      </c>
      <c r="B308" s="13" t="str">
        <f>Members!B308</f>
        <v>Active</v>
      </c>
      <c r="C308" s="13">
        <f>Members!C308</f>
        <v>37</v>
      </c>
      <c r="D308" s="14">
        <f>Members!D308</f>
        <v>13.8</v>
      </c>
      <c r="E308" s="16">
        <f>Members!E308</f>
        <v>718000</v>
      </c>
      <c r="F308" s="16">
        <f>Members!F308</f>
        <v>0</v>
      </c>
      <c r="G308" s="15">
        <f>MAX(0,Assumptions!$B$10-C308)</f>
        <v>23</v>
      </c>
      <c r="H308" s="17">
        <f>IF(B308="Active",E308*(1+Assumptions!$B$7)^G308,E308)</f>
        <v>2459976.8255967493</v>
      </c>
      <c r="I308" s="17">
        <f>IF(B308="Active",MIN(Assumptions!$B$12,D308+G308),IF(B308="Deferred",MIN(Assumptions!$B$12,D308),D308))</f>
        <v>36.799999999999997</v>
      </c>
      <c r="J308" s="17">
        <f>IF(B308="Active",H308*I308*Assumptions!$B$11,IF(B308="Deferred",E308*I308*Assumptions!$B$11*(1+Assumptions!$B$9)^G308,F308))</f>
        <v>1508785.7863660061</v>
      </c>
      <c r="K308" s="11">
        <f>IF(B308="Pensioner",1,VLOOKUP(Assumptions!$B$10,Mortality!$A$2:$F$104,6,FALSE)/VLOOKUP(C308,Mortality!$A$2:$F$104,6,FALSE))</f>
        <v>0.97273561412651877</v>
      </c>
      <c r="L308" s="11">
        <f>VLOOKUP(IF(B308="Pensioner",C308,Assumptions!$B$10),Mortality!$A$2:$E$104,5,FALSE)</f>
        <v>17.296790022132885</v>
      </c>
      <c r="M308" s="11">
        <f>1+Assumptions!$B$13*Assumptions!$B$14*Assumptions!$B$15</f>
        <v>1.3187500000000001</v>
      </c>
      <c r="N308" s="11">
        <f>IF(B308="Pensioner",1,1/(1+Assumptions!$B$6)^G308)</f>
        <v>0.23494111264898151</v>
      </c>
      <c r="O308" s="17">
        <f t="shared" si="4"/>
        <v>7865193.4319911832</v>
      </c>
    </row>
    <row r="309" spans="1:15">
      <c r="A309" s="13" t="str">
        <f>Members!A309</f>
        <v>A0109</v>
      </c>
      <c r="B309" s="13" t="str">
        <f>Members!B309</f>
        <v>Active</v>
      </c>
      <c r="C309" s="13">
        <f>Members!C309</f>
        <v>55</v>
      </c>
      <c r="D309" s="14">
        <f>Members!D309</f>
        <v>24.8</v>
      </c>
      <c r="E309" s="16">
        <f>Members!E309</f>
        <v>1950000</v>
      </c>
      <c r="F309" s="16">
        <f>Members!F309</f>
        <v>0</v>
      </c>
      <c r="G309" s="15">
        <f>MAX(0,Assumptions!$B$10-C309)</f>
        <v>5</v>
      </c>
      <c r="H309" s="17">
        <f>IF(B309="Active",E309*(1+Assumptions!$B$7)^G309,E309)</f>
        <v>2548572.0124982805</v>
      </c>
      <c r="I309" s="17">
        <f>IF(B309="Active",MIN(Assumptions!$B$12,D309+G309),IF(B309="Deferred",MIN(Assumptions!$B$12,D309),D309))</f>
        <v>29.8</v>
      </c>
      <c r="J309" s="17">
        <f>IF(B309="Active",H309*I309*Assumptions!$B$11,IF(B309="Deferred",E309*I309*Assumptions!$B$11*(1+Assumptions!$B$9)^G309,F309))</f>
        <v>1265790.7662074794</v>
      </c>
      <c r="K309" s="11">
        <f>IF(B309="Pensioner",1,VLOOKUP(Assumptions!$B$10,Mortality!$A$2:$F$104,6,FALSE)/VLOOKUP(C309,Mortality!$A$2:$F$104,6,FALSE))</f>
        <v>0.98824190874991746</v>
      </c>
      <c r="L309" s="11">
        <f>VLOOKUP(IF(B309="Pensioner",C309,Assumptions!$B$10),Mortality!$A$2:$E$104,5,FALSE)</f>
        <v>17.296790022132885</v>
      </c>
      <c r="M309" s="11">
        <f>1+Assumptions!$B$13*Assumptions!$B$14*Assumptions!$B$15</f>
        <v>1.3187500000000001</v>
      </c>
      <c r="N309" s="11">
        <f>IF(B309="Pensioner",1,1/(1+Assumptions!$B$6)^G309)</f>
        <v>0.72988083652095492</v>
      </c>
      <c r="O309" s="17">
        <f t="shared" si="4"/>
        <v>20825965.157613732</v>
      </c>
    </row>
    <row r="310" spans="1:15">
      <c r="A310" s="13" t="str">
        <f>Members!A310</f>
        <v>A0110</v>
      </c>
      <c r="B310" s="13" t="str">
        <f>Members!B310</f>
        <v>Active</v>
      </c>
      <c r="C310" s="13">
        <f>Members!C310</f>
        <v>54</v>
      </c>
      <c r="D310" s="14">
        <f>Members!D310</f>
        <v>4.5999999999999996</v>
      </c>
      <c r="E310" s="16">
        <f>Members!E310</f>
        <v>1653000</v>
      </c>
      <c r="F310" s="16">
        <f>Members!F310</f>
        <v>0</v>
      </c>
      <c r="G310" s="15">
        <f>MAX(0,Assumptions!$B$10-C310)</f>
        <v>6</v>
      </c>
      <c r="H310" s="17">
        <f>IF(B310="Active",E310*(1+Assumptions!$B$7)^G310,E310)</f>
        <v>2279227.1595774046</v>
      </c>
      <c r="I310" s="17">
        <f>IF(B310="Active",MIN(Assumptions!$B$12,D310+G310),IF(B310="Deferred",MIN(Assumptions!$B$12,D310),D310))</f>
        <v>10.6</v>
      </c>
      <c r="J310" s="17">
        <f>IF(B310="Active",H310*I310*Assumptions!$B$11,IF(B310="Deferred",E310*I310*Assumptions!$B$11*(1+Assumptions!$B$9)^G310,F310))</f>
        <v>402663.46485867479</v>
      </c>
      <c r="K310" s="11">
        <f>IF(B310="Pensioner",1,VLOOKUP(Assumptions!$B$10,Mortality!$A$2:$F$104,6,FALSE)/VLOOKUP(C310,Mortality!$A$2:$F$104,6,FALSE))</f>
        <v>0.98655351190569374</v>
      </c>
      <c r="L310" s="11">
        <f>VLOOKUP(IF(B310="Pensioner",C310,Assumptions!$B$10),Mortality!$A$2:$E$104,5,FALSE)</f>
        <v>17.296790022132885</v>
      </c>
      <c r="M310" s="11">
        <f>1+Assumptions!$B$13*Assumptions!$B$14*Assumptions!$B$15</f>
        <v>1.3187500000000001</v>
      </c>
      <c r="N310" s="11">
        <f>IF(B310="Pensioner",1,1/(1+Assumptions!$B$6)^G310)</f>
        <v>0.68533411879901873</v>
      </c>
      <c r="O310" s="17">
        <f t="shared" si="4"/>
        <v>6210023.0532849133</v>
      </c>
    </row>
    <row r="311" spans="1:15">
      <c r="A311" s="13" t="str">
        <f>Members!A311</f>
        <v>A0569</v>
      </c>
      <c r="B311" s="13" t="str">
        <f>Members!B311</f>
        <v>Active</v>
      </c>
      <c r="C311" s="13">
        <f>Members!C311</f>
        <v>53</v>
      </c>
      <c r="D311" s="14">
        <f>Members!D311</f>
        <v>22.4</v>
      </c>
      <c r="E311" s="16">
        <f>Members!E311</f>
        <v>1725000</v>
      </c>
      <c r="F311" s="16">
        <f>Members!F311</f>
        <v>0</v>
      </c>
      <c r="G311" s="15">
        <f>MAX(0,Assumptions!$B$10-C311)</f>
        <v>7</v>
      </c>
      <c r="H311" s="17">
        <f>IF(B311="Active",E311*(1+Assumptions!$B$7)^G311,E311)</f>
        <v>2509321.5529557951</v>
      </c>
      <c r="I311" s="17">
        <f>IF(B311="Active",MIN(Assumptions!$B$12,D311+G311),IF(B311="Deferred",MIN(Assumptions!$B$12,D311),D311))</f>
        <v>29.4</v>
      </c>
      <c r="J311" s="17">
        <f>IF(B311="Active",H311*I311*Assumptions!$B$11,IF(B311="Deferred",E311*I311*Assumptions!$B$11*(1+Assumptions!$B$9)^G311,F311))</f>
        <v>1229567.5609483395</v>
      </c>
      <c r="K311" s="11">
        <f>IF(B311="Pensioner",1,VLOOKUP(Assumptions!$B$10,Mortality!$A$2:$F$104,6,FALSE)/VLOOKUP(C311,Mortality!$A$2:$F$104,6,FALSE))</f>
        <v>0.98503000174313171</v>
      </c>
      <c r="L311" s="11">
        <f>VLOOKUP(IF(B311="Pensioner",C311,Assumptions!$B$10),Mortality!$A$2:$E$104,5,FALSE)</f>
        <v>17.296790022132885</v>
      </c>
      <c r="M311" s="11">
        <f>1+Assumptions!$B$13*Assumptions!$B$14*Assumptions!$B$15</f>
        <v>1.3187500000000001</v>
      </c>
      <c r="N311" s="11">
        <f>IF(B311="Pensioner",1,1/(1+Assumptions!$B$6)^G311)</f>
        <v>0.64350621483475945</v>
      </c>
      <c r="O311" s="17">
        <f t="shared" si="4"/>
        <v>17777987.096335497</v>
      </c>
    </row>
    <row r="312" spans="1:15">
      <c r="A312" s="13" t="str">
        <f>Members!A312</f>
        <v>A0416</v>
      </c>
      <c r="B312" s="13" t="str">
        <f>Members!B312</f>
        <v>Active</v>
      </c>
      <c r="C312" s="13">
        <f>Members!C312</f>
        <v>51</v>
      </c>
      <c r="D312" s="14">
        <f>Members!D312</f>
        <v>1.7</v>
      </c>
      <c r="E312" s="16">
        <f>Members!E312</f>
        <v>1621000</v>
      </c>
      <c r="F312" s="16">
        <f>Members!F312</f>
        <v>0</v>
      </c>
      <c r="G312" s="15">
        <f>MAX(0,Assumptions!$B$10-C312)</f>
        <v>9</v>
      </c>
      <c r="H312" s="17">
        <f>IF(B312="Active",E312*(1+Assumptions!$B$7)^G312,E312)</f>
        <v>2624551.8170532458</v>
      </c>
      <c r="I312" s="17">
        <f>IF(B312="Active",MIN(Assumptions!$B$12,D312+G312),IF(B312="Deferred",MIN(Assumptions!$B$12,D312),D312))</f>
        <v>10.7</v>
      </c>
      <c r="J312" s="17">
        <f>IF(B312="Active",H312*I312*Assumptions!$B$11,IF(B312="Deferred",E312*I312*Assumptions!$B$11*(1+Assumptions!$B$9)^G312,F312))</f>
        <v>468045.07404116209</v>
      </c>
      <c r="K312" s="11">
        <f>IF(B312="Pensioner",1,VLOOKUP(Assumptions!$B$10,Mortality!$A$2:$F$104,6,FALSE)/VLOOKUP(C312,Mortality!$A$2:$F$104,6,FALSE))</f>
        <v>0.98240527975061542</v>
      </c>
      <c r="L312" s="11">
        <f>VLOOKUP(IF(B312="Pensioner",C312,Assumptions!$B$10),Mortality!$A$2:$E$104,5,FALSE)</f>
        <v>17.296790022132885</v>
      </c>
      <c r="M312" s="11">
        <f>1+Assumptions!$B$13*Assumptions!$B$14*Assumptions!$B$15</f>
        <v>1.3187500000000001</v>
      </c>
      <c r="N312" s="11">
        <f>IF(B312="Pensioner",1,1/(1+Assumptions!$B$6)^G312)</f>
        <v>0.56735322782936326</v>
      </c>
      <c r="O312" s="17">
        <f t="shared" si="4"/>
        <v>5950588.0065835826</v>
      </c>
    </row>
    <row r="313" spans="1:15">
      <c r="A313" s="13" t="str">
        <f>Members!A313</f>
        <v>P0007</v>
      </c>
      <c r="B313" s="13" t="str">
        <f>Members!B313</f>
        <v>Pensioner</v>
      </c>
      <c r="C313" s="13">
        <f>Members!C313</f>
        <v>83</v>
      </c>
      <c r="D313" s="14">
        <f>Members!D313</f>
        <v>34.799999999999997</v>
      </c>
      <c r="E313" s="16">
        <f>Members!E313</f>
        <v>0</v>
      </c>
      <c r="F313" s="16">
        <f>Members!F313</f>
        <v>593000</v>
      </c>
      <c r="G313" s="15">
        <f>MAX(0,Assumptions!$B$10-C313)</f>
        <v>0</v>
      </c>
      <c r="H313" s="17">
        <f>IF(B313="Active",E313*(1+Assumptions!$B$7)^G313,E313)</f>
        <v>0</v>
      </c>
      <c r="I313" s="17">
        <f>IF(B313="Active",MIN(Assumptions!$B$12,D313+G313),IF(B313="Deferred",MIN(Assumptions!$B$12,D313),D313))</f>
        <v>34.799999999999997</v>
      </c>
      <c r="J313" s="17">
        <f>IF(B313="Active",H313*I313*Assumptions!$B$11,IF(B313="Deferred",E313*I313*Assumptions!$B$11*(1+Assumptions!$B$9)^G313,F313))</f>
        <v>593000</v>
      </c>
      <c r="K313" s="11">
        <f>IF(B313="Pensioner",1,VLOOKUP(Assumptions!$B$10,Mortality!$A$2:$F$104,6,FALSE)/VLOOKUP(C313,Mortality!$A$2:$F$104,6,FALSE))</f>
        <v>1</v>
      </c>
      <c r="L313" s="11">
        <f>VLOOKUP(IF(B313="Pensioner",C313,Assumptions!$B$10),Mortality!$A$2:$E$104,5,FALSE)</f>
        <v>7.0669562738307876</v>
      </c>
      <c r="M313" s="11">
        <f>1+Assumptions!$B$13*Assumptions!$B$14*Assumptions!$B$15</f>
        <v>1.3187500000000001</v>
      </c>
      <c r="N313" s="11">
        <f>IF(B313="Pensioner",1,1/(1+Assumptions!$B$6)^G313)</f>
        <v>1</v>
      </c>
      <c r="O313" s="17">
        <f t="shared" si="4"/>
        <v>5526492.3115658108</v>
      </c>
    </row>
    <row r="314" spans="1:15">
      <c r="A314" s="13" t="str">
        <f>Members!A314</f>
        <v>P0103</v>
      </c>
      <c r="B314" s="13" t="str">
        <f>Members!B314</f>
        <v>Pensioner</v>
      </c>
      <c r="C314" s="13">
        <f>Members!C314</f>
        <v>71</v>
      </c>
      <c r="D314" s="14">
        <f>Members!D314</f>
        <v>38.1</v>
      </c>
      <c r="E314" s="16">
        <f>Members!E314</f>
        <v>0</v>
      </c>
      <c r="F314" s="16">
        <f>Members!F314</f>
        <v>213000</v>
      </c>
      <c r="G314" s="15">
        <f>MAX(0,Assumptions!$B$10-C314)</f>
        <v>0</v>
      </c>
      <c r="H314" s="17">
        <f>IF(B314="Active",E314*(1+Assumptions!$B$7)^G314,E314)</f>
        <v>0</v>
      </c>
      <c r="I314" s="17">
        <f>IF(B314="Active",MIN(Assumptions!$B$12,D314+G314),IF(B314="Deferred",MIN(Assumptions!$B$12,D314),D314))</f>
        <v>38.1</v>
      </c>
      <c r="J314" s="17">
        <f>IF(B314="Active",H314*I314*Assumptions!$B$11,IF(B314="Deferred",E314*I314*Assumptions!$B$11*(1+Assumptions!$B$9)^G314,F314))</f>
        <v>213000</v>
      </c>
      <c r="K314" s="11">
        <f>IF(B314="Pensioner",1,VLOOKUP(Assumptions!$B$10,Mortality!$A$2:$F$104,6,FALSE)/VLOOKUP(C314,Mortality!$A$2:$F$104,6,FALSE))</f>
        <v>1</v>
      </c>
      <c r="L314" s="11">
        <f>VLOOKUP(IF(B314="Pensioner",C314,Assumptions!$B$10),Mortality!$A$2:$E$104,5,FALSE)</f>
        <v>12.506703342154774</v>
      </c>
      <c r="M314" s="11">
        <f>1+Assumptions!$B$13*Assumptions!$B$14*Assumptions!$B$15</f>
        <v>1.3187500000000001</v>
      </c>
      <c r="N314" s="11">
        <f>IF(B314="Pensioner",1,1/(1+Assumptions!$B$6)^G314)</f>
        <v>1</v>
      </c>
      <c r="O314" s="17">
        <f t="shared" si="4"/>
        <v>3513054.8019153876</v>
      </c>
    </row>
    <row r="315" spans="1:15">
      <c r="A315" s="13" t="str">
        <f>Members!A315</f>
        <v>A0074</v>
      </c>
      <c r="B315" s="13" t="str">
        <f>Members!B315</f>
        <v>Active</v>
      </c>
      <c r="C315" s="13">
        <f>Members!C315</f>
        <v>27</v>
      </c>
      <c r="D315" s="14">
        <f>Members!D315</f>
        <v>6.6</v>
      </c>
      <c r="E315" s="16">
        <f>Members!E315</f>
        <v>507000</v>
      </c>
      <c r="F315" s="16">
        <f>Members!F315</f>
        <v>0</v>
      </c>
      <c r="G315" s="15">
        <f>MAX(0,Assumptions!$B$10-C315)</f>
        <v>33</v>
      </c>
      <c r="H315" s="17">
        <f>IF(B315="Active",E315*(1+Assumptions!$B$7)^G315,E315)</f>
        <v>2967147.4396057446</v>
      </c>
      <c r="I315" s="17">
        <f>IF(B315="Active",MIN(Assumptions!$B$12,D315+G315),IF(B315="Deferred",MIN(Assumptions!$B$12,D315),D315))</f>
        <v>39.6</v>
      </c>
      <c r="J315" s="17">
        <f>IF(B315="Active",H315*I315*Assumptions!$B$11,IF(B315="Deferred",E315*I315*Assumptions!$B$11*(1+Assumptions!$B$9)^G315,F315))</f>
        <v>1958317.3101397913</v>
      </c>
      <c r="K315" s="11">
        <f>IF(B315="Pensioner",1,VLOOKUP(Assumptions!$B$10,Mortality!$A$2:$F$104,6,FALSE)/VLOOKUP(C315,Mortality!$A$2:$F$104,6,FALSE))</f>
        <v>0.96949713302845153</v>
      </c>
      <c r="L315" s="11">
        <f>VLOOKUP(IF(B315="Pensioner",C315,Assumptions!$B$10),Mortality!$A$2:$E$104,5,FALSE)</f>
        <v>17.296790022132885</v>
      </c>
      <c r="M315" s="11">
        <f>1+Assumptions!$B$13*Assumptions!$B$14*Assumptions!$B$15</f>
        <v>1.3187500000000001</v>
      </c>
      <c r="N315" s="11">
        <f>IF(B315="Pensioner",1,1/(1+Assumptions!$B$6)^G315)</f>
        <v>0.12515924752227392</v>
      </c>
      <c r="O315" s="17">
        <f t="shared" si="4"/>
        <v>5420265.0157656502</v>
      </c>
    </row>
    <row r="316" spans="1:15">
      <c r="A316" s="13" t="str">
        <f>Members!A316</f>
        <v>D0092</v>
      </c>
      <c r="B316" s="13" t="str">
        <f>Members!B316</f>
        <v>Deferred</v>
      </c>
      <c r="C316" s="13">
        <f>Members!C316</f>
        <v>41</v>
      </c>
      <c r="D316" s="14">
        <f>Members!D316</f>
        <v>6.7</v>
      </c>
      <c r="E316" s="16">
        <f>Members!E316</f>
        <v>753000</v>
      </c>
      <c r="F316" s="16">
        <f>Members!F316</f>
        <v>0</v>
      </c>
      <c r="G316" s="15">
        <f>MAX(0,Assumptions!$B$10-C316)</f>
        <v>19</v>
      </c>
      <c r="H316" s="17">
        <f>IF(B316="Active",E316*(1+Assumptions!$B$7)^G316,E316)</f>
        <v>753000</v>
      </c>
      <c r="I316" s="17">
        <f>IF(B316="Active",MIN(Assumptions!$B$12,D316+G316),IF(B316="Deferred",MIN(Assumptions!$B$12,D316),D316))</f>
        <v>6.7</v>
      </c>
      <c r="J316" s="17">
        <f>IF(B316="Active",H316*I316*Assumptions!$B$11,IF(B316="Deferred",E316*I316*Assumptions!$B$11*(1+Assumptions!$B$9)^G316,F316))</f>
        <v>177154.4129634281</v>
      </c>
      <c r="K316" s="11">
        <f>IF(B316="Pensioner",1,VLOOKUP(Assumptions!$B$10,Mortality!$A$2:$F$104,6,FALSE)/VLOOKUP(C316,Mortality!$A$2:$F$104,6,FALSE))</f>
        <v>0.97454789540795339</v>
      </c>
      <c r="L316" s="11">
        <f>VLOOKUP(IF(B316="Pensioner",C316,Assumptions!$B$10),Mortality!$A$2:$E$104,5,FALSE)</f>
        <v>17.296790022132885</v>
      </c>
      <c r="M316" s="11">
        <f>1+Assumptions!$B$13*Assumptions!$B$14*Assumptions!$B$15</f>
        <v>1.3187500000000001</v>
      </c>
      <c r="N316" s="11">
        <f>IF(B316="Pensioner",1,1/(1+Assumptions!$B$6)^G316)</f>
        <v>0.30224383580131214</v>
      </c>
      <c r="O316" s="17">
        <f t="shared" si="4"/>
        <v>1190256.6081433005</v>
      </c>
    </row>
    <row r="317" spans="1:15">
      <c r="A317" s="13" t="str">
        <f>Members!A317</f>
        <v>D0048</v>
      </c>
      <c r="B317" s="13" t="str">
        <f>Members!B317</f>
        <v>Deferred</v>
      </c>
      <c r="C317" s="13">
        <f>Members!C317</f>
        <v>53</v>
      </c>
      <c r="D317" s="14">
        <f>Members!D317</f>
        <v>22.7</v>
      </c>
      <c r="E317" s="16">
        <f>Members!E317</f>
        <v>847000</v>
      </c>
      <c r="F317" s="16">
        <f>Members!F317</f>
        <v>0</v>
      </c>
      <c r="G317" s="15">
        <f>MAX(0,Assumptions!$B$10-C317)</f>
        <v>7</v>
      </c>
      <c r="H317" s="17">
        <f>IF(B317="Active",E317*(1+Assumptions!$B$7)^G317,E317)</f>
        <v>847000</v>
      </c>
      <c r="I317" s="17">
        <f>IF(B317="Active",MIN(Assumptions!$B$12,D317+G317),IF(B317="Deferred",MIN(Assumptions!$B$12,D317),D317))</f>
        <v>22.7</v>
      </c>
      <c r="J317" s="17">
        <f>IF(B317="Active",H317*I317*Assumptions!$B$11,IF(B317="Deferred",E317*I317*Assumptions!$B$11*(1+Assumptions!$B$9)^G317,F317))</f>
        <v>421688.14543649292</v>
      </c>
      <c r="K317" s="11">
        <f>IF(B317="Pensioner",1,VLOOKUP(Assumptions!$B$10,Mortality!$A$2:$F$104,6,FALSE)/VLOOKUP(C317,Mortality!$A$2:$F$104,6,FALSE))</f>
        <v>0.98503000174313171</v>
      </c>
      <c r="L317" s="11">
        <f>VLOOKUP(IF(B317="Pensioner",C317,Assumptions!$B$10),Mortality!$A$2:$E$104,5,FALSE)</f>
        <v>17.296790022132885</v>
      </c>
      <c r="M317" s="11">
        <f>1+Assumptions!$B$13*Assumptions!$B$14*Assumptions!$B$15</f>
        <v>1.3187500000000001</v>
      </c>
      <c r="N317" s="11">
        <f>IF(B317="Pensioner",1,1/(1+Assumptions!$B$6)^G317)</f>
        <v>0.64350621483475945</v>
      </c>
      <c r="O317" s="17">
        <f t="shared" si="4"/>
        <v>6097075.6275202306</v>
      </c>
    </row>
    <row r="318" spans="1:15">
      <c r="A318" s="13" t="str">
        <f>Members!A318</f>
        <v>A0311</v>
      </c>
      <c r="B318" s="13" t="str">
        <f>Members!B318</f>
        <v>Active</v>
      </c>
      <c r="C318" s="13">
        <f>Members!C318</f>
        <v>54</v>
      </c>
      <c r="D318" s="14">
        <f>Members!D318</f>
        <v>28.3</v>
      </c>
      <c r="E318" s="16">
        <f>Members!E318</f>
        <v>1330000</v>
      </c>
      <c r="F318" s="16">
        <f>Members!F318</f>
        <v>0</v>
      </c>
      <c r="G318" s="15">
        <f>MAX(0,Assumptions!$B$10-C318)</f>
        <v>6</v>
      </c>
      <c r="H318" s="17">
        <f>IF(B318="Active",E318*(1+Assumptions!$B$7)^G318,E318)</f>
        <v>1833860.932993314</v>
      </c>
      <c r="I318" s="17">
        <f>IF(B318="Active",MIN(Assumptions!$B$12,D318+G318),IF(B318="Deferred",MIN(Assumptions!$B$12,D318),D318))</f>
        <v>34.299999999999997</v>
      </c>
      <c r="J318" s="17">
        <f>IF(B318="Active",H318*I318*Assumptions!$B$11,IF(B318="Deferred",E318*I318*Assumptions!$B$11*(1+Assumptions!$B$9)^G318,F318))</f>
        <v>1048357.1666945111</v>
      </c>
      <c r="K318" s="11">
        <f>IF(B318="Pensioner",1,VLOOKUP(Assumptions!$B$10,Mortality!$A$2:$F$104,6,FALSE)/VLOOKUP(C318,Mortality!$A$2:$F$104,6,FALSE))</f>
        <v>0.98655351190569374</v>
      </c>
      <c r="L318" s="11">
        <f>VLOOKUP(IF(B318="Pensioner",C318,Assumptions!$B$10),Mortality!$A$2:$E$104,5,FALSE)</f>
        <v>17.296790022132885</v>
      </c>
      <c r="M318" s="11">
        <f>1+Assumptions!$B$13*Assumptions!$B$14*Assumptions!$B$15</f>
        <v>1.3187500000000001</v>
      </c>
      <c r="N318" s="11">
        <f>IF(B318="Pensioner",1,1/(1+Assumptions!$B$6)^G318)</f>
        <v>0.68533411879901873</v>
      </c>
      <c r="O318" s="17">
        <f t="shared" si="4"/>
        <v>16168147.20335836</v>
      </c>
    </row>
    <row r="319" spans="1:15">
      <c r="A319" s="13" t="str">
        <f>Members!A319</f>
        <v>P0162</v>
      </c>
      <c r="B319" s="13" t="str">
        <f>Members!B319</f>
        <v>Pensioner</v>
      </c>
      <c r="C319" s="13">
        <f>Members!C319</f>
        <v>68</v>
      </c>
      <c r="D319" s="14">
        <f>Members!D319</f>
        <v>16.899999999999999</v>
      </c>
      <c r="E319" s="16">
        <f>Members!E319</f>
        <v>0</v>
      </c>
      <c r="F319" s="16">
        <f>Members!F319</f>
        <v>346000</v>
      </c>
      <c r="G319" s="15">
        <f>MAX(0,Assumptions!$B$10-C319)</f>
        <v>0</v>
      </c>
      <c r="H319" s="17">
        <f>IF(B319="Active",E319*(1+Assumptions!$B$7)^G319,E319)</f>
        <v>0</v>
      </c>
      <c r="I319" s="17">
        <f>IF(B319="Active",MIN(Assumptions!$B$12,D319+G319),IF(B319="Deferred",MIN(Assumptions!$B$12,D319),D319))</f>
        <v>16.899999999999999</v>
      </c>
      <c r="J319" s="17">
        <f>IF(B319="Active",H319*I319*Assumptions!$B$11,IF(B319="Deferred",E319*I319*Assumptions!$B$11*(1+Assumptions!$B$9)^G319,F319))</f>
        <v>346000</v>
      </c>
      <c r="K319" s="11">
        <f>IF(B319="Pensioner",1,VLOOKUP(Assumptions!$B$10,Mortality!$A$2:$F$104,6,FALSE)/VLOOKUP(C319,Mortality!$A$2:$F$104,6,FALSE))</f>
        <v>1</v>
      </c>
      <c r="L319" s="11">
        <f>VLOOKUP(IF(B319="Pensioner",C319,Assumptions!$B$10),Mortality!$A$2:$E$104,5,FALSE)</f>
        <v>13.869459484105445</v>
      </c>
      <c r="M319" s="11">
        <f>1+Assumptions!$B$13*Assumptions!$B$14*Assumptions!$B$15</f>
        <v>1.3187500000000001</v>
      </c>
      <c r="N319" s="11">
        <f>IF(B319="Pensioner",1,1/(1+Assumptions!$B$6)^G319)</f>
        <v>1</v>
      </c>
      <c r="O319" s="17">
        <f t="shared" si="4"/>
        <v>6328460.9943537638</v>
      </c>
    </row>
    <row r="320" spans="1:15">
      <c r="A320" s="13" t="str">
        <f>Members!A320</f>
        <v>A0521</v>
      </c>
      <c r="B320" s="13" t="str">
        <f>Members!B320</f>
        <v>Active</v>
      </c>
      <c r="C320" s="13">
        <f>Members!C320</f>
        <v>30</v>
      </c>
      <c r="D320" s="14">
        <f>Members!D320</f>
        <v>2.5</v>
      </c>
      <c r="E320" s="16">
        <f>Members!E320</f>
        <v>564000</v>
      </c>
      <c r="F320" s="16">
        <f>Members!F320</f>
        <v>0</v>
      </c>
      <c r="G320" s="15">
        <f>MAX(0,Assumptions!$B$10-C320)</f>
        <v>30</v>
      </c>
      <c r="H320" s="17">
        <f>IF(B320="Active",E320*(1+Assumptions!$B$7)^G320,E320)</f>
        <v>2810948.5266548139</v>
      </c>
      <c r="I320" s="17">
        <f>IF(B320="Active",MIN(Assumptions!$B$12,D320+G320),IF(B320="Deferred",MIN(Assumptions!$B$12,D320),D320))</f>
        <v>32.5</v>
      </c>
      <c r="J320" s="17">
        <f>IF(B320="Active",H320*I320*Assumptions!$B$11,IF(B320="Deferred",E320*I320*Assumptions!$B$11*(1+Assumptions!$B$9)^G320,F320))</f>
        <v>1522597.1186046908</v>
      </c>
      <c r="K320" s="11">
        <f>IF(B320="Pensioner",1,VLOOKUP(Assumptions!$B$10,Mortality!$A$2:$F$104,6,FALSE)/VLOOKUP(C320,Mortality!$A$2:$F$104,6,FALSE))</f>
        <v>0.97034568803187526</v>
      </c>
      <c r="L320" s="11">
        <f>VLOOKUP(IF(B320="Pensioner",C320,Assumptions!$B$10),Mortality!$A$2:$E$104,5,FALSE)</f>
        <v>17.296790022132885</v>
      </c>
      <c r="M320" s="11">
        <f>1+Assumptions!$B$13*Assumptions!$B$14*Assumptions!$B$15</f>
        <v>1.3187500000000001</v>
      </c>
      <c r="N320" s="11">
        <f>IF(B320="Pensioner",1,1/(1+Assumptions!$B$6)^G320)</f>
        <v>0.15118606610981289</v>
      </c>
      <c r="O320" s="17">
        <f t="shared" si="4"/>
        <v>5095082.6877920637</v>
      </c>
    </row>
    <row r="321" spans="1:15">
      <c r="A321" s="13" t="str">
        <f>Members!A321</f>
        <v>D0025</v>
      </c>
      <c r="B321" s="13" t="str">
        <f>Members!B321</f>
        <v>Deferred</v>
      </c>
      <c r="C321" s="13">
        <f>Members!C321</f>
        <v>56</v>
      </c>
      <c r="D321" s="14">
        <f>Members!D321</f>
        <v>23.2</v>
      </c>
      <c r="E321" s="16">
        <f>Members!E321</f>
        <v>982000</v>
      </c>
      <c r="F321" s="16">
        <f>Members!F321</f>
        <v>0</v>
      </c>
      <c r="G321" s="15">
        <f>MAX(0,Assumptions!$B$10-C321)</f>
        <v>4</v>
      </c>
      <c r="H321" s="17">
        <f>IF(B321="Active",E321*(1+Assumptions!$B$7)^G321,E321)</f>
        <v>982000</v>
      </c>
      <c r="I321" s="17">
        <f>IF(B321="Active",MIN(Assumptions!$B$12,D321+G321),IF(B321="Deferred",MIN(Assumptions!$B$12,D321),D321))</f>
        <v>23.2</v>
      </c>
      <c r="J321" s="17">
        <f>IF(B321="Active",H321*I321*Assumptions!$B$11,IF(B321="Deferred",E321*I321*Assumptions!$B$11*(1+Assumptions!$B$9)^G321,F321))</f>
        <v>444203.09428906679</v>
      </c>
      <c r="K321" s="11">
        <f>IF(B321="Pensioner",1,VLOOKUP(Assumptions!$B$10,Mortality!$A$2:$F$104,6,FALSE)/VLOOKUP(C321,Mortality!$A$2:$F$104,6,FALSE))</f>
        <v>0.99011625581042195</v>
      </c>
      <c r="L321" s="11">
        <f>VLOOKUP(IF(B321="Pensioner",C321,Assumptions!$B$10),Mortality!$A$2:$E$104,5,FALSE)</f>
        <v>17.296790022132885</v>
      </c>
      <c r="M321" s="11">
        <f>1+Assumptions!$B$13*Assumptions!$B$14*Assumptions!$B$15</f>
        <v>1.3187500000000001</v>
      </c>
      <c r="N321" s="11">
        <f>IF(B321="Pensioner",1,1/(1+Assumptions!$B$6)^G321)</f>
        <v>0.77732309089481699</v>
      </c>
      <c r="O321" s="17">
        <f t="shared" si="4"/>
        <v>7798253.074702627</v>
      </c>
    </row>
    <row r="322" spans="1:15">
      <c r="A322" s="13" t="str">
        <f>Members!A322</f>
        <v>A0236</v>
      </c>
      <c r="B322" s="13" t="str">
        <f>Members!B322</f>
        <v>Active</v>
      </c>
      <c r="C322" s="13">
        <f>Members!C322</f>
        <v>34</v>
      </c>
      <c r="D322" s="14">
        <f>Members!D322</f>
        <v>8.3000000000000007</v>
      </c>
      <c r="E322" s="16">
        <f>Members!E322</f>
        <v>746000</v>
      </c>
      <c r="F322" s="16">
        <f>Members!F322</f>
        <v>0</v>
      </c>
      <c r="G322" s="15">
        <f>MAX(0,Assumptions!$B$10-C322)</f>
        <v>26</v>
      </c>
      <c r="H322" s="17">
        <f>IF(B322="Active",E322*(1+Assumptions!$B$7)^G322,E322)</f>
        <v>3001254.1801351244</v>
      </c>
      <c r="I322" s="17">
        <f>IF(B322="Active",MIN(Assumptions!$B$12,D322+G322),IF(B322="Deferred",MIN(Assumptions!$B$12,D322),D322))</f>
        <v>34.299999999999997</v>
      </c>
      <c r="J322" s="17">
        <f>IF(B322="Active",H322*I322*Assumptions!$B$11,IF(B322="Deferred",E322*I322*Assumptions!$B$11*(1+Assumptions!$B$9)^G322,F322))</f>
        <v>1715716.9729772459</v>
      </c>
      <c r="K322" s="11">
        <f>IF(B322="Pensioner",1,VLOOKUP(Assumptions!$B$10,Mortality!$A$2:$F$104,6,FALSE)/VLOOKUP(C322,Mortality!$A$2:$F$104,6,FALSE))</f>
        <v>0.97162058192333911</v>
      </c>
      <c r="L322" s="11">
        <f>VLOOKUP(IF(B322="Pensioner",C322,Assumptions!$B$10),Mortality!$A$2:$E$104,5,FALSE)</f>
        <v>17.296790022132885</v>
      </c>
      <c r="M322" s="11">
        <f>1+Assumptions!$B$13*Assumptions!$B$14*Assumptions!$B$15</f>
        <v>1.3187500000000001</v>
      </c>
      <c r="N322" s="11">
        <f>IF(B322="Pensioner",1,1/(1+Assumptions!$B$6)^G322)</f>
        <v>0.19449578673364096</v>
      </c>
      <c r="O322" s="17">
        <f t="shared" ref="O322:O385" si="5">J322*K322*L322*M322*N322</f>
        <v>7395721.3070543008</v>
      </c>
    </row>
    <row r="323" spans="1:15">
      <c r="A323" s="13" t="str">
        <f>Members!A323</f>
        <v>A0265</v>
      </c>
      <c r="B323" s="13" t="str">
        <f>Members!B323</f>
        <v>Active</v>
      </c>
      <c r="C323" s="13">
        <f>Members!C323</f>
        <v>46</v>
      </c>
      <c r="D323" s="14">
        <f>Members!D323</f>
        <v>2.2000000000000002</v>
      </c>
      <c r="E323" s="16">
        <f>Members!E323</f>
        <v>1345000</v>
      </c>
      <c r="F323" s="16">
        <f>Members!F323</f>
        <v>0</v>
      </c>
      <c r="G323" s="15">
        <f>MAX(0,Assumptions!$B$10-C323)</f>
        <v>14</v>
      </c>
      <c r="H323" s="17">
        <f>IF(B323="Active",E323*(1+Assumptions!$B$7)^G323,E323)</f>
        <v>2846143.0161706563</v>
      </c>
      <c r="I323" s="17">
        <f>IF(B323="Active",MIN(Assumptions!$B$12,D323+G323),IF(B323="Deferred",MIN(Assumptions!$B$12,D323),D323))</f>
        <v>16.2</v>
      </c>
      <c r="J323" s="17">
        <f>IF(B323="Active",H323*I323*Assumptions!$B$11,IF(B323="Deferred",E323*I323*Assumptions!$B$11*(1+Assumptions!$B$9)^G323,F323))</f>
        <v>768458.61436607712</v>
      </c>
      <c r="K323" s="11">
        <f>IF(B323="Pensioner",1,VLOOKUP(Assumptions!$B$10,Mortality!$A$2:$F$104,6,FALSE)/VLOOKUP(C323,Mortality!$A$2:$F$104,6,FALSE))</f>
        <v>0.97765823283048059</v>
      </c>
      <c r="L323" s="11">
        <f>VLOOKUP(IF(B323="Pensioner",C323,Assumptions!$B$10),Mortality!$A$2:$E$104,5,FALSE)</f>
        <v>17.296790022132885</v>
      </c>
      <c r="M323" s="11">
        <f>1+Assumptions!$B$13*Assumptions!$B$14*Assumptions!$B$15</f>
        <v>1.3187500000000001</v>
      </c>
      <c r="N323" s="11">
        <f>IF(B323="Pensioner",1,1/(1+Assumptions!$B$6)^G323)</f>
        <v>0.41410024853095956</v>
      </c>
      <c r="O323" s="17">
        <f t="shared" si="5"/>
        <v>7096447.958132443</v>
      </c>
    </row>
    <row r="324" spans="1:15">
      <c r="A324" s="13" t="str">
        <f>Members!A324</f>
        <v>A0578</v>
      </c>
      <c r="B324" s="13" t="str">
        <f>Members!B324</f>
        <v>Active</v>
      </c>
      <c r="C324" s="13">
        <f>Members!C324</f>
        <v>45</v>
      </c>
      <c r="D324" s="14">
        <f>Members!D324</f>
        <v>18.899999999999999</v>
      </c>
      <c r="E324" s="16">
        <f>Members!E324</f>
        <v>1011000</v>
      </c>
      <c r="F324" s="16">
        <f>Members!F324</f>
        <v>0</v>
      </c>
      <c r="G324" s="15">
        <f>MAX(0,Assumptions!$B$10-C324)</f>
        <v>15</v>
      </c>
      <c r="H324" s="17">
        <f>IF(B324="Active",E324*(1+Assumptions!$B$7)^G324,E324)</f>
        <v>2257033.733652567</v>
      </c>
      <c r="I324" s="17">
        <f>IF(B324="Active",MIN(Assumptions!$B$12,D324+G324),IF(B324="Deferred",MIN(Assumptions!$B$12,D324),D324))</f>
        <v>33.9</v>
      </c>
      <c r="J324" s="17">
        <f>IF(B324="Active",H324*I324*Assumptions!$B$11,IF(B324="Deferred",E324*I324*Assumptions!$B$11*(1+Assumptions!$B$9)^G324,F324))</f>
        <v>1275224.0595137002</v>
      </c>
      <c r="K324" s="11">
        <f>IF(B324="Pensioner",1,VLOOKUP(Assumptions!$B$10,Mortality!$A$2:$F$104,6,FALSE)/VLOOKUP(C324,Mortality!$A$2:$F$104,6,FALSE))</f>
        <v>0.97693494781946555</v>
      </c>
      <c r="L324" s="11">
        <f>VLOOKUP(IF(B324="Pensioner",C324,Assumptions!$B$10),Mortality!$A$2:$E$104,5,FALSE)</f>
        <v>17.296790022132885</v>
      </c>
      <c r="M324" s="11">
        <f>1+Assumptions!$B$13*Assumptions!$B$14*Assumptions!$B$15</f>
        <v>1.3187500000000001</v>
      </c>
      <c r="N324" s="11">
        <f>IF(B324="Pensioner",1,1/(1+Assumptions!$B$6)^G324)</f>
        <v>0.38882652444221566</v>
      </c>
      <c r="O324" s="17">
        <f t="shared" si="5"/>
        <v>11049331.745547222</v>
      </c>
    </row>
    <row r="325" spans="1:15">
      <c r="A325" s="13" t="str">
        <f>Members!A325</f>
        <v>D0013</v>
      </c>
      <c r="B325" s="13" t="str">
        <f>Members!B325</f>
        <v>Deferred</v>
      </c>
      <c r="C325" s="13">
        <f>Members!C325</f>
        <v>45</v>
      </c>
      <c r="D325" s="14">
        <f>Members!D325</f>
        <v>16.399999999999999</v>
      </c>
      <c r="E325" s="16">
        <f>Members!E325</f>
        <v>546000</v>
      </c>
      <c r="F325" s="16">
        <f>Members!F325</f>
        <v>0</v>
      </c>
      <c r="G325" s="15">
        <f>MAX(0,Assumptions!$B$10-C325)</f>
        <v>15</v>
      </c>
      <c r="H325" s="17">
        <f>IF(B325="Active",E325*(1+Assumptions!$B$7)^G325,E325)</f>
        <v>546000</v>
      </c>
      <c r="I325" s="17">
        <f>IF(B325="Active",MIN(Assumptions!$B$12,D325+G325),IF(B325="Deferred",MIN(Assumptions!$B$12,D325),D325))</f>
        <v>16.399999999999999</v>
      </c>
      <c r="J325" s="17">
        <f>IF(B325="Active",H325*I325*Assumptions!$B$11,IF(B325="Deferred",E325*I325*Assumptions!$B$11*(1+Assumptions!$B$9)^G325,F325))</f>
        <v>268772.80876185227</v>
      </c>
      <c r="K325" s="11">
        <f>IF(B325="Pensioner",1,VLOOKUP(Assumptions!$B$10,Mortality!$A$2:$F$104,6,FALSE)/VLOOKUP(C325,Mortality!$A$2:$F$104,6,FALSE))</f>
        <v>0.97693494781946555</v>
      </c>
      <c r="L325" s="11">
        <f>VLOOKUP(IF(B325="Pensioner",C325,Assumptions!$B$10),Mortality!$A$2:$E$104,5,FALSE)</f>
        <v>17.296790022132885</v>
      </c>
      <c r="M325" s="11">
        <f>1+Assumptions!$B$13*Assumptions!$B$14*Assumptions!$B$15</f>
        <v>1.3187500000000001</v>
      </c>
      <c r="N325" s="11">
        <f>IF(B325="Pensioner",1,1/(1+Assumptions!$B$6)^G325)</f>
        <v>0.38882652444221566</v>
      </c>
      <c r="O325" s="17">
        <f t="shared" si="5"/>
        <v>2328814.2236939361</v>
      </c>
    </row>
    <row r="326" spans="1:15">
      <c r="A326" s="13" t="str">
        <f>Members!A326</f>
        <v>A0453</v>
      </c>
      <c r="B326" s="13" t="str">
        <f>Members!B326</f>
        <v>Active</v>
      </c>
      <c r="C326" s="13">
        <f>Members!C326</f>
        <v>27</v>
      </c>
      <c r="D326" s="14">
        <f>Members!D326</f>
        <v>5.9</v>
      </c>
      <c r="E326" s="16">
        <f>Members!E326</f>
        <v>537000</v>
      </c>
      <c r="F326" s="16">
        <f>Members!F326</f>
        <v>0</v>
      </c>
      <c r="G326" s="15">
        <f>MAX(0,Assumptions!$B$10-C326)</f>
        <v>33</v>
      </c>
      <c r="H326" s="17">
        <f>IF(B326="Active",E326*(1+Assumptions!$B$7)^G326,E326)</f>
        <v>3142718.2940202854</v>
      </c>
      <c r="I326" s="17">
        <f>IF(B326="Active",MIN(Assumptions!$B$12,D326+G326),IF(B326="Deferred",MIN(Assumptions!$B$12,D326),D326))</f>
        <v>38.9</v>
      </c>
      <c r="J326" s="17">
        <f>IF(B326="Active",H326*I326*Assumptions!$B$11,IF(B326="Deferred",E326*I326*Assumptions!$B$11*(1+Assumptions!$B$9)^G326,F326))</f>
        <v>2037529.0272898183</v>
      </c>
      <c r="K326" s="11">
        <f>IF(B326="Pensioner",1,VLOOKUP(Assumptions!$B$10,Mortality!$A$2:$F$104,6,FALSE)/VLOOKUP(C326,Mortality!$A$2:$F$104,6,FALSE))</f>
        <v>0.96949713302845153</v>
      </c>
      <c r="L326" s="11">
        <f>VLOOKUP(IF(B326="Pensioner",C326,Assumptions!$B$10),Mortality!$A$2:$E$104,5,FALSE)</f>
        <v>17.296790022132885</v>
      </c>
      <c r="M326" s="11">
        <f>1+Assumptions!$B$13*Assumptions!$B$14*Assumptions!$B$15</f>
        <v>1.3187500000000001</v>
      </c>
      <c r="N326" s="11">
        <f>IF(B326="Pensioner",1,1/(1+Assumptions!$B$6)^G326)</f>
        <v>0.12515924752227392</v>
      </c>
      <c r="O326" s="17">
        <f t="shared" si="5"/>
        <v>5639508.5965091446</v>
      </c>
    </row>
    <row r="327" spans="1:15">
      <c r="A327" s="13" t="str">
        <f>Members!A327</f>
        <v>D0108</v>
      </c>
      <c r="B327" s="13" t="str">
        <f>Members!B327</f>
        <v>Deferred</v>
      </c>
      <c r="C327" s="13">
        <f>Members!C327</f>
        <v>46</v>
      </c>
      <c r="D327" s="14">
        <f>Members!D327</f>
        <v>9.5</v>
      </c>
      <c r="E327" s="16">
        <f>Members!E327</f>
        <v>818000</v>
      </c>
      <c r="F327" s="16">
        <f>Members!F327</f>
        <v>0</v>
      </c>
      <c r="G327" s="15">
        <f>MAX(0,Assumptions!$B$10-C327)</f>
        <v>14</v>
      </c>
      <c r="H327" s="17">
        <f>IF(B327="Active",E327*(1+Assumptions!$B$7)^G327,E327)</f>
        <v>818000</v>
      </c>
      <c r="I327" s="17">
        <f>IF(B327="Active",MIN(Assumptions!$B$12,D327+G327),IF(B327="Deferred",MIN(Assumptions!$B$12,D327),D327))</f>
        <v>9.5</v>
      </c>
      <c r="J327" s="17">
        <f>IF(B327="Active",H327*I327*Assumptions!$B$11,IF(B327="Deferred",E327*I327*Assumptions!$B$11*(1+Assumptions!$B$9)^G327,F327))</f>
        <v>224280.96123868992</v>
      </c>
      <c r="K327" s="11">
        <f>IF(B327="Pensioner",1,VLOOKUP(Assumptions!$B$10,Mortality!$A$2:$F$104,6,FALSE)/VLOOKUP(C327,Mortality!$A$2:$F$104,6,FALSE))</f>
        <v>0.97765823283048059</v>
      </c>
      <c r="L327" s="11">
        <f>VLOOKUP(IF(B327="Pensioner",C327,Assumptions!$B$10),Mortality!$A$2:$E$104,5,FALSE)</f>
        <v>17.296790022132885</v>
      </c>
      <c r="M327" s="11">
        <f>1+Assumptions!$B$13*Assumptions!$B$14*Assumptions!$B$15</f>
        <v>1.3187500000000001</v>
      </c>
      <c r="N327" s="11">
        <f>IF(B327="Pensioner",1,1/(1+Assumptions!$B$6)^G327)</f>
        <v>0.41410024853095956</v>
      </c>
      <c r="O327" s="17">
        <f t="shared" si="5"/>
        <v>2071156.6500471032</v>
      </c>
    </row>
    <row r="328" spans="1:15">
      <c r="A328" s="13" t="str">
        <f>Members!A328</f>
        <v>P0045</v>
      </c>
      <c r="B328" s="13" t="str">
        <f>Members!B328</f>
        <v>Pensioner</v>
      </c>
      <c r="C328" s="13">
        <f>Members!C328</f>
        <v>86</v>
      </c>
      <c r="D328" s="14">
        <f>Members!D328</f>
        <v>36.1</v>
      </c>
      <c r="E328" s="16">
        <f>Members!E328</f>
        <v>0</v>
      </c>
      <c r="F328" s="16">
        <f>Members!F328</f>
        <v>311000</v>
      </c>
      <c r="G328" s="15">
        <f>MAX(0,Assumptions!$B$10-C328)</f>
        <v>0</v>
      </c>
      <c r="H328" s="17">
        <f>IF(B328="Active",E328*(1+Assumptions!$B$7)^G328,E328)</f>
        <v>0</v>
      </c>
      <c r="I328" s="17">
        <f>IF(B328="Active",MIN(Assumptions!$B$12,D328+G328),IF(B328="Deferred",MIN(Assumptions!$B$12,D328),D328))</f>
        <v>36.1</v>
      </c>
      <c r="J328" s="17">
        <f>IF(B328="Active",H328*I328*Assumptions!$B$11,IF(B328="Deferred",E328*I328*Assumptions!$B$11*(1+Assumptions!$B$9)^G328,F328))</f>
        <v>311000</v>
      </c>
      <c r="K328" s="11">
        <f>IF(B328="Pensioner",1,VLOOKUP(Assumptions!$B$10,Mortality!$A$2:$F$104,6,FALSE)/VLOOKUP(C328,Mortality!$A$2:$F$104,6,FALSE))</f>
        <v>1</v>
      </c>
      <c r="L328" s="11">
        <f>VLOOKUP(IF(B328="Pensioner",C328,Assumptions!$B$10),Mortality!$A$2:$E$104,5,FALSE)</f>
        <v>5.822832972912483</v>
      </c>
      <c r="M328" s="11">
        <f>1+Assumptions!$B$13*Assumptions!$B$14*Assumptions!$B$15</f>
        <v>1.3187500000000001</v>
      </c>
      <c r="N328" s="11">
        <f>IF(B328="Pensioner",1,1/(1+Assumptions!$B$6)^G328)</f>
        <v>1</v>
      </c>
      <c r="O328" s="17">
        <f t="shared" si="5"/>
        <v>2388125.7657218128</v>
      </c>
    </row>
    <row r="329" spans="1:15">
      <c r="A329" s="13" t="str">
        <f>Members!A329</f>
        <v>A0554</v>
      </c>
      <c r="B329" s="13" t="str">
        <f>Members!B329</f>
        <v>Active</v>
      </c>
      <c r="C329" s="13">
        <f>Members!C329</f>
        <v>32</v>
      </c>
      <c r="D329" s="14">
        <f>Members!D329</f>
        <v>3</v>
      </c>
      <c r="E329" s="16">
        <f>Members!E329</f>
        <v>769000</v>
      </c>
      <c r="F329" s="16">
        <f>Members!F329</f>
        <v>0</v>
      </c>
      <c r="G329" s="15">
        <f>MAX(0,Assumptions!$B$10-C329)</f>
        <v>28</v>
      </c>
      <c r="H329" s="17">
        <f>IF(B329="Active",E329*(1+Assumptions!$B$7)^G329,E329)</f>
        <v>3443461.3245666558</v>
      </c>
      <c r="I329" s="17">
        <f>IF(B329="Active",MIN(Assumptions!$B$12,D329+G329),IF(B329="Deferred",MIN(Assumptions!$B$12,D329),D329))</f>
        <v>31</v>
      </c>
      <c r="J329" s="17">
        <f>IF(B329="Active",H329*I329*Assumptions!$B$11,IF(B329="Deferred",E329*I329*Assumptions!$B$11*(1+Assumptions!$B$9)^G329,F329))</f>
        <v>1779121.6843594387</v>
      </c>
      <c r="K329" s="11">
        <f>IF(B329="Pensioner",1,VLOOKUP(Assumptions!$B$10,Mortality!$A$2:$F$104,6,FALSE)/VLOOKUP(C329,Mortality!$A$2:$F$104,6,FALSE))</f>
        <v>0.97095846876649572</v>
      </c>
      <c r="L329" s="11">
        <f>VLOOKUP(IF(B329="Pensioner",C329,Assumptions!$B$10),Mortality!$A$2:$E$104,5,FALSE)</f>
        <v>17.296790022132885</v>
      </c>
      <c r="M329" s="11">
        <f>1+Assumptions!$B$13*Assumptions!$B$14*Assumptions!$B$15</f>
        <v>1.3187500000000001</v>
      </c>
      <c r="N329" s="11">
        <f>IF(B329="Pensioner",1,1/(1+Assumptions!$B$6)^G329)</f>
        <v>0.17147901583340255</v>
      </c>
      <c r="O329" s="17">
        <f t="shared" si="5"/>
        <v>6756865.5177334193</v>
      </c>
    </row>
    <row r="330" spans="1:15">
      <c r="A330" s="13" t="str">
        <f>Members!A330</f>
        <v>D0056</v>
      </c>
      <c r="B330" s="13" t="str">
        <f>Members!B330</f>
        <v>Deferred</v>
      </c>
      <c r="C330" s="13">
        <f>Members!C330</f>
        <v>57</v>
      </c>
      <c r="D330" s="14">
        <f>Members!D330</f>
        <v>17.3</v>
      </c>
      <c r="E330" s="16">
        <f>Members!E330</f>
        <v>1392000</v>
      </c>
      <c r="F330" s="16">
        <f>Members!F330</f>
        <v>0</v>
      </c>
      <c r="G330" s="15">
        <f>MAX(0,Assumptions!$B$10-C330)</f>
        <v>3</v>
      </c>
      <c r="H330" s="17">
        <f>IF(B330="Active",E330*(1+Assumptions!$B$7)^G330,E330)</f>
        <v>1392000</v>
      </c>
      <c r="I330" s="17">
        <f>IF(B330="Active",MIN(Assumptions!$B$12,D330+G330),IF(B330="Deferred",MIN(Assumptions!$B$12,D330),D330))</f>
        <v>17.3</v>
      </c>
      <c r="J330" s="17">
        <f>IF(B330="Active",H330*I330*Assumptions!$B$11,IF(B330="Deferred",E330*I330*Assumptions!$B$11*(1+Assumptions!$B$9)^G330,F330))</f>
        <v>451475.41504000005</v>
      </c>
      <c r="K330" s="11">
        <f>IF(B330="Pensioner",1,VLOOKUP(Assumptions!$B$10,Mortality!$A$2:$F$104,6,FALSE)/VLOOKUP(C330,Mortality!$A$2:$F$104,6,FALSE))</f>
        <v>0.99220038929214172</v>
      </c>
      <c r="L330" s="11">
        <f>VLOOKUP(IF(B330="Pensioner",C330,Assumptions!$B$10),Mortality!$A$2:$E$104,5,FALSE)</f>
        <v>17.296790022132885</v>
      </c>
      <c r="M330" s="11">
        <f>1+Assumptions!$B$13*Assumptions!$B$14*Assumptions!$B$15</f>
        <v>1.3187500000000001</v>
      </c>
      <c r="N330" s="11">
        <f>IF(B330="Pensioner",1,1/(1+Assumptions!$B$6)^G330)</f>
        <v>0.82784909180297994</v>
      </c>
      <c r="O330" s="17">
        <f t="shared" si="5"/>
        <v>8458876.0576194804</v>
      </c>
    </row>
    <row r="331" spans="1:15">
      <c r="A331" s="13" t="str">
        <f>Members!A331</f>
        <v>A0571</v>
      </c>
      <c r="B331" s="13" t="str">
        <f>Members!B331</f>
        <v>Active</v>
      </c>
      <c r="C331" s="13">
        <f>Members!C331</f>
        <v>29</v>
      </c>
      <c r="D331" s="14">
        <f>Members!D331</f>
        <v>2</v>
      </c>
      <c r="E331" s="16">
        <f>Members!E331</f>
        <v>619000</v>
      </c>
      <c r="F331" s="16">
        <f>Members!F331</f>
        <v>0</v>
      </c>
      <c r="G331" s="15">
        <f>MAX(0,Assumptions!$B$10-C331)</f>
        <v>31</v>
      </c>
      <c r="H331" s="17">
        <f>IF(B331="Active",E331*(1+Assumptions!$B$7)^G331,E331)</f>
        <v>3254744.4691299517</v>
      </c>
      <c r="I331" s="17">
        <f>IF(B331="Active",MIN(Assumptions!$B$12,D331+G331),IF(B331="Deferred",MIN(Assumptions!$B$12,D331),D331))</f>
        <v>33</v>
      </c>
      <c r="J331" s="17">
        <f>IF(B331="Active",H331*I331*Assumptions!$B$11,IF(B331="Deferred",E331*I331*Assumptions!$B$11*(1+Assumptions!$B$9)^G331,F331))</f>
        <v>1790109.4580214734</v>
      </c>
      <c r="K331" s="11">
        <f>IF(B331="Pensioner",1,VLOOKUP(Assumptions!$B$10,Mortality!$A$2:$F$104,6,FALSE)/VLOOKUP(C331,Mortality!$A$2:$F$104,6,FALSE))</f>
        <v>0.9700544954739736</v>
      </c>
      <c r="L331" s="11">
        <f>VLOOKUP(IF(B331="Pensioner",C331,Assumptions!$B$10),Mortality!$A$2:$E$104,5,FALSE)</f>
        <v>17.296790022132885</v>
      </c>
      <c r="M331" s="11">
        <f>1+Assumptions!$B$13*Assumptions!$B$14*Assumptions!$B$15</f>
        <v>1.3187500000000001</v>
      </c>
      <c r="N331" s="11">
        <f>IF(B331="Pensioner",1,1/(1+Assumptions!$B$6)^G331)</f>
        <v>0.14195874752095111</v>
      </c>
      <c r="O331" s="17">
        <f t="shared" si="5"/>
        <v>5622971.2717003273</v>
      </c>
    </row>
    <row r="332" spans="1:15">
      <c r="A332" s="13" t="str">
        <f>Members!A332</f>
        <v>A0366</v>
      </c>
      <c r="B332" s="13" t="str">
        <f>Members!B332</f>
        <v>Active</v>
      </c>
      <c r="C332" s="13">
        <f>Members!C332</f>
        <v>30</v>
      </c>
      <c r="D332" s="14">
        <f>Members!D332</f>
        <v>8.5</v>
      </c>
      <c r="E332" s="16">
        <f>Members!E332</f>
        <v>478000</v>
      </c>
      <c r="F332" s="16">
        <f>Members!F332</f>
        <v>0</v>
      </c>
      <c r="G332" s="15">
        <f>MAX(0,Assumptions!$B$10-C332)</f>
        <v>30</v>
      </c>
      <c r="H332" s="17">
        <f>IF(B332="Active",E332*(1+Assumptions!$B$7)^G332,E332)</f>
        <v>2382328.7158528389</v>
      </c>
      <c r="I332" s="17">
        <f>IF(B332="Active",MIN(Assumptions!$B$12,D332+G332),IF(B332="Deferred",MIN(Assumptions!$B$12,D332),D332))</f>
        <v>38.5</v>
      </c>
      <c r="J332" s="17">
        <f>IF(B332="Active",H332*I332*Assumptions!$B$11,IF(B332="Deferred",E332*I332*Assumptions!$B$11*(1+Assumptions!$B$9)^G332,F332))</f>
        <v>1528660.9260055716</v>
      </c>
      <c r="K332" s="11">
        <f>IF(B332="Pensioner",1,VLOOKUP(Assumptions!$B$10,Mortality!$A$2:$F$104,6,FALSE)/VLOOKUP(C332,Mortality!$A$2:$F$104,6,FALSE))</f>
        <v>0.97034568803187526</v>
      </c>
      <c r="L332" s="11">
        <f>VLOOKUP(IF(B332="Pensioner",C332,Assumptions!$B$10),Mortality!$A$2:$E$104,5,FALSE)</f>
        <v>17.296790022132885</v>
      </c>
      <c r="M332" s="11">
        <f>1+Assumptions!$B$13*Assumptions!$B$14*Assumptions!$B$15</f>
        <v>1.3187500000000001</v>
      </c>
      <c r="N332" s="11">
        <f>IF(B332="Pensioner",1,1/(1+Assumptions!$B$6)^G332)</f>
        <v>0.15118606610981289</v>
      </c>
      <c r="O332" s="17">
        <f t="shared" si="5"/>
        <v>5115374.0700184032</v>
      </c>
    </row>
    <row r="333" spans="1:15">
      <c r="A333" s="13" t="str">
        <f>Members!A333</f>
        <v>A0300</v>
      </c>
      <c r="B333" s="13" t="str">
        <f>Members!B333</f>
        <v>Active</v>
      </c>
      <c r="C333" s="13">
        <f>Members!C333</f>
        <v>59</v>
      </c>
      <c r="D333" s="14">
        <f>Members!D333</f>
        <v>23.8</v>
      </c>
      <c r="E333" s="16">
        <f>Members!E333</f>
        <v>1923000</v>
      </c>
      <c r="F333" s="16">
        <f>Members!F333</f>
        <v>0</v>
      </c>
      <c r="G333" s="15">
        <f>MAX(0,Assumptions!$B$10-C333)</f>
        <v>1</v>
      </c>
      <c r="H333" s="17">
        <f>IF(B333="Active",E333*(1+Assumptions!$B$7)^G333,E333)</f>
        <v>2028764.9999999998</v>
      </c>
      <c r="I333" s="17">
        <f>IF(B333="Active",MIN(Assumptions!$B$12,D333+G333),IF(B333="Deferred",MIN(Assumptions!$B$12,D333),D333))</f>
        <v>24.8</v>
      </c>
      <c r="J333" s="17">
        <f>IF(B333="Active",H333*I333*Assumptions!$B$11,IF(B333="Deferred",E333*I333*Assumptions!$B$11*(1+Assumptions!$B$9)^G333,F333))</f>
        <v>838556.19999999984</v>
      </c>
      <c r="K333" s="11">
        <f>IF(B333="Pensioner",1,VLOOKUP(Assumptions!$B$10,Mortality!$A$2:$F$104,6,FALSE)/VLOOKUP(C333,Mortality!$A$2:$F$104,6,FALSE))</f>
        <v>0.99710960118319747</v>
      </c>
      <c r="L333" s="11">
        <f>VLOOKUP(IF(B333="Pensioner",C333,Assumptions!$B$10),Mortality!$A$2:$E$104,5,FALSE)</f>
        <v>17.296790022132885</v>
      </c>
      <c r="M333" s="11">
        <f>1+Assumptions!$B$13*Assumptions!$B$14*Assumptions!$B$15</f>
        <v>1.3187500000000001</v>
      </c>
      <c r="N333" s="11">
        <f>IF(B333="Pensioner",1,1/(1+Assumptions!$B$6)^G333)</f>
        <v>0.93896713615023475</v>
      </c>
      <c r="O333" s="17">
        <f t="shared" si="5"/>
        <v>17908262.453217298</v>
      </c>
    </row>
    <row r="334" spans="1:15">
      <c r="A334" s="13" t="str">
        <f>Members!A334</f>
        <v>P0068</v>
      </c>
      <c r="B334" s="13" t="str">
        <f>Members!B334</f>
        <v>Pensioner</v>
      </c>
      <c r="C334" s="13">
        <f>Members!C334</f>
        <v>65</v>
      </c>
      <c r="D334" s="14">
        <f>Members!D334</f>
        <v>24.2</v>
      </c>
      <c r="E334" s="16">
        <f>Members!E334</f>
        <v>0</v>
      </c>
      <c r="F334" s="16">
        <f>Members!F334</f>
        <v>412000</v>
      </c>
      <c r="G334" s="15">
        <f>MAX(0,Assumptions!$B$10-C334)</f>
        <v>0</v>
      </c>
      <c r="H334" s="17">
        <f>IF(B334="Active",E334*(1+Assumptions!$B$7)^G334,E334)</f>
        <v>0</v>
      </c>
      <c r="I334" s="17">
        <f>IF(B334="Active",MIN(Assumptions!$B$12,D334+G334),IF(B334="Deferred",MIN(Assumptions!$B$12,D334),D334))</f>
        <v>24.2</v>
      </c>
      <c r="J334" s="17">
        <f>IF(B334="Active",H334*I334*Assumptions!$B$11,IF(B334="Deferred",E334*I334*Assumptions!$B$11*(1+Assumptions!$B$9)^G334,F334))</f>
        <v>412000</v>
      </c>
      <c r="K334" s="11">
        <f>IF(B334="Pensioner",1,VLOOKUP(Assumptions!$B$10,Mortality!$A$2:$F$104,6,FALSE)/VLOOKUP(C334,Mortality!$A$2:$F$104,6,FALSE))</f>
        <v>1</v>
      </c>
      <c r="L334" s="11">
        <f>VLOOKUP(IF(B334="Pensioner",C334,Assumptions!$B$10),Mortality!$A$2:$E$104,5,FALSE)</f>
        <v>15.196570962158528</v>
      </c>
      <c r="M334" s="11">
        <f>1+Assumptions!$B$13*Assumptions!$B$14*Assumptions!$B$15</f>
        <v>1.3187500000000001</v>
      </c>
      <c r="N334" s="11">
        <f>IF(B334="Pensioner",1,1/(1+Assumptions!$B$6)^G334)</f>
        <v>1</v>
      </c>
      <c r="O334" s="17">
        <f t="shared" si="5"/>
        <v>8256676.9180147834</v>
      </c>
    </row>
    <row r="335" spans="1:15">
      <c r="A335" s="13" t="str">
        <f>Members!A335</f>
        <v>A0340</v>
      </c>
      <c r="B335" s="13" t="str">
        <f>Members!B335</f>
        <v>Active</v>
      </c>
      <c r="C335" s="13">
        <f>Members!C335</f>
        <v>35</v>
      </c>
      <c r="D335" s="14">
        <f>Members!D335</f>
        <v>7.9</v>
      </c>
      <c r="E335" s="16">
        <f>Members!E335</f>
        <v>849000</v>
      </c>
      <c r="F335" s="16">
        <f>Members!F335</f>
        <v>0</v>
      </c>
      <c r="G335" s="15">
        <f>MAX(0,Assumptions!$B$10-C335)</f>
        <v>25</v>
      </c>
      <c r="H335" s="17">
        <f>IF(B335="Active",E335*(1+Assumptions!$B$7)^G335,E335)</f>
        <v>3237570.1039791624</v>
      </c>
      <c r="I335" s="17">
        <f>IF(B335="Active",MIN(Assumptions!$B$12,D335+G335),IF(B335="Deferred",MIN(Assumptions!$B$12,D335),D335))</f>
        <v>32.9</v>
      </c>
      <c r="J335" s="17">
        <f>IF(B335="Active",H335*I335*Assumptions!$B$11,IF(B335="Deferred",E335*I335*Assumptions!$B$11*(1+Assumptions!$B$9)^G335,F335))</f>
        <v>1775267.6070152407</v>
      </c>
      <c r="K335" s="11">
        <f>IF(B335="Pensioner",1,VLOOKUP(Assumptions!$B$10,Mortality!$A$2:$F$104,6,FALSE)/VLOOKUP(C335,Mortality!$A$2:$F$104,6,FALSE))</f>
        <v>0.97197407653867529</v>
      </c>
      <c r="L335" s="11">
        <f>VLOOKUP(IF(B335="Pensioner",C335,Assumptions!$B$10),Mortality!$A$2:$E$104,5,FALSE)</f>
        <v>17.296790022132885</v>
      </c>
      <c r="M335" s="11">
        <f>1+Assumptions!$B$13*Assumptions!$B$14*Assumptions!$B$15</f>
        <v>1.3187500000000001</v>
      </c>
      <c r="N335" s="11">
        <f>IF(B335="Pensioner",1,1/(1+Assumptions!$B$6)^G335)</f>
        <v>0.20713801287132758</v>
      </c>
      <c r="O335" s="17">
        <f t="shared" si="5"/>
        <v>8152790.8695483971</v>
      </c>
    </row>
    <row r="336" spans="1:15">
      <c r="A336" s="13" t="str">
        <f>Members!A336</f>
        <v>D0035</v>
      </c>
      <c r="B336" s="13" t="str">
        <f>Members!B336</f>
        <v>Deferred</v>
      </c>
      <c r="C336" s="13">
        <f>Members!C336</f>
        <v>42</v>
      </c>
      <c r="D336" s="14">
        <f>Members!D336</f>
        <v>7.1</v>
      </c>
      <c r="E336" s="16">
        <f>Members!E336</f>
        <v>795000</v>
      </c>
      <c r="F336" s="16">
        <f>Members!F336</f>
        <v>0</v>
      </c>
      <c r="G336" s="15">
        <f>MAX(0,Assumptions!$B$10-C336)</f>
        <v>18</v>
      </c>
      <c r="H336" s="17">
        <f>IF(B336="Active",E336*(1+Assumptions!$B$7)^G336,E336)</f>
        <v>795000</v>
      </c>
      <c r="I336" s="17">
        <f>IF(B336="Active",MIN(Assumptions!$B$12,D336+G336),IF(B336="Deferred",MIN(Assumptions!$B$12,D336),D336))</f>
        <v>7.1</v>
      </c>
      <c r="J336" s="17">
        <f>IF(B336="Active",H336*I336*Assumptions!$B$11,IF(B336="Deferred",E336*I336*Assumptions!$B$11*(1+Assumptions!$B$9)^G336,F336))</f>
        <v>190578.6886842355</v>
      </c>
      <c r="K336" s="11">
        <f>IF(B336="Pensioner",1,VLOOKUP(Assumptions!$B$10,Mortality!$A$2:$F$104,6,FALSE)/VLOOKUP(C336,Mortality!$A$2:$F$104,6,FALSE))</f>
        <v>0.97507997078383857</v>
      </c>
      <c r="L336" s="11">
        <f>VLOOKUP(IF(B336="Pensioner",C336,Assumptions!$B$10),Mortality!$A$2:$E$104,5,FALSE)</f>
        <v>17.296790022132885</v>
      </c>
      <c r="M336" s="11">
        <f>1+Assumptions!$B$13*Assumptions!$B$14*Assumptions!$B$15</f>
        <v>1.3187500000000001</v>
      </c>
      <c r="N336" s="11">
        <f>IF(B336="Pensioner",1,1/(1+Assumptions!$B$6)^G336)</f>
        <v>0.32188968512839738</v>
      </c>
      <c r="O336" s="17">
        <f t="shared" si="5"/>
        <v>1364424.8356273072</v>
      </c>
    </row>
    <row r="337" spans="1:15">
      <c r="A337" s="13" t="str">
        <f>Members!A337</f>
        <v>A0029</v>
      </c>
      <c r="B337" s="13" t="str">
        <f>Members!B337</f>
        <v>Active</v>
      </c>
      <c r="C337" s="13">
        <f>Members!C337</f>
        <v>29</v>
      </c>
      <c r="D337" s="14">
        <f>Members!D337</f>
        <v>1.4</v>
      </c>
      <c r="E337" s="16">
        <f>Members!E337</f>
        <v>572000</v>
      </c>
      <c r="F337" s="16">
        <f>Members!F337</f>
        <v>0</v>
      </c>
      <c r="G337" s="15">
        <f>MAX(0,Assumptions!$B$10-C337)</f>
        <v>31</v>
      </c>
      <c r="H337" s="17">
        <f>IF(B337="Active",E337*(1+Assumptions!$B$7)^G337,E337)</f>
        <v>3007615.2444948829</v>
      </c>
      <c r="I337" s="17">
        <f>IF(B337="Active",MIN(Assumptions!$B$12,D337+G337),IF(B337="Deferred",MIN(Assumptions!$B$12,D337),D337))</f>
        <v>32.4</v>
      </c>
      <c r="J337" s="17">
        <f>IF(B337="Active",H337*I337*Assumptions!$B$11,IF(B337="Deferred",E337*I337*Assumptions!$B$11*(1+Assumptions!$B$9)^G337,F337))</f>
        <v>1624112.2320272366</v>
      </c>
      <c r="K337" s="11">
        <f>IF(B337="Pensioner",1,VLOOKUP(Assumptions!$B$10,Mortality!$A$2:$F$104,6,FALSE)/VLOOKUP(C337,Mortality!$A$2:$F$104,6,FALSE))</f>
        <v>0.9700544954739736</v>
      </c>
      <c r="L337" s="11">
        <f>VLOOKUP(IF(B337="Pensioner",C337,Assumptions!$B$10),Mortality!$A$2:$E$104,5,FALSE)</f>
        <v>17.296790022132885</v>
      </c>
      <c r="M337" s="11">
        <f>1+Assumptions!$B$13*Assumptions!$B$14*Assumptions!$B$15</f>
        <v>1.3187500000000001</v>
      </c>
      <c r="N337" s="11">
        <f>IF(B337="Pensioner",1,1/(1+Assumptions!$B$6)^G337)</f>
        <v>0.14195874752095111</v>
      </c>
      <c r="O337" s="17">
        <f t="shared" si="5"/>
        <v>5101551.9647607496</v>
      </c>
    </row>
    <row r="338" spans="1:15">
      <c r="A338" s="13" t="str">
        <f>Members!A338</f>
        <v>D0064</v>
      </c>
      <c r="B338" s="13" t="str">
        <f>Members!B338</f>
        <v>Deferred</v>
      </c>
      <c r="C338" s="13">
        <f>Members!C338</f>
        <v>55</v>
      </c>
      <c r="D338" s="14">
        <f>Members!D338</f>
        <v>23.3</v>
      </c>
      <c r="E338" s="16">
        <f>Members!E338</f>
        <v>1002000</v>
      </c>
      <c r="F338" s="16">
        <f>Members!F338</f>
        <v>0</v>
      </c>
      <c r="G338" s="15">
        <f>MAX(0,Assumptions!$B$10-C338)</f>
        <v>5</v>
      </c>
      <c r="H338" s="17">
        <f>IF(B338="Active",E338*(1+Assumptions!$B$7)^G338,E338)</f>
        <v>1002000</v>
      </c>
      <c r="I338" s="17">
        <f>IF(B338="Active",MIN(Assumptions!$B$12,D338+G338),IF(B338="Deferred",MIN(Assumptions!$B$12,D338),D338))</f>
        <v>23.3</v>
      </c>
      <c r="J338" s="17">
        <f>IF(B338="Active",H338*I338*Assumptions!$B$11,IF(B338="Deferred",E338*I338*Assumptions!$B$11*(1+Assumptions!$B$9)^G338,F338))</f>
        <v>473411.81085286412</v>
      </c>
      <c r="K338" s="11">
        <f>IF(B338="Pensioner",1,VLOOKUP(Assumptions!$B$10,Mortality!$A$2:$F$104,6,FALSE)/VLOOKUP(C338,Mortality!$A$2:$F$104,6,FALSE))</f>
        <v>0.98824190874991746</v>
      </c>
      <c r="L338" s="11">
        <f>VLOOKUP(IF(B338="Pensioner",C338,Assumptions!$B$10),Mortality!$A$2:$E$104,5,FALSE)</f>
        <v>17.296790022132885</v>
      </c>
      <c r="M338" s="11">
        <f>1+Assumptions!$B$13*Assumptions!$B$14*Assumptions!$B$15</f>
        <v>1.3187500000000001</v>
      </c>
      <c r="N338" s="11">
        <f>IF(B338="Pensioner",1,1/(1+Assumptions!$B$6)^G338)</f>
        <v>0.72988083652095492</v>
      </c>
      <c r="O338" s="17">
        <f t="shared" si="5"/>
        <v>7789010.7442990392</v>
      </c>
    </row>
    <row r="339" spans="1:15">
      <c r="A339" s="13" t="str">
        <f>Members!A339</f>
        <v>A0156</v>
      </c>
      <c r="B339" s="13" t="str">
        <f>Members!B339</f>
        <v>Active</v>
      </c>
      <c r="C339" s="13">
        <f>Members!C339</f>
        <v>32</v>
      </c>
      <c r="D339" s="14">
        <f>Members!D339</f>
        <v>4.2</v>
      </c>
      <c r="E339" s="16">
        <f>Members!E339</f>
        <v>559000</v>
      </c>
      <c r="F339" s="16">
        <f>Members!F339</f>
        <v>0</v>
      </c>
      <c r="G339" s="15">
        <f>MAX(0,Assumptions!$B$10-C339)</f>
        <v>28</v>
      </c>
      <c r="H339" s="17">
        <f>IF(B339="Active",E339*(1+Assumptions!$B$7)^G339,E339)</f>
        <v>2503114.2788462425</v>
      </c>
      <c r="I339" s="17">
        <f>IF(B339="Active",MIN(Assumptions!$B$12,D339+G339),IF(B339="Deferred",MIN(Assumptions!$B$12,D339),D339))</f>
        <v>32.200000000000003</v>
      </c>
      <c r="J339" s="17">
        <f>IF(B339="Active",H339*I339*Assumptions!$B$11,IF(B339="Deferred",E339*I339*Assumptions!$B$11*(1+Assumptions!$B$9)^G339,F339))</f>
        <v>1343337.9963141503</v>
      </c>
      <c r="K339" s="11">
        <f>IF(B339="Pensioner",1,VLOOKUP(Assumptions!$B$10,Mortality!$A$2:$F$104,6,FALSE)/VLOOKUP(C339,Mortality!$A$2:$F$104,6,FALSE))</f>
        <v>0.97095846876649572</v>
      </c>
      <c r="L339" s="11">
        <f>VLOOKUP(IF(B339="Pensioner",C339,Assumptions!$B$10),Mortality!$A$2:$E$104,5,FALSE)</f>
        <v>17.296790022132885</v>
      </c>
      <c r="M339" s="11">
        <f>1+Assumptions!$B$13*Assumptions!$B$14*Assumptions!$B$15</f>
        <v>1.3187500000000001</v>
      </c>
      <c r="N339" s="11">
        <f>IF(B339="Pensioner",1,1/(1+Assumptions!$B$6)^G339)</f>
        <v>0.17147901583340255</v>
      </c>
      <c r="O339" s="17">
        <f t="shared" si="5"/>
        <v>5101817.523641848</v>
      </c>
    </row>
    <row r="340" spans="1:15">
      <c r="A340" s="13" t="str">
        <f>Members!A340</f>
        <v>A0212</v>
      </c>
      <c r="B340" s="13" t="str">
        <f>Members!B340</f>
        <v>Active</v>
      </c>
      <c r="C340" s="13">
        <f>Members!C340</f>
        <v>41</v>
      </c>
      <c r="D340" s="14">
        <f>Members!D340</f>
        <v>4.8</v>
      </c>
      <c r="E340" s="16">
        <f>Members!E340</f>
        <v>888000</v>
      </c>
      <c r="F340" s="16">
        <f>Members!F340</f>
        <v>0</v>
      </c>
      <c r="G340" s="15">
        <f>MAX(0,Assumptions!$B$10-C340)</f>
        <v>19</v>
      </c>
      <c r="H340" s="17">
        <f>IF(B340="Active",E340*(1+Assumptions!$B$7)^G340,E340)</f>
        <v>2455894.4565463802</v>
      </c>
      <c r="I340" s="17">
        <f>IF(B340="Active",MIN(Assumptions!$B$12,D340+G340),IF(B340="Deferred",MIN(Assumptions!$B$12,D340),D340))</f>
        <v>23.8</v>
      </c>
      <c r="J340" s="17">
        <f>IF(B340="Active",H340*I340*Assumptions!$B$11,IF(B340="Deferred",E340*I340*Assumptions!$B$11*(1+Assumptions!$B$9)^G340,F340))</f>
        <v>974171.46776339749</v>
      </c>
      <c r="K340" s="11">
        <f>IF(B340="Pensioner",1,VLOOKUP(Assumptions!$B$10,Mortality!$A$2:$F$104,6,FALSE)/VLOOKUP(C340,Mortality!$A$2:$F$104,6,FALSE))</f>
        <v>0.97454789540795339</v>
      </c>
      <c r="L340" s="11">
        <f>VLOOKUP(IF(B340="Pensioner",C340,Assumptions!$B$10),Mortality!$A$2:$E$104,5,FALSE)</f>
        <v>17.296790022132885</v>
      </c>
      <c r="M340" s="11">
        <f>1+Assumptions!$B$13*Assumptions!$B$14*Assumptions!$B$15</f>
        <v>1.3187500000000001</v>
      </c>
      <c r="N340" s="11">
        <f>IF(B340="Pensioner",1,1/(1+Assumptions!$B$6)^G340)</f>
        <v>0.30224383580131214</v>
      </c>
      <c r="O340" s="17">
        <f t="shared" si="5"/>
        <v>6545216.7268868042</v>
      </c>
    </row>
    <row r="341" spans="1:15">
      <c r="A341" s="13" t="str">
        <f>Members!A341</f>
        <v>P0106</v>
      </c>
      <c r="B341" s="13" t="str">
        <f>Members!B341</f>
        <v>Pensioner</v>
      </c>
      <c r="C341" s="13">
        <f>Members!C341</f>
        <v>76</v>
      </c>
      <c r="D341" s="14">
        <f>Members!D341</f>
        <v>25.5</v>
      </c>
      <c r="E341" s="16">
        <f>Members!E341</f>
        <v>0</v>
      </c>
      <c r="F341" s="16">
        <f>Members!F341</f>
        <v>437000</v>
      </c>
      <c r="G341" s="15">
        <f>MAX(0,Assumptions!$B$10-C341)</f>
        <v>0</v>
      </c>
      <c r="H341" s="17">
        <f>IF(B341="Active",E341*(1+Assumptions!$B$7)^G341,E341)</f>
        <v>0</v>
      </c>
      <c r="I341" s="17">
        <f>IF(B341="Active",MIN(Assumptions!$B$12,D341+G341),IF(B341="Deferred",MIN(Assumptions!$B$12,D341),D341))</f>
        <v>25.5</v>
      </c>
      <c r="J341" s="17">
        <f>IF(B341="Active",H341*I341*Assumptions!$B$11,IF(B341="Deferred",E341*I341*Assumptions!$B$11*(1+Assumptions!$B$9)^G341,F341))</f>
        <v>437000</v>
      </c>
      <c r="K341" s="11">
        <f>IF(B341="Pensioner",1,VLOOKUP(Assumptions!$B$10,Mortality!$A$2:$F$104,6,FALSE)/VLOOKUP(C341,Mortality!$A$2:$F$104,6,FALSE))</f>
        <v>1</v>
      </c>
      <c r="L341" s="11">
        <f>VLOOKUP(IF(B341="Pensioner",C341,Assumptions!$B$10),Mortality!$A$2:$E$104,5,FALSE)</f>
        <v>10.201355966192867</v>
      </c>
      <c r="M341" s="11">
        <f>1+Assumptions!$B$13*Assumptions!$B$14*Assumptions!$B$15</f>
        <v>1.3187500000000001</v>
      </c>
      <c r="N341" s="11">
        <f>IF(B341="Pensioner",1,1/(1+Assumptions!$B$6)^G341)</f>
        <v>1</v>
      </c>
      <c r="O341" s="17">
        <f t="shared" si="5"/>
        <v>5878977.6848421618</v>
      </c>
    </row>
    <row r="342" spans="1:15">
      <c r="A342" s="13" t="str">
        <f>Members!A342</f>
        <v>P0032</v>
      </c>
      <c r="B342" s="13" t="str">
        <f>Members!B342</f>
        <v>Pensioner</v>
      </c>
      <c r="C342" s="13">
        <f>Members!C342</f>
        <v>64</v>
      </c>
      <c r="D342" s="14">
        <f>Members!D342</f>
        <v>15.3</v>
      </c>
      <c r="E342" s="16">
        <f>Members!E342</f>
        <v>0</v>
      </c>
      <c r="F342" s="16">
        <f>Members!F342</f>
        <v>338000</v>
      </c>
      <c r="G342" s="15">
        <f>MAX(0,Assumptions!$B$10-C342)</f>
        <v>0</v>
      </c>
      <c r="H342" s="17">
        <f>IF(B342="Active",E342*(1+Assumptions!$B$7)^G342,E342)</f>
        <v>0</v>
      </c>
      <c r="I342" s="17">
        <f>IF(B342="Active",MIN(Assumptions!$B$12,D342+G342),IF(B342="Deferred",MIN(Assumptions!$B$12,D342),D342))</f>
        <v>15.3</v>
      </c>
      <c r="J342" s="17">
        <f>IF(B342="Active",H342*I342*Assumptions!$B$11,IF(B342="Deferred",E342*I342*Assumptions!$B$11*(1+Assumptions!$B$9)^G342,F342))</f>
        <v>338000</v>
      </c>
      <c r="K342" s="11">
        <f>IF(B342="Pensioner",1,VLOOKUP(Assumptions!$B$10,Mortality!$A$2:$F$104,6,FALSE)/VLOOKUP(C342,Mortality!$A$2:$F$104,6,FALSE))</f>
        <v>1</v>
      </c>
      <c r="L342" s="11">
        <f>VLOOKUP(IF(B342="Pensioner",C342,Assumptions!$B$10),Mortality!$A$2:$E$104,5,FALSE)</f>
        <v>15.628758769824573</v>
      </c>
      <c r="M342" s="11">
        <f>1+Assumptions!$B$13*Assumptions!$B$14*Assumptions!$B$15</f>
        <v>1.3187500000000001</v>
      </c>
      <c r="N342" s="11">
        <f>IF(B342="Pensioner",1,1/(1+Assumptions!$B$6)^G342)</f>
        <v>1</v>
      </c>
      <c r="O342" s="17">
        <f t="shared" si="5"/>
        <v>6966323.8621646818</v>
      </c>
    </row>
    <row r="343" spans="1:15">
      <c r="A343" s="13" t="str">
        <f>Members!A343</f>
        <v>P0192</v>
      </c>
      <c r="B343" s="13" t="str">
        <f>Members!B343</f>
        <v>Pensioner</v>
      </c>
      <c r="C343" s="13">
        <f>Members!C343</f>
        <v>63</v>
      </c>
      <c r="D343" s="14">
        <f>Members!D343</f>
        <v>29.7</v>
      </c>
      <c r="E343" s="16">
        <f>Members!E343</f>
        <v>0</v>
      </c>
      <c r="F343" s="16">
        <f>Members!F343</f>
        <v>361000</v>
      </c>
      <c r="G343" s="15">
        <f>MAX(0,Assumptions!$B$10-C343)</f>
        <v>0</v>
      </c>
      <c r="H343" s="17">
        <f>IF(B343="Active",E343*(1+Assumptions!$B$7)^G343,E343)</f>
        <v>0</v>
      </c>
      <c r="I343" s="17">
        <f>IF(B343="Active",MIN(Assumptions!$B$12,D343+G343),IF(B343="Deferred",MIN(Assumptions!$B$12,D343),D343))</f>
        <v>29.7</v>
      </c>
      <c r="J343" s="17">
        <f>IF(B343="Active",H343*I343*Assumptions!$B$11,IF(B343="Deferred",E343*I343*Assumptions!$B$11*(1+Assumptions!$B$9)^G343,F343))</f>
        <v>361000</v>
      </c>
      <c r="K343" s="11">
        <f>IF(B343="Pensioner",1,VLOOKUP(Assumptions!$B$10,Mortality!$A$2:$F$104,6,FALSE)/VLOOKUP(C343,Mortality!$A$2:$F$104,6,FALSE))</f>
        <v>1</v>
      </c>
      <c r="L343" s="11">
        <f>VLOOKUP(IF(B343="Pensioner",C343,Assumptions!$B$10),Mortality!$A$2:$E$104,5,FALSE)</f>
        <v>16.055191398346196</v>
      </c>
      <c r="M343" s="11">
        <f>1+Assumptions!$B$13*Assumptions!$B$14*Assumptions!$B$15</f>
        <v>1.3187500000000001</v>
      </c>
      <c r="N343" s="11">
        <f>IF(B343="Pensioner",1,1/(1+Assumptions!$B$6)^G343)</f>
        <v>1</v>
      </c>
      <c r="O343" s="17">
        <f t="shared" si="5"/>
        <v>7643374.9000214254</v>
      </c>
    </row>
    <row r="344" spans="1:15">
      <c r="A344" s="13" t="str">
        <f>Members!A344</f>
        <v>A0575</v>
      </c>
      <c r="B344" s="13" t="str">
        <f>Members!B344</f>
        <v>Active</v>
      </c>
      <c r="C344" s="13">
        <f>Members!C344</f>
        <v>37</v>
      </c>
      <c r="D344" s="14">
        <f>Members!D344</f>
        <v>4.8</v>
      </c>
      <c r="E344" s="16">
        <f>Members!E344</f>
        <v>606000</v>
      </c>
      <c r="F344" s="16">
        <f>Members!F344</f>
        <v>0</v>
      </c>
      <c r="G344" s="15">
        <f>MAX(0,Assumptions!$B$10-C344)</f>
        <v>23</v>
      </c>
      <c r="H344" s="17">
        <f>IF(B344="Active",E344*(1+Assumptions!$B$7)^G344,E344)</f>
        <v>2076247.8500161979</v>
      </c>
      <c r="I344" s="17">
        <f>IF(B344="Active",MIN(Assumptions!$B$12,D344+G344),IF(B344="Deferred",MIN(Assumptions!$B$12,D344),D344))</f>
        <v>27.8</v>
      </c>
      <c r="J344" s="17">
        <f>IF(B344="Active",H344*I344*Assumptions!$B$11,IF(B344="Deferred",E344*I344*Assumptions!$B$11*(1+Assumptions!$B$9)^G344,F344))</f>
        <v>961994.8371741717</v>
      </c>
      <c r="K344" s="11">
        <f>IF(B344="Pensioner",1,VLOOKUP(Assumptions!$B$10,Mortality!$A$2:$F$104,6,FALSE)/VLOOKUP(C344,Mortality!$A$2:$F$104,6,FALSE))</f>
        <v>0.97273561412651877</v>
      </c>
      <c r="L344" s="11">
        <f>VLOOKUP(IF(B344="Pensioner",C344,Assumptions!$B$10),Mortality!$A$2:$E$104,5,FALSE)</f>
        <v>17.296790022132885</v>
      </c>
      <c r="M344" s="11">
        <f>1+Assumptions!$B$13*Assumptions!$B$14*Assumptions!$B$15</f>
        <v>1.3187500000000001</v>
      </c>
      <c r="N344" s="11">
        <f>IF(B344="Pensioner",1,1/(1+Assumptions!$B$6)^G344)</f>
        <v>0.23494111264898151</v>
      </c>
      <c r="O344" s="17">
        <f t="shared" si="5"/>
        <v>5014810.9448827161</v>
      </c>
    </row>
    <row r="345" spans="1:15">
      <c r="A345" s="13" t="str">
        <f>Members!A345</f>
        <v>D0045</v>
      </c>
      <c r="B345" s="13" t="str">
        <f>Members!B345</f>
        <v>Deferred</v>
      </c>
      <c r="C345" s="13">
        <f>Members!C345</f>
        <v>46</v>
      </c>
      <c r="D345" s="14">
        <f>Members!D345</f>
        <v>16.399999999999999</v>
      </c>
      <c r="E345" s="16">
        <f>Members!E345</f>
        <v>601000</v>
      </c>
      <c r="F345" s="16">
        <f>Members!F345</f>
        <v>0</v>
      </c>
      <c r="G345" s="15">
        <f>MAX(0,Assumptions!$B$10-C345)</f>
        <v>14</v>
      </c>
      <c r="H345" s="17">
        <f>IF(B345="Active",E345*(1+Assumptions!$B$7)^G345,E345)</f>
        <v>601000</v>
      </c>
      <c r="I345" s="17">
        <f>IF(B345="Active",MIN(Assumptions!$B$12,D345+G345),IF(B345="Deferred",MIN(Assumptions!$B$12,D345),D345))</f>
        <v>16.399999999999999</v>
      </c>
      <c r="J345" s="17">
        <f>IF(B345="Active",H345*I345*Assumptions!$B$11,IF(B345="Deferred",E345*I345*Assumptions!$B$11*(1+Assumptions!$B$9)^G345,F345))</f>
        <v>284468.26230253809</v>
      </c>
      <c r="K345" s="11">
        <f>IF(B345="Pensioner",1,VLOOKUP(Assumptions!$B$10,Mortality!$A$2:$F$104,6,FALSE)/VLOOKUP(C345,Mortality!$A$2:$F$104,6,FALSE))</f>
        <v>0.97765823283048059</v>
      </c>
      <c r="L345" s="11">
        <f>VLOOKUP(IF(B345="Pensioner",C345,Assumptions!$B$10),Mortality!$A$2:$E$104,5,FALSE)</f>
        <v>17.296790022132885</v>
      </c>
      <c r="M345" s="11">
        <f>1+Assumptions!$B$13*Assumptions!$B$14*Assumptions!$B$15</f>
        <v>1.3187500000000001</v>
      </c>
      <c r="N345" s="11">
        <f>IF(B345="Pensioner",1,1/(1+Assumptions!$B$6)^G345)</f>
        <v>0.41410024853095956</v>
      </c>
      <c r="O345" s="17">
        <f t="shared" si="5"/>
        <v>2626965.4363047569</v>
      </c>
    </row>
    <row r="346" spans="1:15">
      <c r="A346" s="13" t="str">
        <f>Members!A346</f>
        <v>P0046</v>
      </c>
      <c r="B346" s="13" t="str">
        <f>Members!B346</f>
        <v>Pensioner</v>
      </c>
      <c r="C346" s="13">
        <f>Members!C346</f>
        <v>89</v>
      </c>
      <c r="D346" s="14">
        <f>Members!D346</f>
        <v>32.200000000000003</v>
      </c>
      <c r="E346" s="16">
        <f>Members!E346</f>
        <v>0</v>
      </c>
      <c r="F346" s="16">
        <f>Members!F346</f>
        <v>865000</v>
      </c>
      <c r="G346" s="15">
        <f>MAX(0,Assumptions!$B$10-C346)</f>
        <v>0</v>
      </c>
      <c r="H346" s="17">
        <f>IF(B346="Active",E346*(1+Assumptions!$B$7)^G346,E346)</f>
        <v>0</v>
      </c>
      <c r="I346" s="17">
        <f>IF(B346="Active",MIN(Assumptions!$B$12,D346+G346),IF(B346="Deferred",MIN(Assumptions!$B$12,D346),D346))</f>
        <v>32.200000000000003</v>
      </c>
      <c r="J346" s="17">
        <f>IF(B346="Active",H346*I346*Assumptions!$B$11,IF(B346="Deferred",E346*I346*Assumptions!$B$11*(1+Assumptions!$B$9)^G346,F346))</f>
        <v>865000</v>
      </c>
      <c r="K346" s="11">
        <f>IF(B346="Pensioner",1,VLOOKUP(Assumptions!$B$10,Mortality!$A$2:$F$104,6,FALSE)/VLOOKUP(C346,Mortality!$A$2:$F$104,6,FALSE))</f>
        <v>1</v>
      </c>
      <c r="L346" s="11">
        <f>VLOOKUP(IF(B346="Pensioner",C346,Assumptions!$B$10),Mortality!$A$2:$E$104,5,FALSE)</f>
        <v>4.6715821823893648</v>
      </c>
      <c r="M346" s="11">
        <f>1+Assumptions!$B$13*Assumptions!$B$14*Assumptions!$B$15</f>
        <v>1.3187500000000001</v>
      </c>
      <c r="N346" s="11">
        <f>IF(B346="Pensioner",1,1/(1+Assumptions!$B$6)^G346)</f>
        <v>1</v>
      </c>
      <c r="O346" s="17">
        <f t="shared" si="5"/>
        <v>5328961.3876174688</v>
      </c>
    </row>
    <row r="347" spans="1:15">
      <c r="A347" s="13" t="str">
        <f>Members!A347</f>
        <v>A0182</v>
      </c>
      <c r="B347" s="13" t="str">
        <f>Members!B347</f>
        <v>Active</v>
      </c>
      <c r="C347" s="13">
        <f>Members!C347</f>
        <v>50</v>
      </c>
      <c r="D347" s="14">
        <f>Members!D347</f>
        <v>14.5</v>
      </c>
      <c r="E347" s="16">
        <f>Members!E347</f>
        <v>1133000</v>
      </c>
      <c r="F347" s="16">
        <f>Members!F347</f>
        <v>0</v>
      </c>
      <c r="G347" s="15">
        <f>MAX(0,Assumptions!$B$10-C347)</f>
        <v>10</v>
      </c>
      <c r="H347" s="17">
        <f>IF(B347="Active",E347*(1+Assumptions!$B$7)^G347,E347)</f>
        <v>1935327.6713146209</v>
      </c>
      <c r="I347" s="17">
        <f>IF(B347="Active",MIN(Assumptions!$B$12,D347+G347),IF(B347="Deferred",MIN(Assumptions!$B$12,D347),D347))</f>
        <v>24.5</v>
      </c>
      <c r="J347" s="17">
        <f>IF(B347="Active",H347*I347*Assumptions!$B$11,IF(B347="Deferred",E347*I347*Assumptions!$B$11*(1+Assumptions!$B$9)^G347,F347))</f>
        <v>790258.79912013689</v>
      </c>
      <c r="K347" s="11">
        <f>IF(B347="Pensioner",1,VLOOKUP(Assumptions!$B$10,Mortality!$A$2:$F$104,6,FALSE)/VLOOKUP(C347,Mortality!$A$2:$F$104,6,FALSE))</f>
        <v>0.98127299335824147</v>
      </c>
      <c r="L347" s="11">
        <f>VLOOKUP(IF(B347="Pensioner",C347,Assumptions!$B$10),Mortality!$A$2:$E$104,5,FALSE)</f>
        <v>17.296790022132885</v>
      </c>
      <c r="M347" s="11">
        <f>1+Assumptions!$B$13*Assumptions!$B$14*Assumptions!$B$15</f>
        <v>1.3187500000000001</v>
      </c>
      <c r="N347" s="11">
        <f>IF(B347="Pensioner",1,1/(1+Assumptions!$B$6)^G347)</f>
        <v>0.53272603552052888</v>
      </c>
      <c r="O347" s="17">
        <f t="shared" si="5"/>
        <v>9423041.3016103208</v>
      </c>
    </row>
    <row r="348" spans="1:15">
      <c r="A348" s="13" t="str">
        <f>Members!A348</f>
        <v>A0438</v>
      </c>
      <c r="B348" s="13" t="str">
        <f>Members!B348</f>
        <v>Active</v>
      </c>
      <c r="C348" s="13">
        <f>Members!C348</f>
        <v>27</v>
      </c>
      <c r="D348" s="14">
        <f>Members!D348</f>
        <v>1.6</v>
      </c>
      <c r="E348" s="16">
        <f>Members!E348</f>
        <v>546000</v>
      </c>
      <c r="F348" s="16">
        <f>Members!F348</f>
        <v>0</v>
      </c>
      <c r="G348" s="15">
        <f>MAX(0,Assumptions!$B$10-C348)</f>
        <v>33</v>
      </c>
      <c r="H348" s="17">
        <f>IF(B348="Active",E348*(1+Assumptions!$B$7)^G348,E348)</f>
        <v>3195389.5503446478</v>
      </c>
      <c r="I348" s="17">
        <f>IF(B348="Active",MIN(Assumptions!$B$12,D348+G348),IF(B348="Deferred",MIN(Assumptions!$B$12,D348),D348))</f>
        <v>34.6</v>
      </c>
      <c r="J348" s="17">
        <f>IF(B348="Active",H348*I348*Assumptions!$B$11,IF(B348="Deferred",E348*I348*Assumptions!$B$11*(1+Assumptions!$B$9)^G348,F348))</f>
        <v>1842674.640698747</v>
      </c>
      <c r="K348" s="11">
        <f>IF(B348="Pensioner",1,VLOOKUP(Assumptions!$B$10,Mortality!$A$2:$F$104,6,FALSE)/VLOOKUP(C348,Mortality!$A$2:$F$104,6,FALSE))</f>
        <v>0.96949713302845153</v>
      </c>
      <c r="L348" s="11">
        <f>VLOOKUP(IF(B348="Pensioner",C348,Assumptions!$B$10),Mortality!$A$2:$E$104,5,FALSE)</f>
        <v>17.296790022132885</v>
      </c>
      <c r="M348" s="11">
        <f>1+Assumptions!$B$13*Assumptions!$B$14*Assumptions!$B$15</f>
        <v>1.3187500000000001</v>
      </c>
      <c r="N348" s="11">
        <f>IF(B348="Pensioner",1,1/(1+Assumptions!$B$6)^G348)</f>
        <v>0.12515924752227392</v>
      </c>
      <c r="O348" s="17">
        <f t="shared" si="5"/>
        <v>5100187.2059768466</v>
      </c>
    </row>
    <row r="349" spans="1:15">
      <c r="A349" s="13" t="str">
        <f>Members!A349</f>
        <v>D0023</v>
      </c>
      <c r="B349" s="13" t="str">
        <f>Members!B349</f>
        <v>Deferred</v>
      </c>
      <c r="C349" s="13">
        <f>Members!C349</f>
        <v>33</v>
      </c>
      <c r="D349" s="14">
        <f>Members!D349</f>
        <v>2.6</v>
      </c>
      <c r="E349" s="16">
        <f>Members!E349</f>
        <v>459000</v>
      </c>
      <c r="F349" s="16">
        <f>Members!F349</f>
        <v>0</v>
      </c>
      <c r="G349" s="15">
        <f>MAX(0,Assumptions!$B$10-C349)</f>
        <v>27</v>
      </c>
      <c r="H349" s="17">
        <f>IF(B349="Active",E349*(1+Assumptions!$B$7)^G349,E349)</f>
        <v>459000</v>
      </c>
      <c r="I349" s="17">
        <f>IF(B349="Active",MIN(Assumptions!$B$12,D349+G349),IF(B349="Deferred",MIN(Assumptions!$B$12,D349),D349))</f>
        <v>2.6</v>
      </c>
      <c r="J349" s="17">
        <f>IF(B349="Active",H349*I349*Assumptions!$B$11,IF(B349="Deferred",E349*I349*Assumptions!$B$11*(1+Assumptions!$B$9)^G349,F349))</f>
        <v>57350.200979360889</v>
      </c>
      <c r="K349" s="11">
        <f>IF(B349="Pensioner",1,VLOOKUP(Assumptions!$B$10,Mortality!$A$2:$F$104,6,FALSE)/VLOOKUP(C349,Mortality!$A$2:$F$104,6,FALSE))</f>
        <v>0.9712826176321353</v>
      </c>
      <c r="L349" s="11">
        <f>VLOOKUP(IF(B349="Pensioner",C349,Assumptions!$B$10),Mortality!$A$2:$E$104,5,FALSE)</f>
        <v>17.296790022132885</v>
      </c>
      <c r="M349" s="11">
        <f>1+Assumptions!$B$13*Assumptions!$B$14*Assumptions!$B$15</f>
        <v>1.3187500000000001</v>
      </c>
      <c r="N349" s="11">
        <f>IF(B349="Pensioner",1,1/(1+Assumptions!$B$6)^G349)</f>
        <v>0.18262515186257369</v>
      </c>
      <c r="O349" s="17">
        <f t="shared" si="5"/>
        <v>232043.35532470705</v>
      </c>
    </row>
    <row r="350" spans="1:15">
      <c r="A350" s="13" t="str">
        <f>Members!A350</f>
        <v>D0042</v>
      </c>
      <c r="B350" s="13" t="str">
        <f>Members!B350</f>
        <v>Deferred</v>
      </c>
      <c r="C350" s="13">
        <f>Members!C350</f>
        <v>48</v>
      </c>
      <c r="D350" s="14">
        <f>Members!D350</f>
        <v>11.2</v>
      </c>
      <c r="E350" s="16">
        <f>Members!E350</f>
        <v>889000</v>
      </c>
      <c r="F350" s="16">
        <f>Members!F350</f>
        <v>0</v>
      </c>
      <c r="G350" s="15">
        <f>MAX(0,Assumptions!$B$10-C350)</f>
        <v>12</v>
      </c>
      <c r="H350" s="17">
        <f>IF(B350="Active",E350*(1+Assumptions!$B$7)^G350,E350)</f>
        <v>889000</v>
      </c>
      <c r="I350" s="17">
        <f>IF(B350="Active",MIN(Assumptions!$B$12,D350+G350),IF(B350="Deferred",MIN(Assumptions!$B$12,D350),D350))</f>
        <v>11.2</v>
      </c>
      <c r="J350" s="17">
        <f>IF(B350="Active",H350*I350*Assumptions!$B$11,IF(B350="Deferred",E350*I350*Assumptions!$B$11*(1+Assumptions!$B$9)^G350,F350))</f>
        <v>265685.95989724487</v>
      </c>
      <c r="K350" s="11">
        <f>IF(B350="Pensioner",1,VLOOKUP(Assumptions!$B$10,Mortality!$A$2:$F$104,6,FALSE)/VLOOKUP(C350,Mortality!$A$2:$F$104,6,FALSE))</f>
        <v>0.97930374297365907</v>
      </c>
      <c r="L350" s="11">
        <f>VLOOKUP(IF(B350="Pensioner",C350,Assumptions!$B$10),Mortality!$A$2:$E$104,5,FALSE)</f>
        <v>17.296790022132885</v>
      </c>
      <c r="M350" s="11">
        <f>1+Assumptions!$B$13*Assumptions!$B$14*Assumptions!$B$15</f>
        <v>1.3187500000000001</v>
      </c>
      <c r="N350" s="11">
        <f>IF(B350="Pensioner",1,1/(1+Assumptions!$B$6)^G350)</f>
        <v>0.4696828543900276</v>
      </c>
      <c r="O350" s="17">
        <f t="shared" si="5"/>
        <v>2787524.6199545697</v>
      </c>
    </row>
    <row r="351" spans="1:15">
      <c r="A351" s="13" t="str">
        <f>Members!A351</f>
        <v>A0286</v>
      </c>
      <c r="B351" s="13" t="str">
        <f>Members!B351</f>
        <v>Active</v>
      </c>
      <c r="C351" s="13">
        <f>Members!C351</f>
        <v>51</v>
      </c>
      <c r="D351" s="14">
        <f>Members!D351</f>
        <v>3.8</v>
      </c>
      <c r="E351" s="16">
        <f>Members!E351</f>
        <v>1660000</v>
      </c>
      <c r="F351" s="16">
        <f>Members!F351</f>
        <v>0</v>
      </c>
      <c r="G351" s="15">
        <f>MAX(0,Assumptions!$B$10-C351)</f>
        <v>9</v>
      </c>
      <c r="H351" s="17">
        <f>IF(B351="Active",E351*(1+Assumptions!$B$7)^G351,E351)</f>
        <v>2687696.4937127624</v>
      </c>
      <c r="I351" s="17">
        <f>IF(B351="Active",MIN(Assumptions!$B$12,D351+G351),IF(B351="Deferred",MIN(Assumptions!$B$12,D351),D351))</f>
        <v>12.8</v>
      </c>
      <c r="J351" s="17">
        <f>IF(B351="Active",H351*I351*Assumptions!$B$11,IF(B351="Deferred",E351*I351*Assumptions!$B$11*(1+Assumptions!$B$9)^G351,F351))</f>
        <v>573375.25199205603</v>
      </c>
      <c r="K351" s="11">
        <f>IF(B351="Pensioner",1,VLOOKUP(Assumptions!$B$10,Mortality!$A$2:$F$104,6,FALSE)/VLOOKUP(C351,Mortality!$A$2:$F$104,6,FALSE))</f>
        <v>0.98240527975061542</v>
      </c>
      <c r="L351" s="11">
        <f>VLOOKUP(IF(B351="Pensioner",C351,Assumptions!$B$10),Mortality!$A$2:$E$104,5,FALSE)</f>
        <v>17.296790022132885</v>
      </c>
      <c r="M351" s="11">
        <f>1+Assumptions!$B$13*Assumptions!$B$14*Assumptions!$B$15</f>
        <v>1.3187500000000001</v>
      </c>
      <c r="N351" s="11">
        <f>IF(B351="Pensioner",1,1/(1+Assumptions!$B$6)^G351)</f>
        <v>0.56735322782936326</v>
      </c>
      <c r="O351" s="17">
        <f t="shared" si="5"/>
        <v>7289725.0436091712</v>
      </c>
    </row>
    <row r="352" spans="1:15">
      <c r="A352" s="13" t="str">
        <f>Members!A352</f>
        <v>A0338</v>
      </c>
      <c r="B352" s="13" t="str">
        <f>Members!B352</f>
        <v>Active</v>
      </c>
      <c r="C352" s="13">
        <f>Members!C352</f>
        <v>32</v>
      </c>
      <c r="D352" s="14">
        <f>Members!D352</f>
        <v>7.3</v>
      </c>
      <c r="E352" s="16">
        <f>Members!E352</f>
        <v>671000</v>
      </c>
      <c r="F352" s="16">
        <f>Members!F352</f>
        <v>0</v>
      </c>
      <c r="G352" s="15">
        <f>MAX(0,Assumptions!$B$10-C352)</f>
        <v>28</v>
      </c>
      <c r="H352" s="17">
        <f>IF(B352="Active",E352*(1+Assumptions!$B$7)^G352,E352)</f>
        <v>3004632.703230463</v>
      </c>
      <c r="I352" s="17">
        <f>IF(B352="Active",MIN(Assumptions!$B$12,D352+G352),IF(B352="Deferred",MIN(Assumptions!$B$12,D352),D352))</f>
        <v>35.299999999999997</v>
      </c>
      <c r="J352" s="17">
        <f>IF(B352="Active",H352*I352*Assumptions!$B$11,IF(B352="Deferred",E352*I352*Assumptions!$B$11*(1+Assumptions!$B$9)^G352,F352))</f>
        <v>1767725.5737339223</v>
      </c>
      <c r="K352" s="11">
        <f>IF(B352="Pensioner",1,VLOOKUP(Assumptions!$B$10,Mortality!$A$2:$F$104,6,FALSE)/VLOOKUP(C352,Mortality!$A$2:$F$104,6,FALSE))</f>
        <v>0.97095846876649572</v>
      </c>
      <c r="L352" s="11">
        <f>VLOOKUP(IF(B352="Pensioner",C352,Assumptions!$B$10),Mortality!$A$2:$E$104,5,FALSE)</f>
        <v>17.296790022132885</v>
      </c>
      <c r="M352" s="11">
        <f>1+Assumptions!$B$13*Assumptions!$B$14*Assumptions!$B$15</f>
        <v>1.3187500000000001</v>
      </c>
      <c r="N352" s="11">
        <f>IF(B352="Pensioner",1,1/(1+Assumptions!$B$6)^G352)</f>
        <v>0.17147901583340255</v>
      </c>
      <c r="O352" s="17">
        <f t="shared" si="5"/>
        <v>6713584.6181756407</v>
      </c>
    </row>
    <row r="353" spans="1:15">
      <c r="A353" s="13" t="str">
        <f>Members!A353</f>
        <v>P0165</v>
      </c>
      <c r="B353" s="13" t="str">
        <f>Members!B353</f>
        <v>Pensioner</v>
      </c>
      <c r="C353" s="13">
        <f>Members!C353</f>
        <v>90</v>
      </c>
      <c r="D353" s="14">
        <f>Members!D353</f>
        <v>23.2</v>
      </c>
      <c r="E353" s="16">
        <f>Members!E353</f>
        <v>0</v>
      </c>
      <c r="F353" s="16">
        <f>Members!F353</f>
        <v>625000</v>
      </c>
      <c r="G353" s="15">
        <f>MAX(0,Assumptions!$B$10-C353)</f>
        <v>0</v>
      </c>
      <c r="H353" s="17">
        <f>IF(B353="Active",E353*(1+Assumptions!$B$7)^G353,E353)</f>
        <v>0</v>
      </c>
      <c r="I353" s="17">
        <f>IF(B353="Active",MIN(Assumptions!$B$12,D353+G353),IF(B353="Deferred",MIN(Assumptions!$B$12,D353),D353))</f>
        <v>23.2</v>
      </c>
      <c r="J353" s="17">
        <f>IF(B353="Active",H353*I353*Assumptions!$B$11,IF(B353="Deferred",E353*I353*Assumptions!$B$11*(1+Assumptions!$B$9)^G353,F353))</f>
        <v>625000</v>
      </c>
      <c r="K353" s="11">
        <f>IF(B353="Pensioner",1,VLOOKUP(Assumptions!$B$10,Mortality!$A$2:$F$104,6,FALSE)/VLOOKUP(C353,Mortality!$A$2:$F$104,6,FALSE))</f>
        <v>1</v>
      </c>
      <c r="L353" s="11">
        <f>VLOOKUP(IF(B353="Pensioner",C353,Assumptions!$B$10),Mortality!$A$2:$E$104,5,FALSE)</f>
        <v>4.3119079307087222</v>
      </c>
      <c r="M353" s="11">
        <f>1+Assumptions!$B$13*Assumptions!$B$14*Assumptions!$B$15</f>
        <v>1.3187500000000001</v>
      </c>
      <c r="N353" s="11">
        <f>IF(B353="Pensioner",1,1/(1+Assumptions!$B$6)^G353)</f>
        <v>1</v>
      </c>
      <c r="O353" s="17">
        <f t="shared" si="5"/>
        <v>3553955.3647638299</v>
      </c>
    </row>
    <row r="354" spans="1:15">
      <c r="A354" s="13" t="str">
        <f>Members!A354</f>
        <v>A0289</v>
      </c>
      <c r="B354" s="13" t="str">
        <f>Members!B354</f>
        <v>Active</v>
      </c>
      <c r="C354" s="13">
        <f>Members!C354</f>
        <v>41</v>
      </c>
      <c r="D354" s="14">
        <f>Members!D354</f>
        <v>12.6</v>
      </c>
      <c r="E354" s="16">
        <f>Members!E354</f>
        <v>1103000</v>
      </c>
      <c r="F354" s="16">
        <f>Members!F354</f>
        <v>0</v>
      </c>
      <c r="G354" s="15">
        <f>MAX(0,Assumptions!$B$10-C354)</f>
        <v>19</v>
      </c>
      <c r="H354" s="17">
        <f>IF(B354="Active",E354*(1+Assumptions!$B$7)^G354,E354)</f>
        <v>3050508.5423092991</v>
      </c>
      <c r="I354" s="17">
        <f>IF(B354="Active",MIN(Assumptions!$B$12,D354+G354),IF(B354="Deferred",MIN(Assumptions!$B$12,D354),D354))</f>
        <v>31.6</v>
      </c>
      <c r="J354" s="17">
        <f>IF(B354="Active",H354*I354*Assumptions!$B$11,IF(B354="Deferred",E354*I354*Assumptions!$B$11*(1+Assumptions!$B$9)^G354,F354))</f>
        <v>1606601.1656162308</v>
      </c>
      <c r="K354" s="11">
        <f>IF(B354="Pensioner",1,VLOOKUP(Assumptions!$B$10,Mortality!$A$2:$F$104,6,FALSE)/VLOOKUP(C354,Mortality!$A$2:$F$104,6,FALSE))</f>
        <v>0.97454789540795339</v>
      </c>
      <c r="L354" s="11">
        <f>VLOOKUP(IF(B354="Pensioner",C354,Assumptions!$B$10),Mortality!$A$2:$E$104,5,FALSE)</f>
        <v>17.296790022132885</v>
      </c>
      <c r="M354" s="11">
        <f>1+Assumptions!$B$13*Assumptions!$B$14*Assumptions!$B$15</f>
        <v>1.3187500000000001</v>
      </c>
      <c r="N354" s="11">
        <f>IF(B354="Pensioner",1,1/(1+Assumptions!$B$6)^G354)</f>
        <v>0.30224383580131214</v>
      </c>
      <c r="O354" s="17">
        <f t="shared" si="5"/>
        <v>10794355.173191298</v>
      </c>
    </row>
    <row r="355" spans="1:15">
      <c r="A355" s="13" t="str">
        <f>Members!A355</f>
        <v>A0277</v>
      </c>
      <c r="B355" s="13" t="str">
        <f>Members!B355</f>
        <v>Active</v>
      </c>
      <c r="C355" s="13">
        <f>Members!C355</f>
        <v>28</v>
      </c>
      <c r="D355" s="14">
        <f>Members!D355</f>
        <v>1</v>
      </c>
      <c r="E355" s="16">
        <f>Members!E355</f>
        <v>595000</v>
      </c>
      <c r="F355" s="16">
        <f>Members!F355</f>
        <v>0</v>
      </c>
      <c r="G355" s="15">
        <f>MAX(0,Assumptions!$B$10-C355)</f>
        <v>32</v>
      </c>
      <c r="H355" s="17">
        <f>IF(B355="Active",E355*(1+Assumptions!$B$7)^G355,E355)</f>
        <v>3300621.1177457171</v>
      </c>
      <c r="I355" s="17">
        <f>IF(B355="Active",MIN(Assumptions!$B$12,D355+G355),IF(B355="Deferred",MIN(Assumptions!$B$12,D355),D355))</f>
        <v>33</v>
      </c>
      <c r="J355" s="17">
        <f>IF(B355="Active",H355*I355*Assumptions!$B$11,IF(B355="Deferred",E355*I355*Assumptions!$B$11*(1+Assumptions!$B$9)^G355,F355))</f>
        <v>1815341.6147601444</v>
      </c>
      <c r="K355" s="11">
        <f>IF(B355="Pensioner",1,VLOOKUP(Assumptions!$B$10,Mortality!$A$2:$F$104,6,FALSE)/VLOOKUP(C355,Mortality!$A$2:$F$104,6,FALSE))</f>
        <v>0.96977196143473232</v>
      </c>
      <c r="L355" s="11">
        <f>VLOOKUP(IF(B355="Pensioner",C355,Assumptions!$B$10),Mortality!$A$2:$E$104,5,FALSE)</f>
        <v>17.296790022132885</v>
      </c>
      <c r="M355" s="11">
        <f>1+Assumptions!$B$13*Assumptions!$B$14*Assumptions!$B$15</f>
        <v>1.3187500000000001</v>
      </c>
      <c r="N355" s="11">
        <f>IF(B355="Pensioner",1,1/(1+Assumptions!$B$6)^G355)</f>
        <v>0.13329459861122173</v>
      </c>
      <c r="O355" s="17">
        <f t="shared" si="5"/>
        <v>5352646.0241199825</v>
      </c>
    </row>
    <row r="356" spans="1:15">
      <c r="A356" s="13" t="str">
        <f>Members!A356</f>
        <v>P0193</v>
      </c>
      <c r="B356" s="13" t="str">
        <f>Members!B356</f>
        <v>Pensioner</v>
      </c>
      <c r="C356" s="13">
        <f>Members!C356</f>
        <v>77</v>
      </c>
      <c r="D356" s="14">
        <f>Members!D356</f>
        <v>22.7</v>
      </c>
      <c r="E356" s="16">
        <f>Members!E356</f>
        <v>0</v>
      </c>
      <c r="F356" s="16">
        <f>Members!F356</f>
        <v>625000</v>
      </c>
      <c r="G356" s="15">
        <f>MAX(0,Assumptions!$B$10-C356)</f>
        <v>0</v>
      </c>
      <c r="H356" s="17">
        <f>IF(B356="Active",E356*(1+Assumptions!$B$7)^G356,E356)</f>
        <v>0</v>
      </c>
      <c r="I356" s="17">
        <f>IF(B356="Active",MIN(Assumptions!$B$12,D356+G356),IF(B356="Deferred",MIN(Assumptions!$B$12,D356),D356))</f>
        <v>22.7</v>
      </c>
      <c r="J356" s="17">
        <f>IF(B356="Active",H356*I356*Assumptions!$B$11,IF(B356="Deferred",E356*I356*Assumptions!$B$11*(1+Assumptions!$B$9)^G356,F356))</f>
        <v>625000</v>
      </c>
      <c r="K356" s="11">
        <f>IF(B356="Pensioner",1,VLOOKUP(Assumptions!$B$10,Mortality!$A$2:$F$104,6,FALSE)/VLOOKUP(C356,Mortality!$A$2:$F$104,6,FALSE))</f>
        <v>1</v>
      </c>
      <c r="L356" s="11">
        <f>VLOOKUP(IF(B356="Pensioner",C356,Assumptions!$B$10),Mortality!$A$2:$E$104,5,FALSE)</f>
        <v>9.7418184564319716</v>
      </c>
      <c r="M356" s="11">
        <f>1+Assumptions!$B$13*Assumptions!$B$14*Assumptions!$B$15</f>
        <v>1.3187500000000001</v>
      </c>
      <c r="N356" s="11">
        <f>IF(B356="Pensioner",1,1/(1+Assumptions!$B$6)^G356)</f>
        <v>1</v>
      </c>
      <c r="O356" s="17">
        <f t="shared" si="5"/>
        <v>8029389.4308872893</v>
      </c>
    </row>
    <row r="357" spans="1:15">
      <c r="A357" s="13" t="str">
        <f>Members!A357</f>
        <v>A0033</v>
      </c>
      <c r="B357" s="13" t="str">
        <f>Members!B357</f>
        <v>Active</v>
      </c>
      <c r="C357" s="13">
        <f>Members!C357</f>
        <v>39</v>
      </c>
      <c r="D357" s="14">
        <f>Members!D357</f>
        <v>11.9</v>
      </c>
      <c r="E357" s="16">
        <f>Members!E357</f>
        <v>812000</v>
      </c>
      <c r="F357" s="16">
        <f>Members!F357</f>
        <v>0</v>
      </c>
      <c r="G357" s="15">
        <f>MAX(0,Assumptions!$B$10-C357)</f>
        <v>21</v>
      </c>
      <c r="H357" s="17">
        <f>IF(B357="Active",E357*(1+Assumptions!$B$7)^G357,E357)</f>
        <v>2499526.1319008991</v>
      </c>
      <c r="I357" s="17">
        <f>IF(B357="Active",MIN(Assumptions!$B$12,D357+G357),IF(B357="Deferred",MIN(Assumptions!$B$12,D357),D357))</f>
        <v>32.9</v>
      </c>
      <c r="J357" s="17">
        <f>IF(B357="Active",H357*I357*Assumptions!$B$11,IF(B357="Deferred",E357*I357*Assumptions!$B$11*(1+Assumptions!$B$9)^G357,F357))</f>
        <v>1370573.495658993</v>
      </c>
      <c r="K357" s="11">
        <f>IF(B357="Pensioner",1,VLOOKUP(Assumptions!$B$10,Mortality!$A$2:$F$104,6,FALSE)/VLOOKUP(C357,Mortality!$A$2:$F$104,6,FALSE))</f>
        <v>0.97358574177887802</v>
      </c>
      <c r="L357" s="11">
        <f>VLOOKUP(IF(B357="Pensioner",C357,Assumptions!$B$10),Mortality!$A$2:$E$104,5,FALSE)</f>
        <v>17.296790022132885</v>
      </c>
      <c r="M357" s="11">
        <f>1+Assumptions!$B$13*Assumptions!$B$14*Assumptions!$B$15</f>
        <v>1.3187500000000001</v>
      </c>
      <c r="N357" s="11">
        <f>IF(B357="Pensioner",1,1/(1+Assumptions!$B$6)^G357)</f>
        <v>0.26647608349429097</v>
      </c>
      <c r="O357" s="17">
        <f t="shared" si="5"/>
        <v>8110782.5239313459</v>
      </c>
    </row>
    <row r="358" spans="1:15">
      <c r="A358" s="13" t="str">
        <f>Members!A358</f>
        <v>A0499</v>
      </c>
      <c r="B358" s="13" t="str">
        <f>Members!B358</f>
        <v>Active</v>
      </c>
      <c r="C358" s="13">
        <f>Members!C358</f>
        <v>37</v>
      </c>
      <c r="D358" s="14">
        <f>Members!D358</f>
        <v>7.1</v>
      </c>
      <c r="E358" s="16">
        <f>Members!E358</f>
        <v>835000</v>
      </c>
      <c r="F358" s="16">
        <f>Members!F358</f>
        <v>0</v>
      </c>
      <c r="G358" s="15">
        <f>MAX(0,Assumptions!$B$10-C358)</f>
        <v>23</v>
      </c>
      <c r="H358" s="17">
        <f>IF(B358="Active",E358*(1+Assumptions!$B$7)^G358,E358)</f>
        <v>2860836.5590157183</v>
      </c>
      <c r="I358" s="17">
        <f>IF(B358="Active",MIN(Assumptions!$B$12,D358+G358),IF(B358="Deferred",MIN(Assumptions!$B$12,D358),D358))</f>
        <v>30.1</v>
      </c>
      <c r="J358" s="17">
        <f>IF(B358="Active",H358*I358*Assumptions!$B$11,IF(B358="Deferred",E358*I358*Assumptions!$B$11*(1+Assumptions!$B$9)^G358,F358))</f>
        <v>1435186.340439552</v>
      </c>
      <c r="K358" s="11">
        <f>IF(B358="Pensioner",1,VLOOKUP(Assumptions!$B$10,Mortality!$A$2:$F$104,6,FALSE)/VLOOKUP(C358,Mortality!$A$2:$F$104,6,FALSE))</f>
        <v>0.97273561412651877</v>
      </c>
      <c r="L358" s="11">
        <f>VLOOKUP(IF(B358="Pensioner",C358,Assumptions!$B$10),Mortality!$A$2:$E$104,5,FALSE)</f>
        <v>17.296790022132885</v>
      </c>
      <c r="M358" s="11">
        <f>1+Assumptions!$B$13*Assumptions!$B$14*Assumptions!$B$15</f>
        <v>1.3187500000000001</v>
      </c>
      <c r="N358" s="11">
        <f>IF(B358="Pensioner",1,1/(1+Assumptions!$B$6)^G358)</f>
        <v>0.23494111264898151</v>
      </c>
      <c r="O358" s="17">
        <f t="shared" si="5"/>
        <v>7481524.7336710682</v>
      </c>
    </row>
    <row r="359" spans="1:15">
      <c r="A359" s="13" t="str">
        <f>Members!A359</f>
        <v>A0495</v>
      </c>
      <c r="B359" s="13" t="str">
        <f>Members!B359</f>
        <v>Active</v>
      </c>
      <c r="C359" s="13">
        <f>Members!C359</f>
        <v>23</v>
      </c>
      <c r="D359" s="14">
        <f>Members!D359</f>
        <v>1</v>
      </c>
      <c r="E359" s="16">
        <f>Members!E359</f>
        <v>456000</v>
      </c>
      <c r="F359" s="16">
        <f>Members!F359</f>
        <v>0</v>
      </c>
      <c r="G359" s="15">
        <f>MAX(0,Assumptions!$B$10-C359)</f>
        <v>37</v>
      </c>
      <c r="H359" s="17">
        <f>IF(B359="Active",E359*(1+Assumptions!$B$7)^G359,E359)</f>
        <v>3306022.8361764038</v>
      </c>
      <c r="I359" s="17">
        <f>IF(B359="Active",MIN(Assumptions!$B$12,D359+G359),IF(B359="Deferred",MIN(Assumptions!$B$12,D359),D359))</f>
        <v>38</v>
      </c>
      <c r="J359" s="17">
        <f>IF(B359="Active",H359*I359*Assumptions!$B$11,IF(B359="Deferred",E359*I359*Assumptions!$B$11*(1+Assumptions!$B$9)^G359,F359))</f>
        <v>2093814.4629117223</v>
      </c>
      <c r="K359" s="11">
        <f>IF(B359="Pensioner",1,VLOOKUP(Assumptions!$B$10,Mortality!$A$2:$F$104,6,FALSE)/VLOOKUP(C359,Mortality!$A$2:$F$104,6,FALSE))</f>
        <v>0.96845927521970809</v>
      </c>
      <c r="L359" s="11">
        <f>VLOOKUP(IF(B359="Pensioner",C359,Assumptions!$B$10),Mortality!$A$2:$E$104,5,FALSE)</f>
        <v>17.296790022132885</v>
      </c>
      <c r="M359" s="11">
        <f>1+Assumptions!$B$13*Assumptions!$B$14*Assumptions!$B$15</f>
        <v>1.3187500000000001</v>
      </c>
      <c r="N359" s="11">
        <f>IF(B359="Pensioner",1,1/(1+Assumptions!$B$6)^G359)</f>
        <v>9.7289173138083412E-2</v>
      </c>
      <c r="O359" s="17">
        <f t="shared" si="5"/>
        <v>4499995.2612718018</v>
      </c>
    </row>
    <row r="360" spans="1:15">
      <c r="A360" s="13" t="str">
        <f>Members!A360</f>
        <v>P0101</v>
      </c>
      <c r="B360" s="13" t="str">
        <f>Members!B360</f>
        <v>Pensioner</v>
      </c>
      <c r="C360" s="13">
        <f>Members!C360</f>
        <v>73</v>
      </c>
      <c r="D360" s="14">
        <f>Members!D360</f>
        <v>18.899999999999999</v>
      </c>
      <c r="E360" s="16">
        <f>Members!E360</f>
        <v>0</v>
      </c>
      <c r="F360" s="16">
        <f>Members!F360</f>
        <v>406000</v>
      </c>
      <c r="G360" s="15">
        <f>MAX(0,Assumptions!$B$10-C360)</f>
        <v>0</v>
      </c>
      <c r="H360" s="17">
        <f>IF(B360="Active",E360*(1+Assumptions!$B$7)^G360,E360)</f>
        <v>0</v>
      </c>
      <c r="I360" s="17">
        <f>IF(B360="Active",MIN(Assumptions!$B$12,D360+G360),IF(B360="Deferred",MIN(Assumptions!$B$12,D360),D360))</f>
        <v>18.899999999999999</v>
      </c>
      <c r="J360" s="17">
        <f>IF(B360="Active",H360*I360*Assumptions!$B$11,IF(B360="Deferred",E360*I360*Assumptions!$B$11*(1+Assumptions!$B$9)^G360,F360))</f>
        <v>406000</v>
      </c>
      <c r="K360" s="11">
        <f>IF(B360="Pensioner",1,VLOOKUP(Assumptions!$B$10,Mortality!$A$2:$F$104,6,FALSE)/VLOOKUP(C360,Mortality!$A$2:$F$104,6,FALSE))</f>
        <v>1</v>
      </c>
      <c r="L360" s="11">
        <f>VLOOKUP(IF(B360="Pensioner",C360,Assumptions!$B$10),Mortality!$A$2:$E$104,5,FALSE)</f>
        <v>11.586176267789867</v>
      </c>
      <c r="M360" s="11">
        <f>1+Assumptions!$B$13*Assumptions!$B$14*Assumptions!$B$15</f>
        <v>1.3187500000000001</v>
      </c>
      <c r="N360" s="11">
        <f>IF(B360="Pensioner",1,1/(1+Assumptions!$B$6)^G360)</f>
        <v>1</v>
      </c>
      <c r="O360" s="17">
        <f t="shared" si="5"/>
        <v>6203383.6009780429</v>
      </c>
    </row>
    <row r="361" spans="1:15">
      <c r="A361" s="13" t="str">
        <f>Members!A361</f>
        <v>D0111</v>
      </c>
      <c r="B361" s="13" t="str">
        <f>Members!B361</f>
        <v>Deferred</v>
      </c>
      <c r="C361" s="13">
        <f>Members!C361</f>
        <v>44</v>
      </c>
      <c r="D361" s="14">
        <f>Members!D361</f>
        <v>12.3</v>
      </c>
      <c r="E361" s="16">
        <f>Members!E361</f>
        <v>655000</v>
      </c>
      <c r="F361" s="16">
        <f>Members!F361</f>
        <v>0</v>
      </c>
      <c r="G361" s="15">
        <f>MAX(0,Assumptions!$B$10-C361)</f>
        <v>16</v>
      </c>
      <c r="H361" s="17">
        <f>IF(B361="Active",E361*(1+Assumptions!$B$7)^G361,E361)</f>
        <v>655000</v>
      </c>
      <c r="I361" s="17">
        <f>IF(B361="Active",MIN(Assumptions!$B$12,D361+G361),IF(B361="Deferred",MIN(Assumptions!$B$12,D361),D361))</f>
        <v>12.3</v>
      </c>
      <c r="J361" s="17">
        <f>IF(B361="Active",H361*I361*Assumptions!$B$11,IF(B361="Deferred",E361*I361*Assumptions!$B$11*(1+Assumptions!$B$9)^G361,F361))</f>
        <v>251494.55677001894</v>
      </c>
      <c r="K361" s="11">
        <f>IF(B361="Pensioner",1,VLOOKUP(Assumptions!$B$10,Mortality!$A$2:$F$104,6,FALSE)/VLOOKUP(C361,Mortality!$A$2:$F$104,6,FALSE))</f>
        <v>0.97626822121787327</v>
      </c>
      <c r="L361" s="11">
        <f>VLOOKUP(IF(B361="Pensioner",C361,Assumptions!$B$10),Mortality!$A$2:$E$104,5,FALSE)</f>
        <v>17.296790022132885</v>
      </c>
      <c r="M361" s="11">
        <f>1+Assumptions!$B$13*Assumptions!$B$14*Assumptions!$B$15</f>
        <v>1.3187500000000001</v>
      </c>
      <c r="N361" s="11">
        <f>IF(B361="Pensioner",1,1/(1+Assumptions!$B$6)^G361)</f>
        <v>0.36509532811475648</v>
      </c>
      <c r="O361" s="17">
        <f t="shared" si="5"/>
        <v>2044711.332548822</v>
      </c>
    </row>
    <row r="362" spans="1:15">
      <c r="A362" s="13" t="str">
        <f>Members!A362</f>
        <v>P0116</v>
      </c>
      <c r="B362" s="13" t="str">
        <f>Members!B362</f>
        <v>Pensioner</v>
      </c>
      <c r="C362" s="13">
        <f>Members!C362</f>
        <v>76</v>
      </c>
      <c r="D362" s="14">
        <f>Members!D362</f>
        <v>30.6</v>
      </c>
      <c r="E362" s="16">
        <f>Members!E362</f>
        <v>0</v>
      </c>
      <c r="F362" s="16">
        <f>Members!F362</f>
        <v>384000</v>
      </c>
      <c r="G362" s="15">
        <f>MAX(0,Assumptions!$B$10-C362)</f>
        <v>0</v>
      </c>
      <c r="H362" s="17">
        <f>IF(B362="Active",E362*(1+Assumptions!$B$7)^G362,E362)</f>
        <v>0</v>
      </c>
      <c r="I362" s="17">
        <f>IF(B362="Active",MIN(Assumptions!$B$12,D362+G362),IF(B362="Deferred",MIN(Assumptions!$B$12,D362),D362))</f>
        <v>30.6</v>
      </c>
      <c r="J362" s="17">
        <f>IF(B362="Active",H362*I362*Assumptions!$B$11,IF(B362="Deferred",E362*I362*Assumptions!$B$11*(1+Assumptions!$B$9)^G362,F362))</f>
        <v>384000</v>
      </c>
      <c r="K362" s="11">
        <f>IF(B362="Pensioner",1,VLOOKUP(Assumptions!$B$10,Mortality!$A$2:$F$104,6,FALSE)/VLOOKUP(C362,Mortality!$A$2:$F$104,6,FALSE))</f>
        <v>1</v>
      </c>
      <c r="L362" s="11">
        <f>VLOOKUP(IF(B362="Pensioner",C362,Assumptions!$B$10),Mortality!$A$2:$E$104,5,FALSE)</f>
        <v>10.201355966192867</v>
      </c>
      <c r="M362" s="11">
        <f>1+Assumptions!$B$13*Assumptions!$B$14*Assumptions!$B$15</f>
        <v>1.3187500000000001</v>
      </c>
      <c r="N362" s="11">
        <f>IF(B362="Pensioner",1,1/(1+Assumptions!$B$6)^G362)</f>
        <v>1</v>
      </c>
      <c r="O362" s="17">
        <f t="shared" si="5"/>
        <v>5165966.6612800686</v>
      </c>
    </row>
    <row r="363" spans="1:15">
      <c r="A363" s="13" t="str">
        <f>Members!A363</f>
        <v>A0565</v>
      </c>
      <c r="B363" s="13" t="str">
        <f>Members!B363</f>
        <v>Active</v>
      </c>
      <c r="C363" s="13">
        <f>Members!C363</f>
        <v>27</v>
      </c>
      <c r="D363" s="14">
        <f>Members!D363</f>
        <v>5.7</v>
      </c>
      <c r="E363" s="16">
        <f>Members!E363</f>
        <v>556000</v>
      </c>
      <c r="F363" s="16">
        <f>Members!F363</f>
        <v>0</v>
      </c>
      <c r="G363" s="15">
        <f>MAX(0,Assumptions!$B$10-C363)</f>
        <v>33</v>
      </c>
      <c r="H363" s="17">
        <f>IF(B363="Active",E363*(1+Assumptions!$B$7)^G363,E363)</f>
        <v>3253913.168482828</v>
      </c>
      <c r="I363" s="17">
        <f>IF(B363="Active",MIN(Assumptions!$B$12,D363+G363),IF(B363="Deferred",MIN(Assumptions!$B$12,D363),D363))</f>
        <v>38.700000000000003</v>
      </c>
      <c r="J363" s="17">
        <f>IF(B363="Active",H363*I363*Assumptions!$B$11,IF(B363="Deferred",E363*I363*Assumptions!$B$11*(1+Assumptions!$B$9)^G363,F363))</f>
        <v>2098773.9936714242</v>
      </c>
      <c r="K363" s="11">
        <f>IF(B363="Pensioner",1,VLOOKUP(Assumptions!$B$10,Mortality!$A$2:$F$104,6,FALSE)/VLOOKUP(C363,Mortality!$A$2:$F$104,6,FALSE))</f>
        <v>0.96949713302845153</v>
      </c>
      <c r="L363" s="11">
        <f>VLOOKUP(IF(B363="Pensioner",C363,Assumptions!$B$10),Mortality!$A$2:$E$104,5,FALSE)</f>
        <v>17.296790022132885</v>
      </c>
      <c r="M363" s="11">
        <f>1+Assumptions!$B$13*Assumptions!$B$14*Assumptions!$B$15</f>
        <v>1.3187500000000001</v>
      </c>
      <c r="N363" s="11">
        <f>IF(B363="Pensioner",1,1/(1+Assumptions!$B$6)^G363)</f>
        <v>0.12515924752227392</v>
      </c>
      <c r="O363" s="17">
        <f t="shared" si="5"/>
        <v>5809023.4891933454</v>
      </c>
    </row>
    <row r="364" spans="1:15">
      <c r="A364" s="13" t="str">
        <f>Members!A364</f>
        <v>D0006</v>
      </c>
      <c r="B364" s="13" t="str">
        <f>Members!B364</f>
        <v>Deferred</v>
      </c>
      <c r="C364" s="13">
        <f>Members!C364</f>
        <v>51</v>
      </c>
      <c r="D364" s="14">
        <f>Members!D364</f>
        <v>15.2</v>
      </c>
      <c r="E364" s="16">
        <f>Members!E364</f>
        <v>906000</v>
      </c>
      <c r="F364" s="16">
        <f>Members!F364</f>
        <v>0</v>
      </c>
      <c r="G364" s="15">
        <f>MAX(0,Assumptions!$B$10-C364)</f>
        <v>9</v>
      </c>
      <c r="H364" s="17">
        <f>IF(B364="Active",E364*(1+Assumptions!$B$7)^G364,E364)</f>
        <v>906000</v>
      </c>
      <c r="I364" s="17">
        <f>IF(B364="Active",MIN(Assumptions!$B$12,D364+G364),IF(B364="Deferred",MIN(Assumptions!$B$12,D364),D364))</f>
        <v>15.2</v>
      </c>
      <c r="J364" s="17">
        <f>IF(B364="Active",H364*I364*Assumptions!$B$11,IF(B364="Deferred",E364*I364*Assumptions!$B$11*(1+Assumptions!$B$9)^G364,F364))</f>
        <v>326678.52718697931</v>
      </c>
      <c r="K364" s="11">
        <f>IF(B364="Pensioner",1,VLOOKUP(Assumptions!$B$10,Mortality!$A$2:$F$104,6,FALSE)/VLOOKUP(C364,Mortality!$A$2:$F$104,6,FALSE))</f>
        <v>0.98240527975061542</v>
      </c>
      <c r="L364" s="11">
        <f>VLOOKUP(IF(B364="Pensioner",C364,Assumptions!$B$10),Mortality!$A$2:$E$104,5,FALSE)</f>
        <v>17.296790022132885</v>
      </c>
      <c r="M364" s="11">
        <f>1+Assumptions!$B$13*Assumptions!$B$14*Assumptions!$B$15</f>
        <v>1.3187500000000001</v>
      </c>
      <c r="N364" s="11">
        <f>IF(B364="Pensioner",1,1/(1+Assumptions!$B$6)^G364)</f>
        <v>0.56735322782936326</v>
      </c>
      <c r="O364" s="17">
        <f t="shared" si="5"/>
        <v>4153295.1284009665</v>
      </c>
    </row>
    <row r="365" spans="1:15">
      <c r="A365" s="13" t="str">
        <f>Members!A365</f>
        <v>D0089</v>
      </c>
      <c r="B365" s="13" t="str">
        <f>Members!B365</f>
        <v>Deferred</v>
      </c>
      <c r="C365" s="13">
        <f>Members!C365</f>
        <v>42</v>
      </c>
      <c r="D365" s="14">
        <f>Members!D365</f>
        <v>9.5</v>
      </c>
      <c r="E365" s="16">
        <f>Members!E365</f>
        <v>742000</v>
      </c>
      <c r="F365" s="16">
        <f>Members!F365</f>
        <v>0</v>
      </c>
      <c r="G365" s="15">
        <f>MAX(0,Assumptions!$B$10-C365)</f>
        <v>18</v>
      </c>
      <c r="H365" s="17">
        <f>IF(B365="Active",E365*(1+Assumptions!$B$7)^G365,E365)</f>
        <v>742000</v>
      </c>
      <c r="I365" s="17">
        <f>IF(B365="Active",MIN(Assumptions!$B$12,D365+G365),IF(B365="Deferred",MIN(Assumptions!$B$12,D365),D365))</f>
        <v>9.5</v>
      </c>
      <c r="J365" s="17">
        <f>IF(B365="Active",H365*I365*Assumptions!$B$11,IF(B365="Deferred",E365*I365*Assumptions!$B$11*(1+Assumptions!$B$9)^G365,F365))</f>
        <v>237999.67694838799</v>
      </c>
      <c r="K365" s="11">
        <f>IF(B365="Pensioner",1,VLOOKUP(Assumptions!$B$10,Mortality!$A$2:$F$104,6,FALSE)/VLOOKUP(C365,Mortality!$A$2:$F$104,6,FALSE))</f>
        <v>0.97507997078383857</v>
      </c>
      <c r="L365" s="11">
        <f>VLOOKUP(IF(B365="Pensioner",C365,Assumptions!$B$10),Mortality!$A$2:$E$104,5,FALSE)</f>
        <v>17.296790022132885</v>
      </c>
      <c r="M365" s="11">
        <f>1+Assumptions!$B$13*Assumptions!$B$14*Assumptions!$B$15</f>
        <v>1.3187500000000001</v>
      </c>
      <c r="N365" s="11">
        <f>IF(B365="Pensioner",1,1/(1+Assumptions!$B$6)^G365)</f>
        <v>0.32188968512839738</v>
      </c>
      <c r="O365" s="17">
        <f t="shared" si="5"/>
        <v>1703929.6069336322</v>
      </c>
    </row>
    <row r="366" spans="1:15">
      <c r="A366" s="13" t="str">
        <f>Members!A366</f>
        <v>A0205</v>
      </c>
      <c r="B366" s="13" t="str">
        <f>Members!B366</f>
        <v>Active</v>
      </c>
      <c r="C366" s="13">
        <f>Members!C366</f>
        <v>54</v>
      </c>
      <c r="D366" s="14">
        <f>Members!D366</f>
        <v>11.1</v>
      </c>
      <c r="E366" s="16">
        <f>Members!E366</f>
        <v>1790000</v>
      </c>
      <c r="F366" s="16">
        <f>Members!F366</f>
        <v>0</v>
      </c>
      <c r="G366" s="15">
        <f>MAX(0,Assumptions!$B$10-C366)</f>
        <v>6</v>
      </c>
      <c r="H366" s="17">
        <f>IF(B366="Active",E366*(1+Assumptions!$B$7)^G366,E366)</f>
        <v>2468128.6241037836</v>
      </c>
      <c r="I366" s="17">
        <f>IF(B366="Active",MIN(Assumptions!$B$12,D366+G366),IF(B366="Deferred",MIN(Assumptions!$B$12,D366),D366))</f>
        <v>17.100000000000001</v>
      </c>
      <c r="J366" s="17">
        <f>IF(B366="Active",H366*I366*Assumptions!$B$11,IF(B366="Deferred",E366*I366*Assumptions!$B$11*(1+Assumptions!$B$9)^G366,F366))</f>
        <v>703416.65786957834</v>
      </c>
      <c r="K366" s="11">
        <f>IF(B366="Pensioner",1,VLOOKUP(Assumptions!$B$10,Mortality!$A$2:$F$104,6,FALSE)/VLOOKUP(C366,Mortality!$A$2:$F$104,6,FALSE))</f>
        <v>0.98655351190569374</v>
      </c>
      <c r="L366" s="11">
        <f>VLOOKUP(IF(B366="Pensioner",C366,Assumptions!$B$10),Mortality!$A$2:$E$104,5,FALSE)</f>
        <v>17.296790022132885</v>
      </c>
      <c r="M366" s="11">
        <f>1+Assumptions!$B$13*Assumptions!$B$14*Assumptions!$B$15</f>
        <v>1.3187500000000001</v>
      </c>
      <c r="N366" s="11">
        <f>IF(B366="Pensioner",1,1/(1+Assumptions!$B$6)^G366)</f>
        <v>0.68533411879901873</v>
      </c>
      <c r="O366" s="17">
        <f t="shared" si="5"/>
        <v>10848348.664977226</v>
      </c>
    </row>
    <row r="367" spans="1:15">
      <c r="A367" s="13" t="str">
        <f>Members!A367</f>
        <v>A0002</v>
      </c>
      <c r="B367" s="13" t="str">
        <f>Members!B367</f>
        <v>Active</v>
      </c>
      <c r="C367" s="13">
        <f>Members!C367</f>
        <v>45</v>
      </c>
      <c r="D367" s="14">
        <f>Members!D367</f>
        <v>15.7</v>
      </c>
      <c r="E367" s="16">
        <f>Members!E367</f>
        <v>1372000</v>
      </c>
      <c r="F367" s="16">
        <f>Members!F367</f>
        <v>0</v>
      </c>
      <c r="G367" s="15">
        <f>MAX(0,Assumptions!$B$10-C367)</f>
        <v>15</v>
      </c>
      <c r="H367" s="17">
        <f>IF(B367="Active",E367*(1+Assumptions!$B$7)^G367,E367)</f>
        <v>3062957.7473504669</v>
      </c>
      <c r="I367" s="17">
        <f>IF(B367="Active",MIN(Assumptions!$B$12,D367+G367),IF(B367="Deferred",MIN(Assumptions!$B$12,D367),D367))</f>
        <v>30.7</v>
      </c>
      <c r="J367" s="17">
        <f>IF(B367="Active",H367*I367*Assumptions!$B$11,IF(B367="Deferred",E367*I367*Assumptions!$B$11*(1+Assumptions!$B$9)^G367,F367))</f>
        <v>1567213.3807276555</v>
      </c>
      <c r="K367" s="11">
        <f>IF(B367="Pensioner",1,VLOOKUP(Assumptions!$B$10,Mortality!$A$2:$F$104,6,FALSE)/VLOOKUP(C367,Mortality!$A$2:$F$104,6,FALSE))</f>
        <v>0.97693494781946555</v>
      </c>
      <c r="L367" s="11">
        <f>VLOOKUP(IF(B367="Pensioner",C367,Assumptions!$B$10),Mortality!$A$2:$E$104,5,FALSE)</f>
        <v>17.296790022132885</v>
      </c>
      <c r="M367" s="11">
        <f>1+Assumptions!$B$13*Assumptions!$B$14*Assumptions!$B$15</f>
        <v>1.3187500000000001</v>
      </c>
      <c r="N367" s="11">
        <f>IF(B367="Pensioner",1,1/(1+Assumptions!$B$6)^G367)</f>
        <v>0.38882652444221566</v>
      </c>
      <c r="O367" s="17">
        <f t="shared" si="5"/>
        <v>13579308.22472412</v>
      </c>
    </row>
    <row r="368" spans="1:15">
      <c r="A368" s="13" t="str">
        <f>Members!A368</f>
        <v>A0152</v>
      </c>
      <c r="B368" s="13" t="str">
        <f>Members!B368</f>
        <v>Active</v>
      </c>
      <c r="C368" s="13">
        <f>Members!C368</f>
        <v>25</v>
      </c>
      <c r="D368" s="14">
        <f>Members!D368</f>
        <v>1.3</v>
      </c>
      <c r="E368" s="16">
        <f>Members!E368</f>
        <v>337000</v>
      </c>
      <c r="F368" s="16">
        <f>Members!F368</f>
        <v>0</v>
      </c>
      <c r="G368" s="15">
        <f>MAX(0,Assumptions!$B$10-C368)</f>
        <v>35</v>
      </c>
      <c r="H368" s="17">
        <f>IF(B368="Active",E368*(1+Assumptions!$B$7)^G368,E368)</f>
        <v>2195159.0276369639</v>
      </c>
      <c r="I368" s="17">
        <f>IF(B368="Active",MIN(Assumptions!$B$12,D368+G368),IF(B368="Deferred",MIN(Assumptions!$B$12,D368),D368))</f>
        <v>36.299999999999997</v>
      </c>
      <c r="J368" s="17">
        <f>IF(B368="Active",H368*I368*Assumptions!$B$11,IF(B368="Deferred",E368*I368*Assumptions!$B$11*(1+Assumptions!$B$9)^G368,F368))</f>
        <v>1328071.211720363</v>
      </c>
      <c r="K368" s="11">
        <f>IF(B368="Pensioner",1,VLOOKUP(Assumptions!$B$10,Mortality!$A$2:$F$104,6,FALSE)/VLOOKUP(C368,Mortality!$A$2:$F$104,6,FALSE))</f>
        <v>0.96896729760411437</v>
      </c>
      <c r="L368" s="11">
        <f>VLOOKUP(IF(B368="Pensioner",C368,Assumptions!$B$10),Mortality!$A$2:$E$104,5,FALSE)</f>
        <v>17.296790022132885</v>
      </c>
      <c r="M368" s="11">
        <f>1+Assumptions!$B$13*Assumptions!$B$14*Assumptions!$B$15</f>
        <v>1.3187500000000001</v>
      </c>
      <c r="N368" s="11">
        <f>IF(B368="Pensioner",1,1/(1+Assumptions!$B$6)^G368)</f>
        <v>0.11034781240254267</v>
      </c>
      <c r="O368" s="17">
        <f t="shared" si="5"/>
        <v>3239083.8927249629</v>
      </c>
    </row>
    <row r="369" spans="1:15">
      <c r="A369" s="13" t="str">
        <f>Members!A369</f>
        <v>A0363</v>
      </c>
      <c r="B369" s="13" t="str">
        <f>Members!B369</f>
        <v>Active</v>
      </c>
      <c r="C369" s="13">
        <f>Members!C369</f>
        <v>35</v>
      </c>
      <c r="D369" s="14">
        <f>Members!D369</f>
        <v>14.8</v>
      </c>
      <c r="E369" s="16">
        <f>Members!E369</f>
        <v>805000</v>
      </c>
      <c r="F369" s="16">
        <f>Members!F369</f>
        <v>0</v>
      </c>
      <c r="G369" s="15">
        <f>MAX(0,Assumptions!$B$10-C369)</f>
        <v>25</v>
      </c>
      <c r="H369" s="17">
        <f>IF(B369="Active",E369*(1+Assumptions!$B$7)^G369,E369)</f>
        <v>3069780.8406398422</v>
      </c>
      <c r="I369" s="17">
        <f>IF(B369="Active",MIN(Assumptions!$B$12,D369+G369),IF(B369="Deferred",MIN(Assumptions!$B$12,D369),D369))</f>
        <v>39.799999999999997</v>
      </c>
      <c r="J369" s="17">
        <f>IF(B369="Active",H369*I369*Assumptions!$B$11,IF(B369="Deferred",E369*I369*Assumptions!$B$11*(1+Assumptions!$B$9)^G369,F369))</f>
        <v>2036287.9576244284</v>
      </c>
      <c r="K369" s="11">
        <f>IF(B369="Pensioner",1,VLOOKUP(Assumptions!$B$10,Mortality!$A$2:$F$104,6,FALSE)/VLOOKUP(C369,Mortality!$A$2:$F$104,6,FALSE))</f>
        <v>0.97197407653867529</v>
      </c>
      <c r="L369" s="11">
        <f>VLOOKUP(IF(B369="Pensioner",C369,Assumptions!$B$10),Mortality!$A$2:$E$104,5,FALSE)</f>
        <v>17.296790022132885</v>
      </c>
      <c r="M369" s="11">
        <f>1+Assumptions!$B$13*Assumptions!$B$14*Assumptions!$B$15</f>
        <v>1.3187500000000001</v>
      </c>
      <c r="N369" s="11">
        <f>IF(B369="Pensioner",1,1/(1+Assumptions!$B$6)^G369)</f>
        <v>0.20713801287132758</v>
      </c>
      <c r="O369" s="17">
        <f t="shared" si="5"/>
        <v>9351508.3602543715</v>
      </c>
    </row>
    <row r="370" spans="1:15">
      <c r="A370" s="13" t="str">
        <f>Members!A370</f>
        <v>A0086</v>
      </c>
      <c r="B370" s="13" t="str">
        <f>Members!B370</f>
        <v>Active</v>
      </c>
      <c r="C370" s="13">
        <f>Members!C370</f>
        <v>37</v>
      </c>
      <c r="D370" s="14">
        <f>Members!D370</f>
        <v>14.5</v>
      </c>
      <c r="E370" s="16">
        <f>Members!E370</f>
        <v>811000</v>
      </c>
      <c r="F370" s="16">
        <f>Members!F370</f>
        <v>0</v>
      </c>
      <c r="G370" s="15">
        <f>MAX(0,Assumptions!$B$10-C370)</f>
        <v>23</v>
      </c>
      <c r="H370" s="17">
        <f>IF(B370="Active",E370*(1+Assumptions!$B$7)^G370,E370)</f>
        <v>2778608.9213913144</v>
      </c>
      <c r="I370" s="17">
        <f>IF(B370="Active",MIN(Assumptions!$B$12,D370+G370),IF(B370="Deferred",MIN(Assumptions!$B$12,D370),D370))</f>
        <v>37.5</v>
      </c>
      <c r="J370" s="17">
        <f>IF(B370="Active",H370*I370*Assumptions!$B$11,IF(B370="Deferred",E370*I370*Assumptions!$B$11*(1+Assumptions!$B$9)^G370,F370))</f>
        <v>1736630.5758695714</v>
      </c>
      <c r="K370" s="11">
        <f>IF(B370="Pensioner",1,VLOOKUP(Assumptions!$B$10,Mortality!$A$2:$F$104,6,FALSE)/VLOOKUP(C370,Mortality!$A$2:$F$104,6,FALSE))</f>
        <v>0.97273561412651877</v>
      </c>
      <c r="L370" s="11">
        <f>VLOOKUP(IF(B370="Pensioner",C370,Assumptions!$B$10),Mortality!$A$2:$E$104,5,FALSE)</f>
        <v>17.296790022132885</v>
      </c>
      <c r="M370" s="11">
        <f>1+Assumptions!$B$13*Assumptions!$B$14*Assumptions!$B$15</f>
        <v>1.3187500000000001</v>
      </c>
      <c r="N370" s="11">
        <f>IF(B370="Pensioner",1,1/(1+Assumptions!$B$6)^G370)</f>
        <v>0.23494111264898151</v>
      </c>
      <c r="O370" s="17">
        <f t="shared" si="5"/>
        <v>9052932.1806660984</v>
      </c>
    </row>
    <row r="371" spans="1:15">
      <c r="A371" s="13" t="str">
        <f>Members!A371</f>
        <v>A0344</v>
      </c>
      <c r="B371" s="13" t="str">
        <f>Members!B371</f>
        <v>Active</v>
      </c>
      <c r="C371" s="13">
        <f>Members!C371</f>
        <v>35</v>
      </c>
      <c r="D371" s="14">
        <f>Members!D371</f>
        <v>7.6</v>
      </c>
      <c r="E371" s="16">
        <f>Members!E371</f>
        <v>721000</v>
      </c>
      <c r="F371" s="16">
        <f>Members!F371</f>
        <v>0</v>
      </c>
      <c r="G371" s="15">
        <f>MAX(0,Assumptions!$B$10-C371)</f>
        <v>25</v>
      </c>
      <c r="H371" s="17">
        <f>IF(B371="Active",E371*(1+Assumptions!$B$7)^G371,E371)</f>
        <v>2749455.8833556846</v>
      </c>
      <c r="I371" s="17">
        <f>IF(B371="Active",MIN(Assumptions!$B$12,D371+G371),IF(B371="Deferred",MIN(Assumptions!$B$12,D371),D371))</f>
        <v>32.6</v>
      </c>
      <c r="J371" s="17">
        <f>IF(B371="Active",H371*I371*Assumptions!$B$11,IF(B371="Deferred",E371*I371*Assumptions!$B$11*(1+Assumptions!$B$9)^G371,F371))</f>
        <v>1493871.0299565885</v>
      </c>
      <c r="K371" s="11">
        <f>IF(B371="Pensioner",1,VLOOKUP(Assumptions!$B$10,Mortality!$A$2:$F$104,6,FALSE)/VLOOKUP(C371,Mortality!$A$2:$F$104,6,FALSE))</f>
        <v>0.97197407653867529</v>
      </c>
      <c r="L371" s="11">
        <f>VLOOKUP(IF(B371="Pensioner",C371,Assumptions!$B$10),Mortality!$A$2:$E$104,5,FALSE)</f>
        <v>17.296790022132885</v>
      </c>
      <c r="M371" s="11">
        <f>1+Assumptions!$B$13*Assumptions!$B$14*Assumptions!$B$15</f>
        <v>1.3187500000000001</v>
      </c>
      <c r="N371" s="11">
        <f>IF(B371="Pensioner",1,1/(1+Assumptions!$B$6)^G371)</f>
        <v>0.20713801287132758</v>
      </c>
      <c r="O371" s="17">
        <f t="shared" si="5"/>
        <v>6860497.0006690249</v>
      </c>
    </row>
    <row r="372" spans="1:15">
      <c r="A372" s="13" t="str">
        <f>Members!A372</f>
        <v>A0512</v>
      </c>
      <c r="B372" s="13" t="str">
        <f>Members!B372</f>
        <v>Active</v>
      </c>
      <c r="C372" s="13">
        <f>Members!C372</f>
        <v>54</v>
      </c>
      <c r="D372" s="14">
        <f>Members!D372</f>
        <v>24</v>
      </c>
      <c r="E372" s="16">
        <f>Members!E372</f>
        <v>1379000</v>
      </c>
      <c r="F372" s="16">
        <f>Members!F372</f>
        <v>0</v>
      </c>
      <c r="G372" s="15">
        <f>MAX(0,Assumptions!$B$10-C372)</f>
        <v>6</v>
      </c>
      <c r="H372" s="17">
        <f>IF(B372="Active",E372*(1+Assumptions!$B$7)^G372,E372)</f>
        <v>1901424.2305246468</v>
      </c>
      <c r="I372" s="17">
        <f>IF(B372="Active",MIN(Assumptions!$B$12,D372+G372),IF(B372="Deferred",MIN(Assumptions!$B$12,D372),D372))</f>
        <v>30</v>
      </c>
      <c r="J372" s="17">
        <f>IF(B372="Active",H372*I372*Assumptions!$B$11,IF(B372="Deferred",E372*I372*Assumptions!$B$11*(1+Assumptions!$B$9)^G372,F372))</f>
        <v>950712.11526232341</v>
      </c>
      <c r="K372" s="11">
        <f>IF(B372="Pensioner",1,VLOOKUP(Assumptions!$B$10,Mortality!$A$2:$F$104,6,FALSE)/VLOOKUP(C372,Mortality!$A$2:$F$104,6,FALSE))</f>
        <v>0.98655351190569374</v>
      </c>
      <c r="L372" s="11">
        <f>VLOOKUP(IF(B372="Pensioner",C372,Assumptions!$B$10),Mortality!$A$2:$E$104,5,FALSE)</f>
        <v>17.296790022132885</v>
      </c>
      <c r="M372" s="11">
        <f>1+Assumptions!$B$13*Assumptions!$B$14*Assumptions!$B$15</f>
        <v>1.3187500000000001</v>
      </c>
      <c r="N372" s="11">
        <f>IF(B372="Pensioner",1,1/(1+Assumptions!$B$6)^G372)</f>
        <v>0.68533411879901873</v>
      </c>
      <c r="O372" s="17">
        <f t="shared" si="5"/>
        <v>14662229.549155733</v>
      </c>
    </row>
    <row r="373" spans="1:15">
      <c r="A373" s="13" t="str">
        <f>Members!A373</f>
        <v>A0367</v>
      </c>
      <c r="B373" s="13" t="str">
        <f>Members!B373</f>
        <v>Active</v>
      </c>
      <c r="C373" s="13">
        <f>Members!C373</f>
        <v>36</v>
      </c>
      <c r="D373" s="14">
        <f>Members!D373</f>
        <v>2</v>
      </c>
      <c r="E373" s="16">
        <f>Members!E373</f>
        <v>772000</v>
      </c>
      <c r="F373" s="16">
        <f>Members!F373</f>
        <v>0</v>
      </c>
      <c r="G373" s="15">
        <f>MAX(0,Assumptions!$B$10-C373)</f>
        <v>24</v>
      </c>
      <c r="H373" s="17">
        <f>IF(B373="Active",E373*(1+Assumptions!$B$7)^G373,E373)</f>
        <v>2790463.4058154989</v>
      </c>
      <c r="I373" s="17">
        <f>IF(B373="Active",MIN(Assumptions!$B$12,D373+G373),IF(B373="Deferred",MIN(Assumptions!$B$12,D373),D373))</f>
        <v>26</v>
      </c>
      <c r="J373" s="17">
        <f>IF(B373="Active",H373*I373*Assumptions!$B$11,IF(B373="Deferred",E373*I373*Assumptions!$B$11*(1+Assumptions!$B$9)^G373,F373))</f>
        <v>1209200.8091867161</v>
      </c>
      <c r="K373" s="11">
        <f>IF(B373="Pensioner",1,VLOOKUP(Assumptions!$B$10,Mortality!$A$2:$F$104,6,FALSE)/VLOOKUP(C373,Mortality!$A$2:$F$104,6,FALSE))</f>
        <v>0.97234503055413524</v>
      </c>
      <c r="L373" s="11">
        <f>VLOOKUP(IF(B373="Pensioner",C373,Assumptions!$B$10),Mortality!$A$2:$E$104,5,FALSE)</f>
        <v>17.296790022132885</v>
      </c>
      <c r="M373" s="11">
        <f>1+Assumptions!$B$13*Assumptions!$B$14*Assumptions!$B$15</f>
        <v>1.3187500000000001</v>
      </c>
      <c r="N373" s="11">
        <f>IF(B373="Pensioner",1,1/(1+Assumptions!$B$6)^G373)</f>
        <v>0.22060198370796386</v>
      </c>
      <c r="O373" s="17">
        <f t="shared" si="5"/>
        <v>5916382.2762667602</v>
      </c>
    </row>
    <row r="374" spans="1:15">
      <c r="A374" s="13" t="str">
        <f>Members!A374</f>
        <v>P0245</v>
      </c>
      <c r="B374" s="13" t="str">
        <f>Members!B374</f>
        <v>Pensioner</v>
      </c>
      <c r="C374" s="13">
        <f>Members!C374</f>
        <v>77</v>
      </c>
      <c r="D374" s="14">
        <f>Members!D374</f>
        <v>22.6</v>
      </c>
      <c r="E374" s="16">
        <f>Members!E374</f>
        <v>0</v>
      </c>
      <c r="F374" s="16">
        <f>Members!F374</f>
        <v>325000</v>
      </c>
      <c r="G374" s="15">
        <f>MAX(0,Assumptions!$B$10-C374)</f>
        <v>0</v>
      </c>
      <c r="H374" s="17">
        <f>IF(B374="Active",E374*(1+Assumptions!$B$7)^G374,E374)</f>
        <v>0</v>
      </c>
      <c r="I374" s="17">
        <f>IF(B374="Active",MIN(Assumptions!$B$12,D374+G374),IF(B374="Deferred",MIN(Assumptions!$B$12,D374),D374))</f>
        <v>22.6</v>
      </c>
      <c r="J374" s="17">
        <f>IF(B374="Active",H374*I374*Assumptions!$B$11,IF(B374="Deferred",E374*I374*Assumptions!$B$11*(1+Assumptions!$B$9)^G374,F374))</f>
        <v>325000</v>
      </c>
      <c r="K374" s="11">
        <f>IF(B374="Pensioner",1,VLOOKUP(Assumptions!$B$10,Mortality!$A$2:$F$104,6,FALSE)/VLOOKUP(C374,Mortality!$A$2:$F$104,6,FALSE))</f>
        <v>1</v>
      </c>
      <c r="L374" s="11">
        <f>VLOOKUP(IF(B374="Pensioner",C374,Assumptions!$B$10),Mortality!$A$2:$E$104,5,FALSE)</f>
        <v>9.7418184564319716</v>
      </c>
      <c r="M374" s="11">
        <f>1+Assumptions!$B$13*Assumptions!$B$14*Assumptions!$B$15</f>
        <v>1.3187500000000001</v>
      </c>
      <c r="N374" s="11">
        <f>IF(B374="Pensioner",1,1/(1+Assumptions!$B$6)^G374)</f>
        <v>1</v>
      </c>
      <c r="O374" s="17">
        <f t="shared" si="5"/>
        <v>4175282.5040613906</v>
      </c>
    </row>
    <row r="375" spans="1:15">
      <c r="A375" s="13" t="str">
        <f>Members!A375</f>
        <v>P0137</v>
      </c>
      <c r="B375" s="13" t="str">
        <f>Members!B375</f>
        <v>Pensioner</v>
      </c>
      <c r="C375" s="13">
        <f>Members!C375</f>
        <v>89</v>
      </c>
      <c r="D375" s="14">
        <f>Members!D375</f>
        <v>37</v>
      </c>
      <c r="E375" s="16">
        <f>Members!E375</f>
        <v>0</v>
      </c>
      <c r="F375" s="16">
        <f>Members!F375</f>
        <v>893000</v>
      </c>
      <c r="G375" s="15">
        <f>MAX(0,Assumptions!$B$10-C375)</f>
        <v>0</v>
      </c>
      <c r="H375" s="17">
        <f>IF(B375="Active",E375*(1+Assumptions!$B$7)^G375,E375)</f>
        <v>0</v>
      </c>
      <c r="I375" s="17">
        <f>IF(B375="Active",MIN(Assumptions!$B$12,D375+G375),IF(B375="Deferred",MIN(Assumptions!$B$12,D375),D375))</f>
        <v>37</v>
      </c>
      <c r="J375" s="17">
        <f>IF(B375="Active",H375*I375*Assumptions!$B$11,IF(B375="Deferred",E375*I375*Assumptions!$B$11*(1+Assumptions!$B$9)^G375,F375))</f>
        <v>893000</v>
      </c>
      <c r="K375" s="11">
        <f>IF(B375="Pensioner",1,VLOOKUP(Assumptions!$B$10,Mortality!$A$2:$F$104,6,FALSE)/VLOOKUP(C375,Mortality!$A$2:$F$104,6,FALSE))</f>
        <v>1</v>
      </c>
      <c r="L375" s="11">
        <f>VLOOKUP(IF(B375="Pensioner",C375,Assumptions!$B$10),Mortality!$A$2:$E$104,5,FALSE)</f>
        <v>4.6715821823893648</v>
      </c>
      <c r="M375" s="11">
        <f>1+Assumptions!$B$13*Assumptions!$B$14*Assumptions!$B$15</f>
        <v>1.3187500000000001</v>
      </c>
      <c r="N375" s="11">
        <f>IF(B375="Pensioner",1,1/(1+Assumptions!$B$6)^G375)</f>
        <v>1</v>
      </c>
      <c r="O375" s="17">
        <f t="shared" si="5"/>
        <v>5501459.5597021962</v>
      </c>
    </row>
    <row r="376" spans="1:15">
      <c r="A376" s="13" t="str">
        <f>Members!A376</f>
        <v>A0159</v>
      </c>
      <c r="B376" s="13" t="str">
        <f>Members!B376</f>
        <v>Active</v>
      </c>
      <c r="C376" s="13">
        <f>Members!C376</f>
        <v>51</v>
      </c>
      <c r="D376" s="14">
        <f>Members!D376</f>
        <v>5.8</v>
      </c>
      <c r="E376" s="16">
        <f>Members!E376</f>
        <v>1338000</v>
      </c>
      <c r="F376" s="16">
        <f>Members!F376</f>
        <v>0</v>
      </c>
      <c r="G376" s="15">
        <f>MAX(0,Assumptions!$B$10-C376)</f>
        <v>9</v>
      </c>
      <c r="H376" s="17">
        <f>IF(B376="Active",E376*(1+Assumptions!$B$7)^G376,E376)</f>
        <v>2166348.1377034192</v>
      </c>
      <c r="I376" s="17">
        <f>IF(B376="Active",MIN(Assumptions!$B$12,D376+G376),IF(B376="Deferred",MIN(Assumptions!$B$12,D376),D376))</f>
        <v>14.8</v>
      </c>
      <c r="J376" s="17">
        <f>IF(B376="Active",H376*I376*Assumptions!$B$11,IF(B376="Deferred",E376*I376*Assumptions!$B$11*(1+Assumptions!$B$9)^G376,F376))</f>
        <v>534365.87396684347</v>
      </c>
      <c r="K376" s="11">
        <f>IF(B376="Pensioner",1,VLOOKUP(Assumptions!$B$10,Mortality!$A$2:$F$104,6,FALSE)/VLOOKUP(C376,Mortality!$A$2:$F$104,6,FALSE))</f>
        <v>0.98240527975061542</v>
      </c>
      <c r="L376" s="11">
        <f>VLOOKUP(IF(B376="Pensioner",C376,Assumptions!$B$10),Mortality!$A$2:$E$104,5,FALSE)</f>
        <v>17.296790022132885</v>
      </c>
      <c r="M376" s="11">
        <f>1+Assumptions!$B$13*Assumptions!$B$14*Assumptions!$B$15</f>
        <v>1.3187500000000001</v>
      </c>
      <c r="N376" s="11">
        <f>IF(B376="Pensioner",1,1/(1+Assumptions!$B$6)^G376)</f>
        <v>0.56735322782936326</v>
      </c>
      <c r="O376" s="17">
        <f t="shared" si="5"/>
        <v>6793771.2351075998</v>
      </c>
    </row>
    <row r="377" spans="1:15">
      <c r="A377" s="13" t="str">
        <f>Members!A377</f>
        <v>A0131</v>
      </c>
      <c r="B377" s="13" t="str">
        <f>Members!B377</f>
        <v>Active</v>
      </c>
      <c r="C377" s="13">
        <f>Members!C377</f>
        <v>52</v>
      </c>
      <c r="D377" s="14">
        <f>Members!D377</f>
        <v>19</v>
      </c>
      <c r="E377" s="16">
        <f>Members!E377</f>
        <v>1287000</v>
      </c>
      <c r="F377" s="16">
        <f>Members!F377</f>
        <v>0</v>
      </c>
      <c r="G377" s="15">
        <f>MAX(0,Assumptions!$B$10-C377)</f>
        <v>8</v>
      </c>
      <c r="H377" s="17">
        <f>IF(B377="Active",E377*(1+Assumptions!$B$7)^G377,E377)</f>
        <v>1975141.5448000487</v>
      </c>
      <c r="I377" s="17">
        <f>IF(B377="Active",MIN(Assumptions!$B$12,D377+G377),IF(B377="Deferred",MIN(Assumptions!$B$12,D377),D377))</f>
        <v>27</v>
      </c>
      <c r="J377" s="17">
        <f>IF(B377="Active",H377*I377*Assumptions!$B$11,IF(B377="Deferred",E377*I377*Assumptions!$B$11*(1+Assumptions!$B$9)^G377,F377))</f>
        <v>888813.69516002189</v>
      </c>
      <c r="K377" s="11">
        <f>IF(B377="Pensioner",1,VLOOKUP(Assumptions!$B$10,Mortality!$A$2:$F$104,6,FALSE)/VLOOKUP(C377,Mortality!$A$2:$F$104,6,FALSE))</f>
        <v>0.98365275168798427</v>
      </c>
      <c r="L377" s="11">
        <f>VLOOKUP(IF(B377="Pensioner",C377,Assumptions!$B$10),Mortality!$A$2:$E$104,5,FALSE)</f>
        <v>17.296790022132885</v>
      </c>
      <c r="M377" s="11">
        <f>1+Assumptions!$B$13*Assumptions!$B$14*Assumptions!$B$15</f>
        <v>1.3187500000000001</v>
      </c>
      <c r="N377" s="11">
        <f>IF(B377="Pensioner",1,1/(1+Assumptions!$B$6)^G377)</f>
        <v>0.60423118763827188</v>
      </c>
      <c r="O377" s="17">
        <f t="shared" si="5"/>
        <v>12049906.377057951</v>
      </c>
    </row>
    <row r="378" spans="1:15">
      <c r="A378" s="13" t="str">
        <f>Members!A378</f>
        <v>A0228</v>
      </c>
      <c r="B378" s="13" t="str">
        <f>Members!B378</f>
        <v>Active</v>
      </c>
      <c r="C378" s="13">
        <f>Members!C378</f>
        <v>26</v>
      </c>
      <c r="D378" s="14">
        <f>Members!D378</f>
        <v>1</v>
      </c>
      <c r="E378" s="16">
        <f>Members!E378</f>
        <v>379000</v>
      </c>
      <c r="F378" s="16">
        <f>Members!F378</f>
        <v>0</v>
      </c>
      <c r="G378" s="15">
        <f>MAX(0,Assumptions!$B$10-C378)</f>
        <v>34</v>
      </c>
      <c r="H378" s="17">
        <f>IF(B378="Active",E378*(1+Assumptions!$B$7)^G378,E378)</f>
        <v>2340037.6094460725</v>
      </c>
      <c r="I378" s="17">
        <f>IF(B378="Active",MIN(Assumptions!$B$12,D378+G378),IF(B378="Deferred",MIN(Assumptions!$B$12,D378),D378))</f>
        <v>35</v>
      </c>
      <c r="J378" s="17">
        <f>IF(B378="Active",H378*I378*Assumptions!$B$11,IF(B378="Deferred",E378*I378*Assumptions!$B$11*(1+Assumptions!$B$9)^G378,F378))</f>
        <v>1365021.9388435422</v>
      </c>
      <c r="K378" s="11">
        <f>IF(B378="Pensioner",1,VLOOKUP(Assumptions!$B$10,Mortality!$A$2:$F$104,6,FALSE)/VLOOKUP(C378,Mortality!$A$2:$F$104,6,FALSE))</f>
        <v>0.96922916291892547</v>
      </c>
      <c r="L378" s="11">
        <f>VLOOKUP(IF(B378="Pensioner",C378,Assumptions!$B$10),Mortality!$A$2:$E$104,5,FALSE)</f>
        <v>17.296790022132885</v>
      </c>
      <c r="M378" s="11">
        <f>1+Assumptions!$B$13*Assumptions!$B$14*Assumptions!$B$15</f>
        <v>1.3187500000000001</v>
      </c>
      <c r="N378" s="11">
        <f>IF(B378="Pensioner",1,1/(1+Assumptions!$B$6)^G378)</f>
        <v>0.11752042020870793</v>
      </c>
      <c r="O378" s="17">
        <f t="shared" si="5"/>
        <v>3546560.9352037418</v>
      </c>
    </row>
    <row r="379" spans="1:15">
      <c r="A379" s="13" t="str">
        <f>Members!A379</f>
        <v>P0006</v>
      </c>
      <c r="B379" s="13" t="str">
        <f>Members!B379</f>
        <v>Pensioner</v>
      </c>
      <c r="C379" s="13">
        <f>Members!C379</f>
        <v>81</v>
      </c>
      <c r="D379" s="14">
        <f>Members!D379</f>
        <v>29.9</v>
      </c>
      <c r="E379" s="16">
        <f>Members!E379</f>
        <v>0</v>
      </c>
      <c r="F379" s="16">
        <f>Members!F379</f>
        <v>541000</v>
      </c>
      <c r="G379" s="15">
        <f>MAX(0,Assumptions!$B$10-C379)</f>
        <v>0</v>
      </c>
      <c r="H379" s="17">
        <f>IF(B379="Active",E379*(1+Assumptions!$B$7)^G379,E379)</f>
        <v>0</v>
      </c>
      <c r="I379" s="17">
        <f>IF(B379="Active",MIN(Assumptions!$B$12,D379+G379),IF(B379="Deferred",MIN(Assumptions!$B$12,D379),D379))</f>
        <v>29.9</v>
      </c>
      <c r="J379" s="17">
        <f>IF(B379="Active",H379*I379*Assumptions!$B$11,IF(B379="Deferred",E379*I379*Assumptions!$B$11*(1+Assumptions!$B$9)^G379,F379))</f>
        <v>541000</v>
      </c>
      <c r="K379" s="11">
        <f>IF(B379="Pensioner",1,VLOOKUP(Assumptions!$B$10,Mortality!$A$2:$F$104,6,FALSE)/VLOOKUP(C379,Mortality!$A$2:$F$104,6,FALSE))</f>
        <v>1</v>
      </c>
      <c r="L379" s="11">
        <f>VLOOKUP(IF(B379="Pensioner",C379,Assumptions!$B$10),Mortality!$A$2:$E$104,5,FALSE)</f>
        <v>7.9368977140485031</v>
      </c>
      <c r="M379" s="11">
        <f>1+Assumptions!$B$13*Assumptions!$B$14*Assumptions!$B$15</f>
        <v>1.3187500000000001</v>
      </c>
      <c r="N379" s="11">
        <f>IF(B379="Pensioner",1,1/(1+Assumptions!$B$6)^G379)</f>
        <v>1</v>
      </c>
      <c r="O379" s="17">
        <f t="shared" si="5"/>
        <v>5662530.068477192</v>
      </c>
    </row>
    <row r="380" spans="1:15">
      <c r="A380" s="13" t="str">
        <f>Members!A380</f>
        <v>A0232</v>
      </c>
      <c r="B380" s="13" t="str">
        <f>Members!B380</f>
        <v>Active</v>
      </c>
      <c r="C380" s="13">
        <f>Members!C380</f>
        <v>51</v>
      </c>
      <c r="D380" s="14">
        <f>Members!D380</f>
        <v>22.1</v>
      </c>
      <c r="E380" s="16">
        <f>Members!E380</f>
        <v>1620000</v>
      </c>
      <c r="F380" s="16">
        <f>Members!F380</f>
        <v>0</v>
      </c>
      <c r="G380" s="15">
        <f>MAX(0,Assumptions!$B$10-C380)</f>
        <v>9</v>
      </c>
      <c r="H380" s="17">
        <f>IF(B380="Active",E380*(1+Assumptions!$B$7)^G380,E380)</f>
        <v>2622932.722779925</v>
      </c>
      <c r="I380" s="17">
        <f>IF(B380="Active",MIN(Assumptions!$B$12,D380+G380),IF(B380="Deferred",MIN(Assumptions!$B$12,D380),D380))</f>
        <v>31.1</v>
      </c>
      <c r="J380" s="17">
        <f>IF(B380="Active",H380*I380*Assumptions!$B$11,IF(B380="Deferred",E380*I380*Assumptions!$B$11*(1+Assumptions!$B$9)^G380,F380))</f>
        <v>1359553.4613075943</v>
      </c>
      <c r="K380" s="11">
        <f>IF(B380="Pensioner",1,VLOOKUP(Assumptions!$B$10,Mortality!$A$2:$F$104,6,FALSE)/VLOOKUP(C380,Mortality!$A$2:$F$104,6,FALSE))</f>
        <v>0.98240527975061542</v>
      </c>
      <c r="L380" s="11">
        <f>VLOOKUP(IF(B380="Pensioner",C380,Assumptions!$B$10),Mortality!$A$2:$E$104,5,FALSE)</f>
        <v>17.296790022132885</v>
      </c>
      <c r="M380" s="11">
        <f>1+Assumptions!$B$13*Assumptions!$B$14*Assumptions!$B$15</f>
        <v>1.3187500000000001</v>
      </c>
      <c r="N380" s="11">
        <f>IF(B380="Pensioner",1,1/(1+Assumptions!$B$6)^G380)</f>
        <v>0.56735322782936326</v>
      </c>
      <c r="O380" s="17">
        <f t="shared" si="5"/>
        <v>17284964.568294302</v>
      </c>
    </row>
    <row r="381" spans="1:15">
      <c r="A381" s="13" t="str">
        <f>Members!A381</f>
        <v>P0142</v>
      </c>
      <c r="B381" s="13" t="str">
        <f>Members!B381</f>
        <v>Pensioner</v>
      </c>
      <c r="C381" s="13">
        <f>Members!C381</f>
        <v>75</v>
      </c>
      <c r="D381" s="14">
        <f>Members!D381</f>
        <v>15.1</v>
      </c>
      <c r="E381" s="16">
        <f>Members!E381</f>
        <v>0</v>
      </c>
      <c r="F381" s="16">
        <f>Members!F381</f>
        <v>372000</v>
      </c>
      <c r="G381" s="15">
        <f>MAX(0,Assumptions!$B$10-C381)</f>
        <v>0</v>
      </c>
      <c r="H381" s="17">
        <f>IF(B381="Active",E381*(1+Assumptions!$B$7)^G381,E381)</f>
        <v>0</v>
      </c>
      <c r="I381" s="17">
        <f>IF(B381="Active",MIN(Assumptions!$B$12,D381+G381),IF(B381="Deferred",MIN(Assumptions!$B$12,D381),D381))</f>
        <v>15.1</v>
      </c>
      <c r="J381" s="17">
        <f>IF(B381="Active",H381*I381*Assumptions!$B$11,IF(B381="Deferred",E381*I381*Assumptions!$B$11*(1+Assumptions!$B$9)^G381,F381))</f>
        <v>372000</v>
      </c>
      <c r="K381" s="11">
        <f>IF(B381="Pensioner",1,VLOOKUP(Assumptions!$B$10,Mortality!$A$2:$F$104,6,FALSE)/VLOOKUP(C381,Mortality!$A$2:$F$104,6,FALSE))</f>
        <v>1</v>
      </c>
      <c r="L381" s="11">
        <f>VLOOKUP(IF(B381="Pensioner",C381,Assumptions!$B$10),Mortality!$A$2:$E$104,5,FALSE)</f>
        <v>10.662474804432929</v>
      </c>
      <c r="M381" s="11">
        <f>1+Assumptions!$B$13*Assumptions!$B$14*Assumptions!$B$15</f>
        <v>1.3187500000000001</v>
      </c>
      <c r="N381" s="11">
        <f>IF(B381="Pensioner",1,1/(1+Assumptions!$B$6)^G381)</f>
        <v>1</v>
      </c>
      <c r="O381" s="17">
        <f t="shared" si="5"/>
        <v>5230743.5771846846</v>
      </c>
    </row>
    <row r="382" spans="1:15">
      <c r="A382" s="13" t="str">
        <f>Members!A382</f>
        <v>A0404</v>
      </c>
      <c r="B382" s="13" t="str">
        <f>Members!B382</f>
        <v>Active</v>
      </c>
      <c r="C382" s="13">
        <f>Members!C382</f>
        <v>33</v>
      </c>
      <c r="D382" s="14">
        <f>Members!D382</f>
        <v>6.2</v>
      </c>
      <c r="E382" s="16">
        <f>Members!E382</f>
        <v>678000</v>
      </c>
      <c r="F382" s="16">
        <f>Members!F382</f>
        <v>0</v>
      </c>
      <c r="G382" s="15">
        <f>MAX(0,Assumptions!$B$10-C382)</f>
        <v>27</v>
      </c>
      <c r="H382" s="17">
        <f>IF(B382="Active",E382*(1+Assumptions!$B$7)^G382,E382)</f>
        <v>2877703.8907625373</v>
      </c>
      <c r="I382" s="17">
        <f>IF(B382="Active",MIN(Assumptions!$B$12,D382+G382),IF(B382="Deferred",MIN(Assumptions!$B$12,D382),D382))</f>
        <v>33.200000000000003</v>
      </c>
      <c r="J382" s="17">
        <f>IF(B382="Active",H382*I382*Assumptions!$B$11,IF(B382="Deferred",E382*I382*Assumptions!$B$11*(1+Assumptions!$B$9)^G382,F382))</f>
        <v>1592329.4862219372</v>
      </c>
      <c r="K382" s="11">
        <f>IF(B382="Pensioner",1,VLOOKUP(Assumptions!$B$10,Mortality!$A$2:$F$104,6,FALSE)/VLOOKUP(C382,Mortality!$A$2:$F$104,6,FALSE))</f>
        <v>0.9712826176321353</v>
      </c>
      <c r="L382" s="11">
        <f>VLOOKUP(IF(B382="Pensioner",C382,Assumptions!$B$10),Mortality!$A$2:$E$104,5,FALSE)</f>
        <v>17.296790022132885</v>
      </c>
      <c r="M382" s="11">
        <f>1+Assumptions!$B$13*Assumptions!$B$14*Assumptions!$B$15</f>
        <v>1.3187500000000001</v>
      </c>
      <c r="N382" s="11">
        <f>IF(B382="Pensioner",1,1/(1+Assumptions!$B$6)^G382)</f>
        <v>0.18262515186257369</v>
      </c>
      <c r="O382" s="17">
        <f t="shared" si="5"/>
        <v>6442688.437977341</v>
      </c>
    </row>
    <row r="383" spans="1:15">
      <c r="A383" s="13" t="str">
        <f>Members!A383</f>
        <v>P0242</v>
      </c>
      <c r="B383" s="13" t="str">
        <f>Members!B383</f>
        <v>Pensioner</v>
      </c>
      <c r="C383" s="13">
        <f>Members!C383</f>
        <v>75</v>
      </c>
      <c r="D383" s="14">
        <f>Members!D383</f>
        <v>25.8</v>
      </c>
      <c r="E383" s="16">
        <f>Members!E383</f>
        <v>0</v>
      </c>
      <c r="F383" s="16">
        <f>Members!F383</f>
        <v>488000</v>
      </c>
      <c r="G383" s="15">
        <f>MAX(0,Assumptions!$B$10-C383)</f>
        <v>0</v>
      </c>
      <c r="H383" s="17">
        <f>IF(B383="Active",E383*(1+Assumptions!$B$7)^G383,E383)</f>
        <v>0</v>
      </c>
      <c r="I383" s="17">
        <f>IF(B383="Active",MIN(Assumptions!$B$12,D383+G383),IF(B383="Deferred",MIN(Assumptions!$B$12,D383),D383))</f>
        <v>25.8</v>
      </c>
      <c r="J383" s="17">
        <f>IF(B383="Active",H383*I383*Assumptions!$B$11,IF(B383="Deferred",E383*I383*Assumptions!$B$11*(1+Assumptions!$B$9)^G383,F383))</f>
        <v>488000</v>
      </c>
      <c r="K383" s="11">
        <f>IF(B383="Pensioner",1,VLOOKUP(Assumptions!$B$10,Mortality!$A$2:$F$104,6,FALSE)/VLOOKUP(C383,Mortality!$A$2:$F$104,6,FALSE))</f>
        <v>1</v>
      </c>
      <c r="L383" s="11">
        <f>VLOOKUP(IF(B383="Pensioner",C383,Assumptions!$B$10),Mortality!$A$2:$E$104,5,FALSE)</f>
        <v>10.662474804432929</v>
      </c>
      <c r="M383" s="11">
        <f>1+Assumptions!$B$13*Assumptions!$B$14*Assumptions!$B$15</f>
        <v>1.3187500000000001</v>
      </c>
      <c r="N383" s="11">
        <f>IF(B383="Pensioner",1,1/(1+Assumptions!$B$6)^G383)</f>
        <v>1</v>
      </c>
      <c r="O383" s="17">
        <f t="shared" si="5"/>
        <v>6861835.6603928115</v>
      </c>
    </row>
    <row r="384" spans="1:15">
      <c r="A384" s="13" t="str">
        <f>Members!A384</f>
        <v>A0288</v>
      </c>
      <c r="B384" s="13" t="str">
        <f>Members!B384</f>
        <v>Active</v>
      </c>
      <c r="C384" s="13">
        <f>Members!C384</f>
        <v>40</v>
      </c>
      <c r="D384" s="14">
        <f>Members!D384</f>
        <v>17.899999999999999</v>
      </c>
      <c r="E384" s="16">
        <f>Members!E384</f>
        <v>1005000</v>
      </c>
      <c r="F384" s="16">
        <f>Members!F384</f>
        <v>0</v>
      </c>
      <c r="G384" s="15">
        <f>MAX(0,Assumptions!$B$10-C384)</f>
        <v>20</v>
      </c>
      <c r="H384" s="17">
        <f>IF(B384="Active",E384*(1+Assumptions!$B$7)^G384,E384)</f>
        <v>2932346.2780571096</v>
      </c>
      <c r="I384" s="17">
        <f>IF(B384="Active",MIN(Assumptions!$B$12,D384+G384),IF(B384="Deferred",MIN(Assumptions!$B$12,D384),D384))</f>
        <v>37.9</v>
      </c>
      <c r="J384" s="17">
        <f>IF(B384="Active",H384*I384*Assumptions!$B$11,IF(B384="Deferred",E384*I384*Assumptions!$B$11*(1+Assumptions!$B$9)^G384,F384))</f>
        <v>1852265.3989727406</v>
      </c>
      <c r="K384" s="11">
        <f>IF(B384="Pensioner",1,VLOOKUP(Assumptions!$B$10,Mortality!$A$2:$F$104,6,FALSE)/VLOOKUP(C384,Mortality!$A$2:$F$104,6,FALSE))</f>
        <v>0.97405112431987673</v>
      </c>
      <c r="L384" s="11">
        <f>VLOOKUP(IF(B384="Pensioner",C384,Assumptions!$B$10),Mortality!$A$2:$E$104,5,FALSE)</f>
        <v>17.296790022132885</v>
      </c>
      <c r="M384" s="11">
        <f>1+Assumptions!$B$13*Assumptions!$B$14*Assumptions!$B$15</f>
        <v>1.3187500000000001</v>
      </c>
      <c r="N384" s="11">
        <f>IF(B384="Pensioner",1,1/(1+Assumptions!$B$6)^G384)</f>
        <v>0.28379702892141989</v>
      </c>
      <c r="O384" s="17">
        <f t="shared" si="5"/>
        <v>11679407.095079802</v>
      </c>
    </row>
    <row r="385" spans="1:15">
      <c r="A385" s="13" t="str">
        <f>Members!A385</f>
        <v>P0210</v>
      </c>
      <c r="B385" s="13" t="str">
        <f>Members!B385</f>
        <v>Pensioner</v>
      </c>
      <c r="C385" s="13">
        <f>Members!C385</f>
        <v>84</v>
      </c>
      <c r="D385" s="14">
        <f>Members!D385</f>
        <v>21.9</v>
      </c>
      <c r="E385" s="16">
        <f>Members!E385</f>
        <v>0</v>
      </c>
      <c r="F385" s="16">
        <f>Members!F385</f>
        <v>632000</v>
      </c>
      <c r="G385" s="15">
        <f>MAX(0,Assumptions!$B$10-C385)</f>
        <v>0</v>
      </c>
      <c r="H385" s="17">
        <f>IF(B385="Active",E385*(1+Assumptions!$B$7)^G385,E385)</f>
        <v>0</v>
      </c>
      <c r="I385" s="17">
        <f>IF(B385="Active",MIN(Assumptions!$B$12,D385+G385),IF(B385="Deferred",MIN(Assumptions!$B$12,D385),D385))</f>
        <v>21.9</v>
      </c>
      <c r="J385" s="17">
        <f>IF(B385="Active",H385*I385*Assumptions!$B$11,IF(B385="Deferred",E385*I385*Assumptions!$B$11*(1+Assumptions!$B$9)^G385,F385))</f>
        <v>632000</v>
      </c>
      <c r="K385" s="11">
        <f>IF(B385="Pensioner",1,VLOOKUP(Assumptions!$B$10,Mortality!$A$2:$F$104,6,FALSE)/VLOOKUP(C385,Mortality!$A$2:$F$104,6,FALSE))</f>
        <v>1</v>
      </c>
      <c r="L385" s="11">
        <f>VLOOKUP(IF(B385="Pensioner",C385,Assumptions!$B$10),Mortality!$A$2:$E$104,5,FALSE)</f>
        <v>6.6432720965175314</v>
      </c>
      <c r="M385" s="11">
        <f>1+Assumptions!$B$13*Assumptions!$B$14*Assumptions!$B$15</f>
        <v>1.3187500000000001</v>
      </c>
      <c r="N385" s="11">
        <f>IF(B385="Pensioner",1,1/(1+Assumptions!$B$6)^G385)</f>
        <v>1</v>
      </c>
      <c r="O385" s="17">
        <f t="shared" si="5"/>
        <v>5536835.1288425364</v>
      </c>
    </row>
    <row r="386" spans="1:15">
      <c r="A386" s="13" t="str">
        <f>Members!A386</f>
        <v>P0200</v>
      </c>
      <c r="B386" s="13" t="str">
        <f>Members!B386</f>
        <v>Pensioner</v>
      </c>
      <c r="C386" s="13">
        <f>Members!C386</f>
        <v>74</v>
      </c>
      <c r="D386" s="14">
        <f>Members!D386</f>
        <v>12.8</v>
      </c>
      <c r="E386" s="16">
        <f>Members!E386</f>
        <v>0</v>
      </c>
      <c r="F386" s="16">
        <f>Members!F386</f>
        <v>341000</v>
      </c>
      <c r="G386" s="15">
        <f>MAX(0,Assumptions!$B$10-C386)</f>
        <v>0</v>
      </c>
      <c r="H386" s="17">
        <f>IF(B386="Active",E386*(1+Assumptions!$B$7)^G386,E386)</f>
        <v>0</v>
      </c>
      <c r="I386" s="17">
        <f>IF(B386="Active",MIN(Assumptions!$B$12,D386+G386),IF(B386="Deferred",MIN(Assumptions!$B$12,D386),D386))</f>
        <v>12.8</v>
      </c>
      <c r="J386" s="17">
        <f>IF(B386="Active",H386*I386*Assumptions!$B$11,IF(B386="Deferred",E386*I386*Assumptions!$B$11*(1+Assumptions!$B$9)^G386,F386))</f>
        <v>341000</v>
      </c>
      <c r="K386" s="11">
        <f>IF(B386="Pensioner",1,VLOOKUP(Assumptions!$B$10,Mortality!$A$2:$F$104,6,FALSE)/VLOOKUP(C386,Mortality!$A$2:$F$104,6,FALSE))</f>
        <v>1</v>
      </c>
      <c r="L386" s="11">
        <f>VLOOKUP(IF(B386="Pensioner",C386,Assumptions!$B$10),Mortality!$A$2:$E$104,5,FALSE)</f>
        <v>11.124346929912107</v>
      </c>
      <c r="M386" s="11">
        <f>1+Assumptions!$B$13*Assumptions!$B$14*Assumptions!$B$15</f>
        <v>1.3187500000000001</v>
      </c>
      <c r="N386" s="11">
        <f>IF(B386="Pensioner",1,1/(1+Assumptions!$B$6)^G386)</f>
        <v>1</v>
      </c>
      <c r="O386" s="17">
        <f t="shared" ref="O386:O449" si="6">J386*K386*L386*M386*N386</f>
        <v>5002549.2872131625</v>
      </c>
    </row>
    <row r="387" spans="1:15">
      <c r="A387" s="13" t="str">
        <f>Members!A387</f>
        <v>A0531</v>
      </c>
      <c r="B387" s="13" t="str">
        <f>Members!B387</f>
        <v>Active</v>
      </c>
      <c r="C387" s="13">
        <f>Members!C387</f>
        <v>29</v>
      </c>
      <c r="D387" s="14">
        <f>Members!D387</f>
        <v>2.9</v>
      </c>
      <c r="E387" s="16">
        <f>Members!E387</f>
        <v>566000</v>
      </c>
      <c r="F387" s="16">
        <f>Members!F387</f>
        <v>0</v>
      </c>
      <c r="G387" s="15">
        <f>MAX(0,Assumptions!$B$10-C387)</f>
        <v>31</v>
      </c>
      <c r="H387" s="17">
        <f>IF(B387="Active",E387*(1+Assumptions!$B$7)^G387,E387)</f>
        <v>2976066.8328393418</v>
      </c>
      <c r="I387" s="17">
        <f>IF(B387="Active",MIN(Assumptions!$B$12,D387+G387),IF(B387="Deferred",MIN(Assumptions!$B$12,D387),D387))</f>
        <v>33.9</v>
      </c>
      <c r="J387" s="17">
        <f>IF(B387="Active",H387*I387*Assumptions!$B$11,IF(B387="Deferred",E387*I387*Assumptions!$B$11*(1+Assumptions!$B$9)^G387,F387))</f>
        <v>1681477.760554228</v>
      </c>
      <c r="K387" s="11">
        <f>IF(B387="Pensioner",1,VLOOKUP(Assumptions!$B$10,Mortality!$A$2:$F$104,6,FALSE)/VLOOKUP(C387,Mortality!$A$2:$F$104,6,FALSE))</f>
        <v>0.9700544954739736</v>
      </c>
      <c r="L387" s="11">
        <f>VLOOKUP(IF(B387="Pensioner",C387,Assumptions!$B$10),Mortality!$A$2:$E$104,5,FALSE)</f>
        <v>17.296790022132885</v>
      </c>
      <c r="M387" s="11">
        <f>1+Assumptions!$B$13*Assumptions!$B$14*Assumptions!$B$15</f>
        <v>1.3187500000000001</v>
      </c>
      <c r="N387" s="11">
        <f>IF(B387="Pensioner",1,1/(1+Assumptions!$B$6)^G387)</f>
        <v>0.14195874752095111</v>
      </c>
      <c r="O387" s="17">
        <f t="shared" si="6"/>
        <v>5281744.6995947938</v>
      </c>
    </row>
    <row r="388" spans="1:15">
      <c r="A388" s="13" t="str">
        <f>Members!A388</f>
        <v>A0268</v>
      </c>
      <c r="B388" s="13" t="str">
        <f>Members!B388</f>
        <v>Active</v>
      </c>
      <c r="C388" s="13">
        <f>Members!C388</f>
        <v>29</v>
      </c>
      <c r="D388" s="14">
        <f>Members!D388</f>
        <v>3</v>
      </c>
      <c r="E388" s="16">
        <f>Members!E388</f>
        <v>672000</v>
      </c>
      <c r="F388" s="16">
        <f>Members!F388</f>
        <v>0</v>
      </c>
      <c r="G388" s="15">
        <f>MAX(0,Assumptions!$B$10-C388)</f>
        <v>31</v>
      </c>
      <c r="H388" s="17">
        <f>IF(B388="Active",E388*(1+Assumptions!$B$7)^G388,E388)</f>
        <v>3533422.1054205615</v>
      </c>
      <c r="I388" s="17">
        <f>IF(B388="Active",MIN(Assumptions!$B$12,D388+G388),IF(B388="Deferred",MIN(Assumptions!$B$12,D388),D388))</f>
        <v>34</v>
      </c>
      <c r="J388" s="17">
        <f>IF(B388="Active",H388*I388*Assumptions!$B$11,IF(B388="Deferred",E388*I388*Assumptions!$B$11*(1+Assumptions!$B$9)^G388,F388))</f>
        <v>2002272.5264049848</v>
      </c>
      <c r="K388" s="11">
        <f>IF(B388="Pensioner",1,VLOOKUP(Assumptions!$B$10,Mortality!$A$2:$F$104,6,FALSE)/VLOOKUP(C388,Mortality!$A$2:$F$104,6,FALSE))</f>
        <v>0.9700544954739736</v>
      </c>
      <c r="L388" s="11">
        <f>VLOOKUP(IF(B388="Pensioner",C388,Assumptions!$B$10),Mortality!$A$2:$E$104,5,FALSE)</f>
        <v>17.296790022132885</v>
      </c>
      <c r="M388" s="11">
        <f>1+Assumptions!$B$13*Assumptions!$B$14*Assumptions!$B$15</f>
        <v>1.3187500000000001</v>
      </c>
      <c r="N388" s="11">
        <f>IF(B388="Pensioner",1,1/(1+Assumptions!$B$6)^G388)</f>
        <v>0.14195874752095111</v>
      </c>
      <c r="O388" s="17">
        <f t="shared" si="6"/>
        <v>6289403.613639256</v>
      </c>
    </row>
    <row r="389" spans="1:15">
      <c r="A389" s="13" t="str">
        <f>Members!A389</f>
        <v>D0068</v>
      </c>
      <c r="B389" s="13" t="str">
        <f>Members!B389</f>
        <v>Deferred</v>
      </c>
      <c r="C389" s="13">
        <f>Members!C389</f>
        <v>53</v>
      </c>
      <c r="D389" s="14">
        <f>Members!D389</f>
        <v>3.3</v>
      </c>
      <c r="E389" s="16">
        <f>Members!E389</f>
        <v>953000</v>
      </c>
      <c r="F389" s="16">
        <f>Members!F389</f>
        <v>0</v>
      </c>
      <c r="G389" s="15">
        <f>MAX(0,Assumptions!$B$10-C389)</f>
        <v>7</v>
      </c>
      <c r="H389" s="17">
        <f>IF(B389="Active",E389*(1+Assumptions!$B$7)^G389,E389)</f>
        <v>953000</v>
      </c>
      <c r="I389" s="17">
        <f>IF(B389="Active",MIN(Assumptions!$B$12,D389+G389),IF(B389="Deferred",MIN(Assumptions!$B$12,D389),D389))</f>
        <v>3.3</v>
      </c>
      <c r="J389" s="17">
        <f>IF(B389="Active",H389*I389*Assumptions!$B$11,IF(B389="Deferred",E389*I389*Assumptions!$B$11*(1+Assumptions!$B$9)^G389,F389))</f>
        <v>68974.564208646567</v>
      </c>
      <c r="K389" s="11">
        <f>IF(B389="Pensioner",1,VLOOKUP(Assumptions!$B$10,Mortality!$A$2:$F$104,6,FALSE)/VLOOKUP(C389,Mortality!$A$2:$F$104,6,FALSE))</f>
        <v>0.98503000174313171</v>
      </c>
      <c r="L389" s="11">
        <f>VLOOKUP(IF(B389="Pensioner",C389,Assumptions!$B$10),Mortality!$A$2:$E$104,5,FALSE)</f>
        <v>17.296790022132885</v>
      </c>
      <c r="M389" s="11">
        <f>1+Assumptions!$B$13*Assumptions!$B$14*Assumptions!$B$15</f>
        <v>1.3187500000000001</v>
      </c>
      <c r="N389" s="11">
        <f>IF(B389="Pensioner",1,1/(1+Assumptions!$B$6)^G389)</f>
        <v>0.64350621483475945</v>
      </c>
      <c r="O389" s="17">
        <f t="shared" si="6"/>
        <v>997284.69701243448</v>
      </c>
    </row>
    <row r="390" spans="1:15">
      <c r="A390" s="13" t="str">
        <f>Members!A390</f>
        <v>D0071</v>
      </c>
      <c r="B390" s="13" t="str">
        <f>Members!B390</f>
        <v>Deferred</v>
      </c>
      <c r="C390" s="13">
        <f>Members!C390</f>
        <v>57</v>
      </c>
      <c r="D390" s="14">
        <f>Members!D390</f>
        <v>12.5</v>
      </c>
      <c r="E390" s="16">
        <f>Members!E390</f>
        <v>1533000</v>
      </c>
      <c r="F390" s="16">
        <f>Members!F390</f>
        <v>0</v>
      </c>
      <c r="G390" s="15">
        <f>MAX(0,Assumptions!$B$10-C390)</f>
        <v>3</v>
      </c>
      <c r="H390" s="17">
        <f>IF(B390="Active",E390*(1+Assumptions!$B$7)^G390,E390)</f>
        <v>1533000</v>
      </c>
      <c r="I390" s="17">
        <f>IF(B390="Active",MIN(Assumptions!$B$12,D390+G390),IF(B390="Deferred",MIN(Assumptions!$B$12,D390),D390))</f>
        <v>12.5</v>
      </c>
      <c r="J390" s="17">
        <f>IF(B390="Active",H390*I390*Assumptions!$B$11,IF(B390="Deferred",E390*I390*Assumptions!$B$11*(1+Assumptions!$B$9)^G390,F390))</f>
        <v>359253.44</v>
      </c>
      <c r="K390" s="11">
        <f>IF(B390="Pensioner",1,VLOOKUP(Assumptions!$B$10,Mortality!$A$2:$F$104,6,FALSE)/VLOOKUP(C390,Mortality!$A$2:$F$104,6,FALSE))</f>
        <v>0.99220038929214172</v>
      </c>
      <c r="L390" s="11">
        <f>VLOOKUP(IF(B390="Pensioner",C390,Assumptions!$B$10),Mortality!$A$2:$E$104,5,FALSE)</f>
        <v>17.296790022132885</v>
      </c>
      <c r="M390" s="11">
        <f>1+Assumptions!$B$13*Assumptions!$B$14*Assumptions!$B$15</f>
        <v>1.3187500000000001</v>
      </c>
      <c r="N390" s="11">
        <f>IF(B390="Pensioner",1,1/(1+Assumptions!$B$6)^G390)</f>
        <v>0.82784909180297994</v>
      </c>
      <c r="O390" s="17">
        <f t="shared" si="6"/>
        <v>6730998.4575000526</v>
      </c>
    </row>
    <row r="391" spans="1:15">
      <c r="A391" s="13" t="str">
        <f>Members!A391</f>
        <v>D0113</v>
      </c>
      <c r="B391" s="13" t="str">
        <f>Members!B391</f>
        <v>Deferred</v>
      </c>
      <c r="C391" s="13">
        <f>Members!C391</f>
        <v>46</v>
      </c>
      <c r="D391" s="14">
        <f>Members!D391</f>
        <v>12.6</v>
      </c>
      <c r="E391" s="16">
        <f>Members!E391</f>
        <v>568000</v>
      </c>
      <c r="F391" s="16">
        <f>Members!F391</f>
        <v>0</v>
      </c>
      <c r="G391" s="15">
        <f>MAX(0,Assumptions!$B$10-C391)</f>
        <v>14</v>
      </c>
      <c r="H391" s="17">
        <f>IF(B391="Active",E391*(1+Assumptions!$B$7)^G391,E391)</f>
        <v>568000</v>
      </c>
      <c r="I391" s="17">
        <f>IF(B391="Active",MIN(Assumptions!$B$12,D391+G391),IF(B391="Deferred",MIN(Assumptions!$B$12,D391),D391))</f>
        <v>12.6</v>
      </c>
      <c r="J391" s="17">
        <f>IF(B391="Active",H391*I391*Assumptions!$B$11,IF(B391="Deferred",E391*I391*Assumptions!$B$11*(1+Assumptions!$B$9)^G391,F391))</f>
        <v>206554.36667006253</v>
      </c>
      <c r="K391" s="11">
        <f>IF(B391="Pensioner",1,VLOOKUP(Assumptions!$B$10,Mortality!$A$2:$F$104,6,FALSE)/VLOOKUP(C391,Mortality!$A$2:$F$104,6,FALSE))</f>
        <v>0.97765823283048059</v>
      </c>
      <c r="L391" s="11">
        <f>VLOOKUP(IF(B391="Pensioner",C391,Assumptions!$B$10),Mortality!$A$2:$E$104,5,FALSE)</f>
        <v>17.296790022132885</v>
      </c>
      <c r="M391" s="11">
        <f>1+Assumptions!$B$13*Assumptions!$B$14*Assumptions!$B$15</f>
        <v>1.3187500000000001</v>
      </c>
      <c r="N391" s="11">
        <f>IF(B391="Pensioner",1,1/(1+Assumptions!$B$6)^G391)</f>
        <v>0.41410024853095956</v>
      </c>
      <c r="O391" s="17">
        <f t="shared" si="6"/>
        <v>1907457.7162600828</v>
      </c>
    </row>
    <row r="392" spans="1:15">
      <c r="A392" s="13" t="str">
        <f>Members!A392</f>
        <v>A0307</v>
      </c>
      <c r="B392" s="13" t="str">
        <f>Members!B392</f>
        <v>Active</v>
      </c>
      <c r="C392" s="13">
        <f>Members!C392</f>
        <v>31</v>
      </c>
      <c r="D392" s="14">
        <f>Members!D392</f>
        <v>6.5</v>
      </c>
      <c r="E392" s="16">
        <f>Members!E392</f>
        <v>695000</v>
      </c>
      <c r="F392" s="16">
        <f>Members!F392</f>
        <v>0</v>
      </c>
      <c r="G392" s="15">
        <f>MAX(0,Assumptions!$B$10-C392)</f>
        <v>29</v>
      </c>
      <c r="H392" s="17">
        <f>IF(B392="Active",E392*(1+Assumptions!$B$7)^G392,E392)</f>
        <v>3283266.4885635707</v>
      </c>
      <c r="I392" s="17">
        <f>IF(B392="Active",MIN(Assumptions!$B$12,D392+G392),IF(B392="Deferred",MIN(Assumptions!$B$12,D392),D392))</f>
        <v>35.5</v>
      </c>
      <c r="J392" s="17">
        <f>IF(B392="Active",H392*I392*Assumptions!$B$11,IF(B392="Deferred",E392*I392*Assumptions!$B$11*(1+Assumptions!$B$9)^G392,F392))</f>
        <v>1942599.3390667792</v>
      </c>
      <c r="K392" s="11">
        <f>IF(B392="Pensioner",1,VLOOKUP(Assumptions!$B$10,Mortality!$A$2:$F$104,6,FALSE)/VLOOKUP(C392,Mortality!$A$2:$F$104,6,FALSE))</f>
        <v>0.97064661072952085</v>
      </c>
      <c r="L392" s="11">
        <f>VLOOKUP(IF(B392="Pensioner",C392,Assumptions!$B$10),Mortality!$A$2:$E$104,5,FALSE)</f>
        <v>17.296790022132885</v>
      </c>
      <c r="M392" s="11">
        <f>1+Assumptions!$B$13*Assumptions!$B$14*Assumptions!$B$15</f>
        <v>1.3187500000000001</v>
      </c>
      <c r="N392" s="11">
        <f>IF(B392="Pensioner",1,1/(1+Assumptions!$B$6)^G392)</f>
        <v>0.16101316040695074</v>
      </c>
      <c r="O392" s="17">
        <f t="shared" si="6"/>
        <v>6925222.6292200796</v>
      </c>
    </row>
    <row r="393" spans="1:15">
      <c r="A393" s="13" t="str">
        <f>Members!A393</f>
        <v>A0520</v>
      </c>
      <c r="B393" s="13" t="str">
        <f>Members!B393</f>
        <v>Active</v>
      </c>
      <c r="C393" s="13">
        <f>Members!C393</f>
        <v>23</v>
      </c>
      <c r="D393" s="14">
        <f>Members!D393</f>
        <v>2.8</v>
      </c>
      <c r="E393" s="16">
        <f>Members!E393</f>
        <v>507000</v>
      </c>
      <c r="F393" s="16">
        <f>Members!F393</f>
        <v>0</v>
      </c>
      <c r="G393" s="15">
        <f>MAX(0,Assumptions!$B$10-C393)</f>
        <v>37</v>
      </c>
      <c r="H393" s="17">
        <f>IF(B393="Active",E393*(1+Assumptions!$B$7)^G393,E393)</f>
        <v>3675775.3902224489</v>
      </c>
      <c r="I393" s="17">
        <f>IF(B393="Active",MIN(Assumptions!$B$12,D393+G393),IF(B393="Deferred",MIN(Assumptions!$B$12,D393),D393))</f>
        <v>39.799999999999997</v>
      </c>
      <c r="J393" s="17">
        <f>IF(B393="Active",H393*I393*Assumptions!$B$11,IF(B393="Deferred",E393*I393*Assumptions!$B$11*(1+Assumptions!$B$9)^G393,F393))</f>
        <v>2438264.342180891</v>
      </c>
      <c r="K393" s="11">
        <f>IF(B393="Pensioner",1,VLOOKUP(Assumptions!$B$10,Mortality!$A$2:$F$104,6,FALSE)/VLOOKUP(C393,Mortality!$A$2:$F$104,6,FALSE))</f>
        <v>0.96845927521970809</v>
      </c>
      <c r="L393" s="11">
        <f>VLOOKUP(IF(B393="Pensioner",C393,Assumptions!$B$10),Mortality!$A$2:$E$104,5,FALSE)</f>
        <v>17.296790022132885</v>
      </c>
      <c r="M393" s="11">
        <f>1+Assumptions!$B$13*Assumptions!$B$14*Assumptions!$B$15</f>
        <v>1.3187500000000001</v>
      </c>
      <c r="N393" s="11">
        <f>IF(B393="Pensioner",1,1/(1+Assumptions!$B$6)^G393)</f>
        <v>9.7289173138083412E-2</v>
      </c>
      <c r="O393" s="17">
        <f t="shared" si="6"/>
        <v>5240281.8778335173</v>
      </c>
    </row>
    <row r="394" spans="1:15">
      <c r="A394" s="13" t="str">
        <f>Members!A394</f>
        <v>A0179</v>
      </c>
      <c r="B394" s="13" t="str">
        <f>Members!B394</f>
        <v>Active</v>
      </c>
      <c r="C394" s="13">
        <f>Members!C394</f>
        <v>53</v>
      </c>
      <c r="D394" s="14">
        <f>Members!D394</f>
        <v>21.5</v>
      </c>
      <c r="E394" s="16">
        <f>Members!E394</f>
        <v>1277000</v>
      </c>
      <c r="F394" s="16">
        <f>Members!F394</f>
        <v>0</v>
      </c>
      <c r="G394" s="15">
        <f>MAX(0,Assumptions!$B$10-C394)</f>
        <v>7</v>
      </c>
      <c r="H394" s="17">
        <f>IF(B394="Active",E394*(1+Assumptions!$B$7)^G394,E394)</f>
        <v>1857625.2887678551</v>
      </c>
      <c r="I394" s="17">
        <f>IF(B394="Active",MIN(Assumptions!$B$12,D394+G394),IF(B394="Deferred",MIN(Assumptions!$B$12,D394),D394))</f>
        <v>28.5</v>
      </c>
      <c r="J394" s="17">
        <f>IF(B394="Active",H394*I394*Assumptions!$B$11,IF(B394="Deferred",E394*I394*Assumptions!$B$11*(1+Assumptions!$B$9)^G394,F394))</f>
        <v>882372.01216473116</v>
      </c>
      <c r="K394" s="11">
        <f>IF(B394="Pensioner",1,VLOOKUP(Assumptions!$B$10,Mortality!$A$2:$F$104,6,FALSE)/VLOOKUP(C394,Mortality!$A$2:$F$104,6,FALSE))</f>
        <v>0.98503000174313171</v>
      </c>
      <c r="L394" s="11">
        <f>VLOOKUP(IF(B394="Pensioner",C394,Assumptions!$B$10),Mortality!$A$2:$E$104,5,FALSE)</f>
        <v>17.296790022132885</v>
      </c>
      <c r="M394" s="11">
        <f>1+Assumptions!$B$13*Assumptions!$B$14*Assumptions!$B$15</f>
        <v>1.3187500000000001</v>
      </c>
      <c r="N394" s="11">
        <f>IF(B394="Pensioner",1,1/(1+Assumptions!$B$6)^G394)</f>
        <v>0.64350621483475945</v>
      </c>
      <c r="O394" s="17">
        <f t="shared" si="6"/>
        <v>12757979.914770426</v>
      </c>
    </row>
    <row r="395" spans="1:15">
      <c r="A395" s="13" t="str">
        <f>Members!A395</f>
        <v>P0216</v>
      </c>
      <c r="B395" s="13" t="str">
        <f>Members!B395</f>
        <v>Pensioner</v>
      </c>
      <c r="C395" s="13">
        <f>Members!C395</f>
        <v>78</v>
      </c>
      <c r="D395" s="14">
        <f>Members!D395</f>
        <v>35.200000000000003</v>
      </c>
      <c r="E395" s="16">
        <f>Members!E395</f>
        <v>0</v>
      </c>
      <c r="F395" s="16">
        <f>Members!F395</f>
        <v>508000</v>
      </c>
      <c r="G395" s="15">
        <f>MAX(0,Assumptions!$B$10-C395)</f>
        <v>0</v>
      </c>
      <c r="H395" s="17">
        <f>IF(B395="Active",E395*(1+Assumptions!$B$7)^G395,E395)</f>
        <v>0</v>
      </c>
      <c r="I395" s="17">
        <f>IF(B395="Active",MIN(Assumptions!$B$12,D395+G395),IF(B395="Deferred",MIN(Assumptions!$B$12,D395),D395))</f>
        <v>35.200000000000003</v>
      </c>
      <c r="J395" s="17">
        <f>IF(B395="Active",H395*I395*Assumptions!$B$11,IF(B395="Deferred",E395*I395*Assumptions!$B$11*(1+Assumptions!$B$9)^G395,F395))</f>
        <v>508000</v>
      </c>
      <c r="K395" s="11">
        <f>IF(B395="Pensioner",1,VLOOKUP(Assumptions!$B$10,Mortality!$A$2:$F$104,6,FALSE)/VLOOKUP(C395,Mortality!$A$2:$F$104,6,FALSE))</f>
        <v>1</v>
      </c>
      <c r="L395" s="11">
        <f>VLOOKUP(IF(B395="Pensioner",C395,Assumptions!$B$10),Mortality!$A$2:$E$104,5,FALSE)</f>
        <v>9.2847179241203879</v>
      </c>
      <c r="M395" s="11">
        <f>1+Assumptions!$B$13*Assumptions!$B$14*Assumptions!$B$15</f>
        <v>1.3187500000000001</v>
      </c>
      <c r="N395" s="11">
        <f>IF(B395="Pensioner",1,1/(1+Assumptions!$B$6)^G395)</f>
        <v>1</v>
      </c>
      <c r="O395" s="17">
        <f t="shared" si="6"/>
        <v>6220064.6553163519</v>
      </c>
    </row>
    <row r="396" spans="1:15">
      <c r="A396" s="13" t="str">
        <f>Members!A396</f>
        <v>A0478</v>
      </c>
      <c r="B396" s="13" t="str">
        <f>Members!B396</f>
        <v>Active</v>
      </c>
      <c r="C396" s="13">
        <f>Members!C396</f>
        <v>44</v>
      </c>
      <c r="D396" s="14">
        <f>Members!D396</f>
        <v>14.7</v>
      </c>
      <c r="E396" s="16">
        <f>Members!E396</f>
        <v>936000</v>
      </c>
      <c r="F396" s="16">
        <f>Members!F396</f>
        <v>0</v>
      </c>
      <c r="G396" s="15">
        <f>MAX(0,Assumptions!$B$10-C396)</f>
        <v>16</v>
      </c>
      <c r="H396" s="17">
        <f>IF(B396="Active",E396*(1+Assumptions!$B$7)^G396,E396)</f>
        <v>2204525.8865551306</v>
      </c>
      <c r="I396" s="17">
        <f>IF(B396="Active",MIN(Assumptions!$B$12,D396+G396),IF(B396="Deferred",MIN(Assumptions!$B$12,D396),D396))</f>
        <v>30.7</v>
      </c>
      <c r="J396" s="17">
        <f>IF(B396="Active",H396*I396*Assumptions!$B$11,IF(B396="Deferred",E396*I396*Assumptions!$B$11*(1+Assumptions!$B$9)^G396,F396))</f>
        <v>1127982.4119540418</v>
      </c>
      <c r="K396" s="11">
        <f>IF(B396="Pensioner",1,VLOOKUP(Assumptions!$B$10,Mortality!$A$2:$F$104,6,FALSE)/VLOOKUP(C396,Mortality!$A$2:$F$104,6,FALSE))</f>
        <v>0.97626822121787327</v>
      </c>
      <c r="L396" s="11">
        <f>VLOOKUP(IF(B396="Pensioner",C396,Assumptions!$B$10),Mortality!$A$2:$E$104,5,FALSE)</f>
        <v>17.296790022132885</v>
      </c>
      <c r="M396" s="11">
        <f>1+Assumptions!$B$13*Assumptions!$B$14*Assumptions!$B$15</f>
        <v>1.3187500000000001</v>
      </c>
      <c r="N396" s="11">
        <f>IF(B396="Pensioner",1,1/(1+Assumptions!$B$6)^G396)</f>
        <v>0.36509532811475648</v>
      </c>
      <c r="O396" s="17">
        <f t="shared" si="6"/>
        <v>9170768.744499255</v>
      </c>
    </row>
    <row r="397" spans="1:15">
      <c r="A397" s="13" t="str">
        <f>Members!A397</f>
        <v>A0008</v>
      </c>
      <c r="B397" s="13" t="str">
        <f>Members!B397</f>
        <v>Active</v>
      </c>
      <c r="C397" s="13">
        <f>Members!C397</f>
        <v>31</v>
      </c>
      <c r="D397" s="14">
        <f>Members!D397</f>
        <v>3.7</v>
      </c>
      <c r="E397" s="16">
        <f>Members!E397</f>
        <v>518000</v>
      </c>
      <c r="F397" s="16">
        <f>Members!F397</f>
        <v>0</v>
      </c>
      <c r="G397" s="15">
        <f>MAX(0,Assumptions!$B$10-C397)</f>
        <v>29</v>
      </c>
      <c r="H397" s="17">
        <f>IF(B397="Active",E397*(1+Assumptions!$B$7)^G397,E397)</f>
        <v>2447096.4619797547</v>
      </c>
      <c r="I397" s="17">
        <f>IF(B397="Active",MIN(Assumptions!$B$12,D397+G397),IF(B397="Deferred",MIN(Assumptions!$B$12,D397),D397))</f>
        <v>32.700000000000003</v>
      </c>
      <c r="J397" s="17">
        <f>IF(B397="Active",H397*I397*Assumptions!$B$11,IF(B397="Deferred",E397*I397*Assumptions!$B$11*(1+Assumptions!$B$9)^G397,F397))</f>
        <v>1333667.5717789666</v>
      </c>
      <c r="K397" s="11">
        <f>IF(B397="Pensioner",1,VLOOKUP(Assumptions!$B$10,Mortality!$A$2:$F$104,6,FALSE)/VLOOKUP(C397,Mortality!$A$2:$F$104,6,FALSE))</f>
        <v>0.97064661072952085</v>
      </c>
      <c r="L397" s="11">
        <f>VLOOKUP(IF(B397="Pensioner",C397,Assumptions!$B$10),Mortality!$A$2:$E$104,5,FALSE)</f>
        <v>17.296790022132885</v>
      </c>
      <c r="M397" s="11">
        <f>1+Assumptions!$B$13*Assumptions!$B$14*Assumptions!$B$15</f>
        <v>1.3187500000000001</v>
      </c>
      <c r="N397" s="11">
        <f>IF(B397="Pensioner",1,1/(1+Assumptions!$B$6)^G397)</f>
        <v>0.16101316040695074</v>
      </c>
      <c r="O397" s="17">
        <f t="shared" si="6"/>
        <v>4754426.0219802316</v>
      </c>
    </row>
    <row r="398" spans="1:15">
      <c r="A398" s="13" t="str">
        <f>Members!A398</f>
        <v>P0034</v>
      </c>
      <c r="B398" s="13" t="str">
        <f>Members!B398</f>
        <v>Pensioner</v>
      </c>
      <c r="C398" s="13">
        <f>Members!C398</f>
        <v>60</v>
      </c>
      <c r="D398" s="14">
        <f>Members!D398</f>
        <v>27.2</v>
      </c>
      <c r="E398" s="16">
        <f>Members!E398</f>
        <v>0</v>
      </c>
      <c r="F398" s="16">
        <f>Members!F398</f>
        <v>164000</v>
      </c>
      <c r="G398" s="15">
        <f>MAX(0,Assumptions!$B$10-C398)</f>
        <v>0</v>
      </c>
      <c r="H398" s="17">
        <f>IF(B398="Active",E398*(1+Assumptions!$B$7)^G398,E398)</f>
        <v>0</v>
      </c>
      <c r="I398" s="17">
        <f>IF(B398="Active",MIN(Assumptions!$B$12,D398+G398),IF(B398="Deferred",MIN(Assumptions!$B$12,D398),D398))</f>
        <v>27.2</v>
      </c>
      <c r="J398" s="17">
        <f>IF(B398="Active",H398*I398*Assumptions!$B$11,IF(B398="Deferred",E398*I398*Assumptions!$B$11*(1+Assumptions!$B$9)^G398,F398))</f>
        <v>164000</v>
      </c>
      <c r="K398" s="11">
        <f>IF(B398="Pensioner",1,VLOOKUP(Assumptions!$B$10,Mortality!$A$2:$F$104,6,FALSE)/VLOOKUP(C398,Mortality!$A$2:$F$104,6,FALSE))</f>
        <v>1</v>
      </c>
      <c r="L398" s="11">
        <f>VLOOKUP(IF(B398="Pensioner",C398,Assumptions!$B$10),Mortality!$A$2:$E$104,5,FALSE)</f>
        <v>17.296790022132885</v>
      </c>
      <c r="M398" s="11">
        <f>1+Assumptions!$B$13*Assumptions!$B$14*Assumptions!$B$15</f>
        <v>1.3187500000000001</v>
      </c>
      <c r="N398" s="11">
        <f>IF(B398="Pensioner",1,1/(1+Assumptions!$B$6)^G398)</f>
        <v>1</v>
      </c>
      <c r="O398" s="17">
        <f t="shared" si="6"/>
        <v>3740863.2620367897</v>
      </c>
    </row>
    <row r="399" spans="1:15">
      <c r="A399" s="13" t="str">
        <f>Members!A399</f>
        <v>P0081</v>
      </c>
      <c r="B399" s="13" t="str">
        <f>Members!B399</f>
        <v>Pensioner</v>
      </c>
      <c r="C399" s="13">
        <f>Members!C399</f>
        <v>67</v>
      </c>
      <c r="D399" s="14">
        <f>Members!D399</f>
        <v>39.299999999999997</v>
      </c>
      <c r="E399" s="16">
        <f>Members!E399</f>
        <v>0</v>
      </c>
      <c r="F399" s="16">
        <f>Members!F399</f>
        <v>432000</v>
      </c>
      <c r="G399" s="15">
        <f>MAX(0,Assumptions!$B$10-C399)</f>
        <v>0</v>
      </c>
      <c r="H399" s="17">
        <f>IF(B399="Active",E399*(1+Assumptions!$B$7)^G399,E399)</f>
        <v>0</v>
      </c>
      <c r="I399" s="17">
        <f>IF(B399="Active",MIN(Assumptions!$B$12,D399+G399),IF(B399="Deferred",MIN(Assumptions!$B$12,D399),D399))</f>
        <v>39.299999999999997</v>
      </c>
      <c r="J399" s="17">
        <f>IF(B399="Active",H399*I399*Assumptions!$B$11,IF(B399="Deferred",E399*I399*Assumptions!$B$11*(1+Assumptions!$B$9)^G399,F399))</f>
        <v>432000</v>
      </c>
      <c r="K399" s="11">
        <f>IF(B399="Pensioner",1,VLOOKUP(Assumptions!$B$10,Mortality!$A$2:$F$104,6,FALSE)/VLOOKUP(C399,Mortality!$A$2:$F$104,6,FALSE))</f>
        <v>1</v>
      </c>
      <c r="L399" s="11">
        <f>VLOOKUP(IF(B399="Pensioner",C399,Assumptions!$B$10),Mortality!$A$2:$E$104,5,FALSE)</f>
        <v>14.316480461373482</v>
      </c>
      <c r="M399" s="11">
        <f>1+Assumptions!$B$13*Assumptions!$B$14*Assumptions!$B$15</f>
        <v>1.3187500000000001</v>
      </c>
      <c r="N399" s="11">
        <f>IF(B399="Pensioner",1,1/(1+Assumptions!$B$6)^G399)</f>
        <v>1</v>
      </c>
      <c r="O399" s="17">
        <f t="shared" si="6"/>
        <v>8156098.9188444726</v>
      </c>
    </row>
    <row r="400" spans="1:15">
      <c r="A400" s="13" t="str">
        <f>Members!A400</f>
        <v>P0167</v>
      </c>
      <c r="B400" s="13" t="str">
        <f>Members!B400</f>
        <v>Pensioner</v>
      </c>
      <c r="C400" s="13">
        <f>Members!C400</f>
        <v>76</v>
      </c>
      <c r="D400" s="14">
        <f>Members!D400</f>
        <v>19.3</v>
      </c>
      <c r="E400" s="16">
        <f>Members!E400</f>
        <v>0</v>
      </c>
      <c r="F400" s="16">
        <f>Members!F400</f>
        <v>495000</v>
      </c>
      <c r="G400" s="15">
        <f>MAX(0,Assumptions!$B$10-C400)</f>
        <v>0</v>
      </c>
      <c r="H400" s="17">
        <f>IF(B400="Active",E400*(1+Assumptions!$B$7)^G400,E400)</f>
        <v>0</v>
      </c>
      <c r="I400" s="17">
        <f>IF(B400="Active",MIN(Assumptions!$B$12,D400+G400),IF(B400="Deferred",MIN(Assumptions!$B$12,D400),D400))</f>
        <v>19.3</v>
      </c>
      <c r="J400" s="17">
        <f>IF(B400="Active",H400*I400*Assumptions!$B$11,IF(B400="Deferred",E400*I400*Assumptions!$B$11*(1+Assumptions!$B$9)^G400,F400))</f>
        <v>495000</v>
      </c>
      <c r="K400" s="11">
        <f>IF(B400="Pensioner",1,VLOOKUP(Assumptions!$B$10,Mortality!$A$2:$F$104,6,FALSE)/VLOOKUP(C400,Mortality!$A$2:$F$104,6,FALSE))</f>
        <v>1</v>
      </c>
      <c r="L400" s="11">
        <f>VLOOKUP(IF(B400="Pensioner",C400,Assumptions!$B$10),Mortality!$A$2:$E$104,5,FALSE)</f>
        <v>10.201355966192867</v>
      </c>
      <c r="M400" s="11">
        <f>1+Assumptions!$B$13*Assumptions!$B$14*Assumptions!$B$15</f>
        <v>1.3187500000000001</v>
      </c>
      <c r="N400" s="11">
        <f>IF(B400="Pensioner",1,1/(1+Assumptions!$B$6)^G400)</f>
        <v>1</v>
      </c>
      <c r="O400" s="17">
        <f t="shared" si="6"/>
        <v>6659253.8993063383</v>
      </c>
    </row>
    <row r="401" spans="1:15">
      <c r="A401" s="13" t="str">
        <f>Members!A401</f>
        <v>A0378</v>
      </c>
      <c r="B401" s="13" t="str">
        <f>Members!B401</f>
        <v>Active</v>
      </c>
      <c r="C401" s="13">
        <f>Members!C401</f>
        <v>39</v>
      </c>
      <c r="D401" s="14">
        <f>Members!D401</f>
        <v>5.6</v>
      </c>
      <c r="E401" s="16">
        <f>Members!E401</f>
        <v>842000</v>
      </c>
      <c r="F401" s="16">
        <f>Members!F401</f>
        <v>0</v>
      </c>
      <c r="G401" s="15">
        <f>MAX(0,Assumptions!$B$10-C401)</f>
        <v>21</v>
      </c>
      <c r="H401" s="17">
        <f>IF(B401="Active",E401*(1+Assumptions!$B$7)^G401,E401)</f>
        <v>2591873.1564785186</v>
      </c>
      <c r="I401" s="17">
        <f>IF(B401="Active",MIN(Assumptions!$B$12,D401+G401),IF(B401="Deferred",MIN(Assumptions!$B$12,D401),D401))</f>
        <v>26.6</v>
      </c>
      <c r="J401" s="17">
        <f>IF(B401="Active",H401*I401*Assumptions!$B$11,IF(B401="Deferred",E401*I401*Assumptions!$B$11*(1+Assumptions!$B$9)^G401,F401))</f>
        <v>1149063.7660388099</v>
      </c>
      <c r="K401" s="11">
        <f>IF(B401="Pensioner",1,VLOOKUP(Assumptions!$B$10,Mortality!$A$2:$F$104,6,FALSE)/VLOOKUP(C401,Mortality!$A$2:$F$104,6,FALSE))</f>
        <v>0.97358574177887802</v>
      </c>
      <c r="L401" s="11">
        <f>VLOOKUP(IF(B401="Pensioner",C401,Assumptions!$B$10),Mortality!$A$2:$E$104,5,FALSE)</f>
        <v>17.296790022132885</v>
      </c>
      <c r="M401" s="11">
        <f>1+Assumptions!$B$13*Assumptions!$B$14*Assumptions!$B$15</f>
        <v>1.3187500000000001</v>
      </c>
      <c r="N401" s="11">
        <f>IF(B401="Pensioner",1,1/(1+Assumptions!$B$6)^G401)</f>
        <v>0.26647608349429097</v>
      </c>
      <c r="O401" s="17">
        <f t="shared" si="6"/>
        <v>6799931.8110184297</v>
      </c>
    </row>
    <row r="402" spans="1:15">
      <c r="A402" s="13" t="str">
        <f>Members!A402</f>
        <v>A0296</v>
      </c>
      <c r="B402" s="13" t="str">
        <f>Members!B402</f>
        <v>Active</v>
      </c>
      <c r="C402" s="13">
        <f>Members!C402</f>
        <v>31</v>
      </c>
      <c r="D402" s="14">
        <f>Members!D402</f>
        <v>8.1</v>
      </c>
      <c r="E402" s="16">
        <f>Members!E402</f>
        <v>445000</v>
      </c>
      <c r="F402" s="16">
        <f>Members!F402</f>
        <v>0</v>
      </c>
      <c r="G402" s="15">
        <f>MAX(0,Assumptions!$B$10-C402)</f>
        <v>29</v>
      </c>
      <c r="H402" s="17">
        <f>IF(B402="Active",E402*(1+Assumptions!$B$7)^G402,E402)</f>
        <v>2102235.3775694803</v>
      </c>
      <c r="I402" s="17">
        <f>IF(B402="Active",MIN(Assumptions!$B$12,D402+G402),IF(B402="Deferred",MIN(Assumptions!$B$12,D402),D402))</f>
        <v>37.1</v>
      </c>
      <c r="J402" s="17">
        <f>IF(B402="Active",H402*I402*Assumptions!$B$11,IF(B402="Deferred",E402*I402*Assumptions!$B$11*(1+Assumptions!$B$9)^G402,F402))</f>
        <v>1299882.2084637955</v>
      </c>
      <c r="K402" s="11">
        <f>IF(B402="Pensioner",1,VLOOKUP(Assumptions!$B$10,Mortality!$A$2:$F$104,6,FALSE)/VLOOKUP(C402,Mortality!$A$2:$F$104,6,FALSE))</f>
        <v>0.97064661072952085</v>
      </c>
      <c r="L402" s="11">
        <f>VLOOKUP(IF(B402="Pensioner",C402,Assumptions!$B$10),Mortality!$A$2:$E$104,5,FALSE)</f>
        <v>17.296790022132885</v>
      </c>
      <c r="M402" s="11">
        <f>1+Assumptions!$B$13*Assumptions!$B$14*Assumptions!$B$15</f>
        <v>1.3187500000000001</v>
      </c>
      <c r="N402" s="11">
        <f>IF(B402="Pensioner",1,1/(1+Assumptions!$B$6)^G402)</f>
        <v>0.16101316040695074</v>
      </c>
      <c r="O402" s="17">
        <f t="shared" si="6"/>
        <v>4633983.7064387044</v>
      </c>
    </row>
    <row r="403" spans="1:15">
      <c r="A403" s="13" t="str">
        <f>Members!A403</f>
        <v>A0221</v>
      </c>
      <c r="B403" s="13" t="str">
        <f>Members!B403</f>
        <v>Active</v>
      </c>
      <c r="C403" s="13">
        <f>Members!C403</f>
        <v>57</v>
      </c>
      <c r="D403" s="14">
        <f>Members!D403</f>
        <v>25</v>
      </c>
      <c r="E403" s="16">
        <f>Members!E403</f>
        <v>1421000</v>
      </c>
      <c r="F403" s="16">
        <f>Members!F403</f>
        <v>0</v>
      </c>
      <c r="G403" s="15">
        <f>MAX(0,Assumptions!$B$10-C403)</f>
        <v>3</v>
      </c>
      <c r="H403" s="17">
        <f>IF(B403="Active",E403*(1+Assumptions!$B$7)^G403,E403)</f>
        <v>1668596.9938749997</v>
      </c>
      <c r="I403" s="17">
        <f>IF(B403="Active",MIN(Assumptions!$B$12,D403+G403),IF(B403="Deferred",MIN(Assumptions!$B$12,D403),D403))</f>
        <v>28</v>
      </c>
      <c r="J403" s="17">
        <f>IF(B403="Active",H403*I403*Assumptions!$B$11,IF(B403="Deferred",E403*I403*Assumptions!$B$11*(1+Assumptions!$B$9)^G403,F403))</f>
        <v>778678.59714166645</v>
      </c>
      <c r="K403" s="11">
        <f>IF(B403="Pensioner",1,VLOOKUP(Assumptions!$B$10,Mortality!$A$2:$F$104,6,FALSE)/VLOOKUP(C403,Mortality!$A$2:$F$104,6,FALSE))</f>
        <v>0.99220038929214172</v>
      </c>
      <c r="L403" s="11">
        <f>VLOOKUP(IF(B403="Pensioner",C403,Assumptions!$B$10),Mortality!$A$2:$E$104,5,FALSE)</f>
        <v>17.296790022132885</v>
      </c>
      <c r="M403" s="11">
        <f>1+Assumptions!$B$13*Assumptions!$B$14*Assumptions!$B$15</f>
        <v>1.3187500000000001</v>
      </c>
      <c r="N403" s="11">
        <f>IF(B403="Pensioner",1,1/(1+Assumptions!$B$6)^G403)</f>
        <v>0.82784909180297994</v>
      </c>
      <c r="O403" s="17">
        <f t="shared" si="6"/>
        <v>14589378.56308032</v>
      </c>
    </row>
    <row r="404" spans="1:15">
      <c r="A404" s="13" t="str">
        <f>Members!A404</f>
        <v>A0449</v>
      </c>
      <c r="B404" s="13" t="str">
        <f>Members!B404</f>
        <v>Active</v>
      </c>
      <c r="C404" s="13">
        <f>Members!C404</f>
        <v>32</v>
      </c>
      <c r="D404" s="14">
        <f>Members!D404</f>
        <v>8</v>
      </c>
      <c r="E404" s="16">
        <f>Members!E404</f>
        <v>454000</v>
      </c>
      <c r="F404" s="16">
        <f>Members!F404</f>
        <v>0</v>
      </c>
      <c r="G404" s="15">
        <f>MAX(0,Assumptions!$B$10-C404)</f>
        <v>28</v>
      </c>
      <c r="H404" s="17">
        <f>IF(B404="Active",E404*(1+Assumptions!$B$7)^G404,E404)</f>
        <v>2032940.755986036</v>
      </c>
      <c r="I404" s="17">
        <f>IF(B404="Active",MIN(Assumptions!$B$12,D404+G404),IF(B404="Deferred",MIN(Assumptions!$B$12,D404),D404))</f>
        <v>36</v>
      </c>
      <c r="J404" s="17">
        <f>IF(B404="Active",H404*I404*Assumptions!$B$11,IF(B404="Deferred",E404*I404*Assumptions!$B$11*(1+Assumptions!$B$9)^G404,F404))</f>
        <v>1219764.4535916217</v>
      </c>
      <c r="K404" s="11">
        <f>IF(B404="Pensioner",1,VLOOKUP(Assumptions!$B$10,Mortality!$A$2:$F$104,6,FALSE)/VLOOKUP(C404,Mortality!$A$2:$F$104,6,FALSE))</f>
        <v>0.97095846876649572</v>
      </c>
      <c r="L404" s="11">
        <f>VLOOKUP(IF(B404="Pensioner",C404,Assumptions!$B$10),Mortality!$A$2:$E$104,5,FALSE)</f>
        <v>17.296790022132885</v>
      </c>
      <c r="M404" s="11">
        <f>1+Assumptions!$B$13*Assumptions!$B$14*Assumptions!$B$15</f>
        <v>1.3187500000000001</v>
      </c>
      <c r="N404" s="11">
        <f>IF(B404="Pensioner",1,1/(1+Assumptions!$B$6)^G404)</f>
        <v>0.17147901583340255</v>
      </c>
      <c r="O404" s="17">
        <f t="shared" si="6"/>
        <v>4632501.7837088397</v>
      </c>
    </row>
    <row r="405" spans="1:15">
      <c r="A405" s="13" t="str">
        <f>Members!A405</f>
        <v>A0545</v>
      </c>
      <c r="B405" s="13" t="str">
        <f>Members!B405</f>
        <v>Active</v>
      </c>
      <c r="C405" s="13">
        <f>Members!C405</f>
        <v>28</v>
      </c>
      <c r="D405" s="14">
        <f>Members!D405</f>
        <v>5</v>
      </c>
      <c r="E405" s="16">
        <f>Members!E405</f>
        <v>619000</v>
      </c>
      <c r="F405" s="16">
        <f>Members!F405</f>
        <v>0</v>
      </c>
      <c r="G405" s="15">
        <f>MAX(0,Assumptions!$B$10-C405)</f>
        <v>32</v>
      </c>
      <c r="H405" s="17">
        <f>IF(B405="Active",E405*(1+Assumptions!$B$7)^G405,E405)</f>
        <v>3433755.4149320992</v>
      </c>
      <c r="I405" s="17">
        <f>IF(B405="Active",MIN(Assumptions!$B$12,D405+G405),IF(B405="Deferred",MIN(Assumptions!$B$12,D405),D405))</f>
        <v>37</v>
      </c>
      <c r="J405" s="17">
        <f>IF(B405="Active",H405*I405*Assumptions!$B$11,IF(B405="Deferred",E405*I405*Assumptions!$B$11*(1+Assumptions!$B$9)^G405,F405))</f>
        <v>2117482.5058747944</v>
      </c>
      <c r="K405" s="11">
        <f>IF(B405="Pensioner",1,VLOOKUP(Assumptions!$B$10,Mortality!$A$2:$F$104,6,FALSE)/VLOOKUP(C405,Mortality!$A$2:$F$104,6,FALSE))</f>
        <v>0.96977196143473232</v>
      </c>
      <c r="L405" s="11">
        <f>VLOOKUP(IF(B405="Pensioner",C405,Assumptions!$B$10),Mortality!$A$2:$E$104,5,FALSE)</f>
        <v>17.296790022132885</v>
      </c>
      <c r="M405" s="11">
        <f>1+Assumptions!$B$13*Assumptions!$B$14*Assumptions!$B$15</f>
        <v>1.3187500000000001</v>
      </c>
      <c r="N405" s="11">
        <f>IF(B405="Pensioner",1,1/(1+Assumptions!$B$6)^G405)</f>
        <v>0.13329459861122173</v>
      </c>
      <c r="O405" s="17">
        <f t="shared" si="6"/>
        <v>6243526.9615696445</v>
      </c>
    </row>
    <row r="406" spans="1:15">
      <c r="A406" s="13" t="str">
        <f>Members!A406</f>
        <v>A0400</v>
      </c>
      <c r="B406" s="13" t="str">
        <f>Members!B406</f>
        <v>Active</v>
      </c>
      <c r="C406" s="13">
        <f>Members!C406</f>
        <v>43</v>
      </c>
      <c r="D406" s="14">
        <f>Members!D406</f>
        <v>15.9</v>
      </c>
      <c r="E406" s="16">
        <f>Members!E406</f>
        <v>1269000</v>
      </c>
      <c r="F406" s="16">
        <f>Members!F406</f>
        <v>0</v>
      </c>
      <c r="G406" s="15">
        <f>MAX(0,Assumptions!$B$10-C406)</f>
        <v>17</v>
      </c>
      <c r="H406" s="17">
        <f>IF(B406="Active",E406*(1+Assumptions!$B$7)^G406,E406)</f>
        <v>3153213.9255241193</v>
      </c>
      <c r="I406" s="17">
        <f>IF(B406="Active",MIN(Assumptions!$B$12,D406+G406),IF(B406="Deferred",MIN(Assumptions!$B$12,D406),D406))</f>
        <v>32.9</v>
      </c>
      <c r="J406" s="17">
        <f>IF(B406="Active",H406*I406*Assumptions!$B$11,IF(B406="Deferred",E406*I406*Assumptions!$B$11*(1+Assumptions!$B$9)^G406,F406))</f>
        <v>1729012.3024957255</v>
      </c>
      <c r="K406" s="11">
        <f>IF(B406="Pensioner",1,VLOOKUP(Assumptions!$B$10,Mortality!$A$2:$F$104,6,FALSE)/VLOOKUP(C406,Mortality!$A$2:$F$104,6,FALSE))</f>
        <v>0.97565175842493801</v>
      </c>
      <c r="L406" s="11">
        <f>VLOOKUP(IF(B406="Pensioner",C406,Assumptions!$B$10),Mortality!$A$2:$E$104,5,FALSE)</f>
        <v>17.296790022132885</v>
      </c>
      <c r="M406" s="11">
        <f>1+Assumptions!$B$13*Assumptions!$B$14*Assumptions!$B$15</f>
        <v>1.3187500000000001</v>
      </c>
      <c r="N406" s="11">
        <f>IF(B406="Pensioner",1,1/(1+Assumptions!$B$6)^G406)</f>
        <v>0.34281251466174323</v>
      </c>
      <c r="O406" s="17">
        <f t="shared" si="6"/>
        <v>13190995.396240365</v>
      </c>
    </row>
    <row r="407" spans="1:15">
      <c r="A407" s="13" t="str">
        <f>Members!A407</f>
        <v>A0551</v>
      </c>
      <c r="B407" s="13" t="str">
        <f>Members!B407</f>
        <v>Active</v>
      </c>
      <c r="C407" s="13">
        <f>Members!C407</f>
        <v>39</v>
      </c>
      <c r="D407" s="14">
        <f>Members!D407</f>
        <v>8.6</v>
      </c>
      <c r="E407" s="16">
        <f>Members!E407</f>
        <v>642000</v>
      </c>
      <c r="F407" s="16">
        <f>Members!F407</f>
        <v>0</v>
      </c>
      <c r="G407" s="15">
        <f>MAX(0,Assumptions!$B$10-C407)</f>
        <v>21</v>
      </c>
      <c r="H407" s="17">
        <f>IF(B407="Active",E407*(1+Assumptions!$B$7)^G407,E407)</f>
        <v>1976226.3259610557</v>
      </c>
      <c r="I407" s="17">
        <f>IF(B407="Active",MIN(Assumptions!$B$12,D407+G407),IF(B407="Deferred",MIN(Assumptions!$B$12,D407),D407))</f>
        <v>29.6</v>
      </c>
      <c r="J407" s="17">
        <f>IF(B407="Active",H407*I407*Assumptions!$B$11,IF(B407="Deferred",E407*I407*Assumptions!$B$11*(1+Assumptions!$B$9)^G407,F407))</f>
        <v>974938.32080745418</v>
      </c>
      <c r="K407" s="11">
        <f>IF(B407="Pensioner",1,VLOOKUP(Assumptions!$B$10,Mortality!$A$2:$F$104,6,FALSE)/VLOOKUP(C407,Mortality!$A$2:$F$104,6,FALSE))</f>
        <v>0.97358574177887802</v>
      </c>
      <c r="L407" s="11">
        <f>VLOOKUP(IF(B407="Pensioner",C407,Assumptions!$B$10),Mortality!$A$2:$E$104,5,FALSE)</f>
        <v>17.296790022132885</v>
      </c>
      <c r="M407" s="11">
        <f>1+Assumptions!$B$13*Assumptions!$B$14*Assumptions!$B$15</f>
        <v>1.3187500000000001</v>
      </c>
      <c r="N407" s="11">
        <f>IF(B407="Pensioner",1,1/(1+Assumptions!$B$6)^G407)</f>
        <v>0.26647608349429097</v>
      </c>
      <c r="O407" s="17">
        <f t="shared" si="6"/>
        <v>5769491.9093076559</v>
      </c>
    </row>
    <row r="408" spans="1:15">
      <c r="A408" s="13" t="str">
        <f>Members!A408</f>
        <v>P0195</v>
      </c>
      <c r="B408" s="13" t="str">
        <f>Members!B408</f>
        <v>Pensioner</v>
      </c>
      <c r="C408" s="13">
        <f>Members!C408</f>
        <v>88</v>
      </c>
      <c r="D408" s="14">
        <f>Members!D408</f>
        <v>36.200000000000003</v>
      </c>
      <c r="E408" s="16">
        <f>Members!E408</f>
        <v>0</v>
      </c>
      <c r="F408" s="16">
        <f>Members!F408</f>
        <v>705000</v>
      </c>
      <c r="G408" s="15">
        <f>MAX(0,Assumptions!$B$10-C408)</f>
        <v>0</v>
      </c>
      <c r="H408" s="17">
        <f>IF(B408="Active",E408*(1+Assumptions!$B$7)^G408,E408)</f>
        <v>0</v>
      </c>
      <c r="I408" s="17">
        <f>IF(B408="Active",MIN(Assumptions!$B$12,D408+G408),IF(B408="Deferred",MIN(Assumptions!$B$12,D408),D408))</f>
        <v>36.200000000000003</v>
      </c>
      <c r="J408" s="17">
        <f>IF(B408="Active",H408*I408*Assumptions!$B$11,IF(B408="Deferred",E408*I408*Assumptions!$B$11*(1+Assumptions!$B$9)^G408,F408))</f>
        <v>705000</v>
      </c>
      <c r="K408" s="11">
        <f>IF(B408="Pensioner",1,VLOOKUP(Assumptions!$B$10,Mortality!$A$2:$F$104,6,FALSE)/VLOOKUP(C408,Mortality!$A$2:$F$104,6,FALSE))</f>
        <v>1</v>
      </c>
      <c r="L408" s="11">
        <f>VLOOKUP(IF(B408="Pensioner",C408,Assumptions!$B$10),Mortality!$A$2:$E$104,5,FALSE)</f>
        <v>5.0437428962217341</v>
      </c>
      <c r="M408" s="11">
        <f>1+Assumptions!$B$13*Assumptions!$B$14*Assumptions!$B$15</f>
        <v>1.3187500000000001</v>
      </c>
      <c r="N408" s="11">
        <f>IF(B408="Pensioner",1,1/(1+Assumptions!$B$6)^G408)</f>
        <v>1</v>
      </c>
      <c r="O408" s="17">
        <f t="shared" si="6"/>
        <v>4689262.3407966504</v>
      </c>
    </row>
    <row r="409" spans="1:15">
      <c r="A409" s="13" t="str">
        <f>Members!A409</f>
        <v>A0574</v>
      </c>
      <c r="B409" s="13" t="str">
        <f>Members!B409</f>
        <v>Active</v>
      </c>
      <c r="C409" s="13">
        <f>Members!C409</f>
        <v>50</v>
      </c>
      <c r="D409" s="14">
        <f>Members!D409</f>
        <v>9.1</v>
      </c>
      <c r="E409" s="16">
        <f>Members!E409</f>
        <v>1334000</v>
      </c>
      <c r="F409" s="16">
        <f>Members!F409</f>
        <v>0</v>
      </c>
      <c r="G409" s="15">
        <f>MAX(0,Assumptions!$B$10-C409)</f>
        <v>10</v>
      </c>
      <c r="H409" s="17">
        <f>IF(B409="Active",E409*(1+Assumptions!$B$7)^G409,E409)</f>
        <v>2278664.7074436932</v>
      </c>
      <c r="I409" s="17">
        <f>IF(B409="Active",MIN(Assumptions!$B$12,D409+G409),IF(B409="Deferred",MIN(Assumptions!$B$12,D409),D409))</f>
        <v>19.100000000000001</v>
      </c>
      <c r="J409" s="17">
        <f>IF(B409="Active",H409*I409*Assumptions!$B$11,IF(B409="Deferred",E409*I409*Assumptions!$B$11*(1+Assumptions!$B$9)^G409,F409))</f>
        <v>725374.93186957575</v>
      </c>
      <c r="K409" s="11">
        <f>IF(B409="Pensioner",1,VLOOKUP(Assumptions!$B$10,Mortality!$A$2:$F$104,6,FALSE)/VLOOKUP(C409,Mortality!$A$2:$F$104,6,FALSE))</f>
        <v>0.98127299335824147</v>
      </c>
      <c r="L409" s="11">
        <f>VLOOKUP(IF(B409="Pensioner",C409,Assumptions!$B$10),Mortality!$A$2:$E$104,5,FALSE)</f>
        <v>17.296790022132885</v>
      </c>
      <c r="M409" s="11">
        <f>1+Assumptions!$B$13*Assumptions!$B$14*Assumptions!$B$15</f>
        <v>1.3187500000000001</v>
      </c>
      <c r="N409" s="11">
        <f>IF(B409="Pensioner",1,1/(1+Assumptions!$B$6)^G409)</f>
        <v>0.53272603552052888</v>
      </c>
      <c r="O409" s="17">
        <f t="shared" si="6"/>
        <v>8649366.4477637522</v>
      </c>
    </row>
    <row r="410" spans="1:15">
      <c r="A410" s="13" t="str">
        <f>Members!A410</f>
        <v>A0492</v>
      </c>
      <c r="B410" s="13" t="str">
        <f>Members!B410</f>
        <v>Active</v>
      </c>
      <c r="C410" s="13">
        <f>Members!C410</f>
        <v>58</v>
      </c>
      <c r="D410" s="14">
        <f>Members!D410</f>
        <v>4.5999999999999996</v>
      </c>
      <c r="E410" s="16">
        <f>Members!E410</f>
        <v>2228000</v>
      </c>
      <c r="F410" s="16">
        <f>Members!F410</f>
        <v>0</v>
      </c>
      <c r="G410" s="15">
        <f>MAX(0,Assumptions!$B$10-C410)</f>
        <v>2</v>
      </c>
      <c r="H410" s="17">
        <f>IF(B410="Active",E410*(1+Assumptions!$B$7)^G410,E410)</f>
        <v>2479819.6999999997</v>
      </c>
      <c r="I410" s="17">
        <f>IF(B410="Active",MIN(Assumptions!$B$12,D410+G410),IF(B410="Deferred",MIN(Assumptions!$B$12,D410),D410))</f>
        <v>6.6</v>
      </c>
      <c r="J410" s="17">
        <f>IF(B410="Active",H410*I410*Assumptions!$B$11,IF(B410="Deferred",E410*I410*Assumptions!$B$11*(1+Assumptions!$B$9)^G410,F410))</f>
        <v>272780.16699999996</v>
      </c>
      <c r="K410" s="11">
        <f>IF(B410="Pensioner",1,VLOOKUP(Assumptions!$B$10,Mortality!$A$2:$F$104,6,FALSE)/VLOOKUP(C410,Mortality!$A$2:$F$104,6,FALSE))</f>
        <v>0.99452130442038367</v>
      </c>
      <c r="L410" s="11">
        <f>VLOOKUP(IF(B410="Pensioner",C410,Assumptions!$B$10),Mortality!$A$2:$E$104,5,FALSE)</f>
        <v>17.296790022132885</v>
      </c>
      <c r="M410" s="11">
        <f>1+Assumptions!$B$13*Assumptions!$B$14*Assumptions!$B$15</f>
        <v>1.3187500000000001</v>
      </c>
      <c r="N410" s="11">
        <f>IF(B410="Pensioner",1,1/(1+Assumptions!$B$6)^G410)</f>
        <v>0.88165928277017358</v>
      </c>
      <c r="O410" s="17">
        <f t="shared" si="6"/>
        <v>5455764.9598672278</v>
      </c>
    </row>
    <row r="411" spans="1:15">
      <c r="A411" s="13" t="str">
        <f>Members!A411</f>
        <v>A0063</v>
      </c>
      <c r="B411" s="13" t="str">
        <f>Members!B411</f>
        <v>Active</v>
      </c>
      <c r="C411" s="13">
        <f>Members!C411</f>
        <v>49</v>
      </c>
      <c r="D411" s="14">
        <f>Members!D411</f>
        <v>22.3</v>
      </c>
      <c r="E411" s="16">
        <f>Members!E411</f>
        <v>1301000</v>
      </c>
      <c r="F411" s="16">
        <f>Members!F411</f>
        <v>0</v>
      </c>
      <c r="G411" s="15">
        <f>MAX(0,Assumptions!$B$10-C411)</f>
        <v>11</v>
      </c>
      <c r="H411" s="17">
        <f>IF(B411="Active",E411*(1+Assumptions!$B$7)^G411,E411)</f>
        <v>2344522.2170355157</v>
      </c>
      <c r="I411" s="17">
        <f>IF(B411="Active",MIN(Assumptions!$B$12,D411+G411),IF(B411="Deferred",MIN(Assumptions!$B$12,D411),D411))</f>
        <v>33.299999999999997</v>
      </c>
      <c r="J411" s="17">
        <f>IF(B411="Active",H411*I411*Assumptions!$B$11,IF(B411="Deferred",E411*I411*Assumptions!$B$11*(1+Assumptions!$B$9)^G411,F411))</f>
        <v>1301209.8304547111</v>
      </c>
      <c r="K411" s="11">
        <f>IF(B411="Pensioner",1,VLOOKUP(Assumptions!$B$10,Mortality!$A$2:$F$104,6,FALSE)/VLOOKUP(C411,Mortality!$A$2:$F$104,6,FALSE))</f>
        <v>0.98024296623595764</v>
      </c>
      <c r="L411" s="11">
        <f>VLOOKUP(IF(B411="Pensioner",C411,Assumptions!$B$10),Mortality!$A$2:$E$104,5,FALSE)</f>
        <v>17.296790022132885</v>
      </c>
      <c r="M411" s="11">
        <f>1+Assumptions!$B$13*Assumptions!$B$14*Assumptions!$B$15</f>
        <v>1.3187500000000001</v>
      </c>
      <c r="N411" s="11">
        <f>IF(B411="Pensioner",1,1/(1+Assumptions!$B$6)^G411)</f>
        <v>0.50021223992537933</v>
      </c>
      <c r="O411" s="17">
        <f t="shared" si="6"/>
        <v>14553363.293366635</v>
      </c>
    </row>
    <row r="412" spans="1:15">
      <c r="A412" s="13" t="str">
        <f>Members!A412</f>
        <v>A0539</v>
      </c>
      <c r="B412" s="13" t="str">
        <f>Members!B412</f>
        <v>Active</v>
      </c>
      <c r="C412" s="13">
        <f>Members!C412</f>
        <v>37</v>
      </c>
      <c r="D412" s="14">
        <f>Members!D412</f>
        <v>6.8</v>
      </c>
      <c r="E412" s="16">
        <f>Members!E412</f>
        <v>660000</v>
      </c>
      <c r="F412" s="16">
        <f>Members!F412</f>
        <v>0</v>
      </c>
      <c r="G412" s="15">
        <f>MAX(0,Assumptions!$B$10-C412)</f>
        <v>23</v>
      </c>
      <c r="H412" s="17">
        <f>IF(B412="Active",E412*(1+Assumptions!$B$7)^G412,E412)</f>
        <v>2261260.0346711064</v>
      </c>
      <c r="I412" s="17">
        <f>IF(B412="Active",MIN(Assumptions!$B$12,D412+G412),IF(B412="Deferred",MIN(Assumptions!$B$12,D412),D412))</f>
        <v>29.8</v>
      </c>
      <c r="J412" s="17">
        <f>IF(B412="Active",H412*I412*Assumptions!$B$11,IF(B412="Deferred",E412*I412*Assumptions!$B$11*(1+Assumptions!$B$9)^G412,F412))</f>
        <v>1123092.4838866494</v>
      </c>
      <c r="K412" s="11">
        <f>IF(B412="Pensioner",1,VLOOKUP(Assumptions!$B$10,Mortality!$A$2:$F$104,6,FALSE)/VLOOKUP(C412,Mortality!$A$2:$F$104,6,FALSE))</f>
        <v>0.97273561412651877</v>
      </c>
      <c r="L412" s="11">
        <f>VLOOKUP(IF(B412="Pensioner",C412,Assumptions!$B$10),Mortality!$A$2:$E$104,5,FALSE)</f>
        <v>17.296790022132885</v>
      </c>
      <c r="M412" s="11">
        <f>1+Assumptions!$B$13*Assumptions!$B$14*Assumptions!$B$15</f>
        <v>1.3187500000000001</v>
      </c>
      <c r="N412" s="11">
        <f>IF(B412="Pensioner",1,1/(1+Assumptions!$B$6)^G412)</f>
        <v>0.23494111264898151</v>
      </c>
      <c r="O412" s="17">
        <f t="shared" si="6"/>
        <v>5854601.5661106706</v>
      </c>
    </row>
    <row r="413" spans="1:15">
      <c r="A413" s="13" t="str">
        <f>Members!A413</f>
        <v>P0136</v>
      </c>
      <c r="B413" s="13" t="str">
        <f>Members!B413</f>
        <v>Pensioner</v>
      </c>
      <c r="C413" s="13">
        <f>Members!C413</f>
        <v>78</v>
      </c>
      <c r="D413" s="14">
        <f>Members!D413</f>
        <v>17.3</v>
      </c>
      <c r="E413" s="16">
        <f>Members!E413</f>
        <v>0</v>
      </c>
      <c r="F413" s="16">
        <f>Members!F413</f>
        <v>316000</v>
      </c>
      <c r="G413" s="15">
        <f>MAX(0,Assumptions!$B$10-C413)</f>
        <v>0</v>
      </c>
      <c r="H413" s="17">
        <f>IF(B413="Active",E413*(1+Assumptions!$B$7)^G413,E413)</f>
        <v>0</v>
      </c>
      <c r="I413" s="17">
        <f>IF(B413="Active",MIN(Assumptions!$B$12,D413+G413),IF(B413="Deferred",MIN(Assumptions!$B$12,D413),D413))</f>
        <v>17.3</v>
      </c>
      <c r="J413" s="17">
        <f>IF(B413="Active",H413*I413*Assumptions!$B$11,IF(B413="Deferred",E413*I413*Assumptions!$B$11*(1+Assumptions!$B$9)^G413,F413))</f>
        <v>316000</v>
      </c>
      <c r="K413" s="11">
        <f>IF(B413="Pensioner",1,VLOOKUP(Assumptions!$B$10,Mortality!$A$2:$F$104,6,FALSE)/VLOOKUP(C413,Mortality!$A$2:$F$104,6,FALSE))</f>
        <v>1</v>
      </c>
      <c r="L413" s="11">
        <f>VLOOKUP(IF(B413="Pensioner",C413,Assumptions!$B$10),Mortality!$A$2:$E$104,5,FALSE)</f>
        <v>9.2847179241203879</v>
      </c>
      <c r="M413" s="11">
        <f>1+Assumptions!$B$13*Assumptions!$B$14*Assumptions!$B$15</f>
        <v>1.3187500000000001</v>
      </c>
      <c r="N413" s="11">
        <f>IF(B413="Pensioner",1,1/(1+Assumptions!$B$6)^G413)</f>
        <v>1</v>
      </c>
      <c r="O413" s="17">
        <f t="shared" si="6"/>
        <v>3869174.0769290691</v>
      </c>
    </row>
    <row r="414" spans="1:15">
      <c r="A414" s="13" t="str">
        <f>Members!A414</f>
        <v>A0282</v>
      </c>
      <c r="B414" s="13" t="str">
        <f>Members!B414</f>
        <v>Active</v>
      </c>
      <c r="C414" s="13">
        <f>Members!C414</f>
        <v>53</v>
      </c>
      <c r="D414" s="14">
        <f>Members!D414</f>
        <v>14.1</v>
      </c>
      <c r="E414" s="16">
        <f>Members!E414</f>
        <v>1663000</v>
      </c>
      <c r="F414" s="16">
        <f>Members!F414</f>
        <v>0</v>
      </c>
      <c r="G414" s="15">
        <f>MAX(0,Assumptions!$B$10-C414)</f>
        <v>7</v>
      </c>
      <c r="H414" s="17">
        <f>IF(B414="Active",E414*(1+Assumptions!$B$7)^G414,E414)</f>
        <v>2419131.4449654995</v>
      </c>
      <c r="I414" s="17">
        <f>IF(B414="Active",MIN(Assumptions!$B$12,D414+G414),IF(B414="Deferred",MIN(Assumptions!$B$12,D414),D414))</f>
        <v>21.1</v>
      </c>
      <c r="J414" s="17">
        <f>IF(B414="Active",H414*I414*Assumptions!$B$11,IF(B414="Deferred",E414*I414*Assumptions!$B$11*(1+Assumptions!$B$9)^G414,F414))</f>
        <v>850727.89147953398</v>
      </c>
      <c r="K414" s="11">
        <f>IF(B414="Pensioner",1,VLOOKUP(Assumptions!$B$10,Mortality!$A$2:$F$104,6,FALSE)/VLOOKUP(C414,Mortality!$A$2:$F$104,6,FALSE))</f>
        <v>0.98503000174313171</v>
      </c>
      <c r="L414" s="11">
        <f>VLOOKUP(IF(B414="Pensioner",C414,Assumptions!$B$10),Mortality!$A$2:$E$104,5,FALSE)</f>
        <v>17.296790022132885</v>
      </c>
      <c r="M414" s="11">
        <f>1+Assumptions!$B$13*Assumptions!$B$14*Assumptions!$B$15</f>
        <v>1.3187500000000001</v>
      </c>
      <c r="N414" s="11">
        <f>IF(B414="Pensioner",1,1/(1+Assumptions!$B$6)^G414)</f>
        <v>0.64350621483475945</v>
      </c>
      <c r="O414" s="17">
        <f t="shared" si="6"/>
        <v>12300446.073537316</v>
      </c>
    </row>
    <row r="415" spans="1:15">
      <c r="A415" s="13" t="str">
        <f>Members!A415</f>
        <v>A0598</v>
      </c>
      <c r="B415" s="13" t="str">
        <f>Members!B415</f>
        <v>Active</v>
      </c>
      <c r="C415" s="13">
        <f>Members!C415</f>
        <v>26</v>
      </c>
      <c r="D415" s="14">
        <f>Members!D415</f>
        <v>1.4</v>
      </c>
      <c r="E415" s="16">
        <f>Members!E415</f>
        <v>428000</v>
      </c>
      <c r="F415" s="16">
        <f>Members!F415</f>
        <v>0</v>
      </c>
      <c r="G415" s="15">
        <f>MAX(0,Assumptions!$B$10-C415)</f>
        <v>34</v>
      </c>
      <c r="H415" s="17">
        <f>IF(B415="Active",E415*(1+Assumptions!$B$7)^G415,E415)</f>
        <v>2642575.4534113961</v>
      </c>
      <c r="I415" s="17">
        <f>IF(B415="Active",MIN(Assumptions!$B$12,D415+G415),IF(B415="Deferred",MIN(Assumptions!$B$12,D415),D415))</f>
        <v>35.4</v>
      </c>
      <c r="J415" s="17">
        <f>IF(B415="Active",H415*I415*Assumptions!$B$11,IF(B415="Deferred",E415*I415*Assumptions!$B$11*(1+Assumptions!$B$9)^G415,F415))</f>
        <v>1559119.5175127236</v>
      </c>
      <c r="K415" s="11">
        <f>IF(B415="Pensioner",1,VLOOKUP(Assumptions!$B$10,Mortality!$A$2:$F$104,6,FALSE)/VLOOKUP(C415,Mortality!$A$2:$F$104,6,FALSE))</f>
        <v>0.96922916291892547</v>
      </c>
      <c r="L415" s="11">
        <f>VLOOKUP(IF(B415="Pensioner",C415,Assumptions!$B$10),Mortality!$A$2:$E$104,5,FALSE)</f>
        <v>17.296790022132885</v>
      </c>
      <c r="M415" s="11">
        <f>1+Assumptions!$B$13*Assumptions!$B$14*Assumptions!$B$15</f>
        <v>1.3187500000000001</v>
      </c>
      <c r="N415" s="11">
        <f>IF(B415="Pensioner",1,1/(1+Assumptions!$B$6)^G415)</f>
        <v>0.11752042020870793</v>
      </c>
      <c r="O415" s="17">
        <f t="shared" si="6"/>
        <v>4050859.7091186526</v>
      </c>
    </row>
    <row r="416" spans="1:15">
      <c r="A416" s="13" t="str">
        <f>Members!A416</f>
        <v>P0231</v>
      </c>
      <c r="B416" s="13" t="str">
        <f>Members!B416</f>
        <v>Pensioner</v>
      </c>
      <c r="C416" s="13">
        <f>Members!C416</f>
        <v>65</v>
      </c>
      <c r="D416" s="14">
        <f>Members!D416</f>
        <v>20.100000000000001</v>
      </c>
      <c r="E416" s="16">
        <f>Members!E416</f>
        <v>0</v>
      </c>
      <c r="F416" s="16">
        <f>Members!F416</f>
        <v>196000</v>
      </c>
      <c r="G416" s="15">
        <f>MAX(0,Assumptions!$B$10-C416)</f>
        <v>0</v>
      </c>
      <c r="H416" s="17">
        <f>IF(B416="Active",E416*(1+Assumptions!$B$7)^G416,E416)</f>
        <v>0</v>
      </c>
      <c r="I416" s="17">
        <f>IF(B416="Active",MIN(Assumptions!$B$12,D416+G416),IF(B416="Deferred",MIN(Assumptions!$B$12,D416),D416))</f>
        <v>20.100000000000001</v>
      </c>
      <c r="J416" s="17">
        <f>IF(B416="Active",H416*I416*Assumptions!$B$11,IF(B416="Deferred",E416*I416*Assumptions!$B$11*(1+Assumptions!$B$9)^G416,F416))</f>
        <v>196000</v>
      </c>
      <c r="K416" s="11">
        <f>IF(B416="Pensioner",1,VLOOKUP(Assumptions!$B$10,Mortality!$A$2:$F$104,6,FALSE)/VLOOKUP(C416,Mortality!$A$2:$F$104,6,FALSE))</f>
        <v>1</v>
      </c>
      <c r="L416" s="11">
        <f>VLOOKUP(IF(B416="Pensioner",C416,Assumptions!$B$10),Mortality!$A$2:$E$104,5,FALSE)</f>
        <v>15.196570962158528</v>
      </c>
      <c r="M416" s="11">
        <f>1+Assumptions!$B$13*Assumptions!$B$14*Assumptions!$B$15</f>
        <v>1.3187500000000001</v>
      </c>
      <c r="N416" s="11">
        <f>IF(B416="Pensioner",1,1/(1+Assumptions!$B$6)^G416)</f>
        <v>1</v>
      </c>
      <c r="O416" s="17">
        <f t="shared" si="6"/>
        <v>3927933.6794439261</v>
      </c>
    </row>
    <row r="417" spans="1:15">
      <c r="A417" s="13" t="str">
        <f>Members!A417</f>
        <v>A0242</v>
      </c>
      <c r="B417" s="13" t="str">
        <f>Members!B417</f>
        <v>Active</v>
      </c>
      <c r="C417" s="13">
        <f>Members!C417</f>
        <v>39</v>
      </c>
      <c r="D417" s="14">
        <f>Members!D417</f>
        <v>12.6</v>
      </c>
      <c r="E417" s="16">
        <f>Members!E417</f>
        <v>994000</v>
      </c>
      <c r="F417" s="16">
        <f>Members!F417</f>
        <v>0</v>
      </c>
      <c r="G417" s="15">
        <f>MAX(0,Assumptions!$B$10-C417)</f>
        <v>21</v>
      </c>
      <c r="H417" s="17">
        <f>IF(B417="Active",E417*(1+Assumptions!$B$7)^G417,E417)</f>
        <v>3059764.74767179</v>
      </c>
      <c r="I417" s="17">
        <f>IF(B417="Active",MIN(Assumptions!$B$12,D417+G417),IF(B417="Deferred",MIN(Assumptions!$B$12,D417),D417))</f>
        <v>33.6</v>
      </c>
      <c r="J417" s="17">
        <f>IF(B417="Active",H417*I417*Assumptions!$B$11,IF(B417="Deferred",E417*I417*Assumptions!$B$11*(1+Assumptions!$B$9)^G417,F417))</f>
        <v>1713468.2586962024</v>
      </c>
      <c r="K417" s="11">
        <f>IF(B417="Pensioner",1,VLOOKUP(Assumptions!$B$10,Mortality!$A$2:$F$104,6,FALSE)/VLOOKUP(C417,Mortality!$A$2:$F$104,6,FALSE))</f>
        <v>0.97358574177887802</v>
      </c>
      <c r="L417" s="11">
        <f>VLOOKUP(IF(B417="Pensioner",C417,Assumptions!$B$10),Mortality!$A$2:$E$104,5,FALSE)</f>
        <v>17.296790022132885</v>
      </c>
      <c r="M417" s="11">
        <f>1+Assumptions!$B$13*Assumptions!$B$14*Assumptions!$B$15</f>
        <v>1.3187500000000001</v>
      </c>
      <c r="N417" s="11">
        <f>IF(B417="Pensioner",1,1/(1+Assumptions!$B$6)^G417)</f>
        <v>0.26647608349429097</v>
      </c>
      <c r="O417" s="17">
        <f t="shared" si="6"/>
        <v>10139965.825956723</v>
      </c>
    </row>
    <row r="418" spans="1:15">
      <c r="A418" s="13" t="str">
        <f>Members!A418</f>
        <v>P0058</v>
      </c>
      <c r="B418" s="13" t="str">
        <f>Members!B418</f>
        <v>Pensioner</v>
      </c>
      <c r="C418" s="13">
        <f>Members!C418</f>
        <v>70</v>
      </c>
      <c r="D418" s="14">
        <f>Members!D418</f>
        <v>25.2</v>
      </c>
      <c r="E418" s="16">
        <f>Members!E418</f>
        <v>0</v>
      </c>
      <c r="F418" s="16">
        <f>Members!F418</f>
        <v>351000</v>
      </c>
      <c r="G418" s="15">
        <f>MAX(0,Assumptions!$B$10-C418)</f>
        <v>0</v>
      </c>
      <c r="H418" s="17">
        <f>IF(B418="Active",E418*(1+Assumptions!$B$7)^G418,E418)</f>
        <v>0</v>
      </c>
      <c r="I418" s="17">
        <f>IF(B418="Active",MIN(Assumptions!$B$12,D418+G418),IF(B418="Deferred",MIN(Assumptions!$B$12,D418),D418))</f>
        <v>25.2</v>
      </c>
      <c r="J418" s="17">
        <f>IF(B418="Active",H418*I418*Assumptions!$B$11,IF(B418="Deferred",E418*I418*Assumptions!$B$11*(1+Assumptions!$B$9)^G418,F418))</f>
        <v>351000</v>
      </c>
      <c r="K418" s="11">
        <f>IF(B418="Pensioner",1,VLOOKUP(Assumptions!$B$10,Mortality!$A$2:$F$104,6,FALSE)/VLOOKUP(C418,Mortality!$A$2:$F$104,6,FALSE))</f>
        <v>1</v>
      </c>
      <c r="L418" s="11">
        <f>VLOOKUP(IF(B418="Pensioner",C418,Assumptions!$B$10),Mortality!$A$2:$E$104,5,FALSE)</f>
        <v>12.963998211865617</v>
      </c>
      <c r="M418" s="11">
        <f>1+Assumptions!$B$13*Assumptions!$B$14*Assumptions!$B$15</f>
        <v>1.3187500000000001</v>
      </c>
      <c r="N418" s="11">
        <f>IF(B418="Pensioner",1,1/(1+Assumptions!$B$6)^G418)</f>
        <v>1</v>
      </c>
      <c r="O418" s="17">
        <f t="shared" si="6"/>
        <v>6000791.6973061217</v>
      </c>
    </row>
    <row r="419" spans="1:15">
      <c r="A419" s="13" t="str">
        <f>Members!A419</f>
        <v>P0249</v>
      </c>
      <c r="B419" s="13" t="str">
        <f>Members!B419</f>
        <v>Pensioner</v>
      </c>
      <c r="C419" s="13">
        <f>Members!C419</f>
        <v>86</v>
      </c>
      <c r="D419" s="14">
        <f>Members!D419</f>
        <v>19.8</v>
      </c>
      <c r="E419" s="16">
        <f>Members!E419</f>
        <v>0</v>
      </c>
      <c r="F419" s="16">
        <f>Members!F419</f>
        <v>356000</v>
      </c>
      <c r="G419" s="15">
        <f>MAX(0,Assumptions!$B$10-C419)</f>
        <v>0</v>
      </c>
      <c r="H419" s="17">
        <f>IF(B419="Active",E419*(1+Assumptions!$B$7)^G419,E419)</f>
        <v>0</v>
      </c>
      <c r="I419" s="17">
        <f>IF(B419="Active",MIN(Assumptions!$B$12,D419+G419),IF(B419="Deferred",MIN(Assumptions!$B$12,D419),D419))</f>
        <v>19.8</v>
      </c>
      <c r="J419" s="17">
        <f>IF(B419="Active",H419*I419*Assumptions!$B$11,IF(B419="Deferred",E419*I419*Assumptions!$B$11*(1+Assumptions!$B$9)^G419,F419))</f>
        <v>356000</v>
      </c>
      <c r="K419" s="11">
        <f>IF(B419="Pensioner",1,VLOOKUP(Assumptions!$B$10,Mortality!$A$2:$F$104,6,FALSE)/VLOOKUP(C419,Mortality!$A$2:$F$104,6,FALSE))</f>
        <v>1</v>
      </c>
      <c r="L419" s="11">
        <f>VLOOKUP(IF(B419="Pensioner",C419,Assumptions!$B$10),Mortality!$A$2:$E$104,5,FALSE)</f>
        <v>5.822832972912483</v>
      </c>
      <c r="M419" s="11">
        <f>1+Assumptions!$B$13*Assumptions!$B$14*Assumptions!$B$15</f>
        <v>1.3187500000000001</v>
      </c>
      <c r="N419" s="11">
        <f>IF(B419="Pensioner",1,1/(1+Assumptions!$B$6)^G419)</f>
        <v>1</v>
      </c>
      <c r="O419" s="17">
        <f t="shared" si="6"/>
        <v>2733674.5099580879</v>
      </c>
    </row>
    <row r="420" spans="1:15">
      <c r="A420" s="13" t="str">
        <f>Members!A420</f>
        <v>A0403</v>
      </c>
      <c r="B420" s="13" t="str">
        <f>Members!B420</f>
        <v>Active</v>
      </c>
      <c r="C420" s="13">
        <f>Members!C420</f>
        <v>38</v>
      </c>
      <c r="D420" s="14">
        <f>Members!D420</f>
        <v>2.8</v>
      </c>
      <c r="E420" s="16">
        <f>Members!E420</f>
        <v>1024000</v>
      </c>
      <c r="F420" s="16">
        <f>Members!F420</f>
        <v>0</v>
      </c>
      <c r="G420" s="15">
        <f>MAX(0,Assumptions!$B$10-C420)</f>
        <v>22</v>
      </c>
      <c r="H420" s="17">
        <f>IF(B420="Active",E420*(1+Assumptions!$B$7)^G420,E420)</f>
        <v>3325477.919723127</v>
      </c>
      <c r="I420" s="17">
        <f>IF(B420="Active",MIN(Assumptions!$B$12,D420+G420),IF(B420="Deferred",MIN(Assumptions!$B$12,D420),D420))</f>
        <v>24.8</v>
      </c>
      <c r="J420" s="17">
        <f>IF(B420="Active",H420*I420*Assumptions!$B$11,IF(B420="Deferred",E420*I420*Assumptions!$B$11*(1+Assumptions!$B$9)^G420,F420))</f>
        <v>1374530.8734855591</v>
      </c>
      <c r="K420" s="11">
        <f>IF(B420="Pensioner",1,VLOOKUP(Assumptions!$B$10,Mortality!$A$2:$F$104,6,FALSE)/VLOOKUP(C420,Mortality!$A$2:$F$104,6,FALSE))</f>
        <v>0.97314826881680017</v>
      </c>
      <c r="L420" s="11">
        <f>VLOOKUP(IF(B420="Pensioner",C420,Assumptions!$B$10),Mortality!$A$2:$E$104,5,FALSE)</f>
        <v>17.296790022132885</v>
      </c>
      <c r="M420" s="11">
        <f>1+Assumptions!$B$13*Assumptions!$B$14*Assumptions!$B$15</f>
        <v>1.3187500000000001</v>
      </c>
      <c r="N420" s="11">
        <f>IF(B420="Pensioner",1,1/(1+Assumptions!$B$6)^G420)</f>
        <v>0.25021228497116527</v>
      </c>
      <c r="O420" s="17">
        <f t="shared" si="6"/>
        <v>7634315.9284996614</v>
      </c>
    </row>
    <row r="421" spans="1:15">
      <c r="A421" s="13" t="str">
        <f>Members!A421</f>
        <v>A0543</v>
      </c>
      <c r="B421" s="13" t="str">
        <f>Members!B421</f>
        <v>Active</v>
      </c>
      <c r="C421" s="13">
        <f>Members!C421</f>
        <v>32</v>
      </c>
      <c r="D421" s="14">
        <f>Members!D421</f>
        <v>6.6</v>
      </c>
      <c r="E421" s="16">
        <f>Members!E421</f>
        <v>736000</v>
      </c>
      <c r="F421" s="16">
        <f>Members!F421</f>
        <v>0</v>
      </c>
      <c r="G421" s="15">
        <f>MAX(0,Assumptions!$B$10-C421)</f>
        <v>28</v>
      </c>
      <c r="H421" s="17">
        <f>IF(B421="Active",E421*(1+Assumptions!$B$7)^G421,E421)</f>
        <v>3295692.5030963048</v>
      </c>
      <c r="I421" s="17">
        <f>IF(B421="Active",MIN(Assumptions!$B$12,D421+G421),IF(B421="Deferred",MIN(Assumptions!$B$12,D421),D421))</f>
        <v>34.6</v>
      </c>
      <c r="J421" s="17">
        <f>IF(B421="Active",H421*I421*Assumptions!$B$11,IF(B421="Deferred",E421*I421*Assumptions!$B$11*(1+Assumptions!$B$9)^G421,F421))</f>
        <v>1900516.0101188691</v>
      </c>
      <c r="K421" s="11">
        <f>IF(B421="Pensioner",1,VLOOKUP(Assumptions!$B$10,Mortality!$A$2:$F$104,6,FALSE)/VLOOKUP(C421,Mortality!$A$2:$F$104,6,FALSE))</f>
        <v>0.97095846876649572</v>
      </c>
      <c r="L421" s="11">
        <f>VLOOKUP(IF(B421="Pensioner",C421,Assumptions!$B$10),Mortality!$A$2:$E$104,5,FALSE)</f>
        <v>17.296790022132885</v>
      </c>
      <c r="M421" s="11">
        <f>1+Assumptions!$B$13*Assumptions!$B$14*Assumptions!$B$15</f>
        <v>1.3187500000000001</v>
      </c>
      <c r="N421" s="11">
        <f>IF(B421="Pensioner",1,1/(1+Assumptions!$B$6)^G421)</f>
        <v>0.17147901583340255</v>
      </c>
      <c r="O421" s="17">
        <f t="shared" si="6"/>
        <v>7217904.8839461468</v>
      </c>
    </row>
    <row r="422" spans="1:15">
      <c r="A422" s="13" t="str">
        <f>Members!A422</f>
        <v>A0020</v>
      </c>
      <c r="B422" s="13" t="str">
        <f>Members!B422</f>
        <v>Active</v>
      </c>
      <c r="C422" s="13">
        <f>Members!C422</f>
        <v>54</v>
      </c>
      <c r="D422" s="14">
        <f>Members!D422</f>
        <v>25.6</v>
      </c>
      <c r="E422" s="16">
        <f>Members!E422</f>
        <v>1650000</v>
      </c>
      <c r="F422" s="16">
        <f>Members!F422</f>
        <v>0</v>
      </c>
      <c r="G422" s="15">
        <f>MAX(0,Assumptions!$B$10-C422)</f>
        <v>6</v>
      </c>
      <c r="H422" s="17">
        <f>IF(B422="Active",E422*(1+Assumptions!$B$7)^G422,E422)</f>
        <v>2275090.6311571188</v>
      </c>
      <c r="I422" s="17">
        <f>IF(B422="Active",MIN(Assumptions!$B$12,D422+G422),IF(B422="Deferred",MIN(Assumptions!$B$12,D422),D422))</f>
        <v>31.6</v>
      </c>
      <c r="J422" s="17">
        <f>IF(B422="Active",H422*I422*Assumptions!$B$11,IF(B422="Deferred",E422*I422*Assumptions!$B$11*(1+Assumptions!$B$9)^G422,F422))</f>
        <v>1198214.3990760825</v>
      </c>
      <c r="K422" s="11">
        <f>IF(B422="Pensioner",1,VLOOKUP(Assumptions!$B$10,Mortality!$A$2:$F$104,6,FALSE)/VLOOKUP(C422,Mortality!$A$2:$F$104,6,FALSE))</f>
        <v>0.98655351190569374</v>
      </c>
      <c r="L422" s="11">
        <f>VLOOKUP(IF(B422="Pensioner",C422,Assumptions!$B$10),Mortality!$A$2:$E$104,5,FALSE)</f>
        <v>17.296790022132885</v>
      </c>
      <c r="M422" s="11">
        <f>1+Assumptions!$B$13*Assumptions!$B$14*Assumptions!$B$15</f>
        <v>1.3187500000000001</v>
      </c>
      <c r="N422" s="11">
        <f>IF(B422="Pensioner",1,1/(1+Assumptions!$B$6)^G422)</f>
        <v>0.68533411879901873</v>
      </c>
      <c r="O422" s="17">
        <f t="shared" si="6"/>
        <v>18479300.185955521</v>
      </c>
    </row>
    <row r="423" spans="1:15">
      <c r="A423" s="13" t="str">
        <f>Members!A423</f>
        <v>A0057</v>
      </c>
      <c r="B423" s="13" t="str">
        <f>Members!B423</f>
        <v>Active</v>
      </c>
      <c r="C423" s="13">
        <f>Members!C423</f>
        <v>50</v>
      </c>
      <c r="D423" s="14">
        <f>Members!D423</f>
        <v>1</v>
      </c>
      <c r="E423" s="16">
        <f>Members!E423</f>
        <v>1533000</v>
      </c>
      <c r="F423" s="16">
        <f>Members!F423</f>
        <v>0</v>
      </c>
      <c r="G423" s="15">
        <f>MAX(0,Assumptions!$B$10-C423)</f>
        <v>10</v>
      </c>
      <c r="H423" s="17">
        <f>IF(B423="Active",E423*(1+Assumptions!$B$7)^G423,E423)</f>
        <v>2618585.454656058</v>
      </c>
      <c r="I423" s="17">
        <f>IF(B423="Active",MIN(Assumptions!$B$12,D423+G423),IF(B423="Deferred",MIN(Assumptions!$B$12,D423),D423))</f>
        <v>11</v>
      </c>
      <c r="J423" s="17">
        <f>IF(B423="Active",H423*I423*Assumptions!$B$11,IF(B423="Deferred",E423*I423*Assumptions!$B$11*(1+Assumptions!$B$9)^G423,F423))</f>
        <v>480074.00002027728</v>
      </c>
      <c r="K423" s="11">
        <f>IF(B423="Pensioner",1,VLOOKUP(Assumptions!$B$10,Mortality!$A$2:$F$104,6,FALSE)/VLOOKUP(C423,Mortality!$A$2:$F$104,6,FALSE))</f>
        <v>0.98127299335824147</v>
      </c>
      <c r="L423" s="11">
        <f>VLOOKUP(IF(B423="Pensioner",C423,Assumptions!$B$10),Mortality!$A$2:$E$104,5,FALSE)</f>
        <v>17.296790022132885</v>
      </c>
      <c r="M423" s="11">
        <f>1+Assumptions!$B$13*Assumptions!$B$14*Assumptions!$B$15</f>
        <v>1.3187500000000001</v>
      </c>
      <c r="N423" s="11">
        <f>IF(B423="Pensioner",1,1/(1+Assumptions!$B$6)^G423)</f>
        <v>0.53272603552052888</v>
      </c>
      <c r="O423" s="17">
        <f t="shared" si="6"/>
        <v>5724399.5701876841</v>
      </c>
    </row>
    <row r="424" spans="1:15">
      <c r="A424" s="13" t="str">
        <f>Members!A424</f>
        <v>P0070</v>
      </c>
      <c r="B424" s="13" t="str">
        <f>Members!B424</f>
        <v>Pensioner</v>
      </c>
      <c r="C424" s="13">
        <f>Members!C424</f>
        <v>79</v>
      </c>
      <c r="D424" s="14">
        <f>Members!D424</f>
        <v>12.4</v>
      </c>
      <c r="E424" s="16">
        <f>Members!E424</f>
        <v>0</v>
      </c>
      <c r="F424" s="16">
        <f>Members!F424</f>
        <v>636000</v>
      </c>
      <c r="G424" s="15">
        <f>MAX(0,Assumptions!$B$10-C424)</f>
        <v>0</v>
      </c>
      <c r="H424" s="17">
        <f>IF(B424="Active",E424*(1+Assumptions!$B$7)^G424,E424)</f>
        <v>0</v>
      </c>
      <c r="I424" s="17">
        <f>IF(B424="Active",MIN(Assumptions!$B$12,D424+G424),IF(B424="Deferred",MIN(Assumptions!$B$12,D424),D424))</f>
        <v>12.4</v>
      </c>
      <c r="J424" s="17">
        <f>IF(B424="Active",H424*I424*Assumptions!$B$11,IF(B424="Deferred",E424*I424*Assumptions!$B$11*(1+Assumptions!$B$9)^G424,F424))</f>
        <v>636000</v>
      </c>
      <c r="K424" s="11">
        <f>IF(B424="Pensioner",1,VLOOKUP(Assumptions!$B$10,Mortality!$A$2:$F$104,6,FALSE)/VLOOKUP(C424,Mortality!$A$2:$F$104,6,FALSE))</f>
        <v>1</v>
      </c>
      <c r="L424" s="11">
        <f>VLOOKUP(IF(B424="Pensioner",C424,Assumptions!$B$10),Mortality!$A$2:$E$104,5,FALSE)</f>
        <v>8.8309325629147608</v>
      </c>
      <c r="M424" s="11">
        <f>1+Assumptions!$B$13*Assumptions!$B$14*Assumptions!$B$15</f>
        <v>1.3187500000000001</v>
      </c>
      <c r="N424" s="11">
        <f>IF(B424="Pensioner",1,1/(1+Assumptions!$B$6)^G424)</f>
        <v>1</v>
      </c>
      <c r="O424" s="17">
        <f t="shared" si="6"/>
        <v>7406723.9138306826</v>
      </c>
    </row>
    <row r="425" spans="1:15">
      <c r="A425" s="13" t="str">
        <f>Members!A425</f>
        <v>P0015</v>
      </c>
      <c r="B425" s="13" t="str">
        <f>Members!B425</f>
        <v>Pensioner</v>
      </c>
      <c r="C425" s="13">
        <f>Members!C425</f>
        <v>82</v>
      </c>
      <c r="D425" s="14">
        <f>Members!D425</f>
        <v>36.200000000000003</v>
      </c>
      <c r="E425" s="16">
        <f>Members!E425</f>
        <v>0</v>
      </c>
      <c r="F425" s="16">
        <f>Members!F425</f>
        <v>528000</v>
      </c>
      <c r="G425" s="15">
        <f>MAX(0,Assumptions!$B$10-C425)</f>
        <v>0</v>
      </c>
      <c r="H425" s="17">
        <f>IF(B425="Active",E425*(1+Assumptions!$B$7)^G425,E425)</f>
        <v>0</v>
      </c>
      <c r="I425" s="17">
        <f>IF(B425="Active",MIN(Assumptions!$B$12,D425+G425),IF(B425="Deferred",MIN(Assumptions!$B$12,D425),D425))</f>
        <v>36.200000000000003</v>
      </c>
      <c r="J425" s="17">
        <f>IF(B425="Active",H425*I425*Assumptions!$B$11,IF(B425="Deferred",E425*I425*Assumptions!$B$11*(1+Assumptions!$B$9)^G425,F425))</f>
        <v>528000</v>
      </c>
      <c r="K425" s="11">
        <f>IF(B425="Pensioner",1,VLOOKUP(Assumptions!$B$10,Mortality!$A$2:$F$104,6,FALSE)/VLOOKUP(C425,Mortality!$A$2:$F$104,6,FALSE))</f>
        <v>1</v>
      </c>
      <c r="L425" s="11">
        <f>VLOOKUP(IF(B425="Pensioner",C425,Assumptions!$B$10),Mortality!$A$2:$E$104,5,FALSE)</f>
        <v>7.4984624308085976</v>
      </c>
      <c r="M425" s="11">
        <f>1+Assumptions!$B$13*Assumptions!$B$14*Assumptions!$B$15</f>
        <v>1.3187500000000001</v>
      </c>
      <c r="N425" s="11">
        <f>IF(B425="Pensioner",1,1/(1+Assumptions!$B$6)^G425)</f>
        <v>1</v>
      </c>
      <c r="O425" s="17">
        <f t="shared" si="6"/>
        <v>5221179.3905720273</v>
      </c>
    </row>
    <row r="426" spans="1:15">
      <c r="A426" s="13" t="str">
        <f>Members!A426</f>
        <v>A0127</v>
      </c>
      <c r="B426" s="13" t="str">
        <f>Members!B426</f>
        <v>Active</v>
      </c>
      <c r="C426" s="13">
        <f>Members!C426</f>
        <v>23</v>
      </c>
      <c r="D426" s="14">
        <f>Members!D426</f>
        <v>2.8</v>
      </c>
      <c r="E426" s="16">
        <f>Members!E426</f>
        <v>480000</v>
      </c>
      <c r="F426" s="16">
        <f>Members!F426</f>
        <v>0</v>
      </c>
      <c r="G426" s="15">
        <f>MAX(0,Assumptions!$B$10-C426)</f>
        <v>37</v>
      </c>
      <c r="H426" s="17">
        <f>IF(B426="Active",E426*(1+Assumptions!$B$7)^G426,E426)</f>
        <v>3480024.038080425</v>
      </c>
      <c r="I426" s="17">
        <f>IF(B426="Active",MIN(Assumptions!$B$12,D426+G426),IF(B426="Deferred",MIN(Assumptions!$B$12,D426),D426))</f>
        <v>39.799999999999997</v>
      </c>
      <c r="J426" s="17">
        <f>IF(B426="Active",H426*I426*Assumptions!$B$11,IF(B426="Deferred",E426*I426*Assumptions!$B$11*(1+Assumptions!$B$9)^G426,F426))</f>
        <v>2308415.9452600153</v>
      </c>
      <c r="K426" s="11">
        <f>IF(B426="Pensioner",1,VLOOKUP(Assumptions!$B$10,Mortality!$A$2:$F$104,6,FALSE)/VLOOKUP(C426,Mortality!$A$2:$F$104,6,FALSE))</f>
        <v>0.96845927521970809</v>
      </c>
      <c r="L426" s="11">
        <f>VLOOKUP(IF(B426="Pensioner",C426,Assumptions!$B$10),Mortality!$A$2:$E$104,5,FALSE)</f>
        <v>17.296790022132885</v>
      </c>
      <c r="M426" s="11">
        <f>1+Assumptions!$B$13*Assumptions!$B$14*Assumptions!$B$15</f>
        <v>1.3187500000000001</v>
      </c>
      <c r="N426" s="11">
        <f>IF(B426="Pensioner",1,1/(1+Assumptions!$B$6)^G426)</f>
        <v>9.7289173138083412E-2</v>
      </c>
      <c r="O426" s="17">
        <f t="shared" si="6"/>
        <v>4961213.6121500768</v>
      </c>
    </row>
    <row r="427" spans="1:15">
      <c r="A427" s="13" t="str">
        <f>Members!A427</f>
        <v>A0054</v>
      </c>
      <c r="B427" s="13" t="str">
        <f>Members!B427</f>
        <v>Active</v>
      </c>
      <c r="C427" s="13">
        <f>Members!C427</f>
        <v>46</v>
      </c>
      <c r="D427" s="14">
        <f>Members!D427</f>
        <v>14.7</v>
      </c>
      <c r="E427" s="16">
        <f>Members!E427</f>
        <v>1382000</v>
      </c>
      <c r="F427" s="16">
        <f>Members!F427</f>
        <v>0</v>
      </c>
      <c r="G427" s="15">
        <f>MAX(0,Assumptions!$B$10-C427)</f>
        <v>14</v>
      </c>
      <c r="H427" s="17">
        <f>IF(B427="Active",E427*(1+Assumptions!$B$7)^G427,E427)</f>
        <v>2924438.4002586226</v>
      </c>
      <c r="I427" s="17">
        <f>IF(B427="Active",MIN(Assumptions!$B$12,D427+G427),IF(B427="Deferred",MIN(Assumptions!$B$12,D427),D427))</f>
        <v>28.7</v>
      </c>
      <c r="J427" s="17">
        <f>IF(B427="Active",H427*I427*Assumptions!$B$11,IF(B427="Deferred",E427*I427*Assumptions!$B$11*(1+Assumptions!$B$9)^G427,F427))</f>
        <v>1398856.3681237076</v>
      </c>
      <c r="K427" s="11">
        <f>IF(B427="Pensioner",1,VLOOKUP(Assumptions!$B$10,Mortality!$A$2:$F$104,6,FALSE)/VLOOKUP(C427,Mortality!$A$2:$F$104,6,FALSE))</f>
        <v>0.97765823283048059</v>
      </c>
      <c r="L427" s="11">
        <f>VLOOKUP(IF(B427="Pensioner",C427,Assumptions!$B$10),Mortality!$A$2:$E$104,5,FALSE)</f>
        <v>17.296790022132885</v>
      </c>
      <c r="M427" s="11">
        <f>1+Assumptions!$B$13*Assumptions!$B$14*Assumptions!$B$15</f>
        <v>1.3187500000000001</v>
      </c>
      <c r="N427" s="11">
        <f>IF(B427="Pensioner",1,1/(1+Assumptions!$B$6)^G427)</f>
        <v>0.41410024853095956</v>
      </c>
      <c r="O427" s="17">
        <f t="shared" si="6"/>
        <v>12917951.899701245</v>
      </c>
    </row>
    <row r="428" spans="1:15">
      <c r="A428" s="13" t="str">
        <f>Members!A428</f>
        <v>P0010</v>
      </c>
      <c r="B428" s="13" t="str">
        <f>Members!B428</f>
        <v>Pensioner</v>
      </c>
      <c r="C428" s="13">
        <f>Members!C428</f>
        <v>80</v>
      </c>
      <c r="D428" s="14">
        <f>Members!D428</f>
        <v>25.3</v>
      </c>
      <c r="E428" s="16">
        <f>Members!E428</f>
        <v>0</v>
      </c>
      <c r="F428" s="16">
        <f>Members!F428</f>
        <v>467000</v>
      </c>
      <c r="G428" s="15">
        <f>MAX(0,Assumptions!$B$10-C428)</f>
        <v>0</v>
      </c>
      <c r="H428" s="17">
        <f>IF(B428="Active",E428*(1+Assumptions!$B$7)^G428,E428)</f>
        <v>0</v>
      </c>
      <c r="I428" s="17">
        <f>IF(B428="Active",MIN(Assumptions!$B$12,D428+G428),IF(B428="Deferred",MIN(Assumptions!$B$12,D428),D428))</f>
        <v>25.3</v>
      </c>
      <c r="J428" s="17">
        <f>IF(B428="Active",H428*I428*Assumptions!$B$11,IF(B428="Deferred",E428*I428*Assumptions!$B$11*(1+Assumptions!$B$9)^G428,F428))</f>
        <v>467000</v>
      </c>
      <c r="K428" s="11">
        <f>IF(B428="Pensioner",1,VLOOKUP(Assumptions!$B$10,Mortality!$A$2:$F$104,6,FALSE)/VLOOKUP(C428,Mortality!$A$2:$F$104,6,FALSE))</f>
        <v>1</v>
      </c>
      <c r="L428" s="11">
        <f>VLOOKUP(IF(B428="Pensioner",C428,Assumptions!$B$10),Mortality!$A$2:$E$104,5,FALSE)</f>
        <v>8.3813573625622979</v>
      </c>
      <c r="M428" s="11">
        <f>1+Assumptions!$B$13*Assumptions!$B$14*Assumptions!$B$15</f>
        <v>1.3187500000000001</v>
      </c>
      <c r="N428" s="11">
        <f>IF(B428="Pensioner",1,1/(1+Assumptions!$B$6)^G428)</f>
        <v>1</v>
      </c>
      <c r="O428" s="17">
        <f t="shared" si="6"/>
        <v>5161711.315217508</v>
      </c>
    </row>
    <row r="429" spans="1:15">
      <c r="A429" s="13" t="str">
        <f>Members!A429</f>
        <v>A0049</v>
      </c>
      <c r="B429" s="13" t="str">
        <f>Members!B429</f>
        <v>Active</v>
      </c>
      <c r="C429" s="13">
        <f>Members!C429</f>
        <v>47</v>
      </c>
      <c r="D429" s="14">
        <f>Members!D429</f>
        <v>16.899999999999999</v>
      </c>
      <c r="E429" s="16">
        <f>Members!E429</f>
        <v>1185000</v>
      </c>
      <c r="F429" s="16">
        <f>Members!F429</f>
        <v>0</v>
      </c>
      <c r="G429" s="15">
        <f>MAX(0,Assumptions!$B$10-C429)</f>
        <v>13</v>
      </c>
      <c r="H429" s="17">
        <f>IF(B429="Active",E429*(1+Assumptions!$B$7)^G429,E429)</f>
        <v>2376842.0685087671</v>
      </c>
      <c r="I429" s="17">
        <f>IF(B429="Active",MIN(Assumptions!$B$12,D429+G429),IF(B429="Deferred",MIN(Assumptions!$B$12,D429),D429))</f>
        <v>29.9</v>
      </c>
      <c r="J429" s="17">
        <f>IF(B429="Active",H429*I429*Assumptions!$B$11,IF(B429="Deferred",E429*I429*Assumptions!$B$11*(1+Assumptions!$B$9)^G429,F429))</f>
        <v>1184459.6308068687</v>
      </c>
      <c r="K429" s="11">
        <f>IF(B429="Pensioner",1,VLOOKUP(Assumptions!$B$10,Mortality!$A$2:$F$104,6,FALSE)/VLOOKUP(C429,Mortality!$A$2:$F$104,6,FALSE))</f>
        <v>0.97844516757479894</v>
      </c>
      <c r="L429" s="11">
        <f>VLOOKUP(IF(B429="Pensioner",C429,Assumptions!$B$10),Mortality!$A$2:$E$104,5,FALSE)</f>
        <v>17.296790022132885</v>
      </c>
      <c r="M429" s="11">
        <f>1+Assumptions!$B$13*Assumptions!$B$14*Assumptions!$B$15</f>
        <v>1.3187500000000001</v>
      </c>
      <c r="N429" s="11">
        <f>IF(B429="Pensioner",1,1/(1+Assumptions!$B$6)^G429)</f>
        <v>0.44101676468547191</v>
      </c>
      <c r="O429" s="17">
        <f t="shared" si="6"/>
        <v>11658423.86739438</v>
      </c>
    </row>
    <row r="430" spans="1:15">
      <c r="A430" s="13" t="str">
        <f>Members!A430</f>
        <v>A0324</v>
      </c>
      <c r="B430" s="13" t="str">
        <f>Members!B430</f>
        <v>Active</v>
      </c>
      <c r="C430" s="13">
        <f>Members!C430</f>
        <v>59</v>
      </c>
      <c r="D430" s="14">
        <f>Members!D430</f>
        <v>1.9</v>
      </c>
      <c r="E430" s="16">
        <f>Members!E430</f>
        <v>1544000</v>
      </c>
      <c r="F430" s="16">
        <f>Members!F430</f>
        <v>0</v>
      </c>
      <c r="G430" s="15">
        <f>MAX(0,Assumptions!$B$10-C430)</f>
        <v>1</v>
      </c>
      <c r="H430" s="17">
        <f>IF(B430="Active",E430*(1+Assumptions!$B$7)^G430,E430)</f>
        <v>1628920</v>
      </c>
      <c r="I430" s="17">
        <f>IF(B430="Active",MIN(Assumptions!$B$12,D430+G430),IF(B430="Deferred",MIN(Assumptions!$B$12,D430),D430))</f>
        <v>2.9</v>
      </c>
      <c r="J430" s="17">
        <f>IF(B430="Active",H430*I430*Assumptions!$B$11,IF(B430="Deferred",E430*I430*Assumptions!$B$11*(1+Assumptions!$B$9)^G430,F430))</f>
        <v>78731.133333333331</v>
      </c>
      <c r="K430" s="11">
        <f>IF(B430="Pensioner",1,VLOOKUP(Assumptions!$B$10,Mortality!$A$2:$F$104,6,FALSE)/VLOOKUP(C430,Mortality!$A$2:$F$104,6,FALSE))</f>
        <v>0.99710960118319747</v>
      </c>
      <c r="L430" s="11">
        <f>VLOOKUP(IF(B430="Pensioner",C430,Assumptions!$B$10),Mortality!$A$2:$E$104,5,FALSE)</f>
        <v>17.296790022132885</v>
      </c>
      <c r="M430" s="11">
        <f>1+Assumptions!$B$13*Assumptions!$B$14*Assumptions!$B$15</f>
        <v>1.3187500000000001</v>
      </c>
      <c r="N430" s="11">
        <f>IF(B430="Pensioner",1,1/(1+Assumptions!$B$6)^G430)</f>
        <v>0.93896713615023475</v>
      </c>
      <c r="O430" s="17">
        <f t="shared" si="6"/>
        <v>1681387.3643443082</v>
      </c>
    </row>
    <row r="431" spans="1:15">
      <c r="A431" s="13" t="str">
        <f>Members!A431</f>
        <v>A0572</v>
      </c>
      <c r="B431" s="13" t="str">
        <f>Members!B431</f>
        <v>Active</v>
      </c>
      <c r="C431" s="13">
        <f>Members!C431</f>
        <v>40</v>
      </c>
      <c r="D431" s="14">
        <f>Members!D431</f>
        <v>11.1</v>
      </c>
      <c r="E431" s="16">
        <f>Members!E431</f>
        <v>879000</v>
      </c>
      <c r="F431" s="16">
        <f>Members!F431</f>
        <v>0</v>
      </c>
      <c r="G431" s="15">
        <f>MAX(0,Assumptions!$B$10-C431)</f>
        <v>20</v>
      </c>
      <c r="H431" s="17">
        <f>IF(B431="Active",E431*(1+Assumptions!$B$7)^G431,E431)</f>
        <v>2564708.8342409944</v>
      </c>
      <c r="I431" s="17">
        <f>IF(B431="Active",MIN(Assumptions!$B$12,D431+G431),IF(B431="Deferred",MIN(Assumptions!$B$12,D431),D431))</f>
        <v>31.1</v>
      </c>
      <c r="J431" s="17">
        <f>IF(B431="Active",H431*I431*Assumptions!$B$11,IF(B431="Deferred",E431*I431*Assumptions!$B$11*(1+Assumptions!$B$9)^G431,F431))</f>
        <v>1329374.0790815824</v>
      </c>
      <c r="K431" s="11">
        <f>IF(B431="Pensioner",1,VLOOKUP(Assumptions!$B$10,Mortality!$A$2:$F$104,6,FALSE)/VLOOKUP(C431,Mortality!$A$2:$F$104,6,FALSE))</f>
        <v>0.97405112431987673</v>
      </c>
      <c r="L431" s="11">
        <f>VLOOKUP(IF(B431="Pensioner",C431,Assumptions!$B$10),Mortality!$A$2:$E$104,5,FALSE)</f>
        <v>17.296790022132885</v>
      </c>
      <c r="M431" s="11">
        <f>1+Assumptions!$B$13*Assumptions!$B$14*Assumptions!$B$15</f>
        <v>1.3187500000000001</v>
      </c>
      <c r="N431" s="11">
        <f>IF(B431="Pensioner",1,1/(1+Assumptions!$B$6)^G431)</f>
        <v>0.28379702892141989</v>
      </c>
      <c r="O431" s="17">
        <f t="shared" si="6"/>
        <v>8382330.6637652675</v>
      </c>
    </row>
    <row r="432" spans="1:15">
      <c r="A432" s="13" t="str">
        <f>Members!A432</f>
        <v>A0383</v>
      </c>
      <c r="B432" s="13" t="str">
        <f>Members!B432</f>
        <v>Active</v>
      </c>
      <c r="C432" s="13">
        <f>Members!C432</f>
        <v>38</v>
      </c>
      <c r="D432" s="14">
        <f>Members!D432</f>
        <v>3.6</v>
      </c>
      <c r="E432" s="16">
        <f>Members!E432</f>
        <v>696000</v>
      </c>
      <c r="F432" s="16">
        <f>Members!F432</f>
        <v>0</v>
      </c>
      <c r="G432" s="15">
        <f>MAX(0,Assumptions!$B$10-C432)</f>
        <v>22</v>
      </c>
      <c r="H432" s="17">
        <f>IF(B432="Active",E432*(1+Assumptions!$B$7)^G432,E432)</f>
        <v>2260285.7735618129</v>
      </c>
      <c r="I432" s="17">
        <f>IF(B432="Active",MIN(Assumptions!$B$12,D432+G432),IF(B432="Deferred",MIN(Assumptions!$B$12,D432),D432))</f>
        <v>25.6</v>
      </c>
      <c r="J432" s="17">
        <f>IF(B432="Active",H432*I432*Assumptions!$B$11,IF(B432="Deferred",E432*I432*Assumptions!$B$11*(1+Assumptions!$B$9)^G432,F432))</f>
        <v>964388.5967197069</v>
      </c>
      <c r="K432" s="11">
        <f>IF(B432="Pensioner",1,VLOOKUP(Assumptions!$B$10,Mortality!$A$2:$F$104,6,FALSE)/VLOOKUP(C432,Mortality!$A$2:$F$104,6,FALSE))</f>
        <v>0.97314826881680017</v>
      </c>
      <c r="L432" s="11">
        <f>VLOOKUP(IF(B432="Pensioner",C432,Assumptions!$B$10),Mortality!$A$2:$E$104,5,FALSE)</f>
        <v>17.296790022132885</v>
      </c>
      <c r="M432" s="11">
        <f>1+Assumptions!$B$13*Assumptions!$B$14*Assumptions!$B$15</f>
        <v>1.3187500000000001</v>
      </c>
      <c r="N432" s="11">
        <f>IF(B432="Pensioner",1,1/(1+Assumptions!$B$6)^G432)</f>
        <v>0.25021228497116527</v>
      </c>
      <c r="O432" s="17">
        <f t="shared" si="6"/>
        <v>5356334.5627376651</v>
      </c>
    </row>
    <row r="433" spans="1:15">
      <c r="A433" s="13" t="str">
        <f>Members!A433</f>
        <v>A0161</v>
      </c>
      <c r="B433" s="13" t="str">
        <f>Members!B433</f>
        <v>Active</v>
      </c>
      <c r="C433" s="13">
        <f>Members!C433</f>
        <v>26</v>
      </c>
      <c r="D433" s="14">
        <f>Members!D433</f>
        <v>3.5</v>
      </c>
      <c r="E433" s="16">
        <f>Members!E433</f>
        <v>475000</v>
      </c>
      <c r="F433" s="16">
        <f>Members!F433</f>
        <v>0</v>
      </c>
      <c r="G433" s="15">
        <f>MAX(0,Assumptions!$B$10-C433)</f>
        <v>34</v>
      </c>
      <c r="H433" s="17">
        <f>IF(B433="Active",E433*(1+Assumptions!$B$7)^G433,E433)</f>
        <v>2932764.8139495635</v>
      </c>
      <c r="I433" s="17">
        <f>IF(B433="Active",MIN(Assumptions!$B$12,D433+G433),IF(B433="Deferred",MIN(Assumptions!$B$12,D433),D433))</f>
        <v>37.5</v>
      </c>
      <c r="J433" s="17">
        <f>IF(B433="Active",H433*I433*Assumptions!$B$11,IF(B433="Deferred",E433*I433*Assumptions!$B$11*(1+Assumptions!$B$9)^G433,F433))</f>
        <v>1832978.0087184771</v>
      </c>
      <c r="K433" s="11">
        <f>IF(B433="Pensioner",1,VLOOKUP(Assumptions!$B$10,Mortality!$A$2:$F$104,6,FALSE)/VLOOKUP(C433,Mortality!$A$2:$F$104,6,FALSE))</f>
        <v>0.96922916291892547</v>
      </c>
      <c r="L433" s="11">
        <f>VLOOKUP(IF(B433="Pensioner",C433,Assumptions!$B$10),Mortality!$A$2:$E$104,5,FALSE)</f>
        <v>17.296790022132885</v>
      </c>
      <c r="M433" s="11">
        <f>1+Assumptions!$B$13*Assumptions!$B$14*Assumptions!$B$15</f>
        <v>1.3187500000000001</v>
      </c>
      <c r="N433" s="11">
        <f>IF(B433="Pensioner",1,1/(1+Assumptions!$B$6)^G433)</f>
        <v>0.11752042020870793</v>
      </c>
      <c r="O433" s="17">
        <f t="shared" si="6"/>
        <v>4762391.0032654842</v>
      </c>
    </row>
    <row r="434" spans="1:15">
      <c r="A434" s="13" t="str">
        <f>Members!A434</f>
        <v>D0076</v>
      </c>
      <c r="B434" s="13" t="str">
        <f>Members!B434</f>
        <v>Deferred</v>
      </c>
      <c r="C434" s="13">
        <f>Members!C434</f>
        <v>52</v>
      </c>
      <c r="D434" s="14">
        <f>Members!D434</f>
        <v>10.9</v>
      </c>
      <c r="E434" s="16">
        <f>Members!E434</f>
        <v>721000</v>
      </c>
      <c r="F434" s="16">
        <f>Members!F434</f>
        <v>0</v>
      </c>
      <c r="G434" s="15">
        <f>MAX(0,Assumptions!$B$10-C434)</f>
        <v>8</v>
      </c>
      <c r="H434" s="17">
        <f>IF(B434="Active",E434*(1+Assumptions!$B$7)^G434,E434)</f>
        <v>721000</v>
      </c>
      <c r="I434" s="17">
        <f>IF(B434="Active",MIN(Assumptions!$B$12,D434+G434),IF(B434="Deferred",MIN(Assumptions!$B$12,D434),D434))</f>
        <v>10.9</v>
      </c>
      <c r="J434" s="17">
        <f>IF(B434="Active",H434*I434*Assumptions!$B$11,IF(B434="Deferred",E434*I434*Assumptions!$B$11*(1+Assumptions!$B$9)^G434,F434))</f>
        <v>179257.45517050015</v>
      </c>
      <c r="K434" s="11">
        <f>IF(B434="Pensioner",1,VLOOKUP(Assumptions!$B$10,Mortality!$A$2:$F$104,6,FALSE)/VLOOKUP(C434,Mortality!$A$2:$F$104,6,FALSE))</f>
        <v>0.98365275168798427</v>
      </c>
      <c r="L434" s="11">
        <f>VLOOKUP(IF(B434="Pensioner",C434,Assumptions!$B$10),Mortality!$A$2:$E$104,5,FALSE)</f>
        <v>17.296790022132885</v>
      </c>
      <c r="M434" s="11">
        <f>1+Assumptions!$B$13*Assumptions!$B$14*Assumptions!$B$15</f>
        <v>1.3187500000000001</v>
      </c>
      <c r="N434" s="11">
        <f>IF(B434="Pensioner",1,1/(1+Assumptions!$B$6)^G434)</f>
        <v>0.60423118763827188</v>
      </c>
      <c r="O434" s="17">
        <f t="shared" si="6"/>
        <v>2430245.5778489071</v>
      </c>
    </row>
    <row r="435" spans="1:15">
      <c r="A435" s="13" t="str">
        <f>Members!A435</f>
        <v>P0237</v>
      </c>
      <c r="B435" s="13" t="str">
        <f>Members!B435</f>
        <v>Pensioner</v>
      </c>
      <c r="C435" s="13">
        <f>Members!C435</f>
        <v>67</v>
      </c>
      <c r="D435" s="14">
        <f>Members!D435</f>
        <v>26.3</v>
      </c>
      <c r="E435" s="16">
        <f>Members!E435</f>
        <v>0</v>
      </c>
      <c r="F435" s="16">
        <f>Members!F435</f>
        <v>271000</v>
      </c>
      <c r="G435" s="15">
        <f>MAX(0,Assumptions!$B$10-C435)</f>
        <v>0</v>
      </c>
      <c r="H435" s="17">
        <f>IF(B435="Active",E435*(1+Assumptions!$B$7)^G435,E435)</f>
        <v>0</v>
      </c>
      <c r="I435" s="17">
        <f>IF(B435="Active",MIN(Assumptions!$B$12,D435+G435),IF(B435="Deferred",MIN(Assumptions!$B$12,D435),D435))</f>
        <v>26.3</v>
      </c>
      <c r="J435" s="17">
        <f>IF(B435="Active",H435*I435*Assumptions!$B$11,IF(B435="Deferred",E435*I435*Assumptions!$B$11*(1+Assumptions!$B$9)^G435,F435))</f>
        <v>271000</v>
      </c>
      <c r="K435" s="11">
        <f>IF(B435="Pensioner",1,VLOOKUP(Assumptions!$B$10,Mortality!$A$2:$F$104,6,FALSE)/VLOOKUP(C435,Mortality!$A$2:$F$104,6,FALSE))</f>
        <v>1</v>
      </c>
      <c r="L435" s="11">
        <f>VLOOKUP(IF(B435="Pensioner",C435,Assumptions!$B$10),Mortality!$A$2:$E$104,5,FALSE)</f>
        <v>14.316480461373482</v>
      </c>
      <c r="M435" s="11">
        <f>1+Assumptions!$B$13*Assumptions!$B$14*Assumptions!$B$15</f>
        <v>1.3187500000000001</v>
      </c>
      <c r="N435" s="11">
        <f>IF(B435="Pensioner",1,1/(1+Assumptions!$B$6)^G435)</f>
        <v>1</v>
      </c>
      <c r="O435" s="17">
        <f t="shared" si="6"/>
        <v>5116441.6828862317</v>
      </c>
    </row>
    <row r="436" spans="1:15">
      <c r="A436" s="13" t="str">
        <f>Members!A436</f>
        <v>P0188</v>
      </c>
      <c r="B436" s="13" t="str">
        <f>Members!B436</f>
        <v>Pensioner</v>
      </c>
      <c r="C436" s="13">
        <f>Members!C436</f>
        <v>83</v>
      </c>
      <c r="D436" s="14">
        <f>Members!D436</f>
        <v>26.3</v>
      </c>
      <c r="E436" s="16">
        <f>Members!E436</f>
        <v>0</v>
      </c>
      <c r="F436" s="16">
        <f>Members!F436</f>
        <v>767000</v>
      </c>
      <c r="G436" s="15">
        <f>MAX(0,Assumptions!$B$10-C436)</f>
        <v>0</v>
      </c>
      <c r="H436" s="17">
        <f>IF(B436="Active",E436*(1+Assumptions!$B$7)^G436,E436)</f>
        <v>0</v>
      </c>
      <c r="I436" s="17">
        <f>IF(B436="Active",MIN(Assumptions!$B$12,D436+G436),IF(B436="Deferred",MIN(Assumptions!$B$12,D436),D436))</f>
        <v>26.3</v>
      </c>
      <c r="J436" s="17">
        <f>IF(B436="Active",H436*I436*Assumptions!$B$11,IF(B436="Deferred",E436*I436*Assumptions!$B$11*(1+Assumptions!$B$9)^G436,F436))</f>
        <v>767000</v>
      </c>
      <c r="K436" s="11">
        <f>IF(B436="Pensioner",1,VLOOKUP(Assumptions!$B$10,Mortality!$A$2:$F$104,6,FALSE)/VLOOKUP(C436,Mortality!$A$2:$F$104,6,FALSE))</f>
        <v>1</v>
      </c>
      <c r="L436" s="11">
        <f>VLOOKUP(IF(B436="Pensioner",C436,Assumptions!$B$10),Mortality!$A$2:$E$104,5,FALSE)</f>
        <v>7.0669562738307876</v>
      </c>
      <c r="M436" s="11">
        <f>1+Assumptions!$B$13*Assumptions!$B$14*Assumptions!$B$15</f>
        <v>1.3187500000000001</v>
      </c>
      <c r="N436" s="11">
        <f>IF(B436="Pensioner",1,1/(1+Assumptions!$B$6)^G436)</f>
        <v>1</v>
      </c>
      <c r="O436" s="17">
        <f t="shared" si="6"/>
        <v>7148093.7655497072</v>
      </c>
    </row>
    <row r="437" spans="1:15">
      <c r="A437" s="13" t="str">
        <f>Members!A437</f>
        <v>A0562</v>
      </c>
      <c r="B437" s="13" t="str">
        <f>Members!B437</f>
        <v>Active</v>
      </c>
      <c r="C437" s="13">
        <f>Members!C437</f>
        <v>24</v>
      </c>
      <c r="D437" s="14">
        <f>Members!D437</f>
        <v>1.5</v>
      </c>
      <c r="E437" s="16">
        <f>Members!E437</f>
        <v>343000</v>
      </c>
      <c r="F437" s="16">
        <f>Members!F437</f>
        <v>0</v>
      </c>
      <c r="G437" s="15">
        <f>MAX(0,Assumptions!$B$10-C437)</f>
        <v>36</v>
      </c>
      <c r="H437" s="17">
        <f>IF(B437="Active",E437*(1+Assumptions!$B$7)^G437,E437)</f>
        <v>2357125.2864565281</v>
      </c>
      <c r="I437" s="17">
        <f>IF(B437="Active",MIN(Assumptions!$B$12,D437+G437),IF(B437="Deferred",MIN(Assumptions!$B$12,D437),D437))</f>
        <v>37.5</v>
      </c>
      <c r="J437" s="17">
        <f>IF(B437="Active",H437*I437*Assumptions!$B$11,IF(B437="Deferred",E437*I437*Assumptions!$B$11*(1+Assumptions!$B$9)^G437,F437))</f>
        <v>1473203.30403533</v>
      </c>
      <c r="K437" s="11">
        <f>IF(B437="Pensioner",1,VLOOKUP(Assumptions!$B$10,Mortality!$A$2:$F$104,6,FALSE)/VLOOKUP(C437,Mortality!$A$2:$F$104,6,FALSE))</f>
        <v>0.96871086700607645</v>
      </c>
      <c r="L437" s="11">
        <f>VLOOKUP(IF(B437="Pensioner",C437,Assumptions!$B$10),Mortality!$A$2:$E$104,5,FALSE)</f>
        <v>17.296790022132885</v>
      </c>
      <c r="M437" s="11">
        <f>1+Assumptions!$B$13*Assumptions!$B$14*Assumptions!$B$15</f>
        <v>1.3187500000000001</v>
      </c>
      <c r="N437" s="11">
        <f>IF(B437="Pensioner",1,1/(1+Assumptions!$B$6)^G437)</f>
        <v>0.10361296939205883</v>
      </c>
      <c r="O437" s="17">
        <f t="shared" si="6"/>
        <v>3372865.0241954615</v>
      </c>
    </row>
    <row r="438" spans="1:15">
      <c r="A438" s="13" t="str">
        <f>Members!A438</f>
        <v>A0024</v>
      </c>
      <c r="B438" s="13" t="str">
        <f>Members!B438</f>
        <v>Active</v>
      </c>
      <c r="C438" s="13">
        <f>Members!C438</f>
        <v>46</v>
      </c>
      <c r="D438" s="14">
        <f>Members!D438</f>
        <v>10.9</v>
      </c>
      <c r="E438" s="16">
        <f>Members!E438</f>
        <v>1150000</v>
      </c>
      <c r="F438" s="16">
        <f>Members!F438</f>
        <v>0</v>
      </c>
      <c r="G438" s="15">
        <f>MAX(0,Assumptions!$B$10-C438)</f>
        <v>14</v>
      </c>
      <c r="H438" s="17">
        <f>IF(B438="Active",E438*(1+Assumptions!$B$7)^G438,E438)</f>
        <v>2433505.1811124571</v>
      </c>
      <c r="I438" s="17">
        <f>IF(B438="Active",MIN(Assumptions!$B$12,D438+G438),IF(B438="Deferred",MIN(Assumptions!$B$12,D438),D438))</f>
        <v>24.9</v>
      </c>
      <c r="J438" s="17">
        <f>IF(B438="Active",H438*I438*Assumptions!$B$11,IF(B438="Deferred",E438*I438*Assumptions!$B$11*(1+Assumptions!$B$9)^G438,F438))</f>
        <v>1009904.6501616696</v>
      </c>
      <c r="K438" s="11">
        <f>IF(B438="Pensioner",1,VLOOKUP(Assumptions!$B$10,Mortality!$A$2:$F$104,6,FALSE)/VLOOKUP(C438,Mortality!$A$2:$F$104,6,FALSE))</f>
        <v>0.97765823283048059</v>
      </c>
      <c r="L438" s="11">
        <f>VLOOKUP(IF(B438="Pensioner",C438,Assumptions!$B$10),Mortality!$A$2:$E$104,5,FALSE)</f>
        <v>17.296790022132885</v>
      </c>
      <c r="M438" s="11">
        <f>1+Assumptions!$B$13*Assumptions!$B$14*Assumptions!$B$15</f>
        <v>1.3187500000000001</v>
      </c>
      <c r="N438" s="11">
        <f>IF(B438="Pensioner",1,1/(1+Assumptions!$B$6)^G438)</f>
        <v>0.41410024853095956</v>
      </c>
      <c r="O438" s="17">
        <f t="shared" si="6"/>
        <v>9326118.1000102144</v>
      </c>
    </row>
    <row r="439" spans="1:15">
      <c r="A439" s="13" t="str">
        <f>Members!A439</f>
        <v>P0102</v>
      </c>
      <c r="B439" s="13" t="str">
        <f>Members!B439</f>
        <v>Pensioner</v>
      </c>
      <c r="C439" s="13">
        <f>Members!C439</f>
        <v>78</v>
      </c>
      <c r="D439" s="14">
        <f>Members!D439</f>
        <v>14.5</v>
      </c>
      <c r="E439" s="16">
        <f>Members!E439</f>
        <v>0</v>
      </c>
      <c r="F439" s="16">
        <f>Members!F439</f>
        <v>270000</v>
      </c>
      <c r="G439" s="15">
        <f>MAX(0,Assumptions!$B$10-C439)</f>
        <v>0</v>
      </c>
      <c r="H439" s="17">
        <f>IF(B439="Active",E439*(1+Assumptions!$B$7)^G439,E439)</f>
        <v>0</v>
      </c>
      <c r="I439" s="17">
        <f>IF(B439="Active",MIN(Assumptions!$B$12,D439+G439),IF(B439="Deferred",MIN(Assumptions!$B$12,D439),D439))</f>
        <v>14.5</v>
      </c>
      <c r="J439" s="17">
        <f>IF(B439="Active",H439*I439*Assumptions!$B$11,IF(B439="Deferred",E439*I439*Assumptions!$B$11*(1+Assumptions!$B$9)^G439,F439))</f>
        <v>270000</v>
      </c>
      <c r="K439" s="11">
        <f>IF(B439="Pensioner",1,VLOOKUP(Assumptions!$B$10,Mortality!$A$2:$F$104,6,FALSE)/VLOOKUP(C439,Mortality!$A$2:$F$104,6,FALSE))</f>
        <v>1</v>
      </c>
      <c r="L439" s="11">
        <f>VLOOKUP(IF(B439="Pensioner",C439,Assumptions!$B$10),Mortality!$A$2:$E$104,5,FALSE)</f>
        <v>9.2847179241203879</v>
      </c>
      <c r="M439" s="11">
        <f>1+Assumptions!$B$13*Assumptions!$B$14*Assumptions!$B$15</f>
        <v>1.3187500000000001</v>
      </c>
      <c r="N439" s="11">
        <f>IF(B439="Pensioner",1,1/(1+Assumptions!$B$6)^G439)</f>
        <v>1</v>
      </c>
      <c r="O439" s="17">
        <f t="shared" si="6"/>
        <v>3305939.8758571157</v>
      </c>
    </row>
    <row r="440" spans="1:15">
      <c r="A440" s="13" t="str">
        <f>Members!A440</f>
        <v>D0091</v>
      </c>
      <c r="B440" s="13" t="str">
        <f>Members!B440</f>
        <v>Deferred</v>
      </c>
      <c r="C440" s="13">
        <f>Members!C440</f>
        <v>37</v>
      </c>
      <c r="D440" s="14">
        <f>Members!D440</f>
        <v>7.1</v>
      </c>
      <c r="E440" s="16">
        <f>Members!E440</f>
        <v>544000</v>
      </c>
      <c r="F440" s="16">
        <f>Members!F440</f>
        <v>0</v>
      </c>
      <c r="G440" s="15">
        <f>MAX(0,Assumptions!$B$10-C440)</f>
        <v>23</v>
      </c>
      <c r="H440" s="17">
        <f>IF(B440="Active",E440*(1+Assumptions!$B$7)^G440,E440)</f>
        <v>544000</v>
      </c>
      <c r="I440" s="17">
        <f>IF(B440="Active",MIN(Assumptions!$B$12,D440+G440),IF(B440="Deferred",MIN(Assumptions!$B$12,D440),D440))</f>
        <v>7.1</v>
      </c>
      <c r="J440" s="17">
        <f>IF(B440="Active",H440*I440*Assumptions!$B$11,IF(B440="Deferred",E440*I440*Assumptions!$B$11*(1+Assumptions!$B$9)^G440,F440))</f>
        <v>158661.9552320177</v>
      </c>
      <c r="K440" s="11">
        <f>IF(B440="Pensioner",1,VLOOKUP(Assumptions!$B$10,Mortality!$A$2:$F$104,6,FALSE)/VLOOKUP(C440,Mortality!$A$2:$F$104,6,FALSE))</f>
        <v>0.97273561412651877</v>
      </c>
      <c r="L440" s="11">
        <f>VLOOKUP(IF(B440="Pensioner",C440,Assumptions!$B$10),Mortality!$A$2:$E$104,5,FALSE)</f>
        <v>17.296790022132885</v>
      </c>
      <c r="M440" s="11">
        <f>1+Assumptions!$B$13*Assumptions!$B$14*Assumptions!$B$15</f>
        <v>1.3187500000000001</v>
      </c>
      <c r="N440" s="11">
        <f>IF(B440="Pensioner",1,1/(1+Assumptions!$B$6)^G440)</f>
        <v>0.23494111264898151</v>
      </c>
      <c r="O440" s="17">
        <f t="shared" si="6"/>
        <v>827093.53406847618</v>
      </c>
    </row>
    <row r="441" spans="1:15">
      <c r="A441" s="13" t="str">
        <f>Members!A441</f>
        <v>A0447</v>
      </c>
      <c r="B441" s="13" t="str">
        <f>Members!B441</f>
        <v>Active</v>
      </c>
      <c r="C441" s="13">
        <f>Members!C441</f>
        <v>26</v>
      </c>
      <c r="D441" s="14">
        <f>Members!D441</f>
        <v>1</v>
      </c>
      <c r="E441" s="16">
        <f>Members!E441</f>
        <v>472000</v>
      </c>
      <c r="F441" s="16">
        <f>Members!F441</f>
        <v>0</v>
      </c>
      <c r="G441" s="15">
        <f>MAX(0,Assumptions!$B$10-C441)</f>
        <v>34</v>
      </c>
      <c r="H441" s="17">
        <f>IF(B441="Active",E441*(1+Assumptions!$B$7)^G441,E441)</f>
        <v>2914242.0888088294</v>
      </c>
      <c r="I441" s="17">
        <f>IF(B441="Active",MIN(Assumptions!$B$12,D441+G441),IF(B441="Deferred",MIN(Assumptions!$B$12,D441),D441))</f>
        <v>35</v>
      </c>
      <c r="J441" s="17">
        <f>IF(B441="Active",H441*I441*Assumptions!$B$11,IF(B441="Deferred",E441*I441*Assumptions!$B$11*(1+Assumptions!$B$9)^G441,F441))</f>
        <v>1699974.5518051505</v>
      </c>
      <c r="K441" s="11">
        <f>IF(B441="Pensioner",1,VLOOKUP(Assumptions!$B$10,Mortality!$A$2:$F$104,6,FALSE)/VLOOKUP(C441,Mortality!$A$2:$F$104,6,FALSE))</f>
        <v>0.96922916291892547</v>
      </c>
      <c r="L441" s="11">
        <f>VLOOKUP(IF(B441="Pensioner",C441,Assumptions!$B$10),Mortality!$A$2:$E$104,5,FALSE)</f>
        <v>17.296790022132885</v>
      </c>
      <c r="M441" s="11">
        <f>1+Assumptions!$B$13*Assumptions!$B$14*Assumptions!$B$15</f>
        <v>1.3187500000000001</v>
      </c>
      <c r="N441" s="11">
        <f>IF(B441="Pensioner",1,1/(1+Assumptions!$B$6)^G441)</f>
        <v>0.11752042020870793</v>
      </c>
      <c r="O441" s="17">
        <f t="shared" si="6"/>
        <v>4416825.2280109925</v>
      </c>
    </row>
    <row r="442" spans="1:15">
      <c r="A442" s="13" t="str">
        <f>Members!A442</f>
        <v>A0136</v>
      </c>
      <c r="B442" s="13" t="str">
        <f>Members!B442</f>
        <v>Active</v>
      </c>
      <c r="C442" s="13">
        <f>Members!C442</f>
        <v>57</v>
      </c>
      <c r="D442" s="14">
        <f>Members!D442</f>
        <v>24.8</v>
      </c>
      <c r="E442" s="16">
        <f>Members!E442</f>
        <v>2133000</v>
      </c>
      <c r="F442" s="16">
        <f>Members!F442</f>
        <v>0</v>
      </c>
      <c r="G442" s="15">
        <f>MAX(0,Assumptions!$B$10-C442)</f>
        <v>3</v>
      </c>
      <c r="H442" s="17">
        <f>IF(B442="Active",E442*(1+Assumptions!$B$7)^G442,E442)</f>
        <v>2504656.8528749994</v>
      </c>
      <c r="I442" s="17">
        <f>IF(B442="Active",MIN(Assumptions!$B$12,D442+G442),IF(B442="Deferred",MIN(Assumptions!$B$12,D442),D442))</f>
        <v>27.8</v>
      </c>
      <c r="J442" s="17">
        <f>IF(B442="Active",H442*I442*Assumptions!$B$11,IF(B442="Deferred",E442*I442*Assumptions!$B$11*(1+Assumptions!$B$9)^G442,F442))</f>
        <v>1160491.0084987497</v>
      </c>
      <c r="K442" s="11">
        <f>IF(B442="Pensioner",1,VLOOKUP(Assumptions!$B$10,Mortality!$A$2:$F$104,6,FALSE)/VLOOKUP(C442,Mortality!$A$2:$F$104,6,FALSE))</f>
        <v>0.99220038929214172</v>
      </c>
      <c r="L442" s="11">
        <f>VLOOKUP(IF(B442="Pensioner",C442,Assumptions!$B$10),Mortality!$A$2:$E$104,5,FALSE)</f>
        <v>17.296790022132885</v>
      </c>
      <c r="M442" s="11">
        <f>1+Assumptions!$B$13*Assumptions!$B$14*Assumptions!$B$15</f>
        <v>1.3187500000000001</v>
      </c>
      <c r="N442" s="11">
        <f>IF(B442="Pensioner",1,1/(1+Assumptions!$B$6)^G442)</f>
        <v>0.82784909180297994</v>
      </c>
      <c r="O442" s="17">
        <f t="shared" si="6"/>
        <v>21743043.540926885</v>
      </c>
    </row>
    <row r="443" spans="1:15">
      <c r="A443" s="13" t="str">
        <f>Members!A443</f>
        <v>P0128</v>
      </c>
      <c r="B443" s="13" t="str">
        <f>Members!B443</f>
        <v>Pensioner</v>
      </c>
      <c r="C443" s="13">
        <f>Members!C443</f>
        <v>61</v>
      </c>
      <c r="D443" s="14">
        <f>Members!D443</f>
        <v>22.5</v>
      </c>
      <c r="E443" s="16">
        <f>Members!E443</f>
        <v>0</v>
      </c>
      <c r="F443" s="16">
        <f>Members!F443</f>
        <v>242000</v>
      </c>
      <c r="G443" s="15">
        <f>MAX(0,Assumptions!$B$10-C443)</f>
        <v>0</v>
      </c>
      <c r="H443" s="17">
        <f>IF(B443="Active",E443*(1+Assumptions!$B$7)^G443,E443)</f>
        <v>0</v>
      </c>
      <c r="I443" s="17">
        <f>IF(B443="Active",MIN(Assumptions!$B$12,D443+G443),IF(B443="Deferred",MIN(Assumptions!$B$12,D443),D443))</f>
        <v>22.5</v>
      </c>
      <c r="J443" s="17">
        <f>IF(B443="Active",H443*I443*Assumptions!$B$11,IF(B443="Deferred",E443*I443*Assumptions!$B$11*(1+Assumptions!$B$9)^G443,F443))</f>
        <v>242000</v>
      </c>
      <c r="K443" s="11">
        <f>IF(B443="Pensioner",1,VLOOKUP(Assumptions!$B$10,Mortality!$A$2:$F$104,6,FALSE)/VLOOKUP(C443,Mortality!$A$2:$F$104,6,FALSE))</f>
        <v>1</v>
      </c>
      <c r="L443" s="11">
        <f>VLOOKUP(IF(B443="Pensioner",C443,Assumptions!$B$10),Mortality!$A$2:$E$104,5,FALSE)</f>
        <v>16.889485221588366</v>
      </c>
      <c r="M443" s="11">
        <f>1+Assumptions!$B$13*Assumptions!$B$14*Assumptions!$B$15</f>
        <v>1.3187500000000001</v>
      </c>
      <c r="N443" s="11">
        <f>IF(B443="Pensioner",1,1/(1+Assumptions!$B$6)^G443)</f>
        <v>1</v>
      </c>
      <c r="O443" s="17">
        <f t="shared" si="6"/>
        <v>5390068.0899046576</v>
      </c>
    </row>
    <row r="444" spans="1:15">
      <c r="A444" s="13" t="str">
        <f>Members!A444</f>
        <v>A0023</v>
      </c>
      <c r="B444" s="13" t="str">
        <f>Members!B444</f>
        <v>Active</v>
      </c>
      <c r="C444" s="13">
        <f>Members!C444</f>
        <v>57</v>
      </c>
      <c r="D444" s="14">
        <f>Members!D444</f>
        <v>27.4</v>
      </c>
      <c r="E444" s="16">
        <f>Members!E444</f>
        <v>1769000</v>
      </c>
      <c r="F444" s="16">
        <f>Members!F444</f>
        <v>0</v>
      </c>
      <c r="G444" s="15">
        <f>MAX(0,Assumptions!$B$10-C444)</f>
        <v>3</v>
      </c>
      <c r="H444" s="17">
        <f>IF(B444="Active",E444*(1+Assumptions!$B$7)^G444,E444)</f>
        <v>2077232.9923749997</v>
      </c>
      <c r="I444" s="17">
        <f>IF(B444="Active",MIN(Assumptions!$B$12,D444+G444),IF(B444="Deferred",MIN(Assumptions!$B$12,D444),D444))</f>
        <v>30.4</v>
      </c>
      <c r="J444" s="17">
        <f>IF(B444="Active",H444*I444*Assumptions!$B$11,IF(B444="Deferred",E444*I444*Assumptions!$B$11*(1+Assumptions!$B$9)^G444,F444))</f>
        <v>1052464.7161366665</v>
      </c>
      <c r="K444" s="11">
        <f>IF(B444="Pensioner",1,VLOOKUP(Assumptions!$B$10,Mortality!$A$2:$F$104,6,FALSE)/VLOOKUP(C444,Mortality!$A$2:$F$104,6,FALSE))</f>
        <v>0.99220038929214172</v>
      </c>
      <c r="L444" s="11">
        <f>VLOOKUP(IF(B444="Pensioner",C444,Assumptions!$B$10),Mortality!$A$2:$E$104,5,FALSE)</f>
        <v>17.296790022132885</v>
      </c>
      <c r="M444" s="11">
        <f>1+Assumptions!$B$13*Assumptions!$B$14*Assumptions!$B$15</f>
        <v>1.3187500000000001</v>
      </c>
      <c r="N444" s="11">
        <f>IF(B444="Pensioner",1,1/(1+Assumptions!$B$6)^G444)</f>
        <v>0.82784909180297994</v>
      </c>
      <c r="O444" s="17">
        <f t="shared" si="6"/>
        <v>19719055.107417017</v>
      </c>
    </row>
    <row r="445" spans="1:15">
      <c r="A445" s="13" t="str">
        <f>Members!A445</f>
        <v>A0145</v>
      </c>
      <c r="B445" s="13" t="str">
        <f>Members!B445</f>
        <v>Active</v>
      </c>
      <c r="C445" s="13">
        <f>Members!C445</f>
        <v>36</v>
      </c>
      <c r="D445" s="14">
        <f>Members!D445</f>
        <v>12.5</v>
      </c>
      <c r="E445" s="16">
        <f>Members!E445</f>
        <v>928000</v>
      </c>
      <c r="F445" s="16">
        <f>Members!F445</f>
        <v>0</v>
      </c>
      <c r="G445" s="15">
        <f>MAX(0,Assumptions!$B$10-C445)</f>
        <v>24</v>
      </c>
      <c r="H445" s="17">
        <f>IF(B445="Active",E445*(1+Assumptions!$B$7)^G445,E445)</f>
        <v>3354339.4308248488</v>
      </c>
      <c r="I445" s="17">
        <f>IF(B445="Active",MIN(Assumptions!$B$12,D445+G445),IF(B445="Deferred",MIN(Assumptions!$B$12,D445),D445))</f>
        <v>36.5</v>
      </c>
      <c r="J445" s="17">
        <f>IF(B445="Active",H445*I445*Assumptions!$B$11,IF(B445="Deferred",E445*I445*Assumptions!$B$11*(1+Assumptions!$B$9)^G445,F445))</f>
        <v>2040556.4870851163</v>
      </c>
      <c r="K445" s="11">
        <f>IF(B445="Pensioner",1,VLOOKUP(Assumptions!$B$10,Mortality!$A$2:$F$104,6,FALSE)/VLOOKUP(C445,Mortality!$A$2:$F$104,6,FALSE))</f>
        <v>0.97234503055413524</v>
      </c>
      <c r="L445" s="11">
        <f>VLOOKUP(IF(B445="Pensioner",C445,Assumptions!$B$10),Mortality!$A$2:$E$104,5,FALSE)</f>
        <v>17.296790022132885</v>
      </c>
      <c r="M445" s="11">
        <f>1+Assumptions!$B$13*Assumptions!$B$14*Assumptions!$B$15</f>
        <v>1.3187500000000001</v>
      </c>
      <c r="N445" s="11">
        <f>IF(B445="Pensioner",1,1/(1+Assumptions!$B$6)^G445)</f>
        <v>0.22060198370796386</v>
      </c>
      <c r="O445" s="17">
        <f t="shared" si="6"/>
        <v>9984042.4701926932</v>
      </c>
    </row>
    <row r="446" spans="1:15">
      <c r="A446" s="13" t="str">
        <f>Members!A446</f>
        <v>P0183</v>
      </c>
      <c r="B446" s="13" t="str">
        <f>Members!B446</f>
        <v>Pensioner</v>
      </c>
      <c r="C446" s="13">
        <f>Members!C446</f>
        <v>74</v>
      </c>
      <c r="D446" s="14">
        <f>Members!D446</f>
        <v>18.8</v>
      </c>
      <c r="E446" s="16">
        <f>Members!E446</f>
        <v>0</v>
      </c>
      <c r="F446" s="16">
        <f>Members!F446</f>
        <v>409000</v>
      </c>
      <c r="G446" s="15">
        <f>MAX(0,Assumptions!$B$10-C446)</f>
        <v>0</v>
      </c>
      <c r="H446" s="17">
        <f>IF(B446="Active",E446*(1+Assumptions!$B$7)^G446,E446)</f>
        <v>0</v>
      </c>
      <c r="I446" s="17">
        <f>IF(B446="Active",MIN(Assumptions!$B$12,D446+G446),IF(B446="Deferred",MIN(Assumptions!$B$12,D446),D446))</f>
        <v>18.8</v>
      </c>
      <c r="J446" s="17">
        <f>IF(B446="Active",H446*I446*Assumptions!$B$11,IF(B446="Deferred",E446*I446*Assumptions!$B$11*(1+Assumptions!$B$9)^G446,F446))</f>
        <v>409000</v>
      </c>
      <c r="K446" s="11">
        <f>IF(B446="Pensioner",1,VLOOKUP(Assumptions!$B$10,Mortality!$A$2:$F$104,6,FALSE)/VLOOKUP(C446,Mortality!$A$2:$F$104,6,FALSE))</f>
        <v>1</v>
      </c>
      <c r="L446" s="11">
        <f>VLOOKUP(IF(B446="Pensioner",C446,Assumptions!$B$10),Mortality!$A$2:$E$104,5,FALSE)</f>
        <v>11.124346929912107</v>
      </c>
      <c r="M446" s="11">
        <f>1+Assumptions!$B$13*Assumptions!$B$14*Assumptions!$B$15</f>
        <v>1.3187500000000001</v>
      </c>
      <c r="N446" s="11">
        <f>IF(B446="Pensioner",1,1/(1+Assumptions!$B$6)^G446)</f>
        <v>1</v>
      </c>
      <c r="O446" s="17">
        <f t="shared" si="6"/>
        <v>6000125.0981530314</v>
      </c>
    </row>
    <row r="447" spans="1:15">
      <c r="A447" s="13" t="str">
        <f>Members!A447</f>
        <v>D0063</v>
      </c>
      <c r="B447" s="13" t="str">
        <f>Members!B447</f>
        <v>Deferred</v>
      </c>
      <c r="C447" s="13">
        <f>Members!C447</f>
        <v>41</v>
      </c>
      <c r="D447" s="14">
        <f>Members!D447</f>
        <v>6.1</v>
      </c>
      <c r="E447" s="16">
        <f>Members!E447</f>
        <v>500000</v>
      </c>
      <c r="F447" s="16">
        <f>Members!F447</f>
        <v>0</v>
      </c>
      <c r="G447" s="15">
        <f>MAX(0,Assumptions!$B$10-C447)</f>
        <v>19</v>
      </c>
      <c r="H447" s="17">
        <f>IF(B447="Active",E447*(1+Assumptions!$B$7)^G447,E447)</f>
        <v>500000</v>
      </c>
      <c r="I447" s="17">
        <f>IF(B447="Active",MIN(Assumptions!$B$12,D447+G447),IF(B447="Deferred",MIN(Assumptions!$B$12,D447),D447))</f>
        <v>6.1</v>
      </c>
      <c r="J447" s="17">
        <f>IF(B447="Active",H447*I447*Assumptions!$B$11,IF(B447="Deferred",E447*I447*Assumptions!$B$11*(1+Assumptions!$B$9)^G447,F447))</f>
        <v>107098.16644634512</v>
      </c>
      <c r="K447" s="11">
        <f>IF(B447="Pensioner",1,VLOOKUP(Assumptions!$B$10,Mortality!$A$2:$F$104,6,FALSE)/VLOOKUP(C447,Mortality!$A$2:$F$104,6,FALSE))</f>
        <v>0.97454789540795339</v>
      </c>
      <c r="L447" s="11">
        <f>VLOOKUP(IF(B447="Pensioner",C447,Assumptions!$B$10),Mortality!$A$2:$E$104,5,FALSE)</f>
        <v>17.296790022132885</v>
      </c>
      <c r="M447" s="11">
        <f>1+Assumptions!$B$13*Assumptions!$B$14*Assumptions!$B$15</f>
        <v>1.3187500000000001</v>
      </c>
      <c r="N447" s="11">
        <f>IF(B447="Pensioner",1,1/(1+Assumptions!$B$6)^G447)</f>
        <v>0.30224383580131214</v>
      </c>
      <c r="O447" s="17">
        <f t="shared" si="6"/>
        <v>719566.04523935413</v>
      </c>
    </row>
    <row r="448" spans="1:15">
      <c r="A448" s="13" t="str">
        <f>Members!A448</f>
        <v>D0097</v>
      </c>
      <c r="B448" s="13" t="str">
        <f>Members!B448</f>
        <v>Deferred</v>
      </c>
      <c r="C448" s="13">
        <f>Members!C448</f>
        <v>53</v>
      </c>
      <c r="D448" s="14">
        <f>Members!D448</f>
        <v>5.3</v>
      </c>
      <c r="E448" s="16">
        <f>Members!E448</f>
        <v>1114000</v>
      </c>
      <c r="F448" s="16">
        <f>Members!F448</f>
        <v>0</v>
      </c>
      <c r="G448" s="15">
        <f>MAX(0,Assumptions!$B$10-C448)</f>
        <v>7</v>
      </c>
      <c r="H448" s="17">
        <f>IF(B448="Active",E448*(1+Assumptions!$B$7)^G448,E448)</f>
        <v>1114000</v>
      </c>
      <c r="I448" s="17">
        <f>IF(B448="Active",MIN(Assumptions!$B$12,D448+G448),IF(B448="Deferred",MIN(Assumptions!$B$12,D448),D448))</f>
        <v>5.3</v>
      </c>
      <c r="J448" s="17">
        <f>IF(B448="Active",H448*I448*Assumptions!$B$11,IF(B448="Deferred",E448*I448*Assumptions!$B$11*(1+Assumptions!$B$9)^G448,F448))</f>
        <v>129492.0735160708</v>
      </c>
      <c r="K448" s="11">
        <f>IF(B448="Pensioner",1,VLOOKUP(Assumptions!$B$10,Mortality!$A$2:$F$104,6,FALSE)/VLOOKUP(C448,Mortality!$A$2:$F$104,6,FALSE))</f>
        <v>0.98503000174313171</v>
      </c>
      <c r="L448" s="11">
        <f>VLOOKUP(IF(B448="Pensioner",C448,Assumptions!$B$10),Mortality!$A$2:$E$104,5,FALSE)</f>
        <v>17.296790022132885</v>
      </c>
      <c r="M448" s="11">
        <f>1+Assumptions!$B$13*Assumptions!$B$14*Assumptions!$B$15</f>
        <v>1.3187500000000001</v>
      </c>
      <c r="N448" s="11">
        <f>IF(B448="Pensioner",1,1/(1+Assumptions!$B$6)^G448)</f>
        <v>0.64350621483475945</v>
      </c>
      <c r="O448" s="17">
        <f t="shared" si="6"/>
        <v>1872291.1088113503</v>
      </c>
    </row>
    <row r="449" spans="1:15">
      <c r="A449" s="13" t="str">
        <f>Members!A449</f>
        <v>P0221</v>
      </c>
      <c r="B449" s="13" t="str">
        <f>Members!B449</f>
        <v>Pensioner</v>
      </c>
      <c r="C449" s="13">
        <f>Members!C449</f>
        <v>71</v>
      </c>
      <c r="D449" s="14">
        <f>Members!D449</f>
        <v>13.6</v>
      </c>
      <c r="E449" s="16">
        <f>Members!E449</f>
        <v>0</v>
      </c>
      <c r="F449" s="16">
        <f>Members!F449</f>
        <v>467000</v>
      </c>
      <c r="G449" s="15">
        <f>MAX(0,Assumptions!$B$10-C449)</f>
        <v>0</v>
      </c>
      <c r="H449" s="17">
        <f>IF(B449="Active",E449*(1+Assumptions!$B$7)^G449,E449)</f>
        <v>0</v>
      </c>
      <c r="I449" s="17">
        <f>IF(B449="Active",MIN(Assumptions!$B$12,D449+G449),IF(B449="Deferred",MIN(Assumptions!$B$12,D449),D449))</f>
        <v>13.6</v>
      </c>
      <c r="J449" s="17">
        <f>IF(B449="Active",H449*I449*Assumptions!$B$11,IF(B449="Deferred",E449*I449*Assumptions!$B$11*(1+Assumptions!$B$9)^G449,F449))</f>
        <v>467000</v>
      </c>
      <c r="K449" s="11">
        <f>IF(B449="Pensioner",1,VLOOKUP(Assumptions!$B$10,Mortality!$A$2:$F$104,6,FALSE)/VLOOKUP(C449,Mortality!$A$2:$F$104,6,FALSE))</f>
        <v>1</v>
      </c>
      <c r="L449" s="11">
        <f>VLOOKUP(IF(B449="Pensioner",C449,Assumptions!$B$10),Mortality!$A$2:$E$104,5,FALSE)</f>
        <v>12.506703342154774</v>
      </c>
      <c r="M449" s="11">
        <f>1+Assumptions!$B$13*Assumptions!$B$14*Assumptions!$B$15</f>
        <v>1.3187500000000001</v>
      </c>
      <c r="N449" s="11">
        <f>IF(B449="Pensioner",1,1/(1+Assumptions!$B$6)^G449)</f>
        <v>1</v>
      </c>
      <c r="O449" s="17">
        <f t="shared" si="6"/>
        <v>7702331.4201619066</v>
      </c>
    </row>
    <row r="450" spans="1:15">
      <c r="A450" s="13" t="str">
        <f>Members!A450</f>
        <v>A0067</v>
      </c>
      <c r="B450" s="13" t="str">
        <f>Members!B450</f>
        <v>Active</v>
      </c>
      <c r="C450" s="13">
        <f>Members!C450</f>
        <v>47</v>
      </c>
      <c r="D450" s="14">
        <f>Members!D450</f>
        <v>1.6</v>
      </c>
      <c r="E450" s="16">
        <f>Members!E450</f>
        <v>1036000</v>
      </c>
      <c r="F450" s="16">
        <f>Members!F450</f>
        <v>0</v>
      </c>
      <c r="G450" s="15">
        <f>MAX(0,Assumptions!$B$10-C450)</f>
        <v>13</v>
      </c>
      <c r="H450" s="17">
        <f>IF(B450="Active",E450*(1+Assumptions!$B$7)^G450,E450)</f>
        <v>2077981.75778488</v>
      </c>
      <c r="I450" s="17">
        <f>IF(B450="Active",MIN(Assumptions!$B$12,D450+G450),IF(B450="Deferred",MIN(Assumptions!$B$12,D450),D450))</f>
        <v>14.6</v>
      </c>
      <c r="J450" s="17">
        <f>IF(B450="Active",H450*I450*Assumptions!$B$11,IF(B450="Deferred",E450*I450*Assumptions!$B$11*(1+Assumptions!$B$9)^G450,F450))</f>
        <v>505642.22772765416</v>
      </c>
      <c r="K450" s="11">
        <f>IF(B450="Pensioner",1,VLOOKUP(Assumptions!$B$10,Mortality!$A$2:$F$104,6,FALSE)/VLOOKUP(C450,Mortality!$A$2:$F$104,6,FALSE))</f>
        <v>0.97844516757479894</v>
      </c>
      <c r="L450" s="11">
        <f>VLOOKUP(IF(B450="Pensioner",C450,Assumptions!$B$10),Mortality!$A$2:$E$104,5,FALSE)</f>
        <v>17.296790022132885</v>
      </c>
      <c r="M450" s="11">
        <f>1+Assumptions!$B$13*Assumptions!$B$14*Assumptions!$B$15</f>
        <v>1.3187500000000001</v>
      </c>
      <c r="N450" s="11">
        <f>IF(B450="Pensioner",1,1/(1+Assumptions!$B$6)^G450)</f>
        <v>0.44101676468547191</v>
      </c>
      <c r="O450" s="17">
        <f t="shared" ref="O450:O513" si="7">J450*K450*L450*M450*N450</f>
        <v>4976945.8264160557</v>
      </c>
    </row>
    <row r="451" spans="1:15">
      <c r="A451" s="13" t="str">
        <f>Members!A451</f>
        <v>P0050</v>
      </c>
      <c r="B451" s="13" t="str">
        <f>Members!B451</f>
        <v>Pensioner</v>
      </c>
      <c r="C451" s="13">
        <f>Members!C451</f>
        <v>70</v>
      </c>
      <c r="D451" s="14">
        <f>Members!D451</f>
        <v>28.6</v>
      </c>
      <c r="E451" s="16">
        <f>Members!E451</f>
        <v>0</v>
      </c>
      <c r="F451" s="16">
        <f>Members!F451</f>
        <v>351000</v>
      </c>
      <c r="G451" s="15">
        <f>MAX(0,Assumptions!$B$10-C451)</f>
        <v>0</v>
      </c>
      <c r="H451" s="17">
        <f>IF(B451="Active",E451*(1+Assumptions!$B$7)^G451,E451)</f>
        <v>0</v>
      </c>
      <c r="I451" s="17">
        <f>IF(B451="Active",MIN(Assumptions!$B$12,D451+G451),IF(B451="Deferred",MIN(Assumptions!$B$12,D451),D451))</f>
        <v>28.6</v>
      </c>
      <c r="J451" s="17">
        <f>IF(B451="Active",H451*I451*Assumptions!$B$11,IF(B451="Deferred",E451*I451*Assumptions!$B$11*(1+Assumptions!$B$9)^G451,F451))</f>
        <v>351000</v>
      </c>
      <c r="K451" s="11">
        <f>IF(B451="Pensioner",1,VLOOKUP(Assumptions!$B$10,Mortality!$A$2:$F$104,6,FALSE)/VLOOKUP(C451,Mortality!$A$2:$F$104,6,FALSE))</f>
        <v>1</v>
      </c>
      <c r="L451" s="11">
        <f>VLOOKUP(IF(B451="Pensioner",C451,Assumptions!$B$10),Mortality!$A$2:$E$104,5,FALSE)</f>
        <v>12.963998211865617</v>
      </c>
      <c r="M451" s="11">
        <f>1+Assumptions!$B$13*Assumptions!$B$14*Assumptions!$B$15</f>
        <v>1.3187500000000001</v>
      </c>
      <c r="N451" s="11">
        <f>IF(B451="Pensioner",1,1/(1+Assumptions!$B$6)^G451)</f>
        <v>1</v>
      </c>
      <c r="O451" s="17">
        <f t="shared" si="7"/>
        <v>6000791.6973061217</v>
      </c>
    </row>
    <row r="452" spans="1:15">
      <c r="A452" s="13" t="str">
        <f>Members!A452</f>
        <v>P0241</v>
      </c>
      <c r="B452" s="13" t="str">
        <f>Members!B452</f>
        <v>Pensioner</v>
      </c>
      <c r="C452" s="13">
        <f>Members!C452</f>
        <v>64</v>
      </c>
      <c r="D452" s="14">
        <f>Members!D452</f>
        <v>21.1</v>
      </c>
      <c r="E452" s="16">
        <f>Members!E452</f>
        <v>0</v>
      </c>
      <c r="F452" s="16">
        <f>Members!F452</f>
        <v>249000</v>
      </c>
      <c r="G452" s="15">
        <f>MAX(0,Assumptions!$B$10-C452)</f>
        <v>0</v>
      </c>
      <c r="H452" s="17">
        <f>IF(B452="Active",E452*(1+Assumptions!$B$7)^G452,E452)</f>
        <v>0</v>
      </c>
      <c r="I452" s="17">
        <f>IF(B452="Active",MIN(Assumptions!$B$12,D452+G452),IF(B452="Deferred",MIN(Assumptions!$B$12,D452),D452))</f>
        <v>21.1</v>
      </c>
      <c r="J452" s="17">
        <f>IF(B452="Active",H452*I452*Assumptions!$B$11,IF(B452="Deferred",E452*I452*Assumptions!$B$11*(1+Assumptions!$B$9)^G452,F452))</f>
        <v>249000</v>
      </c>
      <c r="K452" s="11">
        <f>IF(B452="Pensioner",1,VLOOKUP(Assumptions!$B$10,Mortality!$A$2:$F$104,6,FALSE)/VLOOKUP(C452,Mortality!$A$2:$F$104,6,FALSE))</f>
        <v>1</v>
      </c>
      <c r="L452" s="11">
        <f>VLOOKUP(IF(B452="Pensioner",C452,Assumptions!$B$10),Mortality!$A$2:$E$104,5,FALSE)</f>
        <v>15.628758769824573</v>
      </c>
      <c r="M452" s="11">
        <f>1+Assumptions!$B$13*Assumptions!$B$14*Assumptions!$B$15</f>
        <v>1.3187500000000001</v>
      </c>
      <c r="N452" s="11">
        <f>IF(B452="Pensioner",1,1/(1+Assumptions!$B$6)^G452)</f>
        <v>1</v>
      </c>
      <c r="O452" s="17">
        <f t="shared" si="7"/>
        <v>5131995.9812988332</v>
      </c>
    </row>
    <row r="453" spans="1:15">
      <c r="A453" s="13" t="str">
        <f>Members!A453</f>
        <v>A0465</v>
      </c>
      <c r="B453" s="13" t="str">
        <f>Members!B453</f>
        <v>Active</v>
      </c>
      <c r="C453" s="13">
        <f>Members!C453</f>
        <v>51</v>
      </c>
      <c r="D453" s="14">
        <f>Members!D453</f>
        <v>1.8</v>
      </c>
      <c r="E453" s="16">
        <f>Members!E453</f>
        <v>1557000</v>
      </c>
      <c r="F453" s="16">
        <f>Members!F453</f>
        <v>0</v>
      </c>
      <c r="G453" s="15">
        <f>MAX(0,Assumptions!$B$10-C453)</f>
        <v>9</v>
      </c>
      <c r="H453" s="17">
        <f>IF(B453="Active",E453*(1+Assumptions!$B$7)^G453,E453)</f>
        <v>2520929.7835607054</v>
      </c>
      <c r="I453" s="17">
        <f>IF(B453="Active",MIN(Assumptions!$B$12,D453+G453),IF(B453="Deferred",MIN(Assumptions!$B$12,D453),D453))</f>
        <v>10.8</v>
      </c>
      <c r="J453" s="17">
        <f>IF(B453="Active",H453*I453*Assumptions!$B$11,IF(B453="Deferred",E453*I453*Assumptions!$B$11*(1+Assumptions!$B$9)^G453,F453))</f>
        <v>453767.36104092695</v>
      </c>
      <c r="K453" s="11">
        <f>IF(B453="Pensioner",1,VLOOKUP(Assumptions!$B$10,Mortality!$A$2:$F$104,6,FALSE)/VLOOKUP(C453,Mortality!$A$2:$F$104,6,FALSE))</f>
        <v>0.98240527975061542</v>
      </c>
      <c r="L453" s="11">
        <f>VLOOKUP(IF(B453="Pensioner",C453,Assumptions!$B$10),Mortality!$A$2:$E$104,5,FALSE)</f>
        <v>17.296790022132885</v>
      </c>
      <c r="M453" s="11">
        <f>1+Assumptions!$B$13*Assumptions!$B$14*Assumptions!$B$15</f>
        <v>1.3187500000000001</v>
      </c>
      <c r="N453" s="11">
        <f>IF(B453="Pensioner",1,1/(1+Assumptions!$B$6)^G453)</f>
        <v>0.56735322782936326</v>
      </c>
      <c r="O453" s="17">
        <f t="shared" si="7"/>
        <v>5769065.3446589969</v>
      </c>
    </row>
    <row r="454" spans="1:15">
      <c r="A454" s="13" t="str">
        <f>Members!A454</f>
        <v>A0358</v>
      </c>
      <c r="B454" s="13" t="str">
        <f>Members!B454</f>
        <v>Active</v>
      </c>
      <c r="C454" s="13">
        <f>Members!C454</f>
        <v>26</v>
      </c>
      <c r="D454" s="14">
        <f>Members!D454</f>
        <v>2.2000000000000002</v>
      </c>
      <c r="E454" s="16">
        <f>Members!E454</f>
        <v>448000</v>
      </c>
      <c r="F454" s="16">
        <f>Members!F454</f>
        <v>0</v>
      </c>
      <c r="G454" s="15">
        <f>MAX(0,Assumptions!$B$10-C454)</f>
        <v>34</v>
      </c>
      <c r="H454" s="17">
        <f>IF(B454="Active",E454*(1+Assumptions!$B$7)^G454,E454)</f>
        <v>2766060.2876829566</v>
      </c>
      <c r="I454" s="17">
        <f>IF(B454="Active",MIN(Assumptions!$B$12,D454+G454),IF(B454="Deferred",MIN(Assumptions!$B$12,D454),D454))</f>
        <v>36.200000000000003</v>
      </c>
      <c r="J454" s="17">
        <f>IF(B454="Active",H454*I454*Assumptions!$B$11,IF(B454="Deferred",E454*I454*Assumptions!$B$11*(1+Assumptions!$B$9)^G454,F454))</f>
        <v>1668856.3735687172</v>
      </c>
      <c r="K454" s="11">
        <f>IF(B454="Pensioner",1,VLOOKUP(Assumptions!$B$10,Mortality!$A$2:$F$104,6,FALSE)/VLOOKUP(C454,Mortality!$A$2:$F$104,6,FALSE))</f>
        <v>0.96922916291892547</v>
      </c>
      <c r="L454" s="11">
        <f>VLOOKUP(IF(B454="Pensioner",C454,Assumptions!$B$10),Mortality!$A$2:$E$104,5,FALSE)</f>
        <v>17.296790022132885</v>
      </c>
      <c r="M454" s="11">
        <f>1+Assumptions!$B$13*Assumptions!$B$14*Assumptions!$B$15</f>
        <v>1.3187500000000001</v>
      </c>
      <c r="N454" s="11">
        <f>IF(B454="Pensioner",1,1/(1+Assumptions!$B$6)^G454)</f>
        <v>0.11752042020870793</v>
      </c>
      <c r="O454" s="17">
        <f t="shared" si="7"/>
        <v>4335974.8679050282</v>
      </c>
    </row>
    <row r="455" spans="1:15">
      <c r="A455" s="13" t="str">
        <f>Members!A455</f>
        <v>A0081</v>
      </c>
      <c r="B455" s="13" t="str">
        <f>Members!B455</f>
        <v>Active</v>
      </c>
      <c r="C455" s="13">
        <f>Members!C455</f>
        <v>25</v>
      </c>
      <c r="D455" s="14">
        <f>Members!D455</f>
        <v>1</v>
      </c>
      <c r="E455" s="16">
        <f>Members!E455</f>
        <v>526000</v>
      </c>
      <c r="F455" s="16">
        <f>Members!F455</f>
        <v>0</v>
      </c>
      <c r="G455" s="15">
        <f>MAX(0,Assumptions!$B$10-C455)</f>
        <v>35</v>
      </c>
      <c r="H455" s="17">
        <f>IF(B455="Active",E455*(1+Assumptions!$B$7)^G455,E455)</f>
        <v>3426271.9541158546</v>
      </c>
      <c r="I455" s="17">
        <f>IF(B455="Active",MIN(Assumptions!$B$12,D455+G455),IF(B455="Deferred",MIN(Assumptions!$B$12,D455),D455))</f>
        <v>36</v>
      </c>
      <c r="J455" s="17">
        <f>IF(B455="Active",H455*I455*Assumptions!$B$11,IF(B455="Deferred",E455*I455*Assumptions!$B$11*(1+Assumptions!$B$9)^G455,F455))</f>
        <v>2055763.1724695126</v>
      </c>
      <c r="K455" s="11">
        <f>IF(B455="Pensioner",1,VLOOKUP(Assumptions!$B$10,Mortality!$A$2:$F$104,6,FALSE)/VLOOKUP(C455,Mortality!$A$2:$F$104,6,FALSE))</f>
        <v>0.96896729760411437</v>
      </c>
      <c r="L455" s="11">
        <f>VLOOKUP(IF(B455="Pensioner",C455,Assumptions!$B$10),Mortality!$A$2:$E$104,5,FALSE)</f>
        <v>17.296790022132885</v>
      </c>
      <c r="M455" s="11">
        <f>1+Assumptions!$B$13*Assumptions!$B$14*Assumptions!$B$15</f>
        <v>1.3187500000000001</v>
      </c>
      <c r="N455" s="11">
        <f>IF(B455="Pensioner",1,1/(1+Assumptions!$B$6)^G455)</f>
        <v>0.11034781240254267</v>
      </c>
      <c r="O455" s="17">
        <f t="shared" si="7"/>
        <v>5013879.7682222743</v>
      </c>
    </row>
    <row r="456" spans="1:15">
      <c r="A456" s="13" t="str">
        <f>Members!A456</f>
        <v>A0303</v>
      </c>
      <c r="B456" s="13" t="str">
        <f>Members!B456</f>
        <v>Active</v>
      </c>
      <c r="C456" s="13">
        <f>Members!C456</f>
        <v>51</v>
      </c>
      <c r="D456" s="14">
        <f>Members!D456</f>
        <v>9.9</v>
      </c>
      <c r="E456" s="16">
        <f>Members!E456</f>
        <v>1538000</v>
      </c>
      <c r="F456" s="16">
        <f>Members!F456</f>
        <v>0</v>
      </c>
      <c r="G456" s="15">
        <f>MAX(0,Assumptions!$B$10-C456)</f>
        <v>9</v>
      </c>
      <c r="H456" s="17">
        <f>IF(B456="Active",E456*(1+Assumptions!$B$7)^G456,E456)</f>
        <v>2490166.9923676075</v>
      </c>
      <c r="I456" s="17">
        <f>IF(B456="Active",MIN(Assumptions!$B$12,D456+G456),IF(B456="Deferred",MIN(Assumptions!$B$12,D456),D456))</f>
        <v>18.899999999999999</v>
      </c>
      <c r="J456" s="17">
        <f>IF(B456="Active",H456*I456*Assumptions!$B$11,IF(B456="Deferred",E456*I456*Assumptions!$B$11*(1+Assumptions!$B$9)^G456,F456))</f>
        <v>784402.60259579634</v>
      </c>
      <c r="K456" s="11">
        <f>IF(B456="Pensioner",1,VLOOKUP(Assumptions!$B$10,Mortality!$A$2:$F$104,6,FALSE)/VLOOKUP(C456,Mortality!$A$2:$F$104,6,FALSE))</f>
        <v>0.98240527975061542</v>
      </c>
      <c r="L456" s="11">
        <f>VLOOKUP(IF(B456="Pensioner",C456,Assumptions!$B$10),Mortality!$A$2:$E$104,5,FALSE)</f>
        <v>17.296790022132885</v>
      </c>
      <c r="M456" s="11">
        <f>1+Assumptions!$B$13*Assumptions!$B$14*Assumptions!$B$15</f>
        <v>1.3187500000000001</v>
      </c>
      <c r="N456" s="11">
        <f>IF(B456="Pensioner",1,1/(1+Assumptions!$B$6)^G456)</f>
        <v>0.56735322782936326</v>
      </c>
      <c r="O456" s="17">
        <f t="shared" si="7"/>
        <v>9972664.9808283169</v>
      </c>
    </row>
    <row r="457" spans="1:15">
      <c r="A457" s="13" t="str">
        <f>Members!A457</f>
        <v>P0214</v>
      </c>
      <c r="B457" s="13" t="str">
        <f>Members!B457</f>
        <v>Pensioner</v>
      </c>
      <c r="C457" s="13">
        <f>Members!C457</f>
        <v>75</v>
      </c>
      <c r="D457" s="14">
        <f>Members!D457</f>
        <v>24.3</v>
      </c>
      <c r="E457" s="16">
        <f>Members!E457</f>
        <v>0</v>
      </c>
      <c r="F457" s="16">
        <f>Members!F457</f>
        <v>519000</v>
      </c>
      <c r="G457" s="15">
        <f>MAX(0,Assumptions!$B$10-C457)</f>
        <v>0</v>
      </c>
      <c r="H457" s="17">
        <f>IF(B457="Active",E457*(1+Assumptions!$B$7)^G457,E457)</f>
        <v>0</v>
      </c>
      <c r="I457" s="17">
        <f>IF(B457="Active",MIN(Assumptions!$B$12,D457+G457),IF(B457="Deferred",MIN(Assumptions!$B$12,D457),D457))</f>
        <v>24.3</v>
      </c>
      <c r="J457" s="17">
        <f>IF(B457="Active",H457*I457*Assumptions!$B$11,IF(B457="Deferred",E457*I457*Assumptions!$B$11*(1+Assumptions!$B$9)^G457,F457))</f>
        <v>519000</v>
      </c>
      <c r="K457" s="11">
        <f>IF(B457="Pensioner",1,VLOOKUP(Assumptions!$B$10,Mortality!$A$2:$F$104,6,FALSE)/VLOOKUP(C457,Mortality!$A$2:$F$104,6,FALSE))</f>
        <v>1</v>
      </c>
      <c r="L457" s="11">
        <f>VLOOKUP(IF(B457="Pensioner",C457,Assumptions!$B$10),Mortality!$A$2:$E$104,5,FALSE)</f>
        <v>10.662474804432929</v>
      </c>
      <c r="M457" s="11">
        <f>1+Assumptions!$B$13*Assumptions!$B$14*Assumptions!$B$15</f>
        <v>1.3187500000000001</v>
      </c>
      <c r="N457" s="11">
        <f>IF(B457="Pensioner",1,1/(1+Assumptions!$B$6)^G457)</f>
        <v>1</v>
      </c>
      <c r="O457" s="17">
        <f t="shared" si="7"/>
        <v>7297730.9584915349</v>
      </c>
    </row>
    <row r="458" spans="1:15">
      <c r="A458" s="13" t="str">
        <f>Members!A458</f>
        <v>D0021</v>
      </c>
      <c r="B458" s="13" t="str">
        <f>Members!B458</f>
        <v>Deferred</v>
      </c>
      <c r="C458" s="13">
        <f>Members!C458</f>
        <v>55</v>
      </c>
      <c r="D458" s="14">
        <f>Members!D458</f>
        <v>10.6</v>
      </c>
      <c r="E458" s="16">
        <f>Members!E458</f>
        <v>1175000</v>
      </c>
      <c r="F458" s="16">
        <f>Members!F458</f>
        <v>0</v>
      </c>
      <c r="G458" s="15">
        <f>MAX(0,Assumptions!$B$10-C458)</f>
        <v>5</v>
      </c>
      <c r="H458" s="17">
        <f>IF(B458="Active",E458*(1+Assumptions!$B$7)^G458,E458)</f>
        <v>1175000</v>
      </c>
      <c r="I458" s="17">
        <f>IF(B458="Active",MIN(Assumptions!$B$12,D458+G458),IF(B458="Deferred",MIN(Assumptions!$B$12,D458),D458))</f>
        <v>10.6</v>
      </c>
      <c r="J458" s="17">
        <f>IF(B458="Active",H458*I458*Assumptions!$B$11,IF(B458="Deferred",E458*I458*Assumptions!$B$11*(1+Assumptions!$B$9)^G458,F458))</f>
        <v>252556.86498986676</v>
      </c>
      <c r="K458" s="11">
        <f>IF(B458="Pensioner",1,VLOOKUP(Assumptions!$B$10,Mortality!$A$2:$F$104,6,FALSE)/VLOOKUP(C458,Mortality!$A$2:$F$104,6,FALSE))</f>
        <v>0.98824190874991746</v>
      </c>
      <c r="L458" s="11">
        <f>VLOOKUP(IF(B458="Pensioner",C458,Assumptions!$B$10),Mortality!$A$2:$E$104,5,FALSE)</f>
        <v>17.296790022132885</v>
      </c>
      <c r="M458" s="11">
        <f>1+Assumptions!$B$13*Assumptions!$B$14*Assumptions!$B$15</f>
        <v>1.3187500000000001</v>
      </c>
      <c r="N458" s="11">
        <f>IF(B458="Pensioner",1,1/(1+Assumptions!$B$6)^G458)</f>
        <v>0.72988083652095492</v>
      </c>
      <c r="O458" s="17">
        <f t="shared" si="7"/>
        <v>4155300.0788228074</v>
      </c>
    </row>
    <row r="459" spans="1:15">
      <c r="A459" s="13" t="str">
        <f>Members!A459</f>
        <v>A0541</v>
      </c>
      <c r="B459" s="13" t="str">
        <f>Members!B459</f>
        <v>Active</v>
      </c>
      <c r="C459" s="13">
        <f>Members!C459</f>
        <v>42</v>
      </c>
      <c r="D459" s="14">
        <f>Members!D459</f>
        <v>10.6</v>
      </c>
      <c r="E459" s="16">
        <f>Members!E459</f>
        <v>1038000</v>
      </c>
      <c r="F459" s="16">
        <f>Members!F459</f>
        <v>0</v>
      </c>
      <c r="G459" s="15">
        <f>MAX(0,Assumptions!$B$10-C459)</f>
        <v>18</v>
      </c>
      <c r="H459" s="17">
        <f>IF(B459="Active",E459*(1+Assumptions!$B$7)^G459,E459)</f>
        <v>2721081.9840048919</v>
      </c>
      <c r="I459" s="17">
        <f>IF(B459="Active",MIN(Assumptions!$B$12,D459+G459),IF(B459="Deferred",MIN(Assumptions!$B$12,D459),D459))</f>
        <v>28.6</v>
      </c>
      <c r="J459" s="17">
        <f>IF(B459="Active",H459*I459*Assumptions!$B$11,IF(B459="Deferred",E459*I459*Assumptions!$B$11*(1+Assumptions!$B$9)^G459,F459))</f>
        <v>1297049.0790423318</v>
      </c>
      <c r="K459" s="11">
        <f>IF(B459="Pensioner",1,VLOOKUP(Assumptions!$B$10,Mortality!$A$2:$F$104,6,FALSE)/VLOOKUP(C459,Mortality!$A$2:$F$104,6,FALSE))</f>
        <v>0.97507997078383857</v>
      </c>
      <c r="L459" s="11">
        <f>VLOOKUP(IF(B459="Pensioner",C459,Assumptions!$B$10),Mortality!$A$2:$E$104,5,FALSE)</f>
        <v>17.296790022132885</v>
      </c>
      <c r="M459" s="11">
        <f>1+Assumptions!$B$13*Assumptions!$B$14*Assumptions!$B$15</f>
        <v>1.3187500000000001</v>
      </c>
      <c r="N459" s="11">
        <f>IF(B459="Pensioner",1,1/(1+Assumptions!$B$6)^G459)</f>
        <v>0.32188968512839738</v>
      </c>
      <c r="O459" s="17">
        <f t="shared" si="7"/>
        <v>9286064.4004382528</v>
      </c>
    </row>
    <row r="460" spans="1:15">
      <c r="A460" s="13" t="str">
        <f>Members!A460</f>
        <v>A0308</v>
      </c>
      <c r="B460" s="13" t="str">
        <f>Members!B460</f>
        <v>Active</v>
      </c>
      <c r="C460" s="13">
        <f>Members!C460</f>
        <v>56</v>
      </c>
      <c r="D460" s="14">
        <f>Members!D460</f>
        <v>4</v>
      </c>
      <c r="E460" s="16">
        <f>Members!E460</f>
        <v>1576000</v>
      </c>
      <c r="F460" s="16">
        <f>Members!F460</f>
        <v>0</v>
      </c>
      <c r="G460" s="15">
        <f>MAX(0,Assumptions!$B$10-C460)</f>
        <v>4</v>
      </c>
      <c r="H460" s="17">
        <f>IF(B460="Active",E460*(1+Assumptions!$B$7)^G460,E460)</f>
        <v>1952387.6493849996</v>
      </c>
      <c r="I460" s="17">
        <f>IF(B460="Active",MIN(Assumptions!$B$12,D460+G460),IF(B460="Deferred",MIN(Assumptions!$B$12,D460),D460))</f>
        <v>8</v>
      </c>
      <c r="J460" s="17">
        <f>IF(B460="Active",H460*I460*Assumptions!$B$11,IF(B460="Deferred",E460*I460*Assumptions!$B$11*(1+Assumptions!$B$9)^G460,F460))</f>
        <v>260318.35325133329</v>
      </c>
      <c r="K460" s="11">
        <f>IF(B460="Pensioner",1,VLOOKUP(Assumptions!$B$10,Mortality!$A$2:$F$104,6,FALSE)/VLOOKUP(C460,Mortality!$A$2:$F$104,6,FALSE))</f>
        <v>0.99011625581042195</v>
      </c>
      <c r="L460" s="11">
        <f>VLOOKUP(IF(B460="Pensioner",C460,Assumptions!$B$10),Mortality!$A$2:$E$104,5,FALSE)</f>
        <v>17.296790022132885</v>
      </c>
      <c r="M460" s="11">
        <f>1+Assumptions!$B$13*Assumptions!$B$14*Assumptions!$B$15</f>
        <v>1.3187500000000001</v>
      </c>
      <c r="N460" s="11">
        <f>IF(B460="Pensioner",1,1/(1+Assumptions!$B$6)^G460)</f>
        <v>0.77732309089481699</v>
      </c>
      <c r="O460" s="17">
        <f t="shared" si="7"/>
        <v>4570045.6046861429</v>
      </c>
    </row>
    <row r="461" spans="1:15">
      <c r="A461" s="13" t="str">
        <f>Members!A461</f>
        <v>P0057</v>
      </c>
      <c r="B461" s="13" t="str">
        <f>Members!B461</f>
        <v>Pensioner</v>
      </c>
      <c r="C461" s="13">
        <f>Members!C461</f>
        <v>72</v>
      </c>
      <c r="D461" s="14">
        <f>Members!D461</f>
        <v>13.5</v>
      </c>
      <c r="E461" s="16">
        <f>Members!E461</f>
        <v>0</v>
      </c>
      <c r="F461" s="16">
        <f>Members!F461</f>
        <v>476000</v>
      </c>
      <c r="G461" s="15">
        <f>MAX(0,Assumptions!$B$10-C461)</f>
        <v>0</v>
      </c>
      <c r="H461" s="17">
        <f>IF(B461="Active",E461*(1+Assumptions!$B$7)^G461,E461)</f>
        <v>0</v>
      </c>
      <c r="I461" s="17">
        <f>IF(B461="Active",MIN(Assumptions!$B$12,D461+G461),IF(B461="Deferred",MIN(Assumptions!$B$12,D461),D461))</f>
        <v>13.5</v>
      </c>
      <c r="J461" s="17">
        <f>IF(B461="Active",H461*I461*Assumptions!$B$11,IF(B461="Deferred",E461*I461*Assumptions!$B$11*(1+Assumptions!$B$9)^G461,F461))</f>
        <v>476000</v>
      </c>
      <c r="K461" s="11">
        <f>IF(B461="Pensioner",1,VLOOKUP(Assumptions!$B$10,Mortality!$A$2:$F$104,6,FALSE)/VLOOKUP(C461,Mortality!$A$2:$F$104,6,FALSE))</f>
        <v>1</v>
      </c>
      <c r="L461" s="11">
        <f>VLOOKUP(IF(B461="Pensioner",C461,Assumptions!$B$10),Mortality!$A$2:$E$104,5,FALSE)</f>
        <v>12.047202362945457</v>
      </c>
      <c r="M461" s="11">
        <f>1+Assumptions!$B$13*Assumptions!$B$14*Assumptions!$B$15</f>
        <v>1.3187500000000001</v>
      </c>
      <c r="N461" s="11">
        <f>IF(B461="Pensioner",1,1/(1+Assumptions!$B$6)^G461)</f>
        <v>1</v>
      </c>
      <c r="O461" s="17">
        <f t="shared" si="7"/>
        <v>7562330.103279938</v>
      </c>
    </row>
    <row r="462" spans="1:15">
      <c r="A462" s="13" t="str">
        <f>Members!A462</f>
        <v>P0120</v>
      </c>
      <c r="B462" s="13" t="str">
        <f>Members!B462</f>
        <v>Pensioner</v>
      </c>
      <c r="C462" s="13">
        <f>Members!C462</f>
        <v>68</v>
      </c>
      <c r="D462" s="14">
        <f>Members!D462</f>
        <v>20.100000000000001</v>
      </c>
      <c r="E462" s="16">
        <f>Members!E462</f>
        <v>0</v>
      </c>
      <c r="F462" s="16">
        <f>Members!F462</f>
        <v>463000</v>
      </c>
      <c r="G462" s="15">
        <f>MAX(0,Assumptions!$B$10-C462)</f>
        <v>0</v>
      </c>
      <c r="H462" s="17">
        <f>IF(B462="Active",E462*(1+Assumptions!$B$7)^G462,E462)</f>
        <v>0</v>
      </c>
      <c r="I462" s="17">
        <f>IF(B462="Active",MIN(Assumptions!$B$12,D462+G462),IF(B462="Deferred",MIN(Assumptions!$B$12,D462),D462))</f>
        <v>20.100000000000001</v>
      </c>
      <c r="J462" s="17">
        <f>IF(B462="Active",H462*I462*Assumptions!$B$11,IF(B462="Deferred",E462*I462*Assumptions!$B$11*(1+Assumptions!$B$9)^G462,F462))</f>
        <v>463000</v>
      </c>
      <c r="K462" s="11">
        <f>IF(B462="Pensioner",1,VLOOKUP(Assumptions!$B$10,Mortality!$A$2:$F$104,6,FALSE)/VLOOKUP(C462,Mortality!$A$2:$F$104,6,FALSE))</f>
        <v>1</v>
      </c>
      <c r="L462" s="11">
        <f>VLOOKUP(IF(B462="Pensioner",C462,Assumptions!$B$10),Mortality!$A$2:$E$104,5,FALSE)</f>
        <v>13.869459484105445</v>
      </c>
      <c r="M462" s="11">
        <f>1+Assumptions!$B$13*Assumptions!$B$14*Assumptions!$B$15</f>
        <v>1.3187500000000001</v>
      </c>
      <c r="N462" s="11">
        <f>IF(B462="Pensioner",1,1/(1+Assumptions!$B$6)^G462)</f>
        <v>1</v>
      </c>
      <c r="O462" s="17">
        <f t="shared" si="7"/>
        <v>8468431.9086294584</v>
      </c>
    </row>
    <row r="463" spans="1:15">
      <c r="A463" s="13" t="str">
        <f>Members!A463</f>
        <v>D0019</v>
      </c>
      <c r="B463" s="13" t="str">
        <f>Members!B463</f>
        <v>Deferred</v>
      </c>
      <c r="C463" s="13">
        <f>Members!C463</f>
        <v>46</v>
      </c>
      <c r="D463" s="14">
        <f>Members!D463</f>
        <v>7</v>
      </c>
      <c r="E463" s="16">
        <f>Members!E463</f>
        <v>593000</v>
      </c>
      <c r="F463" s="16">
        <f>Members!F463</f>
        <v>0</v>
      </c>
      <c r="G463" s="15">
        <f>MAX(0,Assumptions!$B$10-C463)</f>
        <v>14</v>
      </c>
      <c r="H463" s="17">
        <f>IF(B463="Active",E463*(1+Assumptions!$B$7)^G463,E463)</f>
        <v>593000</v>
      </c>
      <c r="I463" s="17">
        <f>IF(B463="Active",MIN(Assumptions!$B$12,D463+G463),IF(B463="Deferred",MIN(Assumptions!$B$12,D463),D463))</f>
        <v>7</v>
      </c>
      <c r="J463" s="17">
        <f>IF(B463="Active",H463*I463*Assumptions!$B$11,IF(B463="Deferred",E463*I463*Assumptions!$B$11*(1+Assumptions!$B$9)^G463,F463))</f>
        <v>119803.14889998735</v>
      </c>
      <c r="K463" s="11">
        <f>IF(B463="Pensioner",1,VLOOKUP(Assumptions!$B$10,Mortality!$A$2:$F$104,6,FALSE)/VLOOKUP(C463,Mortality!$A$2:$F$104,6,FALSE))</f>
        <v>0.97765823283048059</v>
      </c>
      <c r="L463" s="11">
        <f>VLOOKUP(IF(B463="Pensioner",C463,Assumptions!$B$10),Mortality!$A$2:$E$104,5,FALSE)</f>
        <v>17.296790022132885</v>
      </c>
      <c r="M463" s="11">
        <f>1+Assumptions!$B$13*Assumptions!$B$14*Assumptions!$B$15</f>
        <v>1.3187500000000001</v>
      </c>
      <c r="N463" s="11">
        <f>IF(B463="Pensioner",1,1/(1+Assumptions!$B$6)^G463)</f>
        <v>0.41410024853095956</v>
      </c>
      <c r="O463" s="17">
        <f t="shared" si="7"/>
        <v>1106340.4007650912</v>
      </c>
    </row>
    <row r="464" spans="1:15">
      <c r="A464" s="13" t="str">
        <f>Members!A464</f>
        <v>A0137</v>
      </c>
      <c r="B464" s="13" t="str">
        <f>Members!B464</f>
        <v>Active</v>
      </c>
      <c r="C464" s="13">
        <f>Members!C464</f>
        <v>28</v>
      </c>
      <c r="D464" s="14">
        <f>Members!D464</f>
        <v>1.9</v>
      </c>
      <c r="E464" s="16">
        <f>Members!E464</f>
        <v>412000</v>
      </c>
      <c r="F464" s="16">
        <f>Members!F464</f>
        <v>0</v>
      </c>
      <c r="G464" s="15">
        <f>MAX(0,Assumptions!$B$10-C464)</f>
        <v>32</v>
      </c>
      <c r="H464" s="17">
        <f>IF(B464="Active",E464*(1+Assumptions!$B$7)^G464,E464)</f>
        <v>2285472.1016995553</v>
      </c>
      <c r="I464" s="17">
        <f>IF(B464="Active",MIN(Assumptions!$B$12,D464+G464),IF(B464="Deferred",MIN(Assumptions!$B$12,D464),D464))</f>
        <v>33.9</v>
      </c>
      <c r="J464" s="17">
        <f>IF(B464="Active",H464*I464*Assumptions!$B$11,IF(B464="Deferred",E464*I464*Assumptions!$B$11*(1+Assumptions!$B$9)^G464,F464))</f>
        <v>1291291.7374602486</v>
      </c>
      <c r="K464" s="11">
        <f>IF(B464="Pensioner",1,VLOOKUP(Assumptions!$B$10,Mortality!$A$2:$F$104,6,FALSE)/VLOOKUP(C464,Mortality!$A$2:$F$104,6,FALSE))</f>
        <v>0.96977196143473232</v>
      </c>
      <c r="L464" s="11">
        <f>VLOOKUP(IF(B464="Pensioner",C464,Assumptions!$B$10),Mortality!$A$2:$E$104,5,FALSE)</f>
        <v>17.296790022132885</v>
      </c>
      <c r="M464" s="11">
        <f>1+Assumptions!$B$13*Assumptions!$B$14*Assumptions!$B$15</f>
        <v>1.3187500000000001</v>
      </c>
      <c r="N464" s="11">
        <f>IF(B464="Pensioner",1,1/(1+Assumptions!$B$6)^G464)</f>
        <v>0.13329459861122173</v>
      </c>
      <c r="O464" s="17">
        <f t="shared" si="7"/>
        <v>3807452.8387919003</v>
      </c>
    </row>
    <row r="465" spans="1:15">
      <c r="A465" s="13" t="str">
        <f>Members!A465</f>
        <v>A0246</v>
      </c>
      <c r="B465" s="13" t="str">
        <f>Members!B465</f>
        <v>Active</v>
      </c>
      <c r="C465" s="13">
        <f>Members!C465</f>
        <v>48</v>
      </c>
      <c r="D465" s="14">
        <f>Members!D465</f>
        <v>3</v>
      </c>
      <c r="E465" s="16">
        <f>Members!E465</f>
        <v>1180000</v>
      </c>
      <c r="F465" s="16">
        <f>Members!F465</f>
        <v>0</v>
      </c>
      <c r="G465" s="15">
        <f>MAX(0,Assumptions!$B$10-C465)</f>
        <v>12</v>
      </c>
      <c r="H465" s="17">
        <f>IF(B465="Active",E465*(1+Assumptions!$B$7)^G465,E465)</f>
        <v>2243424.8331956291</v>
      </c>
      <c r="I465" s="17">
        <f>IF(B465="Active",MIN(Assumptions!$B$12,D465+G465),IF(B465="Deferred",MIN(Assumptions!$B$12,D465),D465))</f>
        <v>15</v>
      </c>
      <c r="J465" s="17">
        <f>IF(B465="Active",H465*I465*Assumptions!$B$11,IF(B465="Deferred",E465*I465*Assumptions!$B$11*(1+Assumptions!$B$9)^G465,F465))</f>
        <v>560856.20829890727</v>
      </c>
      <c r="K465" s="11">
        <f>IF(B465="Pensioner",1,VLOOKUP(Assumptions!$B$10,Mortality!$A$2:$F$104,6,FALSE)/VLOOKUP(C465,Mortality!$A$2:$F$104,6,FALSE))</f>
        <v>0.97930374297365907</v>
      </c>
      <c r="L465" s="11">
        <f>VLOOKUP(IF(B465="Pensioner",C465,Assumptions!$B$10),Mortality!$A$2:$E$104,5,FALSE)</f>
        <v>17.296790022132885</v>
      </c>
      <c r="M465" s="11">
        <f>1+Assumptions!$B$13*Assumptions!$B$14*Assumptions!$B$15</f>
        <v>1.3187500000000001</v>
      </c>
      <c r="N465" s="11">
        <f>IF(B465="Pensioner",1,1/(1+Assumptions!$B$6)^G465)</f>
        <v>0.4696828543900276</v>
      </c>
      <c r="O465" s="17">
        <f t="shared" si="7"/>
        <v>5884392.5719380286</v>
      </c>
    </row>
    <row r="466" spans="1:15">
      <c r="A466" s="13" t="str">
        <f>Members!A466</f>
        <v>P0027</v>
      </c>
      <c r="B466" s="13" t="str">
        <f>Members!B466</f>
        <v>Pensioner</v>
      </c>
      <c r="C466" s="13">
        <f>Members!C466</f>
        <v>85</v>
      </c>
      <c r="D466" s="14">
        <f>Members!D466</f>
        <v>12.4</v>
      </c>
      <c r="E466" s="16">
        <f>Members!E466</f>
        <v>0</v>
      </c>
      <c r="F466" s="16">
        <f>Members!F466</f>
        <v>819000</v>
      </c>
      <c r="G466" s="15">
        <f>MAX(0,Assumptions!$B$10-C466)</f>
        <v>0</v>
      </c>
      <c r="H466" s="17">
        <f>IF(B466="Active",E466*(1+Assumptions!$B$7)^G466,E466)</f>
        <v>0</v>
      </c>
      <c r="I466" s="17">
        <f>IF(B466="Active",MIN(Assumptions!$B$12,D466+G466),IF(B466="Deferred",MIN(Assumptions!$B$12,D466),D466))</f>
        <v>12.4</v>
      </c>
      <c r="J466" s="17">
        <f>IF(B466="Active",H466*I466*Assumptions!$B$11,IF(B466="Deferred",E466*I466*Assumptions!$B$11*(1+Assumptions!$B$9)^G466,F466))</f>
        <v>819000</v>
      </c>
      <c r="K466" s="11">
        <f>IF(B466="Pensioner",1,VLOOKUP(Assumptions!$B$10,Mortality!$A$2:$F$104,6,FALSE)/VLOOKUP(C466,Mortality!$A$2:$F$104,6,FALSE))</f>
        <v>1</v>
      </c>
      <c r="L466" s="11">
        <f>VLOOKUP(IF(B466="Pensioner",C466,Assumptions!$B$10),Mortality!$A$2:$E$104,5,FALSE)</f>
        <v>6.2282827560748935</v>
      </c>
      <c r="M466" s="11">
        <f>1+Assumptions!$B$13*Assumptions!$B$14*Assumptions!$B$15</f>
        <v>1.3187500000000001</v>
      </c>
      <c r="N466" s="11">
        <f>IF(B466="Pensioner",1,1/(1+Assumptions!$B$6)^G466)</f>
        <v>1</v>
      </c>
      <c r="O466" s="17">
        <f t="shared" si="7"/>
        <v>6726895.7174659148</v>
      </c>
    </row>
    <row r="467" spans="1:15">
      <c r="A467" s="13" t="str">
        <f>Members!A467</f>
        <v>A0482</v>
      </c>
      <c r="B467" s="13" t="str">
        <f>Members!B467</f>
        <v>Active</v>
      </c>
      <c r="C467" s="13">
        <f>Members!C467</f>
        <v>53</v>
      </c>
      <c r="D467" s="14">
        <f>Members!D467</f>
        <v>2.2000000000000002</v>
      </c>
      <c r="E467" s="16">
        <f>Members!E467</f>
        <v>1445000</v>
      </c>
      <c r="F467" s="16">
        <f>Members!F467</f>
        <v>0</v>
      </c>
      <c r="G467" s="15">
        <f>MAX(0,Assumptions!$B$10-C467)</f>
        <v>7</v>
      </c>
      <c r="H467" s="17">
        <f>IF(B467="Active",E467*(1+Assumptions!$B$7)^G467,E467)</f>
        <v>2102011.3878383324</v>
      </c>
      <c r="I467" s="17">
        <f>IF(B467="Active",MIN(Assumptions!$B$12,D467+G467),IF(B467="Deferred",MIN(Assumptions!$B$12,D467),D467))</f>
        <v>9.1999999999999993</v>
      </c>
      <c r="J467" s="17">
        <f>IF(B467="Active",H467*I467*Assumptions!$B$11,IF(B467="Deferred",E467*I467*Assumptions!$B$11*(1+Assumptions!$B$9)^G467,F467))</f>
        <v>322308.4128018776</v>
      </c>
      <c r="K467" s="11">
        <f>IF(B467="Pensioner",1,VLOOKUP(Assumptions!$B$10,Mortality!$A$2:$F$104,6,FALSE)/VLOOKUP(C467,Mortality!$A$2:$F$104,6,FALSE))</f>
        <v>0.98503000174313171</v>
      </c>
      <c r="L467" s="11">
        <f>VLOOKUP(IF(B467="Pensioner",C467,Assumptions!$B$10),Mortality!$A$2:$E$104,5,FALSE)</f>
        <v>17.296790022132885</v>
      </c>
      <c r="M467" s="11">
        <f>1+Assumptions!$B$13*Assumptions!$B$14*Assumptions!$B$15</f>
        <v>1.3187500000000001</v>
      </c>
      <c r="N467" s="11">
        <f>IF(B467="Pensioner",1,1/(1+Assumptions!$B$6)^G467)</f>
        <v>0.64350621483475945</v>
      </c>
      <c r="O467" s="17">
        <f t="shared" si="7"/>
        <v>4660170.7672026819</v>
      </c>
    </row>
    <row r="468" spans="1:15">
      <c r="A468" s="13" t="str">
        <f>Members!A468</f>
        <v>A0294</v>
      </c>
      <c r="B468" s="13" t="str">
        <f>Members!B468</f>
        <v>Active</v>
      </c>
      <c r="C468" s="13">
        <f>Members!C468</f>
        <v>46</v>
      </c>
      <c r="D468" s="14">
        <f>Members!D468</f>
        <v>15.4</v>
      </c>
      <c r="E468" s="16">
        <f>Members!E468</f>
        <v>967000</v>
      </c>
      <c r="F468" s="16">
        <f>Members!F468</f>
        <v>0</v>
      </c>
      <c r="G468" s="15">
        <f>MAX(0,Assumptions!$B$10-C468)</f>
        <v>14</v>
      </c>
      <c r="H468" s="17">
        <f>IF(B468="Active",E468*(1+Assumptions!$B$7)^G468,E468)</f>
        <v>2046260.4435963009</v>
      </c>
      <c r="I468" s="17">
        <f>IF(B468="Active",MIN(Assumptions!$B$12,D468+G468),IF(B468="Deferred",MIN(Assumptions!$B$12,D468),D468))</f>
        <v>29.4</v>
      </c>
      <c r="J468" s="17">
        <f>IF(B468="Active",H468*I468*Assumptions!$B$11,IF(B468="Deferred",E468*I468*Assumptions!$B$11*(1+Assumptions!$B$9)^G468,F468))</f>
        <v>1002667.6173621874</v>
      </c>
      <c r="K468" s="11">
        <f>IF(B468="Pensioner",1,VLOOKUP(Assumptions!$B$10,Mortality!$A$2:$F$104,6,FALSE)/VLOOKUP(C468,Mortality!$A$2:$F$104,6,FALSE))</f>
        <v>0.97765823283048059</v>
      </c>
      <c r="L468" s="11">
        <f>VLOOKUP(IF(B468="Pensioner",C468,Assumptions!$B$10),Mortality!$A$2:$E$104,5,FALSE)</f>
        <v>17.296790022132885</v>
      </c>
      <c r="M468" s="11">
        <f>1+Assumptions!$B$13*Assumptions!$B$14*Assumptions!$B$15</f>
        <v>1.3187500000000001</v>
      </c>
      <c r="N468" s="11">
        <f>IF(B468="Pensioner",1,1/(1+Assumptions!$B$6)^G468)</f>
        <v>0.41410024853095956</v>
      </c>
      <c r="O468" s="17">
        <f t="shared" si="7"/>
        <v>9259286.6198592763</v>
      </c>
    </row>
    <row r="469" spans="1:15">
      <c r="A469" s="13" t="str">
        <f>Members!A469</f>
        <v>A0580</v>
      </c>
      <c r="B469" s="13" t="str">
        <f>Members!B469</f>
        <v>Active</v>
      </c>
      <c r="C469" s="13">
        <f>Members!C469</f>
        <v>25</v>
      </c>
      <c r="D469" s="14">
        <f>Members!D469</f>
        <v>1.1000000000000001</v>
      </c>
      <c r="E469" s="16">
        <f>Members!E469</f>
        <v>584000</v>
      </c>
      <c r="F469" s="16">
        <f>Members!F469</f>
        <v>0</v>
      </c>
      <c r="G469" s="15">
        <f>MAX(0,Assumptions!$B$10-C469)</f>
        <v>35</v>
      </c>
      <c r="H469" s="17">
        <f>IF(B469="Active",E469*(1+Assumptions!$B$7)^G469,E469)</f>
        <v>3804073.8045696942</v>
      </c>
      <c r="I469" s="17">
        <f>IF(B469="Active",MIN(Assumptions!$B$12,D469+G469),IF(B469="Deferred",MIN(Assumptions!$B$12,D469),D469))</f>
        <v>36.1</v>
      </c>
      <c r="J469" s="17">
        <f>IF(B469="Active",H469*I469*Assumptions!$B$11,IF(B469="Deferred",E469*I469*Assumptions!$B$11*(1+Assumptions!$B$9)^G469,F469))</f>
        <v>2288784.4057494327</v>
      </c>
      <c r="K469" s="11">
        <f>IF(B469="Pensioner",1,VLOOKUP(Assumptions!$B$10,Mortality!$A$2:$F$104,6,FALSE)/VLOOKUP(C469,Mortality!$A$2:$F$104,6,FALSE))</f>
        <v>0.96896729760411437</v>
      </c>
      <c r="L469" s="11">
        <f>VLOOKUP(IF(B469="Pensioner",C469,Assumptions!$B$10),Mortality!$A$2:$E$104,5,FALSE)</f>
        <v>17.296790022132885</v>
      </c>
      <c r="M469" s="11">
        <f>1+Assumptions!$B$13*Assumptions!$B$14*Assumptions!$B$15</f>
        <v>1.3187500000000001</v>
      </c>
      <c r="N469" s="11">
        <f>IF(B469="Pensioner",1,1/(1+Assumptions!$B$6)^G469)</f>
        <v>0.11034781240254267</v>
      </c>
      <c r="O469" s="17">
        <f t="shared" si="7"/>
        <v>5582204.204983592</v>
      </c>
    </row>
    <row r="470" spans="1:15">
      <c r="A470" s="13" t="str">
        <f>Members!A470</f>
        <v>A0244</v>
      </c>
      <c r="B470" s="13" t="str">
        <f>Members!B470</f>
        <v>Active</v>
      </c>
      <c r="C470" s="13">
        <f>Members!C470</f>
        <v>50</v>
      </c>
      <c r="D470" s="14">
        <f>Members!D470</f>
        <v>10</v>
      </c>
      <c r="E470" s="16">
        <f>Members!E470</f>
        <v>1177000</v>
      </c>
      <c r="F470" s="16">
        <f>Members!F470</f>
        <v>0</v>
      </c>
      <c r="G470" s="15">
        <f>MAX(0,Assumptions!$B$10-C470)</f>
        <v>10</v>
      </c>
      <c r="H470" s="17">
        <f>IF(B470="Active",E470*(1+Assumptions!$B$7)^G470,E470)</f>
        <v>2010486.027482179</v>
      </c>
      <c r="I470" s="17">
        <f>IF(B470="Active",MIN(Assumptions!$B$12,D470+G470),IF(B470="Deferred",MIN(Assumptions!$B$12,D470),D470))</f>
        <v>20</v>
      </c>
      <c r="J470" s="17">
        <f>IF(B470="Active",H470*I470*Assumptions!$B$11,IF(B470="Deferred",E470*I470*Assumptions!$B$11*(1+Assumptions!$B$9)^G470,F470))</f>
        <v>670162.00916072621</v>
      </c>
      <c r="K470" s="11">
        <f>IF(B470="Pensioner",1,VLOOKUP(Assumptions!$B$10,Mortality!$A$2:$F$104,6,FALSE)/VLOOKUP(C470,Mortality!$A$2:$F$104,6,FALSE))</f>
        <v>0.98127299335824147</v>
      </c>
      <c r="L470" s="11">
        <f>VLOOKUP(IF(B470="Pensioner",C470,Assumptions!$B$10),Mortality!$A$2:$E$104,5,FALSE)</f>
        <v>17.296790022132885</v>
      </c>
      <c r="M470" s="11">
        <f>1+Assumptions!$B$13*Assumptions!$B$14*Assumptions!$B$15</f>
        <v>1.3187500000000001</v>
      </c>
      <c r="N470" s="11">
        <f>IF(B470="Pensioner",1,1/(1+Assumptions!$B$6)^G470)</f>
        <v>0.53272603552052888</v>
      </c>
      <c r="O470" s="17">
        <f t="shared" si="7"/>
        <v>7991007.8801054433</v>
      </c>
    </row>
    <row r="471" spans="1:15">
      <c r="A471" s="13" t="str">
        <f>Members!A471</f>
        <v>P0247</v>
      </c>
      <c r="B471" s="13" t="str">
        <f>Members!B471</f>
        <v>Pensioner</v>
      </c>
      <c r="C471" s="13">
        <f>Members!C471</f>
        <v>66</v>
      </c>
      <c r="D471" s="14">
        <f>Members!D471</f>
        <v>35.299999999999997</v>
      </c>
      <c r="E471" s="16">
        <f>Members!E471</f>
        <v>0</v>
      </c>
      <c r="F471" s="16">
        <f>Members!F471</f>
        <v>214000</v>
      </c>
      <c r="G471" s="15">
        <f>MAX(0,Assumptions!$B$10-C471)</f>
        <v>0</v>
      </c>
      <c r="H471" s="17">
        <f>IF(B471="Active",E471*(1+Assumptions!$B$7)^G471,E471)</f>
        <v>0</v>
      </c>
      <c r="I471" s="17">
        <f>IF(B471="Active",MIN(Assumptions!$B$12,D471+G471),IF(B471="Deferred",MIN(Assumptions!$B$12,D471),D471))</f>
        <v>35.299999999999997</v>
      </c>
      <c r="J471" s="17">
        <f>IF(B471="Active",H471*I471*Assumptions!$B$11,IF(B471="Deferred",E471*I471*Assumptions!$B$11*(1+Assumptions!$B$9)^G471,F471))</f>
        <v>214000</v>
      </c>
      <c r="K471" s="11">
        <f>IF(B471="Pensioner",1,VLOOKUP(Assumptions!$B$10,Mortality!$A$2:$F$104,6,FALSE)/VLOOKUP(C471,Mortality!$A$2:$F$104,6,FALSE))</f>
        <v>1</v>
      </c>
      <c r="L471" s="11">
        <f>VLOOKUP(IF(B471="Pensioner",C471,Assumptions!$B$10),Mortality!$A$2:$E$104,5,FALSE)</f>
        <v>14.759005103694845</v>
      </c>
      <c r="M471" s="11">
        <f>1+Assumptions!$B$13*Assumptions!$B$14*Assumptions!$B$15</f>
        <v>1.3187500000000001</v>
      </c>
      <c r="N471" s="11">
        <f>IF(B471="Pensioner",1,1/(1+Assumptions!$B$6)^G471)</f>
        <v>1</v>
      </c>
      <c r="O471" s="17">
        <f t="shared" si="7"/>
        <v>4165175.7278264817</v>
      </c>
    </row>
    <row r="472" spans="1:15">
      <c r="A472" s="13" t="str">
        <f>Members!A472</f>
        <v>D0029</v>
      </c>
      <c r="B472" s="13" t="str">
        <f>Members!B472</f>
        <v>Deferred</v>
      </c>
      <c r="C472" s="13">
        <f>Members!C472</f>
        <v>50</v>
      </c>
      <c r="D472" s="14">
        <f>Members!D472</f>
        <v>11.1</v>
      </c>
      <c r="E472" s="16">
        <f>Members!E472</f>
        <v>995000</v>
      </c>
      <c r="F472" s="16">
        <f>Members!F472</f>
        <v>0</v>
      </c>
      <c r="G472" s="15">
        <f>MAX(0,Assumptions!$B$10-C472)</f>
        <v>10</v>
      </c>
      <c r="H472" s="17">
        <f>IF(B472="Active",E472*(1+Assumptions!$B$7)^G472,E472)</f>
        <v>995000</v>
      </c>
      <c r="I472" s="17">
        <f>IF(B472="Active",MIN(Assumptions!$B$12,D472+G472),IF(B472="Deferred",MIN(Assumptions!$B$12,D472),D472))</f>
        <v>11.1</v>
      </c>
      <c r="J472" s="17">
        <f>IF(B472="Active",H472*I472*Assumptions!$B$11,IF(B472="Deferred",E472*I472*Assumptions!$B$11*(1+Assumptions!$B$9)^G472,F472))</f>
        <v>272475.96674634429</v>
      </c>
      <c r="K472" s="11">
        <f>IF(B472="Pensioner",1,VLOOKUP(Assumptions!$B$10,Mortality!$A$2:$F$104,6,FALSE)/VLOOKUP(C472,Mortality!$A$2:$F$104,6,FALSE))</f>
        <v>0.98127299335824147</v>
      </c>
      <c r="L472" s="11">
        <f>VLOOKUP(IF(B472="Pensioner",C472,Assumptions!$B$10),Mortality!$A$2:$E$104,5,FALSE)</f>
        <v>17.296790022132885</v>
      </c>
      <c r="M472" s="11">
        <f>1+Assumptions!$B$13*Assumptions!$B$14*Assumptions!$B$15</f>
        <v>1.3187500000000001</v>
      </c>
      <c r="N472" s="11">
        <f>IF(B472="Pensioner",1,1/(1+Assumptions!$B$6)^G472)</f>
        <v>0.53272603552052888</v>
      </c>
      <c r="O472" s="17">
        <f t="shared" si="7"/>
        <v>3249001.8348491406</v>
      </c>
    </row>
    <row r="473" spans="1:15">
      <c r="A473" s="13" t="str">
        <f>Members!A473</f>
        <v>D0100</v>
      </c>
      <c r="B473" s="13" t="str">
        <f>Members!B473</f>
        <v>Deferred</v>
      </c>
      <c r="C473" s="13">
        <f>Members!C473</f>
        <v>47</v>
      </c>
      <c r="D473" s="14">
        <f>Members!D473</f>
        <v>2.5</v>
      </c>
      <c r="E473" s="16">
        <f>Members!E473</f>
        <v>942000</v>
      </c>
      <c r="F473" s="16">
        <f>Members!F473</f>
        <v>0</v>
      </c>
      <c r="G473" s="15">
        <f>MAX(0,Assumptions!$B$10-C473)</f>
        <v>13</v>
      </c>
      <c r="H473" s="17">
        <f>IF(B473="Active",E473*(1+Assumptions!$B$7)^G473,E473)</f>
        <v>942000</v>
      </c>
      <c r="I473" s="17">
        <f>IF(B473="Active",MIN(Assumptions!$B$12,D473+G473),IF(B473="Deferred",MIN(Assumptions!$B$12,D473),D473))</f>
        <v>2.5</v>
      </c>
      <c r="J473" s="17">
        <f>IF(B473="Active",H473*I473*Assumptions!$B$11,IF(B473="Deferred",E473*I473*Assumptions!$B$11*(1+Assumptions!$B$9)^G473,F473))</f>
        <v>65354.135161932769</v>
      </c>
      <c r="K473" s="11">
        <f>IF(B473="Pensioner",1,VLOOKUP(Assumptions!$B$10,Mortality!$A$2:$F$104,6,FALSE)/VLOOKUP(C473,Mortality!$A$2:$F$104,6,FALSE))</f>
        <v>0.97844516757479894</v>
      </c>
      <c r="L473" s="11">
        <f>VLOOKUP(IF(B473="Pensioner",C473,Assumptions!$B$10),Mortality!$A$2:$E$104,5,FALSE)</f>
        <v>17.296790022132885</v>
      </c>
      <c r="M473" s="11">
        <f>1+Assumptions!$B$13*Assumptions!$B$14*Assumptions!$B$15</f>
        <v>1.3187500000000001</v>
      </c>
      <c r="N473" s="11">
        <f>IF(B473="Pensioner",1,1/(1+Assumptions!$B$6)^G473)</f>
        <v>0.44101676468547191</v>
      </c>
      <c r="O473" s="17">
        <f t="shared" si="7"/>
        <v>643269.03964279604</v>
      </c>
    </row>
    <row r="474" spans="1:15">
      <c r="A474" s="13" t="str">
        <f>Members!A474</f>
        <v>D0080</v>
      </c>
      <c r="B474" s="13" t="str">
        <f>Members!B474</f>
        <v>Deferred</v>
      </c>
      <c r="C474" s="13">
        <f>Members!C474</f>
        <v>40</v>
      </c>
      <c r="D474" s="14">
        <f>Members!D474</f>
        <v>15.6</v>
      </c>
      <c r="E474" s="16">
        <f>Members!E474</f>
        <v>668000</v>
      </c>
      <c r="F474" s="16">
        <f>Members!F474</f>
        <v>0</v>
      </c>
      <c r="G474" s="15">
        <f>MAX(0,Assumptions!$B$10-C474)</f>
        <v>20</v>
      </c>
      <c r="H474" s="17">
        <f>IF(B474="Active",E474*(1+Assumptions!$B$7)^G474,E474)</f>
        <v>668000</v>
      </c>
      <c r="I474" s="17">
        <f>IF(B474="Active",MIN(Assumptions!$B$12,D474+G474),IF(B474="Deferred",MIN(Assumptions!$B$12,D474),D474))</f>
        <v>15.6</v>
      </c>
      <c r="J474" s="17">
        <f>IF(B474="Active",H474*I474*Assumptions!$B$11,IF(B474="Deferred",E474*I474*Assumptions!$B$11*(1+Assumptions!$B$9)^G474,F474))</f>
        <v>380554.26748204458</v>
      </c>
      <c r="K474" s="11">
        <f>IF(B474="Pensioner",1,VLOOKUP(Assumptions!$B$10,Mortality!$A$2:$F$104,6,FALSE)/VLOOKUP(C474,Mortality!$A$2:$F$104,6,FALSE))</f>
        <v>0.97405112431987673</v>
      </c>
      <c r="L474" s="11">
        <f>VLOOKUP(IF(B474="Pensioner",C474,Assumptions!$B$10),Mortality!$A$2:$E$104,5,FALSE)</f>
        <v>17.296790022132885</v>
      </c>
      <c r="M474" s="11">
        <f>1+Assumptions!$B$13*Assumptions!$B$14*Assumptions!$B$15</f>
        <v>1.3187500000000001</v>
      </c>
      <c r="N474" s="11">
        <f>IF(B474="Pensioner",1,1/(1+Assumptions!$B$6)^G474)</f>
        <v>0.28379702892141989</v>
      </c>
      <c r="O474" s="17">
        <f t="shared" si="7"/>
        <v>2399574.1723392736</v>
      </c>
    </row>
    <row r="475" spans="1:15">
      <c r="A475" s="13" t="str">
        <f>Members!A475</f>
        <v>A0466</v>
      </c>
      <c r="B475" s="13" t="str">
        <f>Members!B475</f>
        <v>Active</v>
      </c>
      <c r="C475" s="13">
        <f>Members!C475</f>
        <v>42</v>
      </c>
      <c r="D475" s="14">
        <f>Members!D475</f>
        <v>14.9</v>
      </c>
      <c r="E475" s="16">
        <f>Members!E475</f>
        <v>773000</v>
      </c>
      <c r="F475" s="16">
        <f>Members!F475</f>
        <v>0</v>
      </c>
      <c r="G475" s="15">
        <f>MAX(0,Assumptions!$B$10-C475)</f>
        <v>18</v>
      </c>
      <c r="H475" s="17">
        <f>IF(B475="Active",E475*(1+Assumptions!$B$7)^G475,E475)</f>
        <v>2026393.4235412152</v>
      </c>
      <c r="I475" s="17">
        <f>IF(B475="Active",MIN(Assumptions!$B$12,D475+G475),IF(B475="Deferred",MIN(Assumptions!$B$12,D475),D475))</f>
        <v>32.9</v>
      </c>
      <c r="J475" s="17">
        <f>IF(B475="Active",H475*I475*Assumptions!$B$11,IF(B475="Deferred",E475*I475*Assumptions!$B$11*(1+Assumptions!$B$9)^G475,F475))</f>
        <v>1111139.0605750997</v>
      </c>
      <c r="K475" s="11">
        <f>IF(B475="Pensioner",1,VLOOKUP(Assumptions!$B$10,Mortality!$A$2:$F$104,6,FALSE)/VLOOKUP(C475,Mortality!$A$2:$F$104,6,FALSE))</f>
        <v>0.97507997078383857</v>
      </c>
      <c r="L475" s="11">
        <f>VLOOKUP(IF(B475="Pensioner",C475,Assumptions!$B$10),Mortality!$A$2:$E$104,5,FALSE)</f>
        <v>17.296790022132885</v>
      </c>
      <c r="M475" s="11">
        <f>1+Assumptions!$B$13*Assumptions!$B$14*Assumptions!$B$15</f>
        <v>1.3187500000000001</v>
      </c>
      <c r="N475" s="11">
        <f>IF(B475="Pensioner",1,1/(1+Assumptions!$B$6)^G475)</f>
        <v>0.32188968512839738</v>
      </c>
      <c r="O475" s="17">
        <f t="shared" si="7"/>
        <v>7955064.3387844274</v>
      </c>
    </row>
    <row r="476" spans="1:15">
      <c r="A476" s="13" t="str">
        <f>Members!A476</f>
        <v>P0085</v>
      </c>
      <c r="B476" s="13" t="str">
        <f>Members!B476</f>
        <v>Pensioner</v>
      </c>
      <c r="C476" s="13">
        <f>Members!C476</f>
        <v>82</v>
      </c>
      <c r="D476" s="14">
        <f>Members!D476</f>
        <v>13.7</v>
      </c>
      <c r="E476" s="16">
        <f>Members!E476</f>
        <v>0</v>
      </c>
      <c r="F476" s="16">
        <f>Members!F476</f>
        <v>419000</v>
      </c>
      <c r="G476" s="15">
        <f>MAX(0,Assumptions!$B$10-C476)</f>
        <v>0</v>
      </c>
      <c r="H476" s="17">
        <f>IF(B476="Active",E476*(1+Assumptions!$B$7)^G476,E476)</f>
        <v>0</v>
      </c>
      <c r="I476" s="17">
        <f>IF(B476="Active",MIN(Assumptions!$B$12,D476+G476),IF(B476="Deferred",MIN(Assumptions!$B$12,D476),D476))</f>
        <v>13.7</v>
      </c>
      <c r="J476" s="17">
        <f>IF(B476="Active",H476*I476*Assumptions!$B$11,IF(B476="Deferred",E476*I476*Assumptions!$B$11*(1+Assumptions!$B$9)^G476,F476))</f>
        <v>419000</v>
      </c>
      <c r="K476" s="11">
        <f>IF(B476="Pensioner",1,VLOOKUP(Assumptions!$B$10,Mortality!$A$2:$F$104,6,FALSE)/VLOOKUP(C476,Mortality!$A$2:$F$104,6,FALSE))</f>
        <v>1</v>
      </c>
      <c r="L476" s="11">
        <f>VLOOKUP(IF(B476="Pensioner",C476,Assumptions!$B$10),Mortality!$A$2:$E$104,5,FALSE)</f>
        <v>7.4984624308085976</v>
      </c>
      <c r="M476" s="11">
        <f>1+Assumptions!$B$13*Assumptions!$B$14*Assumptions!$B$15</f>
        <v>1.3187500000000001</v>
      </c>
      <c r="N476" s="11">
        <f>IF(B476="Pensioner",1,1/(1+Assumptions!$B$6)^G476)</f>
        <v>1</v>
      </c>
      <c r="O476" s="17">
        <f t="shared" si="7"/>
        <v>4143322.2815334834</v>
      </c>
    </row>
    <row r="477" spans="1:15">
      <c r="A477" s="13" t="str">
        <f>Members!A477</f>
        <v>A0502</v>
      </c>
      <c r="B477" s="13" t="str">
        <f>Members!B477</f>
        <v>Active</v>
      </c>
      <c r="C477" s="13">
        <f>Members!C477</f>
        <v>37</v>
      </c>
      <c r="D477" s="14">
        <f>Members!D477</f>
        <v>5.2</v>
      </c>
      <c r="E477" s="16">
        <f>Members!E477</f>
        <v>979000</v>
      </c>
      <c r="F477" s="16">
        <f>Members!F477</f>
        <v>0</v>
      </c>
      <c r="G477" s="15">
        <f>MAX(0,Assumptions!$B$10-C477)</f>
        <v>23</v>
      </c>
      <c r="H477" s="17">
        <f>IF(B477="Active",E477*(1+Assumptions!$B$7)^G477,E477)</f>
        <v>3354202.3847621414</v>
      </c>
      <c r="I477" s="17">
        <f>IF(B477="Active",MIN(Assumptions!$B$12,D477+G477),IF(B477="Deferred",MIN(Assumptions!$B$12,D477),D477))</f>
        <v>28.2</v>
      </c>
      <c r="J477" s="17">
        <f>IF(B477="Active",H477*I477*Assumptions!$B$11,IF(B477="Deferred",E477*I477*Assumptions!$B$11*(1+Assumptions!$B$9)^G477,F477))</f>
        <v>1576475.1208382065</v>
      </c>
      <c r="K477" s="11">
        <f>IF(B477="Pensioner",1,VLOOKUP(Assumptions!$B$10,Mortality!$A$2:$F$104,6,FALSE)/VLOOKUP(C477,Mortality!$A$2:$F$104,6,FALSE))</f>
        <v>0.97273561412651877</v>
      </c>
      <c r="L477" s="11">
        <f>VLOOKUP(IF(B477="Pensioner",C477,Assumptions!$B$10),Mortality!$A$2:$E$104,5,FALSE)</f>
        <v>17.296790022132885</v>
      </c>
      <c r="M477" s="11">
        <f>1+Assumptions!$B$13*Assumptions!$B$14*Assumptions!$B$15</f>
        <v>1.3187500000000001</v>
      </c>
      <c r="N477" s="11">
        <f>IF(B477="Pensioner",1,1/(1+Assumptions!$B$6)^G477)</f>
        <v>0.23494111264898151</v>
      </c>
      <c r="O477" s="17">
        <f t="shared" si="7"/>
        <v>8218053.137933203</v>
      </c>
    </row>
    <row r="478" spans="1:15">
      <c r="A478" s="13" t="str">
        <f>Members!A478</f>
        <v>P0047</v>
      </c>
      <c r="B478" s="13" t="str">
        <f>Members!B478</f>
        <v>Pensioner</v>
      </c>
      <c r="C478" s="13">
        <f>Members!C478</f>
        <v>70</v>
      </c>
      <c r="D478" s="14">
        <f>Members!D478</f>
        <v>30.7</v>
      </c>
      <c r="E478" s="16">
        <f>Members!E478</f>
        <v>0</v>
      </c>
      <c r="F478" s="16">
        <f>Members!F478</f>
        <v>277000</v>
      </c>
      <c r="G478" s="15">
        <f>MAX(0,Assumptions!$B$10-C478)</f>
        <v>0</v>
      </c>
      <c r="H478" s="17">
        <f>IF(B478="Active",E478*(1+Assumptions!$B$7)^G478,E478)</f>
        <v>0</v>
      </c>
      <c r="I478" s="17">
        <f>IF(B478="Active",MIN(Assumptions!$B$12,D478+G478),IF(B478="Deferred",MIN(Assumptions!$B$12,D478),D478))</f>
        <v>30.7</v>
      </c>
      <c r="J478" s="17">
        <f>IF(B478="Active",H478*I478*Assumptions!$B$11,IF(B478="Deferred",E478*I478*Assumptions!$B$11*(1+Assumptions!$B$9)^G478,F478))</f>
        <v>277000</v>
      </c>
      <c r="K478" s="11">
        <f>IF(B478="Pensioner",1,VLOOKUP(Assumptions!$B$10,Mortality!$A$2:$F$104,6,FALSE)/VLOOKUP(C478,Mortality!$A$2:$F$104,6,FALSE))</f>
        <v>1</v>
      </c>
      <c r="L478" s="11">
        <f>VLOOKUP(IF(B478="Pensioner",C478,Assumptions!$B$10),Mortality!$A$2:$E$104,5,FALSE)</f>
        <v>12.963998211865617</v>
      </c>
      <c r="M478" s="11">
        <f>1+Assumptions!$B$13*Assumptions!$B$14*Assumptions!$B$15</f>
        <v>1.3187500000000001</v>
      </c>
      <c r="N478" s="11">
        <f>IF(B478="Pensioner",1,1/(1+Assumptions!$B$6)^G478)</f>
        <v>1</v>
      </c>
      <c r="O478" s="17">
        <f t="shared" si="7"/>
        <v>4735667.5218056859</v>
      </c>
    </row>
    <row r="479" spans="1:15">
      <c r="A479" s="13" t="str">
        <f>Members!A479</f>
        <v>P0232</v>
      </c>
      <c r="B479" s="13" t="str">
        <f>Members!B479</f>
        <v>Pensioner</v>
      </c>
      <c r="C479" s="13">
        <f>Members!C479</f>
        <v>83</v>
      </c>
      <c r="D479" s="14">
        <f>Members!D479</f>
        <v>21.1</v>
      </c>
      <c r="E479" s="16">
        <f>Members!E479</f>
        <v>0</v>
      </c>
      <c r="F479" s="16">
        <f>Members!F479</f>
        <v>790000</v>
      </c>
      <c r="G479" s="15">
        <f>MAX(0,Assumptions!$B$10-C479)</f>
        <v>0</v>
      </c>
      <c r="H479" s="17">
        <f>IF(B479="Active",E479*(1+Assumptions!$B$7)^G479,E479)</f>
        <v>0</v>
      </c>
      <c r="I479" s="17">
        <f>IF(B479="Active",MIN(Assumptions!$B$12,D479+G479),IF(B479="Deferred",MIN(Assumptions!$B$12,D479),D479))</f>
        <v>21.1</v>
      </c>
      <c r="J479" s="17">
        <f>IF(B479="Active",H479*I479*Assumptions!$B$11,IF(B479="Deferred",E479*I479*Assumptions!$B$11*(1+Assumptions!$B$9)^G479,F479))</f>
        <v>790000</v>
      </c>
      <c r="K479" s="11">
        <f>IF(B479="Pensioner",1,VLOOKUP(Assumptions!$B$10,Mortality!$A$2:$F$104,6,FALSE)/VLOOKUP(C479,Mortality!$A$2:$F$104,6,FALSE))</f>
        <v>1</v>
      </c>
      <c r="L479" s="11">
        <f>VLOOKUP(IF(B479="Pensioner",C479,Assumptions!$B$10),Mortality!$A$2:$E$104,5,FALSE)</f>
        <v>7.0669562738307876</v>
      </c>
      <c r="M479" s="11">
        <f>1+Assumptions!$B$13*Assumptions!$B$14*Assumptions!$B$15</f>
        <v>1.3187500000000001</v>
      </c>
      <c r="N479" s="11">
        <f>IF(B479="Pensioner",1,1/(1+Assumptions!$B$6)^G479)</f>
        <v>1</v>
      </c>
      <c r="O479" s="17">
        <f t="shared" si="7"/>
        <v>7362443.3830303382</v>
      </c>
    </row>
    <row r="480" spans="1:15">
      <c r="A480" s="13" t="str">
        <f>Members!A480</f>
        <v>A0455</v>
      </c>
      <c r="B480" s="13" t="str">
        <f>Members!B480</f>
        <v>Active</v>
      </c>
      <c r="C480" s="13">
        <f>Members!C480</f>
        <v>41</v>
      </c>
      <c r="D480" s="14">
        <f>Members!D480</f>
        <v>14</v>
      </c>
      <c r="E480" s="16">
        <f>Members!E480</f>
        <v>736000</v>
      </c>
      <c r="F480" s="16">
        <f>Members!F480</f>
        <v>0</v>
      </c>
      <c r="G480" s="15">
        <f>MAX(0,Assumptions!$B$10-C480)</f>
        <v>19</v>
      </c>
      <c r="H480" s="17">
        <f>IF(B480="Active",E480*(1+Assumptions!$B$7)^G480,E480)</f>
        <v>2035516.1261465494</v>
      </c>
      <c r="I480" s="17">
        <f>IF(B480="Active",MIN(Assumptions!$B$12,D480+G480),IF(B480="Deferred",MIN(Assumptions!$B$12,D480),D480))</f>
        <v>33</v>
      </c>
      <c r="J480" s="17">
        <f>IF(B480="Active",H480*I480*Assumptions!$B$11,IF(B480="Deferred",E480*I480*Assumptions!$B$11*(1+Assumptions!$B$9)^G480,F480))</f>
        <v>1119533.8693806021</v>
      </c>
      <c r="K480" s="11">
        <f>IF(B480="Pensioner",1,VLOOKUP(Assumptions!$B$10,Mortality!$A$2:$F$104,6,FALSE)/VLOOKUP(C480,Mortality!$A$2:$F$104,6,FALSE))</f>
        <v>0.97454789540795339</v>
      </c>
      <c r="L480" s="11">
        <f>VLOOKUP(IF(B480="Pensioner",C480,Assumptions!$B$10),Mortality!$A$2:$E$104,5,FALSE)</f>
        <v>17.296790022132885</v>
      </c>
      <c r="M480" s="11">
        <f>1+Assumptions!$B$13*Assumptions!$B$14*Assumptions!$B$15</f>
        <v>1.3187500000000001</v>
      </c>
      <c r="N480" s="11">
        <f>IF(B480="Pensioner",1,1/(1+Assumptions!$B$6)^G480)</f>
        <v>0.30224383580131214</v>
      </c>
      <c r="O480" s="17">
        <f t="shared" si="7"/>
        <v>7521870.6877236497</v>
      </c>
    </row>
    <row r="481" spans="1:15">
      <c r="A481" s="13" t="str">
        <f>Members!A481</f>
        <v>A0563</v>
      </c>
      <c r="B481" s="13" t="str">
        <f>Members!B481</f>
        <v>Active</v>
      </c>
      <c r="C481" s="13">
        <f>Members!C481</f>
        <v>46</v>
      </c>
      <c r="D481" s="14">
        <f>Members!D481</f>
        <v>23.5</v>
      </c>
      <c r="E481" s="16">
        <f>Members!E481</f>
        <v>1448000</v>
      </c>
      <c r="F481" s="16">
        <f>Members!F481</f>
        <v>0</v>
      </c>
      <c r="G481" s="15">
        <f>MAX(0,Assumptions!$B$10-C481)</f>
        <v>14</v>
      </c>
      <c r="H481" s="17">
        <f>IF(B481="Active",E481*(1+Assumptions!$B$7)^G481,E481)</f>
        <v>3064100.4367398592</v>
      </c>
      <c r="I481" s="17">
        <f>IF(B481="Active",MIN(Assumptions!$B$12,D481+G481),IF(B481="Deferred",MIN(Assumptions!$B$12,D481),D481))</f>
        <v>37.5</v>
      </c>
      <c r="J481" s="17">
        <f>IF(B481="Active",H481*I481*Assumptions!$B$11,IF(B481="Deferred",E481*I481*Assumptions!$B$11*(1+Assumptions!$B$9)^G481,F481))</f>
        <v>1915062.7729624119</v>
      </c>
      <c r="K481" s="11">
        <f>IF(B481="Pensioner",1,VLOOKUP(Assumptions!$B$10,Mortality!$A$2:$F$104,6,FALSE)/VLOOKUP(C481,Mortality!$A$2:$F$104,6,FALSE))</f>
        <v>0.97765823283048059</v>
      </c>
      <c r="L481" s="11">
        <f>VLOOKUP(IF(B481="Pensioner",C481,Assumptions!$B$10),Mortality!$A$2:$E$104,5,FALSE)</f>
        <v>17.296790022132885</v>
      </c>
      <c r="M481" s="11">
        <f>1+Assumptions!$B$13*Assumptions!$B$14*Assumptions!$B$15</f>
        <v>1.3187500000000001</v>
      </c>
      <c r="N481" s="11">
        <f>IF(B481="Pensioner",1,1/(1+Assumptions!$B$6)^G481)</f>
        <v>0.41410024853095956</v>
      </c>
      <c r="O481" s="17">
        <f t="shared" si="7"/>
        <v>17684938.4609937</v>
      </c>
    </row>
    <row r="482" spans="1:15">
      <c r="A482" s="13" t="str">
        <f>Members!A482</f>
        <v>A0204</v>
      </c>
      <c r="B482" s="13" t="str">
        <f>Members!B482</f>
        <v>Active</v>
      </c>
      <c r="C482" s="13">
        <f>Members!C482</f>
        <v>42</v>
      </c>
      <c r="D482" s="14">
        <f>Members!D482</f>
        <v>7.6</v>
      </c>
      <c r="E482" s="16">
        <f>Members!E482</f>
        <v>1113000</v>
      </c>
      <c r="F482" s="16">
        <f>Members!F482</f>
        <v>0</v>
      </c>
      <c r="G482" s="15">
        <f>MAX(0,Assumptions!$B$10-C482)</f>
        <v>18</v>
      </c>
      <c r="H482" s="17">
        <f>IF(B482="Active",E482*(1+Assumptions!$B$7)^G482,E482)</f>
        <v>2917691.9539474421</v>
      </c>
      <c r="I482" s="17">
        <f>IF(B482="Active",MIN(Assumptions!$B$12,D482+G482),IF(B482="Deferred",MIN(Assumptions!$B$12,D482),D482))</f>
        <v>25.6</v>
      </c>
      <c r="J482" s="17">
        <f>IF(B482="Active",H482*I482*Assumptions!$B$11,IF(B482="Deferred",E482*I482*Assumptions!$B$11*(1+Assumptions!$B$9)^G482,F482))</f>
        <v>1244881.9003509087</v>
      </c>
      <c r="K482" s="11">
        <f>IF(B482="Pensioner",1,VLOOKUP(Assumptions!$B$10,Mortality!$A$2:$F$104,6,FALSE)/VLOOKUP(C482,Mortality!$A$2:$F$104,6,FALSE))</f>
        <v>0.97507997078383857</v>
      </c>
      <c r="L482" s="11">
        <f>VLOOKUP(IF(B482="Pensioner",C482,Assumptions!$B$10),Mortality!$A$2:$E$104,5,FALSE)</f>
        <v>17.296790022132885</v>
      </c>
      <c r="M482" s="11">
        <f>1+Assumptions!$B$13*Assumptions!$B$14*Assumptions!$B$15</f>
        <v>1.3187500000000001</v>
      </c>
      <c r="N482" s="11">
        <f>IF(B482="Pensioner",1,1/(1+Assumptions!$B$6)^G482)</f>
        <v>0.32188968512839738</v>
      </c>
      <c r="O482" s="17">
        <f t="shared" si="7"/>
        <v>8912579.8586849067</v>
      </c>
    </row>
    <row r="483" spans="1:15">
      <c r="A483" s="13" t="str">
        <f>Members!A483</f>
        <v>D0054</v>
      </c>
      <c r="B483" s="13" t="str">
        <f>Members!B483</f>
        <v>Deferred</v>
      </c>
      <c r="C483" s="13">
        <f>Members!C483</f>
        <v>49</v>
      </c>
      <c r="D483" s="14">
        <f>Members!D483</f>
        <v>9.1</v>
      </c>
      <c r="E483" s="16">
        <f>Members!E483</f>
        <v>882000</v>
      </c>
      <c r="F483" s="16">
        <f>Members!F483</f>
        <v>0</v>
      </c>
      <c r="G483" s="15">
        <f>MAX(0,Assumptions!$B$10-C483)</f>
        <v>11</v>
      </c>
      <c r="H483" s="17">
        <f>IF(B483="Active",E483*(1+Assumptions!$B$7)^G483,E483)</f>
        <v>882000</v>
      </c>
      <c r="I483" s="17">
        <f>IF(B483="Active",MIN(Assumptions!$B$12,D483+G483),IF(B483="Deferred",MIN(Assumptions!$B$12,D483),D483))</f>
        <v>9.1</v>
      </c>
      <c r="J483" s="17">
        <f>IF(B483="Active",H483*I483*Assumptions!$B$11,IF(B483="Deferred",E483*I483*Assumptions!$B$11*(1+Assumptions!$B$9)^G483,F483))</f>
        <v>205932.769113268</v>
      </c>
      <c r="K483" s="11">
        <f>IF(B483="Pensioner",1,VLOOKUP(Assumptions!$B$10,Mortality!$A$2:$F$104,6,FALSE)/VLOOKUP(C483,Mortality!$A$2:$F$104,6,FALSE))</f>
        <v>0.98024296623595764</v>
      </c>
      <c r="L483" s="11">
        <f>VLOOKUP(IF(B483="Pensioner",C483,Assumptions!$B$10),Mortality!$A$2:$E$104,5,FALSE)</f>
        <v>17.296790022132885</v>
      </c>
      <c r="M483" s="11">
        <f>1+Assumptions!$B$13*Assumptions!$B$14*Assumptions!$B$15</f>
        <v>1.3187500000000001</v>
      </c>
      <c r="N483" s="11">
        <f>IF(B483="Pensioner",1,1/(1+Assumptions!$B$6)^G483)</f>
        <v>0.50021223992537933</v>
      </c>
      <c r="O483" s="17">
        <f t="shared" si="7"/>
        <v>2303252.1986612002</v>
      </c>
    </row>
    <row r="484" spans="1:15">
      <c r="A484" s="13" t="str">
        <f>Members!A484</f>
        <v>A0061</v>
      </c>
      <c r="B484" s="13" t="str">
        <f>Members!B484</f>
        <v>Active</v>
      </c>
      <c r="C484" s="13">
        <f>Members!C484</f>
        <v>52</v>
      </c>
      <c r="D484" s="14">
        <f>Members!D484</f>
        <v>5.5</v>
      </c>
      <c r="E484" s="16">
        <f>Members!E484</f>
        <v>1485000</v>
      </c>
      <c r="F484" s="16">
        <f>Members!F484</f>
        <v>0</v>
      </c>
      <c r="G484" s="15">
        <f>MAX(0,Assumptions!$B$10-C484)</f>
        <v>8</v>
      </c>
      <c r="H484" s="17">
        <f>IF(B484="Active",E484*(1+Assumptions!$B$7)^G484,E484)</f>
        <v>2279009.4747692868</v>
      </c>
      <c r="I484" s="17">
        <f>IF(B484="Active",MIN(Assumptions!$B$12,D484+G484),IF(B484="Deferred",MIN(Assumptions!$B$12,D484),D484))</f>
        <v>13.5</v>
      </c>
      <c r="J484" s="17">
        <f>IF(B484="Active",H484*I484*Assumptions!$B$11,IF(B484="Deferred",E484*I484*Assumptions!$B$11*(1+Assumptions!$B$9)^G484,F484))</f>
        <v>512777.1318230895</v>
      </c>
      <c r="K484" s="11">
        <f>IF(B484="Pensioner",1,VLOOKUP(Assumptions!$B$10,Mortality!$A$2:$F$104,6,FALSE)/VLOOKUP(C484,Mortality!$A$2:$F$104,6,FALSE))</f>
        <v>0.98365275168798427</v>
      </c>
      <c r="L484" s="11">
        <f>VLOOKUP(IF(B484="Pensioner",C484,Assumptions!$B$10),Mortality!$A$2:$E$104,5,FALSE)</f>
        <v>17.296790022132885</v>
      </c>
      <c r="M484" s="11">
        <f>1+Assumptions!$B$13*Assumptions!$B$14*Assumptions!$B$15</f>
        <v>1.3187500000000001</v>
      </c>
      <c r="N484" s="11">
        <f>IF(B484="Pensioner",1,1/(1+Assumptions!$B$6)^G484)</f>
        <v>0.60423118763827188</v>
      </c>
      <c r="O484" s="17">
        <f t="shared" si="7"/>
        <v>6951869.0636872789</v>
      </c>
    </row>
    <row r="485" spans="1:15">
      <c r="A485" s="13" t="str">
        <f>Members!A485</f>
        <v>D0123</v>
      </c>
      <c r="B485" s="13" t="str">
        <f>Members!B485</f>
        <v>Deferred</v>
      </c>
      <c r="C485" s="13">
        <f>Members!C485</f>
        <v>57</v>
      </c>
      <c r="D485" s="14">
        <f>Members!D485</f>
        <v>8.9</v>
      </c>
      <c r="E485" s="16">
        <f>Members!E485</f>
        <v>1167000</v>
      </c>
      <c r="F485" s="16">
        <f>Members!F485</f>
        <v>0</v>
      </c>
      <c r="G485" s="15">
        <f>MAX(0,Assumptions!$B$10-C485)</f>
        <v>3</v>
      </c>
      <c r="H485" s="17">
        <f>IF(B485="Active",E485*(1+Assumptions!$B$7)^G485,E485)</f>
        <v>1167000</v>
      </c>
      <c r="I485" s="17">
        <f>IF(B485="Active",MIN(Assumptions!$B$12,D485+G485),IF(B485="Deferred",MIN(Assumptions!$B$12,D485),D485))</f>
        <v>8.9</v>
      </c>
      <c r="J485" s="17">
        <f>IF(B485="Active",H485*I485*Assumptions!$B$11,IF(B485="Deferred",E485*I485*Assumptions!$B$11*(1+Assumptions!$B$9)^G485,F485))</f>
        <v>194719.58272000001</v>
      </c>
      <c r="K485" s="11">
        <f>IF(B485="Pensioner",1,VLOOKUP(Assumptions!$B$10,Mortality!$A$2:$F$104,6,FALSE)/VLOOKUP(C485,Mortality!$A$2:$F$104,6,FALSE))</f>
        <v>0.99220038929214172</v>
      </c>
      <c r="L485" s="11">
        <f>VLOOKUP(IF(B485="Pensioner",C485,Assumptions!$B$10),Mortality!$A$2:$E$104,5,FALSE)</f>
        <v>17.296790022132885</v>
      </c>
      <c r="M485" s="11">
        <f>1+Assumptions!$B$13*Assumptions!$B$14*Assumptions!$B$15</f>
        <v>1.3187500000000001</v>
      </c>
      <c r="N485" s="11">
        <f>IF(B485="Pensioner",1,1/(1+Assumptions!$B$6)^G485)</f>
        <v>0.82784909180297994</v>
      </c>
      <c r="O485" s="17">
        <f t="shared" si="7"/>
        <v>3648280.1972150188</v>
      </c>
    </row>
    <row r="486" spans="1:15">
      <c r="A486" s="13" t="str">
        <f>Members!A486</f>
        <v>P0248</v>
      </c>
      <c r="B486" s="13" t="str">
        <f>Members!B486</f>
        <v>Pensioner</v>
      </c>
      <c r="C486" s="13">
        <f>Members!C486</f>
        <v>60</v>
      </c>
      <c r="D486" s="14">
        <f>Members!D486</f>
        <v>14.8</v>
      </c>
      <c r="E486" s="16">
        <f>Members!E486</f>
        <v>0</v>
      </c>
      <c r="F486" s="16">
        <f>Members!F486</f>
        <v>206000</v>
      </c>
      <c r="G486" s="15">
        <f>MAX(0,Assumptions!$B$10-C486)</f>
        <v>0</v>
      </c>
      <c r="H486" s="17">
        <f>IF(B486="Active",E486*(1+Assumptions!$B$7)^G486,E486)</f>
        <v>0</v>
      </c>
      <c r="I486" s="17">
        <f>IF(B486="Active",MIN(Assumptions!$B$12,D486+G486),IF(B486="Deferred",MIN(Assumptions!$B$12,D486),D486))</f>
        <v>14.8</v>
      </c>
      <c r="J486" s="17">
        <f>IF(B486="Active",H486*I486*Assumptions!$B$11,IF(B486="Deferred",E486*I486*Assumptions!$B$11*(1+Assumptions!$B$9)^G486,F486))</f>
        <v>206000</v>
      </c>
      <c r="K486" s="11">
        <f>IF(B486="Pensioner",1,VLOOKUP(Assumptions!$B$10,Mortality!$A$2:$F$104,6,FALSE)/VLOOKUP(C486,Mortality!$A$2:$F$104,6,FALSE))</f>
        <v>1</v>
      </c>
      <c r="L486" s="11">
        <f>VLOOKUP(IF(B486="Pensioner",C486,Assumptions!$B$10),Mortality!$A$2:$E$104,5,FALSE)</f>
        <v>17.296790022132885</v>
      </c>
      <c r="M486" s="11">
        <f>1+Assumptions!$B$13*Assumptions!$B$14*Assumptions!$B$15</f>
        <v>1.3187500000000001</v>
      </c>
      <c r="N486" s="11">
        <f>IF(B486="Pensioner",1,1/(1+Assumptions!$B$6)^G486)</f>
        <v>1</v>
      </c>
      <c r="O486" s="17">
        <f t="shared" si="7"/>
        <v>4698889.2193876747</v>
      </c>
    </row>
    <row r="487" spans="1:15">
      <c r="A487" s="13" t="str">
        <f>Members!A487</f>
        <v>A0462</v>
      </c>
      <c r="B487" s="13" t="str">
        <f>Members!B487</f>
        <v>Active</v>
      </c>
      <c r="C487" s="13">
        <f>Members!C487</f>
        <v>48</v>
      </c>
      <c r="D487" s="14">
        <f>Members!D487</f>
        <v>9.9</v>
      </c>
      <c r="E487" s="16">
        <f>Members!E487</f>
        <v>1541000</v>
      </c>
      <c r="F487" s="16">
        <f>Members!F487</f>
        <v>0</v>
      </c>
      <c r="G487" s="15">
        <f>MAX(0,Assumptions!$B$10-C487)</f>
        <v>12</v>
      </c>
      <c r="H487" s="17">
        <f>IF(B487="Active",E487*(1+Assumptions!$B$7)^G487,E487)</f>
        <v>2929760.7355546309</v>
      </c>
      <c r="I487" s="17">
        <f>IF(B487="Active",MIN(Assumptions!$B$12,D487+G487),IF(B487="Deferred",MIN(Assumptions!$B$12,D487),D487))</f>
        <v>21.9</v>
      </c>
      <c r="J487" s="17">
        <f>IF(B487="Active",H487*I487*Assumptions!$B$11,IF(B487="Deferred",E487*I487*Assumptions!$B$11*(1+Assumptions!$B$9)^G487,F487))</f>
        <v>1069362.6684774403</v>
      </c>
      <c r="K487" s="11">
        <f>IF(B487="Pensioner",1,VLOOKUP(Assumptions!$B$10,Mortality!$A$2:$F$104,6,FALSE)/VLOOKUP(C487,Mortality!$A$2:$F$104,6,FALSE))</f>
        <v>0.97930374297365907</v>
      </c>
      <c r="L487" s="11">
        <f>VLOOKUP(IF(B487="Pensioner",C487,Assumptions!$B$10),Mortality!$A$2:$E$104,5,FALSE)</f>
        <v>17.296790022132885</v>
      </c>
      <c r="M487" s="11">
        <f>1+Assumptions!$B$13*Assumptions!$B$14*Assumptions!$B$15</f>
        <v>1.3187500000000001</v>
      </c>
      <c r="N487" s="11">
        <f>IF(B487="Pensioner",1,1/(1+Assumptions!$B$6)^G487)</f>
        <v>0.4696828543900276</v>
      </c>
      <c r="O487" s="17">
        <f t="shared" si="7"/>
        <v>11219541.925339401</v>
      </c>
    </row>
    <row r="488" spans="1:15">
      <c r="A488" s="13" t="str">
        <f>Members!A488</f>
        <v>P0234</v>
      </c>
      <c r="B488" s="13" t="str">
        <f>Members!B488</f>
        <v>Pensioner</v>
      </c>
      <c r="C488" s="13">
        <f>Members!C488</f>
        <v>77</v>
      </c>
      <c r="D488" s="14">
        <f>Members!D488</f>
        <v>31.3</v>
      </c>
      <c r="E488" s="16">
        <f>Members!E488</f>
        <v>0</v>
      </c>
      <c r="F488" s="16">
        <f>Members!F488</f>
        <v>404000</v>
      </c>
      <c r="G488" s="15">
        <f>MAX(0,Assumptions!$B$10-C488)</f>
        <v>0</v>
      </c>
      <c r="H488" s="17">
        <f>IF(B488="Active",E488*(1+Assumptions!$B$7)^G488,E488)</f>
        <v>0</v>
      </c>
      <c r="I488" s="17">
        <f>IF(B488="Active",MIN(Assumptions!$B$12,D488+G488),IF(B488="Deferred",MIN(Assumptions!$B$12,D488),D488))</f>
        <v>31.3</v>
      </c>
      <c r="J488" s="17">
        <f>IF(B488="Active",H488*I488*Assumptions!$B$11,IF(B488="Deferred",E488*I488*Assumptions!$B$11*(1+Assumptions!$B$9)^G488,F488))</f>
        <v>404000</v>
      </c>
      <c r="K488" s="11">
        <f>IF(B488="Pensioner",1,VLOOKUP(Assumptions!$B$10,Mortality!$A$2:$F$104,6,FALSE)/VLOOKUP(C488,Mortality!$A$2:$F$104,6,FALSE))</f>
        <v>1</v>
      </c>
      <c r="L488" s="11">
        <f>VLOOKUP(IF(B488="Pensioner",C488,Assumptions!$B$10),Mortality!$A$2:$E$104,5,FALSE)</f>
        <v>9.7418184564319716</v>
      </c>
      <c r="M488" s="11">
        <f>1+Assumptions!$B$13*Assumptions!$B$14*Assumptions!$B$15</f>
        <v>1.3187500000000001</v>
      </c>
      <c r="N488" s="11">
        <f>IF(B488="Pensioner",1,1/(1+Assumptions!$B$6)^G488)</f>
        <v>1</v>
      </c>
      <c r="O488" s="17">
        <f t="shared" si="7"/>
        <v>5190197.3281255439</v>
      </c>
    </row>
    <row r="489" spans="1:15">
      <c r="A489" s="13" t="str">
        <f>Members!A489</f>
        <v>D0043</v>
      </c>
      <c r="B489" s="13" t="str">
        <f>Members!B489</f>
        <v>Deferred</v>
      </c>
      <c r="C489" s="13">
        <f>Members!C489</f>
        <v>55</v>
      </c>
      <c r="D489" s="14">
        <f>Members!D489</f>
        <v>19.5</v>
      </c>
      <c r="E489" s="16">
        <f>Members!E489</f>
        <v>1387000</v>
      </c>
      <c r="F489" s="16">
        <f>Members!F489</f>
        <v>0</v>
      </c>
      <c r="G489" s="15">
        <f>MAX(0,Assumptions!$B$10-C489)</f>
        <v>5</v>
      </c>
      <c r="H489" s="17">
        <f>IF(B489="Active",E489*(1+Assumptions!$B$7)^G489,E489)</f>
        <v>1387000</v>
      </c>
      <c r="I489" s="17">
        <f>IF(B489="Active",MIN(Assumptions!$B$12,D489+G489),IF(B489="Deferred",MIN(Assumptions!$B$12,D489),D489))</f>
        <v>19.5</v>
      </c>
      <c r="J489" s="17">
        <f>IF(B489="Active",H489*I489*Assumptions!$B$11,IF(B489="Deferred",E489*I489*Assumptions!$B$11*(1+Assumptions!$B$9)^G489,F489))</f>
        <v>548436.71207936015</v>
      </c>
      <c r="K489" s="11">
        <f>IF(B489="Pensioner",1,VLOOKUP(Assumptions!$B$10,Mortality!$A$2:$F$104,6,FALSE)/VLOOKUP(C489,Mortality!$A$2:$F$104,6,FALSE))</f>
        <v>0.98824190874991746</v>
      </c>
      <c r="L489" s="11">
        <f>VLOOKUP(IF(B489="Pensioner",C489,Assumptions!$B$10),Mortality!$A$2:$E$104,5,FALSE)</f>
        <v>17.296790022132885</v>
      </c>
      <c r="M489" s="11">
        <f>1+Assumptions!$B$13*Assumptions!$B$14*Assumptions!$B$15</f>
        <v>1.3187500000000001</v>
      </c>
      <c r="N489" s="11">
        <f>IF(B489="Pensioner",1,1/(1+Assumptions!$B$6)^G489)</f>
        <v>0.72988083652095492</v>
      </c>
      <c r="O489" s="17">
        <f t="shared" si="7"/>
        <v>9023390.0908776447</v>
      </c>
    </row>
    <row r="490" spans="1:15">
      <c r="A490" s="13" t="str">
        <f>Members!A490</f>
        <v>P0092</v>
      </c>
      <c r="B490" s="13" t="str">
        <f>Members!B490</f>
        <v>Pensioner</v>
      </c>
      <c r="C490" s="13">
        <f>Members!C490</f>
        <v>88</v>
      </c>
      <c r="D490" s="14">
        <f>Members!D490</f>
        <v>26.2</v>
      </c>
      <c r="E490" s="16">
        <f>Members!E490</f>
        <v>0</v>
      </c>
      <c r="F490" s="16">
        <f>Members!F490</f>
        <v>375000</v>
      </c>
      <c r="G490" s="15">
        <f>MAX(0,Assumptions!$B$10-C490)</f>
        <v>0</v>
      </c>
      <c r="H490" s="17">
        <f>IF(B490="Active",E490*(1+Assumptions!$B$7)^G490,E490)</f>
        <v>0</v>
      </c>
      <c r="I490" s="17">
        <f>IF(B490="Active",MIN(Assumptions!$B$12,D490+G490),IF(B490="Deferred",MIN(Assumptions!$B$12,D490),D490))</f>
        <v>26.2</v>
      </c>
      <c r="J490" s="17">
        <f>IF(B490="Active",H490*I490*Assumptions!$B$11,IF(B490="Deferred",E490*I490*Assumptions!$B$11*(1+Assumptions!$B$9)^G490,F490))</f>
        <v>375000</v>
      </c>
      <c r="K490" s="11">
        <f>IF(B490="Pensioner",1,VLOOKUP(Assumptions!$B$10,Mortality!$A$2:$F$104,6,FALSE)/VLOOKUP(C490,Mortality!$A$2:$F$104,6,FALSE))</f>
        <v>1</v>
      </c>
      <c r="L490" s="11">
        <f>VLOOKUP(IF(B490="Pensioner",C490,Assumptions!$B$10),Mortality!$A$2:$E$104,5,FALSE)</f>
        <v>5.0437428962217341</v>
      </c>
      <c r="M490" s="11">
        <f>1+Assumptions!$B$13*Assumptions!$B$14*Assumptions!$B$15</f>
        <v>1.3187500000000001</v>
      </c>
      <c r="N490" s="11">
        <f>IF(B490="Pensioner",1,1/(1+Assumptions!$B$6)^G490)</f>
        <v>1</v>
      </c>
      <c r="O490" s="17">
        <f t="shared" si="7"/>
        <v>2494288.4791471544</v>
      </c>
    </row>
    <row r="491" spans="1:15">
      <c r="A491" s="13" t="str">
        <f>Members!A491</f>
        <v>D0087</v>
      </c>
      <c r="B491" s="13" t="str">
        <f>Members!B491</f>
        <v>Deferred</v>
      </c>
      <c r="C491" s="13">
        <f>Members!C491</f>
        <v>55</v>
      </c>
      <c r="D491" s="14">
        <f>Members!D491</f>
        <v>24.7</v>
      </c>
      <c r="E491" s="16">
        <f>Members!E491</f>
        <v>989000</v>
      </c>
      <c r="F491" s="16">
        <f>Members!F491</f>
        <v>0</v>
      </c>
      <c r="G491" s="15">
        <f>MAX(0,Assumptions!$B$10-C491)</f>
        <v>5</v>
      </c>
      <c r="H491" s="17">
        <f>IF(B491="Active",E491*(1+Assumptions!$B$7)^G491,E491)</f>
        <v>989000</v>
      </c>
      <c r="I491" s="17">
        <f>IF(B491="Active",MIN(Assumptions!$B$12,D491+G491),IF(B491="Deferred",MIN(Assumptions!$B$12,D491),D491))</f>
        <v>24.7</v>
      </c>
      <c r="J491" s="17">
        <f>IF(B491="Active",H491*I491*Assumptions!$B$11,IF(B491="Deferred",E491*I491*Assumptions!$B$11*(1+Assumptions!$B$9)^G491,F491))</f>
        <v>495346.03492829879</v>
      </c>
      <c r="K491" s="11">
        <f>IF(B491="Pensioner",1,VLOOKUP(Assumptions!$B$10,Mortality!$A$2:$F$104,6,FALSE)/VLOOKUP(C491,Mortality!$A$2:$F$104,6,FALSE))</f>
        <v>0.98824190874991746</v>
      </c>
      <c r="L491" s="11">
        <f>VLOOKUP(IF(B491="Pensioner",C491,Assumptions!$B$10),Mortality!$A$2:$E$104,5,FALSE)</f>
        <v>17.296790022132885</v>
      </c>
      <c r="M491" s="11">
        <f>1+Assumptions!$B$13*Assumptions!$B$14*Assumptions!$B$15</f>
        <v>1.3187500000000001</v>
      </c>
      <c r="N491" s="11">
        <f>IF(B491="Pensioner",1,1/(1+Assumptions!$B$6)^G491)</f>
        <v>0.72988083652095492</v>
      </c>
      <c r="O491" s="17">
        <f t="shared" si="7"/>
        <v>8149892.9679251043</v>
      </c>
    </row>
    <row r="492" spans="1:15">
      <c r="A492" s="13" t="str">
        <f>Members!A492</f>
        <v>A0247</v>
      </c>
      <c r="B492" s="13" t="str">
        <f>Members!B492</f>
        <v>Active</v>
      </c>
      <c r="C492" s="13">
        <f>Members!C492</f>
        <v>39</v>
      </c>
      <c r="D492" s="14">
        <f>Members!D492</f>
        <v>9</v>
      </c>
      <c r="E492" s="16">
        <f>Members!E492</f>
        <v>784000</v>
      </c>
      <c r="F492" s="16">
        <f>Members!F492</f>
        <v>0</v>
      </c>
      <c r="G492" s="15">
        <f>MAX(0,Assumptions!$B$10-C492)</f>
        <v>21</v>
      </c>
      <c r="H492" s="17">
        <f>IF(B492="Active",E492*(1+Assumptions!$B$7)^G492,E492)</f>
        <v>2413335.5756284543</v>
      </c>
      <c r="I492" s="17">
        <f>IF(B492="Active",MIN(Assumptions!$B$12,D492+G492),IF(B492="Deferred",MIN(Assumptions!$B$12,D492),D492))</f>
        <v>30</v>
      </c>
      <c r="J492" s="17">
        <f>IF(B492="Active",H492*I492*Assumptions!$B$11,IF(B492="Deferred",E492*I492*Assumptions!$B$11*(1+Assumptions!$B$9)^G492,F492))</f>
        <v>1206667.7878142272</v>
      </c>
      <c r="K492" s="11">
        <f>IF(B492="Pensioner",1,VLOOKUP(Assumptions!$B$10,Mortality!$A$2:$F$104,6,FALSE)/VLOOKUP(C492,Mortality!$A$2:$F$104,6,FALSE))</f>
        <v>0.97358574177887802</v>
      </c>
      <c r="L492" s="11">
        <f>VLOOKUP(IF(B492="Pensioner",C492,Assumptions!$B$10),Mortality!$A$2:$E$104,5,FALSE)</f>
        <v>17.296790022132885</v>
      </c>
      <c r="M492" s="11">
        <f>1+Assumptions!$B$13*Assumptions!$B$14*Assumptions!$B$15</f>
        <v>1.3187500000000001</v>
      </c>
      <c r="N492" s="11">
        <f>IF(B492="Pensioner",1,1/(1+Assumptions!$B$6)^G492)</f>
        <v>0.26647608349429097</v>
      </c>
      <c r="O492" s="17">
        <f t="shared" si="7"/>
        <v>7140821.0041948762</v>
      </c>
    </row>
    <row r="493" spans="1:15">
      <c r="A493" s="13" t="str">
        <f>Members!A493</f>
        <v>A0275</v>
      </c>
      <c r="B493" s="13" t="str">
        <f>Members!B493</f>
        <v>Active</v>
      </c>
      <c r="C493" s="13">
        <f>Members!C493</f>
        <v>48</v>
      </c>
      <c r="D493" s="14">
        <f>Members!D493</f>
        <v>13.1</v>
      </c>
      <c r="E493" s="16">
        <f>Members!E493</f>
        <v>1237000</v>
      </c>
      <c r="F493" s="16">
        <f>Members!F493</f>
        <v>0</v>
      </c>
      <c r="G493" s="15">
        <f>MAX(0,Assumptions!$B$10-C493)</f>
        <v>12</v>
      </c>
      <c r="H493" s="17">
        <f>IF(B493="Active",E493*(1+Assumptions!$B$7)^G493,E493)</f>
        <v>2351793.6598838922</v>
      </c>
      <c r="I493" s="17">
        <f>IF(B493="Active",MIN(Assumptions!$B$12,D493+G493),IF(B493="Deferred",MIN(Assumptions!$B$12,D493),D493))</f>
        <v>25.1</v>
      </c>
      <c r="J493" s="17">
        <f>IF(B493="Active",H493*I493*Assumptions!$B$11,IF(B493="Deferred",E493*I493*Assumptions!$B$11*(1+Assumptions!$B$9)^G493,F493))</f>
        <v>983833.6810514282</v>
      </c>
      <c r="K493" s="11">
        <f>IF(B493="Pensioner",1,VLOOKUP(Assumptions!$B$10,Mortality!$A$2:$F$104,6,FALSE)/VLOOKUP(C493,Mortality!$A$2:$F$104,6,FALSE))</f>
        <v>0.97930374297365907</v>
      </c>
      <c r="L493" s="11">
        <f>VLOOKUP(IF(B493="Pensioner",C493,Assumptions!$B$10),Mortality!$A$2:$E$104,5,FALSE)</f>
        <v>17.296790022132885</v>
      </c>
      <c r="M493" s="11">
        <f>1+Assumptions!$B$13*Assumptions!$B$14*Assumptions!$B$15</f>
        <v>1.3187500000000001</v>
      </c>
      <c r="N493" s="11">
        <f>IF(B493="Pensioner",1,1/(1+Assumptions!$B$6)^G493)</f>
        <v>0.4696828543900276</v>
      </c>
      <c r="O493" s="17">
        <f t="shared" si="7"/>
        <v>10322188.680696735</v>
      </c>
    </row>
    <row r="494" spans="1:15">
      <c r="A494" s="13" t="str">
        <f>Members!A494</f>
        <v>A0509</v>
      </c>
      <c r="B494" s="13" t="str">
        <f>Members!B494</f>
        <v>Active</v>
      </c>
      <c r="C494" s="13">
        <f>Members!C494</f>
        <v>34</v>
      </c>
      <c r="D494" s="14">
        <f>Members!D494</f>
        <v>7.7</v>
      </c>
      <c r="E494" s="16">
        <f>Members!E494</f>
        <v>551000</v>
      </c>
      <c r="F494" s="16">
        <f>Members!F494</f>
        <v>0</v>
      </c>
      <c r="G494" s="15">
        <f>MAX(0,Assumptions!$B$10-C494)</f>
        <v>26</v>
      </c>
      <c r="H494" s="17">
        <f>IF(B494="Active",E494*(1+Assumptions!$B$7)^G494,E494)</f>
        <v>2216744.0392150851</v>
      </c>
      <c r="I494" s="17">
        <f>IF(B494="Active",MIN(Assumptions!$B$12,D494+G494),IF(B494="Deferred",MIN(Assumptions!$B$12,D494),D494))</f>
        <v>33.700000000000003</v>
      </c>
      <c r="J494" s="17">
        <f>IF(B494="Active",H494*I494*Assumptions!$B$11,IF(B494="Deferred",E494*I494*Assumptions!$B$11*(1+Assumptions!$B$9)^G494,F494))</f>
        <v>1245071.2353591395</v>
      </c>
      <c r="K494" s="11">
        <f>IF(B494="Pensioner",1,VLOOKUP(Assumptions!$B$10,Mortality!$A$2:$F$104,6,FALSE)/VLOOKUP(C494,Mortality!$A$2:$F$104,6,FALSE))</f>
        <v>0.97162058192333911</v>
      </c>
      <c r="L494" s="11">
        <f>VLOOKUP(IF(B494="Pensioner",C494,Assumptions!$B$10),Mortality!$A$2:$E$104,5,FALSE)</f>
        <v>17.296790022132885</v>
      </c>
      <c r="M494" s="11">
        <f>1+Assumptions!$B$13*Assumptions!$B$14*Assumptions!$B$15</f>
        <v>1.3187500000000001</v>
      </c>
      <c r="N494" s="11">
        <f>IF(B494="Pensioner",1,1/(1+Assumptions!$B$6)^G494)</f>
        <v>0.19449578673364096</v>
      </c>
      <c r="O494" s="17">
        <f t="shared" si="7"/>
        <v>5366969.0334573202</v>
      </c>
    </row>
    <row r="495" spans="1:15">
      <c r="A495" s="13" t="str">
        <f>Members!A495</f>
        <v>D0034</v>
      </c>
      <c r="B495" s="13" t="str">
        <f>Members!B495</f>
        <v>Deferred</v>
      </c>
      <c r="C495" s="13">
        <f>Members!C495</f>
        <v>43</v>
      </c>
      <c r="D495" s="14">
        <f>Members!D495</f>
        <v>11.8</v>
      </c>
      <c r="E495" s="16">
        <f>Members!E495</f>
        <v>728000</v>
      </c>
      <c r="F495" s="16">
        <f>Members!F495</f>
        <v>0</v>
      </c>
      <c r="G495" s="15">
        <f>MAX(0,Assumptions!$B$10-C495)</f>
        <v>17</v>
      </c>
      <c r="H495" s="17">
        <f>IF(B495="Active",E495*(1+Assumptions!$B$7)^G495,E495)</f>
        <v>728000</v>
      </c>
      <c r="I495" s="17">
        <f>IF(B495="Active",MIN(Assumptions!$B$12,D495+G495),IF(B495="Deferred",MIN(Assumptions!$B$12,D495),D495))</f>
        <v>11.8</v>
      </c>
      <c r="J495" s="17">
        <f>IF(B495="Active",H495*I495*Assumptions!$B$11,IF(B495="Deferred",E495*I495*Assumptions!$B$11*(1+Assumptions!$B$9)^G495,F495))</f>
        <v>278887.40695044468</v>
      </c>
      <c r="K495" s="11">
        <f>IF(B495="Pensioner",1,VLOOKUP(Assumptions!$B$10,Mortality!$A$2:$F$104,6,FALSE)/VLOOKUP(C495,Mortality!$A$2:$F$104,6,FALSE))</f>
        <v>0.97565175842493801</v>
      </c>
      <c r="L495" s="11">
        <f>VLOOKUP(IF(B495="Pensioner",C495,Assumptions!$B$10),Mortality!$A$2:$E$104,5,FALSE)</f>
        <v>17.296790022132885</v>
      </c>
      <c r="M495" s="11">
        <f>1+Assumptions!$B$13*Assumptions!$B$14*Assumptions!$B$15</f>
        <v>1.3187500000000001</v>
      </c>
      <c r="N495" s="11">
        <f>IF(B495="Pensioner",1,1/(1+Assumptions!$B$6)^G495)</f>
        <v>0.34281251466174323</v>
      </c>
      <c r="O495" s="17">
        <f t="shared" si="7"/>
        <v>2127690.1823327681</v>
      </c>
    </row>
    <row r="496" spans="1:15">
      <c r="A496" s="13" t="str">
        <f>Members!A496</f>
        <v>A0188</v>
      </c>
      <c r="B496" s="13" t="str">
        <f>Members!B496</f>
        <v>Active</v>
      </c>
      <c r="C496" s="13">
        <f>Members!C496</f>
        <v>48</v>
      </c>
      <c r="D496" s="14">
        <f>Members!D496</f>
        <v>1.5</v>
      </c>
      <c r="E496" s="16">
        <f>Members!E496</f>
        <v>944000</v>
      </c>
      <c r="F496" s="16">
        <f>Members!F496</f>
        <v>0</v>
      </c>
      <c r="G496" s="15">
        <f>MAX(0,Assumptions!$B$10-C496)</f>
        <v>12</v>
      </c>
      <c r="H496" s="17">
        <f>IF(B496="Active",E496*(1+Assumptions!$B$7)^G496,E496)</f>
        <v>1794739.8665565031</v>
      </c>
      <c r="I496" s="17">
        <f>IF(B496="Active",MIN(Assumptions!$B$12,D496+G496),IF(B496="Deferred",MIN(Assumptions!$B$12,D496),D496))</f>
        <v>13.5</v>
      </c>
      <c r="J496" s="17">
        <f>IF(B496="Active",H496*I496*Assumptions!$B$11,IF(B496="Deferred",E496*I496*Assumptions!$B$11*(1+Assumptions!$B$9)^G496,F496))</f>
        <v>403816.46997521323</v>
      </c>
      <c r="K496" s="11">
        <f>IF(B496="Pensioner",1,VLOOKUP(Assumptions!$B$10,Mortality!$A$2:$F$104,6,FALSE)/VLOOKUP(C496,Mortality!$A$2:$F$104,6,FALSE))</f>
        <v>0.97930374297365907</v>
      </c>
      <c r="L496" s="11">
        <f>VLOOKUP(IF(B496="Pensioner",C496,Assumptions!$B$10),Mortality!$A$2:$E$104,5,FALSE)</f>
        <v>17.296790022132885</v>
      </c>
      <c r="M496" s="11">
        <f>1+Assumptions!$B$13*Assumptions!$B$14*Assumptions!$B$15</f>
        <v>1.3187500000000001</v>
      </c>
      <c r="N496" s="11">
        <f>IF(B496="Pensioner",1,1/(1+Assumptions!$B$6)^G496)</f>
        <v>0.4696828543900276</v>
      </c>
      <c r="O496" s="17">
        <f t="shared" si="7"/>
        <v>4236762.6517953798</v>
      </c>
    </row>
    <row r="497" spans="1:15">
      <c r="A497" s="13" t="str">
        <f>Members!A497</f>
        <v>D0052</v>
      </c>
      <c r="B497" s="13" t="str">
        <f>Members!B497</f>
        <v>Deferred</v>
      </c>
      <c r="C497" s="13">
        <f>Members!C497</f>
        <v>37</v>
      </c>
      <c r="D497" s="14">
        <f>Members!D497</f>
        <v>14.5</v>
      </c>
      <c r="E497" s="16">
        <f>Members!E497</f>
        <v>567000</v>
      </c>
      <c r="F497" s="16">
        <f>Members!F497</f>
        <v>0</v>
      </c>
      <c r="G497" s="15">
        <f>MAX(0,Assumptions!$B$10-C497)</f>
        <v>23</v>
      </c>
      <c r="H497" s="17">
        <f>IF(B497="Active",E497*(1+Assumptions!$B$7)^G497,E497)</f>
        <v>567000</v>
      </c>
      <c r="I497" s="17">
        <f>IF(B497="Active",MIN(Assumptions!$B$12,D497+G497),IF(B497="Deferred",MIN(Assumptions!$B$12,D497),D497))</f>
        <v>14.5</v>
      </c>
      <c r="J497" s="17">
        <f>IF(B497="Active",H497*I497*Assumptions!$B$11,IF(B497="Deferred",E497*I497*Assumptions!$B$11*(1+Assumptions!$B$9)^G497,F497))</f>
        <v>337727.64730220422</v>
      </c>
      <c r="K497" s="11">
        <f>IF(B497="Pensioner",1,VLOOKUP(Assumptions!$B$10,Mortality!$A$2:$F$104,6,FALSE)/VLOOKUP(C497,Mortality!$A$2:$F$104,6,FALSE))</f>
        <v>0.97273561412651877</v>
      </c>
      <c r="L497" s="11">
        <f>VLOOKUP(IF(B497="Pensioner",C497,Assumptions!$B$10),Mortality!$A$2:$E$104,5,FALSE)</f>
        <v>17.296790022132885</v>
      </c>
      <c r="M497" s="11">
        <f>1+Assumptions!$B$13*Assumptions!$B$14*Assumptions!$B$15</f>
        <v>1.3187500000000001</v>
      </c>
      <c r="N497" s="11">
        <f>IF(B497="Pensioner",1,1/(1+Assumptions!$B$6)^G497)</f>
        <v>0.23494111264898151</v>
      </c>
      <c r="O497" s="17">
        <f t="shared" si="7"/>
        <v>1760550.3030095214</v>
      </c>
    </row>
    <row r="498" spans="1:15">
      <c r="A498" s="13" t="str">
        <f>Members!A498</f>
        <v>A0604</v>
      </c>
      <c r="B498" s="13" t="str">
        <f>Members!B498</f>
        <v>Active</v>
      </c>
      <c r="C498" s="13">
        <f>Members!C498</f>
        <v>38</v>
      </c>
      <c r="D498" s="14">
        <f>Members!D498</f>
        <v>4.3</v>
      </c>
      <c r="E498" s="16">
        <f>Members!E498</f>
        <v>726000</v>
      </c>
      <c r="F498" s="16">
        <f>Members!F498</f>
        <v>0</v>
      </c>
      <c r="G498" s="15">
        <f>MAX(0,Assumptions!$B$10-C498)</f>
        <v>22</v>
      </c>
      <c r="H498" s="17">
        <f>IF(B498="Active",E498*(1+Assumptions!$B$7)^G498,E498)</f>
        <v>2357711.8844912015</v>
      </c>
      <c r="I498" s="17">
        <f>IF(B498="Active",MIN(Assumptions!$B$12,D498+G498),IF(B498="Deferred",MIN(Assumptions!$B$12,D498),D498))</f>
        <v>26.3</v>
      </c>
      <c r="J498" s="17">
        <f>IF(B498="Active",H498*I498*Assumptions!$B$11,IF(B498="Deferred",E498*I498*Assumptions!$B$11*(1+Assumptions!$B$9)^G498,F498))</f>
        <v>1033463.7093686432</v>
      </c>
      <c r="K498" s="11">
        <f>IF(B498="Pensioner",1,VLOOKUP(Assumptions!$B$10,Mortality!$A$2:$F$104,6,FALSE)/VLOOKUP(C498,Mortality!$A$2:$F$104,6,FALSE))</f>
        <v>0.97314826881680017</v>
      </c>
      <c r="L498" s="11">
        <f>VLOOKUP(IF(B498="Pensioner",C498,Assumptions!$B$10),Mortality!$A$2:$E$104,5,FALSE)</f>
        <v>17.296790022132885</v>
      </c>
      <c r="M498" s="11">
        <f>1+Assumptions!$B$13*Assumptions!$B$14*Assumptions!$B$15</f>
        <v>1.3187500000000001</v>
      </c>
      <c r="N498" s="11">
        <f>IF(B498="Pensioner",1,1/(1+Assumptions!$B$6)^G498)</f>
        <v>0.25021228497116527</v>
      </c>
      <c r="O498" s="17">
        <f t="shared" si="7"/>
        <v>5739986.3547279332</v>
      </c>
    </row>
    <row r="499" spans="1:15">
      <c r="A499" s="13" t="str">
        <f>Members!A499</f>
        <v>A0357</v>
      </c>
      <c r="B499" s="13" t="str">
        <f>Members!B499</f>
        <v>Active</v>
      </c>
      <c r="C499" s="13">
        <f>Members!C499</f>
        <v>53</v>
      </c>
      <c r="D499" s="14">
        <f>Members!D499</f>
        <v>4.2</v>
      </c>
      <c r="E499" s="16">
        <f>Members!E499</f>
        <v>1840000</v>
      </c>
      <c r="F499" s="16">
        <f>Members!F499</f>
        <v>0</v>
      </c>
      <c r="G499" s="15">
        <f>MAX(0,Assumptions!$B$10-C499)</f>
        <v>7</v>
      </c>
      <c r="H499" s="17">
        <f>IF(B499="Active",E499*(1+Assumptions!$B$7)^G499,E499)</f>
        <v>2676609.6564861811</v>
      </c>
      <c r="I499" s="17">
        <f>IF(B499="Active",MIN(Assumptions!$B$12,D499+G499),IF(B499="Deferred",MIN(Assumptions!$B$12,D499),D499))</f>
        <v>11.2</v>
      </c>
      <c r="J499" s="17">
        <f>IF(B499="Active",H499*I499*Assumptions!$B$11,IF(B499="Deferred",E499*I499*Assumptions!$B$11*(1+Assumptions!$B$9)^G499,F499))</f>
        <v>499633.80254408711</v>
      </c>
      <c r="K499" s="11">
        <f>IF(B499="Pensioner",1,VLOOKUP(Assumptions!$B$10,Mortality!$A$2:$F$104,6,FALSE)/VLOOKUP(C499,Mortality!$A$2:$F$104,6,FALSE))</f>
        <v>0.98503000174313171</v>
      </c>
      <c r="L499" s="11">
        <f>VLOOKUP(IF(B499="Pensioner",C499,Assumptions!$B$10),Mortality!$A$2:$E$104,5,FALSE)</f>
        <v>17.296790022132885</v>
      </c>
      <c r="M499" s="11">
        <f>1+Assumptions!$B$13*Assumptions!$B$14*Assumptions!$B$15</f>
        <v>1.3187500000000001</v>
      </c>
      <c r="N499" s="11">
        <f>IF(B499="Pensioner",1,1/(1+Assumptions!$B$6)^G499)</f>
        <v>0.64350621483475945</v>
      </c>
      <c r="O499" s="17">
        <f t="shared" si="7"/>
        <v>7224070.9470823612</v>
      </c>
    </row>
    <row r="500" spans="1:15">
      <c r="A500" s="13" t="str">
        <f>Members!A500</f>
        <v>A0164</v>
      </c>
      <c r="B500" s="13" t="str">
        <f>Members!B500</f>
        <v>Active</v>
      </c>
      <c r="C500" s="13">
        <f>Members!C500</f>
        <v>36</v>
      </c>
      <c r="D500" s="14">
        <f>Members!D500</f>
        <v>4.3</v>
      </c>
      <c r="E500" s="16">
        <f>Members!E500</f>
        <v>935000</v>
      </c>
      <c r="F500" s="16">
        <f>Members!F500</f>
        <v>0</v>
      </c>
      <c r="G500" s="15">
        <f>MAX(0,Assumptions!$B$10-C500)</f>
        <v>24</v>
      </c>
      <c r="H500" s="17">
        <f>IF(B500="Active",E500*(1+Assumptions!$B$7)^G500,E500)</f>
        <v>3379641.5601521912</v>
      </c>
      <c r="I500" s="17">
        <f>IF(B500="Active",MIN(Assumptions!$B$12,D500+G500),IF(B500="Deferred",MIN(Assumptions!$B$12,D500),D500))</f>
        <v>28.3</v>
      </c>
      <c r="J500" s="17">
        <f>IF(B500="Active",H500*I500*Assumptions!$B$11,IF(B500="Deferred",E500*I500*Assumptions!$B$11*(1+Assumptions!$B$9)^G500,F500))</f>
        <v>1594064.2692051169</v>
      </c>
      <c r="K500" s="11">
        <f>IF(B500="Pensioner",1,VLOOKUP(Assumptions!$B$10,Mortality!$A$2:$F$104,6,FALSE)/VLOOKUP(C500,Mortality!$A$2:$F$104,6,FALSE))</f>
        <v>0.97234503055413524</v>
      </c>
      <c r="L500" s="11">
        <f>VLOOKUP(IF(B500="Pensioner",C500,Assumptions!$B$10),Mortality!$A$2:$E$104,5,FALSE)</f>
        <v>17.296790022132885</v>
      </c>
      <c r="M500" s="11">
        <f>1+Assumptions!$B$13*Assumptions!$B$14*Assumptions!$B$15</f>
        <v>1.3187500000000001</v>
      </c>
      <c r="N500" s="11">
        <f>IF(B500="Pensioner",1,1/(1+Assumptions!$B$6)^G500)</f>
        <v>0.22060198370796386</v>
      </c>
      <c r="O500" s="17">
        <f t="shared" si="7"/>
        <v>7799443.6638679076</v>
      </c>
    </row>
    <row r="501" spans="1:15">
      <c r="A501" s="13" t="str">
        <f>Members!A501</f>
        <v>A0566</v>
      </c>
      <c r="B501" s="13" t="str">
        <f>Members!B501</f>
        <v>Active</v>
      </c>
      <c r="C501" s="13">
        <f>Members!C501</f>
        <v>33</v>
      </c>
      <c r="D501" s="14">
        <f>Members!D501</f>
        <v>2.8</v>
      </c>
      <c r="E501" s="16">
        <f>Members!E501</f>
        <v>768000</v>
      </c>
      <c r="F501" s="16">
        <f>Members!F501</f>
        <v>0</v>
      </c>
      <c r="G501" s="15">
        <f>MAX(0,Assumptions!$B$10-C501)</f>
        <v>27</v>
      </c>
      <c r="H501" s="17">
        <f>IF(B501="Active",E501*(1+Assumptions!$B$7)^G501,E501)</f>
        <v>3259699.982456679</v>
      </c>
      <c r="I501" s="17">
        <f>IF(B501="Active",MIN(Assumptions!$B$12,D501+G501),IF(B501="Deferred",MIN(Assumptions!$B$12,D501),D501))</f>
        <v>29.8</v>
      </c>
      <c r="J501" s="17">
        <f>IF(B501="Active",H501*I501*Assumptions!$B$11,IF(B501="Deferred",E501*I501*Assumptions!$B$11*(1+Assumptions!$B$9)^G501,F501))</f>
        <v>1618984.3246201505</v>
      </c>
      <c r="K501" s="11">
        <f>IF(B501="Pensioner",1,VLOOKUP(Assumptions!$B$10,Mortality!$A$2:$F$104,6,FALSE)/VLOOKUP(C501,Mortality!$A$2:$F$104,6,FALSE))</f>
        <v>0.9712826176321353</v>
      </c>
      <c r="L501" s="11">
        <f>VLOOKUP(IF(B501="Pensioner",C501,Assumptions!$B$10),Mortality!$A$2:$E$104,5,FALSE)</f>
        <v>17.296790022132885</v>
      </c>
      <c r="M501" s="11">
        <f>1+Assumptions!$B$13*Assumptions!$B$14*Assumptions!$B$15</f>
        <v>1.3187500000000001</v>
      </c>
      <c r="N501" s="11">
        <f>IF(B501="Pensioner",1,1/(1+Assumptions!$B$6)^G501)</f>
        <v>0.18262515186257369</v>
      </c>
      <c r="O501" s="17">
        <f t="shared" si="7"/>
        <v>6550535.9787346106</v>
      </c>
    </row>
    <row r="502" spans="1:15">
      <c r="A502" s="13" t="str">
        <f>Members!A502</f>
        <v>D0032</v>
      </c>
      <c r="B502" s="13" t="str">
        <f>Members!B502</f>
        <v>Deferred</v>
      </c>
      <c r="C502" s="13">
        <f>Members!C502</f>
        <v>42</v>
      </c>
      <c r="D502" s="14">
        <f>Members!D502</f>
        <v>4</v>
      </c>
      <c r="E502" s="16">
        <f>Members!E502</f>
        <v>479000</v>
      </c>
      <c r="F502" s="16">
        <f>Members!F502</f>
        <v>0</v>
      </c>
      <c r="G502" s="15">
        <f>MAX(0,Assumptions!$B$10-C502)</f>
        <v>18</v>
      </c>
      <c r="H502" s="17">
        <f>IF(B502="Active",E502*(1+Assumptions!$B$7)^G502,E502)</f>
        <v>479000</v>
      </c>
      <c r="I502" s="17">
        <f>IF(B502="Active",MIN(Assumptions!$B$12,D502+G502),IF(B502="Deferred",MIN(Assumptions!$B$12,D502),D502))</f>
        <v>4</v>
      </c>
      <c r="J502" s="17">
        <f>IF(B502="Active",H502*I502*Assumptions!$B$11,IF(B502="Deferred",E502*I502*Assumptions!$B$11*(1+Assumptions!$B$9)^G502,F502))</f>
        <v>64691.074057754486</v>
      </c>
      <c r="K502" s="11">
        <f>IF(B502="Pensioner",1,VLOOKUP(Assumptions!$B$10,Mortality!$A$2:$F$104,6,FALSE)/VLOOKUP(C502,Mortality!$A$2:$F$104,6,FALSE))</f>
        <v>0.97507997078383857</v>
      </c>
      <c r="L502" s="11">
        <f>VLOOKUP(IF(B502="Pensioner",C502,Assumptions!$B$10),Mortality!$A$2:$E$104,5,FALSE)</f>
        <v>17.296790022132885</v>
      </c>
      <c r="M502" s="11">
        <f>1+Assumptions!$B$13*Assumptions!$B$14*Assumptions!$B$15</f>
        <v>1.3187500000000001</v>
      </c>
      <c r="N502" s="11">
        <f>IF(B502="Pensioner",1,1/(1+Assumptions!$B$6)^G502)</f>
        <v>0.32188968512839738</v>
      </c>
      <c r="O502" s="17">
        <f t="shared" si="7"/>
        <v>463147.84038655687</v>
      </c>
    </row>
    <row r="503" spans="1:15">
      <c r="A503" s="13" t="str">
        <f>Members!A503</f>
        <v>A0012</v>
      </c>
      <c r="B503" s="13" t="str">
        <f>Members!B503</f>
        <v>Active</v>
      </c>
      <c r="C503" s="13">
        <f>Members!C503</f>
        <v>36</v>
      </c>
      <c r="D503" s="14">
        <f>Members!D503</f>
        <v>5.2</v>
      </c>
      <c r="E503" s="16">
        <f>Members!E503</f>
        <v>538000</v>
      </c>
      <c r="F503" s="16">
        <f>Members!F503</f>
        <v>0</v>
      </c>
      <c r="G503" s="15">
        <f>MAX(0,Assumptions!$B$10-C503)</f>
        <v>24</v>
      </c>
      <c r="H503" s="17">
        <f>IF(B503="Active",E503*(1+Assumptions!$B$7)^G503,E503)</f>
        <v>1944649.3683014747</v>
      </c>
      <c r="I503" s="17">
        <f>IF(B503="Active",MIN(Assumptions!$B$12,D503+G503),IF(B503="Deferred",MIN(Assumptions!$B$12,D503),D503))</f>
        <v>29.2</v>
      </c>
      <c r="J503" s="17">
        <f>IF(B503="Active",H503*I503*Assumptions!$B$11,IF(B503="Deferred",E503*I503*Assumptions!$B$11*(1+Assumptions!$B$9)^G503,F503))</f>
        <v>946396.02590671764</v>
      </c>
      <c r="K503" s="11">
        <f>IF(B503="Pensioner",1,VLOOKUP(Assumptions!$B$10,Mortality!$A$2:$F$104,6,FALSE)/VLOOKUP(C503,Mortality!$A$2:$F$104,6,FALSE))</f>
        <v>0.97234503055413524</v>
      </c>
      <c r="L503" s="11">
        <f>VLOOKUP(IF(B503="Pensioner",C503,Assumptions!$B$10),Mortality!$A$2:$E$104,5,FALSE)</f>
        <v>17.296790022132885</v>
      </c>
      <c r="M503" s="11">
        <f>1+Assumptions!$B$13*Assumptions!$B$14*Assumptions!$B$15</f>
        <v>1.3187500000000001</v>
      </c>
      <c r="N503" s="11">
        <f>IF(B503="Pensioner",1,1/(1+Assumptions!$B$6)^G503)</f>
        <v>0.22060198370796386</v>
      </c>
      <c r="O503" s="17">
        <f t="shared" si="7"/>
        <v>4630530.0422100583</v>
      </c>
    </row>
    <row r="504" spans="1:15">
      <c r="A504" s="13" t="str">
        <f>Members!A504</f>
        <v>A0507</v>
      </c>
      <c r="B504" s="13" t="str">
        <f>Members!B504</f>
        <v>Active</v>
      </c>
      <c r="C504" s="13">
        <f>Members!C504</f>
        <v>58</v>
      </c>
      <c r="D504" s="14">
        <f>Members!D504</f>
        <v>9.4</v>
      </c>
      <c r="E504" s="16">
        <f>Members!E504</f>
        <v>1416000</v>
      </c>
      <c r="F504" s="16">
        <f>Members!F504</f>
        <v>0</v>
      </c>
      <c r="G504" s="15">
        <f>MAX(0,Assumptions!$B$10-C504)</f>
        <v>2</v>
      </c>
      <c r="H504" s="17">
        <f>IF(B504="Active",E504*(1+Assumptions!$B$7)^G504,E504)</f>
        <v>1576043.4</v>
      </c>
      <c r="I504" s="17">
        <f>IF(B504="Active",MIN(Assumptions!$B$12,D504+G504),IF(B504="Deferred",MIN(Assumptions!$B$12,D504),D504))</f>
        <v>11.4</v>
      </c>
      <c r="J504" s="17">
        <f>IF(B504="Active",H504*I504*Assumptions!$B$11,IF(B504="Deferred",E504*I504*Assumptions!$B$11*(1+Assumptions!$B$9)^G504,F504))</f>
        <v>299448.24599999998</v>
      </c>
      <c r="K504" s="11">
        <f>IF(B504="Pensioner",1,VLOOKUP(Assumptions!$B$10,Mortality!$A$2:$F$104,6,FALSE)/VLOOKUP(C504,Mortality!$A$2:$F$104,6,FALSE))</f>
        <v>0.99452130442038367</v>
      </c>
      <c r="L504" s="11">
        <f>VLOOKUP(IF(B504="Pensioner",C504,Assumptions!$B$10),Mortality!$A$2:$E$104,5,FALSE)</f>
        <v>17.296790022132885</v>
      </c>
      <c r="M504" s="11">
        <f>1+Assumptions!$B$13*Assumptions!$B$14*Assumptions!$B$15</f>
        <v>1.3187500000000001</v>
      </c>
      <c r="N504" s="11">
        <f>IF(B504="Pensioner",1,1/(1+Assumptions!$B$6)^G504)</f>
        <v>0.88165928277017358</v>
      </c>
      <c r="O504" s="17">
        <f t="shared" si="7"/>
        <v>5989142.3404711904</v>
      </c>
    </row>
    <row r="505" spans="1:15">
      <c r="A505" s="13" t="str">
        <f>Members!A505</f>
        <v>P0118</v>
      </c>
      <c r="B505" s="13" t="str">
        <f>Members!B505</f>
        <v>Pensioner</v>
      </c>
      <c r="C505" s="13">
        <f>Members!C505</f>
        <v>65</v>
      </c>
      <c r="D505" s="14">
        <f>Members!D505</f>
        <v>15.1</v>
      </c>
      <c r="E505" s="16">
        <f>Members!E505</f>
        <v>0</v>
      </c>
      <c r="F505" s="16">
        <f>Members!F505</f>
        <v>204000</v>
      </c>
      <c r="G505" s="15">
        <f>MAX(0,Assumptions!$B$10-C505)</f>
        <v>0</v>
      </c>
      <c r="H505" s="17">
        <f>IF(B505="Active",E505*(1+Assumptions!$B$7)^G505,E505)</f>
        <v>0</v>
      </c>
      <c r="I505" s="17">
        <f>IF(B505="Active",MIN(Assumptions!$B$12,D505+G505),IF(B505="Deferred",MIN(Assumptions!$B$12,D505),D505))</f>
        <v>15.1</v>
      </c>
      <c r="J505" s="17">
        <f>IF(B505="Active",H505*I505*Assumptions!$B$11,IF(B505="Deferred",E505*I505*Assumptions!$B$11*(1+Assumptions!$B$9)^G505,F505))</f>
        <v>204000</v>
      </c>
      <c r="K505" s="11">
        <f>IF(B505="Pensioner",1,VLOOKUP(Assumptions!$B$10,Mortality!$A$2:$F$104,6,FALSE)/VLOOKUP(C505,Mortality!$A$2:$F$104,6,FALSE))</f>
        <v>1</v>
      </c>
      <c r="L505" s="11">
        <f>VLOOKUP(IF(B505="Pensioner",C505,Assumptions!$B$10),Mortality!$A$2:$E$104,5,FALSE)</f>
        <v>15.196570962158528</v>
      </c>
      <c r="M505" s="11">
        <f>1+Assumptions!$B$13*Assumptions!$B$14*Assumptions!$B$15</f>
        <v>1.3187500000000001</v>
      </c>
      <c r="N505" s="11">
        <f>IF(B505="Pensioner",1,1/(1+Assumptions!$B$6)^G505)</f>
        <v>1</v>
      </c>
      <c r="O505" s="17">
        <f t="shared" si="7"/>
        <v>4088257.5030946988</v>
      </c>
    </row>
    <row r="506" spans="1:15">
      <c r="A506" s="13" t="str">
        <f>Members!A506</f>
        <v>D0109</v>
      </c>
      <c r="B506" s="13" t="str">
        <f>Members!B506</f>
        <v>Deferred</v>
      </c>
      <c r="C506" s="13">
        <f>Members!C506</f>
        <v>32</v>
      </c>
      <c r="D506" s="14">
        <f>Members!D506</f>
        <v>3.8</v>
      </c>
      <c r="E506" s="16">
        <f>Members!E506</f>
        <v>503000</v>
      </c>
      <c r="F506" s="16">
        <f>Members!F506</f>
        <v>0</v>
      </c>
      <c r="G506" s="15">
        <f>MAX(0,Assumptions!$B$10-C506)</f>
        <v>28</v>
      </c>
      <c r="H506" s="17">
        <f>IF(B506="Active",E506*(1+Assumptions!$B$7)^G506,E506)</f>
        <v>503000</v>
      </c>
      <c r="I506" s="17">
        <f>IF(B506="Active",MIN(Assumptions!$B$12,D506+G506),IF(B506="Deferred",MIN(Assumptions!$B$12,D506),D506))</f>
        <v>3.8</v>
      </c>
      <c r="J506" s="17">
        <f>IF(B506="Active",H506*I506*Assumptions!$B$11,IF(B506="Deferred",E506*I506*Assumptions!$B$11*(1+Assumptions!$B$9)^G506,F506))</f>
        <v>95528.692071416503</v>
      </c>
      <c r="K506" s="11">
        <f>IF(B506="Pensioner",1,VLOOKUP(Assumptions!$B$10,Mortality!$A$2:$F$104,6,FALSE)/VLOOKUP(C506,Mortality!$A$2:$F$104,6,FALSE))</f>
        <v>0.97095846876649572</v>
      </c>
      <c r="L506" s="11">
        <f>VLOOKUP(IF(B506="Pensioner",C506,Assumptions!$B$10),Mortality!$A$2:$E$104,5,FALSE)</f>
        <v>17.296790022132885</v>
      </c>
      <c r="M506" s="11">
        <f>1+Assumptions!$B$13*Assumptions!$B$14*Assumptions!$B$15</f>
        <v>1.3187500000000001</v>
      </c>
      <c r="N506" s="11">
        <f>IF(B506="Pensioner",1,1/(1+Assumptions!$B$6)^G506)</f>
        <v>0.17147901583340255</v>
      </c>
      <c r="O506" s="17">
        <f t="shared" si="7"/>
        <v>362805.15890846838</v>
      </c>
    </row>
    <row r="507" spans="1:15">
      <c r="A507" s="13" t="str">
        <f>Members!A507</f>
        <v>A0525</v>
      </c>
      <c r="B507" s="13" t="str">
        <f>Members!B507</f>
        <v>Active</v>
      </c>
      <c r="C507" s="13">
        <f>Members!C507</f>
        <v>31</v>
      </c>
      <c r="D507" s="14">
        <f>Members!D507</f>
        <v>5.3</v>
      </c>
      <c r="E507" s="16">
        <f>Members!E507</f>
        <v>430000</v>
      </c>
      <c r="F507" s="16">
        <f>Members!F507</f>
        <v>0</v>
      </c>
      <c r="G507" s="15">
        <f>MAX(0,Assumptions!$B$10-C507)</f>
        <v>29</v>
      </c>
      <c r="H507" s="17">
        <f>IF(B507="Active",E507*(1+Assumptions!$B$7)^G507,E507)</f>
        <v>2031373.5109098349</v>
      </c>
      <c r="I507" s="17">
        <f>IF(B507="Active",MIN(Assumptions!$B$12,D507+G507),IF(B507="Deferred",MIN(Assumptions!$B$12,D507),D507))</f>
        <v>34.299999999999997</v>
      </c>
      <c r="J507" s="17">
        <f>IF(B507="Active",H507*I507*Assumptions!$B$11,IF(B507="Deferred",E507*I507*Assumptions!$B$11*(1+Assumptions!$B$9)^G507,F507))</f>
        <v>1161268.5237367889</v>
      </c>
      <c r="K507" s="11">
        <f>IF(B507="Pensioner",1,VLOOKUP(Assumptions!$B$10,Mortality!$A$2:$F$104,6,FALSE)/VLOOKUP(C507,Mortality!$A$2:$F$104,6,FALSE))</f>
        <v>0.97064661072952085</v>
      </c>
      <c r="L507" s="11">
        <f>VLOOKUP(IF(B507="Pensioner",C507,Assumptions!$B$10),Mortality!$A$2:$E$104,5,FALSE)</f>
        <v>17.296790022132885</v>
      </c>
      <c r="M507" s="11">
        <f>1+Assumptions!$B$13*Assumptions!$B$14*Assumptions!$B$15</f>
        <v>1.3187500000000001</v>
      </c>
      <c r="N507" s="11">
        <f>IF(B507="Pensioner",1,1/(1+Assumptions!$B$6)^G507)</f>
        <v>0.16101316040695074</v>
      </c>
      <c r="O507" s="17">
        <f t="shared" si="7"/>
        <v>4139836.1965089459</v>
      </c>
    </row>
    <row r="508" spans="1:15">
      <c r="A508" s="13" t="str">
        <f>Members!A508</f>
        <v>A0397</v>
      </c>
      <c r="B508" s="13" t="str">
        <f>Members!B508</f>
        <v>Active</v>
      </c>
      <c r="C508" s="13">
        <f>Members!C508</f>
        <v>40</v>
      </c>
      <c r="D508" s="14">
        <f>Members!D508</f>
        <v>10.9</v>
      </c>
      <c r="E508" s="16">
        <f>Members!E508</f>
        <v>891000</v>
      </c>
      <c r="F508" s="16">
        <f>Members!F508</f>
        <v>0</v>
      </c>
      <c r="G508" s="15">
        <f>MAX(0,Assumptions!$B$10-C508)</f>
        <v>20</v>
      </c>
      <c r="H508" s="17">
        <f>IF(B508="Active",E508*(1+Assumptions!$B$7)^G508,E508)</f>
        <v>2599721.9241282437</v>
      </c>
      <c r="I508" s="17">
        <f>IF(B508="Active",MIN(Assumptions!$B$12,D508+G508),IF(B508="Deferred",MIN(Assumptions!$B$12,D508),D508))</f>
        <v>30.9</v>
      </c>
      <c r="J508" s="17">
        <f>IF(B508="Active",H508*I508*Assumptions!$B$11,IF(B508="Deferred",E508*I508*Assumptions!$B$11*(1+Assumptions!$B$9)^G508,F508))</f>
        <v>1338856.7909260455</v>
      </c>
      <c r="K508" s="11">
        <f>IF(B508="Pensioner",1,VLOOKUP(Assumptions!$B$10,Mortality!$A$2:$F$104,6,FALSE)/VLOOKUP(C508,Mortality!$A$2:$F$104,6,FALSE))</f>
        <v>0.97405112431987673</v>
      </c>
      <c r="L508" s="11">
        <f>VLOOKUP(IF(B508="Pensioner",C508,Assumptions!$B$10),Mortality!$A$2:$E$104,5,FALSE)</f>
        <v>17.296790022132885</v>
      </c>
      <c r="M508" s="11">
        <f>1+Assumptions!$B$13*Assumptions!$B$14*Assumptions!$B$15</f>
        <v>1.3187500000000001</v>
      </c>
      <c r="N508" s="11">
        <f>IF(B508="Pensioner",1,1/(1+Assumptions!$B$6)^G508)</f>
        <v>0.28379702892141989</v>
      </c>
      <c r="O508" s="17">
        <f t="shared" si="7"/>
        <v>8442123.6351495218</v>
      </c>
    </row>
    <row r="509" spans="1:15">
      <c r="A509" s="13" t="str">
        <f>Members!A509</f>
        <v>P0150</v>
      </c>
      <c r="B509" s="13" t="str">
        <f>Members!B509</f>
        <v>Pensioner</v>
      </c>
      <c r="C509" s="13">
        <f>Members!C509</f>
        <v>70</v>
      </c>
      <c r="D509" s="14">
        <f>Members!D509</f>
        <v>32.1</v>
      </c>
      <c r="E509" s="16">
        <f>Members!E509</f>
        <v>0</v>
      </c>
      <c r="F509" s="16">
        <f>Members!F509</f>
        <v>346000</v>
      </c>
      <c r="G509" s="15">
        <f>MAX(0,Assumptions!$B$10-C509)</f>
        <v>0</v>
      </c>
      <c r="H509" s="17">
        <f>IF(B509="Active",E509*(1+Assumptions!$B$7)^G509,E509)</f>
        <v>0</v>
      </c>
      <c r="I509" s="17">
        <f>IF(B509="Active",MIN(Assumptions!$B$12,D509+G509),IF(B509="Deferred",MIN(Assumptions!$B$12,D509),D509))</f>
        <v>32.1</v>
      </c>
      <c r="J509" s="17">
        <f>IF(B509="Active",H509*I509*Assumptions!$B$11,IF(B509="Deferred",E509*I509*Assumptions!$B$11*(1+Assumptions!$B$9)^G509,F509))</f>
        <v>346000</v>
      </c>
      <c r="K509" s="11">
        <f>IF(B509="Pensioner",1,VLOOKUP(Assumptions!$B$10,Mortality!$A$2:$F$104,6,FALSE)/VLOOKUP(C509,Mortality!$A$2:$F$104,6,FALSE))</f>
        <v>1</v>
      </c>
      <c r="L509" s="11">
        <f>VLOOKUP(IF(B509="Pensioner",C509,Assumptions!$B$10),Mortality!$A$2:$E$104,5,FALSE)</f>
        <v>12.963998211865617</v>
      </c>
      <c r="M509" s="11">
        <f>1+Assumptions!$B$13*Assumptions!$B$14*Assumptions!$B$15</f>
        <v>1.3187500000000001</v>
      </c>
      <c r="N509" s="11">
        <f>IF(B509="Pensioner",1,1/(1+Assumptions!$B$6)^G509)</f>
        <v>1</v>
      </c>
      <c r="O509" s="17">
        <f t="shared" si="7"/>
        <v>5915310.3340966329</v>
      </c>
    </row>
    <row r="510" spans="1:15">
      <c r="A510" s="13" t="str">
        <f>Members!A510</f>
        <v>P0199</v>
      </c>
      <c r="B510" s="13" t="str">
        <f>Members!B510</f>
        <v>Pensioner</v>
      </c>
      <c r="C510" s="13">
        <f>Members!C510</f>
        <v>61</v>
      </c>
      <c r="D510" s="14">
        <f>Members!D510</f>
        <v>33.4</v>
      </c>
      <c r="E510" s="16">
        <f>Members!E510</f>
        <v>0</v>
      </c>
      <c r="F510" s="16">
        <f>Members!F510</f>
        <v>300000</v>
      </c>
      <c r="G510" s="15">
        <f>MAX(0,Assumptions!$B$10-C510)</f>
        <v>0</v>
      </c>
      <c r="H510" s="17">
        <f>IF(B510="Active",E510*(1+Assumptions!$B$7)^G510,E510)</f>
        <v>0</v>
      </c>
      <c r="I510" s="17">
        <f>IF(B510="Active",MIN(Assumptions!$B$12,D510+G510),IF(B510="Deferred",MIN(Assumptions!$B$12,D510),D510))</f>
        <v>33.4</v>
      </c>
      <c r="J510" s="17">
        <f>IF(B510="Active",H510*I510*Assumptions!$B$11,IF(B510="Deferred",E510*I510*Assumptions!$B$11*(1+Assumptions!$B$9)^G510,F510))</f>
        <v>300000</v>
      </c>
      <c r="K510" s="11">
        <f>IF(B510="Pensioner",1,VLOOKUP(Assumptions!$B$10,Mortality!$A$2:$F$104,6,FALSE)/VLOOKUP(C510,Mortality!$A$2:$F$104,6,FALSE))</f>
        <v>1</v>
      </c>
      <c r="L510" s="11">
        <f>VLOOKUP(IF(B510="Pensioner",C510,Assumptions!$B$10),Mortality!$A$2:$E$104,5,FALSE)</f>
        <v>16.889485221588366</v>
      </c>
      <c r="M510" s="11">
        <f>1+Assumptions!$B$13*Assumptions!$B$14*Assumptions!$B$15</f>
        <v>1.3187500000000001</v>
      </c>
      <c r="N510" s="11">
        <f>IF(B510="Pensioner",1,1/(1+Assumptions!$B$6)^G510)</f>
        <v>1</v>
      </c>
      <c r="O510" s="17">
        <f t="shared" si="7"/>
        <v>6681902.5907908976</v>
      </c>
    </row>
    <row r="511" spans="1:15">
      <c r="A511" s="13" t="str">
        <f>Members!A511</f>
        <v>P0089</v>
      </c>
      <c r="B511" s="13" t="str">
        <f>Members!B511</f>
        <v>Pensioner</v>
      </c>
      <c r="C511" s="13">
        <f>Members!C511</f>
        <v>83</v>
      </c>
      <c r="D511" s="14">
        <f>Members!D511</f>
        <v>19.3</v>
      </c>
      <c r="E511" s="16">
        <f>Members!E511</f>
        <v>0</v>
      </c>
      <c r="F511" s="16">
        <f>Members!F511</f>
        <v>706000</v>
      </c>
      <c r="G511" s="15">
        <f>MAX(0,Assumptions!$B$10-C511)</f>
        <v>0</v>
      </c>
      <c r="H511" s="17">
        <f>IF(B511="Active",E511*(1+Assumptions!$B$7)^G511,E511)</f>
        <v>0</v>
      </c>
      <c r="I511" s="17">
        <f>IF(B511="Active",MIN(Assumptions!$B$12,D511+G511),IF(B511="Deferred",MIN(Assumptions!$B$12,D511),D511))</f>
        <v>19.3</v>
      </c>
      <c r="J511" s="17">
        <f>IF(B511="Active",H511*I511*Assumptions!$B$11,IF(B511="Deferred",E511*I511*Assumptions!$B$11*(1+Assumptions!$B$9)^G511,F511))</f>
        <v>706000</v>
      </c>
      <c r="K511" s="11">
        <f>IF(B511="Pensioner",1,VLOOKUP(Assumptions!$B$10,Mortality!$A$2:$F$104,6,FALSE)/VLOOKUP(C511,Mortality!$A$2:$F$104,6,FALSE))</f>
        <v>1</v>
      </c>
      <c r="L511" s="11">
        <f>VLOOKUP(IF(B511="Pensioner",C511,Assumptions!$B$10),Mortality!$A$2:$E$104,5,FALSE)</f>
        <v>7.0669562738307876</v>
      </c>
      <c r="M511" s="11">
        <f>1+Assumptions!$B$13*Assumptions!$B$14*Assumptions!$B$15</f>
        <v>1.3187500000000001</v>
      </c>
      <c r="N511" s="11">
        <f>IF(B511="Pensioner",1,1/(1+Assumptions!$B$6)^G511)</f>
        <v>1</v>
      </c>
      <c r="O511" s="17">
        <f t="shared" si="7"/>
        <v>6579601.3017967325</v>
      </c>
    </row>
    <row r="512" spans="1:15">
      <c r="A512" s="13" t="str">
        <f>Members!A512</f>
        <v>A0106</v>
      </c>
      <c r="B512" s="13" t="str">
        <f>Members!B512</f>
        <v>Active</v>
      </c>
      <c r="C512" s="13">
        <f>Members!C512</f>
        <v>58</v>
      </c>
      <c r="D512" s="14">
        <f>Members!D512</f>
        <v>20.9</v>
      </c>
      <c r="E512" s="16">
        <f>Members!E512</f>
        <v>2507000</v>
      </c>
      <c r="F512" s="16">
        <f>Members!F512</f>
        <v>0</v>
      </c>
      <c r="G512" s="15">
        <f>MAX(0,Assumptions!$B$10-C512)</f>
        <v>2</v>
      </c>
      <c r="H512" s="17">
        <f>IF(B512="Active",E512*(1+Assumptions!$B$7)^G512,E512)</f>
        <v>2790353.6749999998</v>
      </c>
      <c r="I512" s="17">
        <f>IF(B512="Active",MIN(Assumptions!$B$12,D512+G512),IF(B512="Deferred",MIN(Assumptions!$B$12,D512),D512))</f>
        <v>22.9</v>
      </c>
      <c r="J512" s="17">
        <f>IF(B512="Active",H512*I512*Assumptions!$B$11,IF(B512="Deferred",E512*I512*Assumptions!$B$11*(1+Assumptions!$B$9)^G512,F512))</f>
        <v>1064984.9859583331</v>
      </c>
      <c r="K512" s="11">
        <f>IF(B512="Pensioner",1,VLOOKUP(Assumptions!$B$10,Mortality!$A$2:$F$104,6,FALSE)/VLOOKUP(C512,Mortality!$A$2:$F$104,6,FALSE))</f>
        <v>0.99452130442038367</v>
      </c>
      <c r="L512" s="11">
        <f>VLOOKUP(IF(B512="Pensioner",C512,Assumptions!$B$10),Mortality!$A$2:$E$104,5,FALSE)</f>
        <v>17.296790022132885</v>
      </c>
      <c r="M512" s="11">
        <f>1+Assumptions!$B$13*Assumptions!$B$14*Assumptions!$B$15</f>
        <v>1.3187500000000001</v>
      </c>
      <c r="N512" s="11">
        <f>IF(B512="Pensioner",1,1/(1+Assumptions!$B$6)^G512)</f>
        <v>0.88165928277017358</v>
      </c>
      <c r="O512" s="17">
        <f t="shared" si="7"/>
        <v>21300330.713472169</v>
      </c>
    </row>
    <row r="513" spans="1:15">
      <c r="A513" s="13" t="str">
        <f>Members!A513</f>
        <v>A0519</v>
      </c>
      <c r="B513" s="13" t="str">
        <f>Members!B513</f>
        <v>Active</v>
      </c>
      <c r="C513" s="13">
        <f>Members!C513</f>
        <v>56</v>
      </c>
      <c r="D513" s="14">
        <f>Members!D513</f>
        <v>5.0999999999999996</v>
      </c>
      <c r="E513" s="16">
        <f>Members!E513</f>
        <v>1593000</v>
      </c>
      <c r="F513" s="16">
        <f>Members!F513</f>
        <v>0</v>
      </c>
      <c r="G513" s="15">
        <f>MAX(0,Assumptions!$B$10-C513)</f>
        <v>4</v>
      </c>
      <c r="H513" s="17">
        <f>IF(B513="Active",E513*(1+Assumptions!$B$7)^G513,E513)</f>
        <v>1973447.6684456246</v>
      </c>
      <c r="I513" s="17">
        <f>IF(B513="Active",MIN(Assumptions!$B$12,D513+G513),IF(B513="Deferred",MIN(Assumptions!$B$12,D513),D513))</f>
        <v>9.1</v>
      </c>
      <c r="J513" s="17">
        <f>IF(B513="Active",H513*I513*Assumptions!$B$11,IF(B513="Deferred",E513*I513*Assumptions!$B$11*(1+Assumptions!$B$9)^G513,F513))</f>
        <v>299306.22971425304</v>
      </c>
      <c r="K513" s="11">
        <f>IF(B513="Pensioner",1,VLOOKUP(Assumptions!$B$10,Mortality!$A$2:$F$104,6,FALSE)/VLOOKUP(C513,Mortality!$A$2:$F$104,6,FALSE))</f>
        <v>0.99011625581042195</v>
      </c>
      <c r="L513" s="11">
        <f>VLOOKUP(IF(B513="Pensioner",C513,Assumptions!$B$10),Mortality!$A$2:$E$104,5,FALSE)</f>
        <v>17.296790022132885</v>
      </c>
      <c r="M513" s="11">
        <f>1+Assumptions!$B$13*Assumptions!$B$14*Assumptions!$B$15</f>
        <v>1.3187500000000001</v>
      </c>
      <c r="N513" s="11">
        <f>IF(B513="Pensioner",1,1/(1+Assumptions!$B$6)^G513)</f>
        <v>0.77732309089481699</v>
      </c>
      <c r="O513" s="17">
        <f t="shared" si="7"/>
        <v>5254501.2769044852</v>
      </c>
    </row>
    <row r="514" spans="1:15">
      <c r="A514" s="13" t="str">
        <f>Members!A514</f>
        <v>D0107</v>
      </c>
      <c r="B514" s="13" t="str">
        <f>Members!B514</f>
        <v>Deferred</v>
      </c>
      <c r="C514" s="13">
        <f>Members!C514</f>
        <v>36</v>
      </c>
      <c r="D514" s="14">
        <f>Members!D514</f>
        <v>5.4</v>
      </c>
      <c r="E514" s="16">
        <f>Members!E514</f>
        <v>528000</v>
      </c>
      <c r="F514" s="16">
        <f>Members!F514</f>
        <v>0</v>
      </c>
      <c r="G514" s="15">
        <f>MAX(0,Assumptions!$B$10-C514)</f>
        <v>24</v>
      </c>
      <c r="H514" s="17">
        <f>IF(B514="Active",E514*(1+Assumptions!$B$7)^G514,E514)</f>
        <v>528000</v>
      </c>
      <c r="I514" s="17">
        <f>IF(B514="Active",MIN(Assumptions!$B$12,D514+G514),IF(B514="Deferred",MIN(Assumptions!$B$12,D514),D514))</f>
        <v>5.4</v>
      </c>
      <c r="J514" s="17">
        <f>IF(B514="Active",H514*I514*Assumptions!$B$11,IF(B514="Deferred",E514*I514*Assumptions!$B$11*(1+Assumptions!$B$9)^G514,F514))</f>
        <v>121808.21391565609</v>
      </c>
      <c r="K514" s="11">
        <f>IF(B514="Pensioner",1,VLOOKUP(Assumptions!$B$10,Mortality!$A$2:$F$104,6,FALSE)/VLOOKUP(C514,Mortality!$A$2:$F$104,6,FALSE))</f>
        <v>0.97234503055413524</v>
      </c>
      <c r="L514" s="11">
        <f>VLOOKUP(IF(B514="Pensioner",C514,Assumptions!$B$10),Mortality!$A$2:$E$104,5,FALSE)</f>
        <v>17.296790022132885</v>
      </c>
      <c r="M514" s="11">
        <f>1+Assumptions!$B$13*Assumptions!$B$14*Assumptions!$B$15</f>
        <v>1.3187500000000001</v>
      </c>
      <c r="N514" s="11">
        <f>IF(B514="Pensioner",1,1/(1+Assumptions!$B$6)^G514)</f>
        <v>0.22060198370796386</v>
      </c>
      <c r="O514" s="17">
        <f t="shared" ref="O514:O577" si="8">J514*K514*L514*M514*N514</f>
        <v>595983.68810140132</v>
      </c>
    </row>
    <row r="515" spans="1:15">
      <c r="A515" s="13" t="str">
        <f>Members!A515</f>
        <v>A0530</v>
      </c>
      <c r="B515" s="13" t="str">
        <f>Members!B515</f>
        <v>Active</v>
      </c>
      <c r="C515" s="13">
        <f>Members!C515</f>
        <v>54</v>
      </c>
      <c r="D515" s="14">
        <f>Members!D515</f>
        <v>11.9</v>
      </c>
      <c r="E515" s="16">
        <f>Members!E515</f>
        <v>2063000</v>
      </c>
      <c r="F515" s="16">
        <f>Members!F515</f>
        <v>0</v>
      </c>
      <c r="G515" s="15">
        <f>MAX(0,Assumptions!$B$10-C515)</f>
        <v>6</v>
      </c>
      <c r="H515" s="17">
        <f>IF(B515="Active",E515*(1+Assumptions!$B$7)^G515,E515)</f>
        <v>2844552.7103497796</v>
      </c>
      <c r="I515" s="17">
        <f>IF(B515="Active",MIN(Assumptions!$B$12,D515+G515),IF(B515="Deferred",MIN(Assumptions!$B$12,D515),D515))</f>
        <v>17.899999999999999</v>
      </c>
      <c r="J515" s="17">
        <f>IF(B515="Active",H515*I515*Assumptions!$B$11,IF(B515="Deferred",E515*I515*Assumptions!$B$11*(1+Assumptions!$B$9)^G515,F515))</f>
        <v>848624.89192101755</v>
      </c>
      <c r="K515" s="11">
        <f>IF(B515="Pensioner",1,VLOOKUP(Assumptions!$B$10,Mortality!$A$2:$F$104,6,FALSE)/VLOOKUP(C515,Mortality!$A$2:$F$104,6,FALSE))</f>
        <v>0.98655351190569374</v>
      </c>
      <c r="L515" s="11">
        <f>VLOOKUP(IF(B515="Pensioner",C515,Assumptions!$B$10),Mortality!$A$2:$E$104,5,FALSE)</f>
        <v>17.296790022132885</v>
      </c>
      <c r="M515" s="11">
        <f>1+Assumptions!$B$13*Assumptions!$B$14*Assumptions!$B$15</f>
        <v>1.3187500000000001</v>
      </c>
      <c r="N515" s="11">
        <f>IF(B515="Pensioner",1,1/(1+Assumptions!$B$6)^G515)</f>
        <v>0.68533411879901873</v>
      </c>
      <c r="O515" s="17">
        <f t="shared" si="8"/>
        <v>13087803.096987143</v>
      </c>
    </row>
    <row r="516" spans="1:15">
      <c r="A516" s="13" t="str">
        <f>Members!A516</f>
        <v>A0143</v>
      </c>
      <c r="B516" s="13" t="str">
        <f>Members!B516</f>
        <v>Active</v>
      </c>
      <c r="C516" s="13">
        <f>Members!C516</f>
        <v>59</v>
      </c>
      <c r="D516" s="14">
        <f>Members!D516</f>
        <v>16.399999999999999</v>
      </c>
      <c r="E516" s="16">
        <f>Members!E516</f>
        <v>2317000</v>
      </c>
      <c r="F516" s="16">
        <f>Members!F516</f>
        <v>0</v>
      </c>
      <c r="G516" s="15">
        <f>MAX(0,Assumptions!$B$10-C516)</f>
        <v>1</v>
      </c>
      <c r="H516" s="17">
        <f>IF(B516="Active",E516*(1+Assumptions!$B$7)^G516,E516)</f>
        <v>2444435</v>
      </c>
      <c r="I516" s="17">
        <f>IF(B516="Active",MIN(Assumptions!$B$12,D516+G516),IF(B516="Deferred",MIN(Assumptions!$B$12,D516),D516))</f>
        <v>17.399999999999999</v>
      </c>
      <c r="J516" s="17">
        <f>IF(B516="Active",H516*I516*Assumptions!$B$11,IF(B516="Deferred",E516*I516*Assumptions!$B$11*(1+Assumptions!$B$9)^G516,F516))</f>
        <v>708886.15</v>
      </c>
      <c r="K516" s="11">
        <f>IF(B516="Pensioner",1,VLOOKUP(Assumptions!$B$10,Mortality!$A$2:$F$104,6,FALSE)/VLOOKUP(C516,Mortality!$A$2:$F$104,6,FALSE))</f>
        <v>0.99710960118319747</v>
      </c>
      <c r="L516" s="11">
        <f>VLOOKUP(IF(B516="Pensioner",C516,Assumptions!$B$10),Mortality!$A$2:$E$104,5,FALSE)</f>
        <v>17.296790022132885</v>
      </c>
      <c r="M516" s="11">
        <f>1+Assumptions!$B$13*Assumptions!$B$14*Assumptions!$B$15</f>
        <v>1.3187500000000001</v>
      </c>
      <c r="N516" s="11">
        <f>IF(B516="Pensioner",1,1/(1+Assumptions!$B$6)^G516)</f>
        <v>0.93896713615023475</v>
      </c>
      <c r="O516" s="17">
        <f t="shared" si="8"/>
        <v>15139020.167820318</v>
      </c>
    </row>
    <row r="517" spans="1:15">
      <c r="A517" s="13" t="str">
        <f>Members!A517</f>
        <v>D0040</v>
      </c>
      <c r="B517" s="13" t="str">
        <f>Members!B517</f>
        <v>Deferred</v>
      </c>
      <c r="C517" s="13">
        <f>Members!C517</f>
        <v>36</v>
      </c>
      <c r="D517" s="14">
        <f>Members!D517</f>
        <v>6.5</v>
      </c>
      <c r="E517" s="16">
        <f>Members!E517</f>
        <v>628000</v>
      </c>
      <c r="F517" s="16">
        <f>Members!F517</f>
        <v>0</v>
      </c>
      <c r="G517" s="15">
        <f>MAX(0,Assumptions!$B$10-C517)</f>
        <v>24</v>
      </c>
      <c r="H517" s="17">
        <f>IF(B517="Active",E517*(1+Assumptions!$B$7)^G517,E517)</f>
        <v>628000</v>
      </c>
      <c r="I517" s="17">
        <f>IF(B517="Active",MIN(Assumptions!$B$12,D517+G517),IF(B517="Deferred",MIN(Assumptions!$B$12,D517),D517))</f>
        <v>6.5</v>
      </c>
      <c r="J517" s="17">
        <f>IF(B517="Active",H517*I517*Assumptions!$B$11,IF(B517="Deferred",E517*I517*Assumptions!$B$11*(1+Assumptions!$B$9)^G517,F517))</f>
        <v>174390.12668480224</v>
      </c>
      <c r="K517" s="11">
        <f>IF(B517="Pensioner",1,VLOOKUP(Assumptions!$B$10,Mortality!$A$2:$F$104,6,FALSE)/VLOOKUP(C517,Mortality!$A$2:$F$104,6,FALSE))</f>
        <v>0.97234503055413524</v>
      </c>
      <c r="L517" s="11">
        <f>VLOOKUP(IF(B517="Pensioner",C517,Assumptions!$B$10),Mortality!$A$2:$E$104,5,FALSE)</f>
        <v>17.296790022132885</v>
      </c>
      <c r="M517" s="11">
        <f>1+Assumptions!$B$13*Assumptions!$B$14*Assumptions!$B$15</f>
        <v>1.3187500000000001</v>
      </c>
      <c r="N517" s="11">
        <f>IF(B517="Pensioner",1,1/(1+Assumptions!$B$6)^G517)</f>
        <v>0.22060198370796386</v>
      </c>
      <c r="O517" s="17">
        <f t="shared" si="8"/>
        <v>853256.66906212119</v>
      </c>
    </row>
    <row r="518" spans="1:15">
      <c r="A518" s="13" t="str">
        <f>Members!A518</f>
        <v>D0130</v>
      </c>
      <c r="B518" s="13" t="str">
        <f>Members!B518</f>
        <v>Deferred</v>
      </c>
      <c r="C518" s="13">
        <f>Members!C518</f>
        <v>47</v>
      </c>
      <c r="D518" s="14">
        <f>Members!D518</f>
        <v>16.5</v>
      </c>
      <c r="E518" s="16">
        <f>Members!E518</f>
        <v>747000</v>
      </c>
      <c r="F518" s="16">
        <f>Members!F518</f>
        <v>0</v>
      </c>
      <c r="G518" s="15">
        <f>MAX(0,Assumptions!$B$10-C518)</f>
        <v>13</v>
      </c>
      <c r="H518" s="17">
        <f>IF(B518="Active",E518*(1+Assumptions!$B$7)^G518,E518)</f>
        <v>747000</v>
      </c>
      <c r="I518" s="17">
        <f>IF(B518="Active",MIN(Assumptions!$B$12,D518+G518),IF(B518="Deferred",MIN(Assumptions!$B$12,D518),D518))</f>
        <v>16.5</v>
      </c>
      <c r="J518" s="17">
        <f>IF(B518="Active",H518*I518*Assumptions!$B$11,IF(B518="Deferred",E518*I518*Assumptions!$B$11*(1+Assumptions!$B$9)^G518,F518))</f>
        <v>342047.72523923666</v>
      </c>
      <c r="K518" s="11">
        <f>IF(B518="Pensioner",1,VLOOKUP(Assumptions!$B$10,Mortality!$A$2:$F$104,6,FALSE)/VLOOKUP(C518,Mortality!$A$2:$F$104,6,FALSE))</f>
        <v>0.97844516757479894</v>
      </c>
      <c r="L518" s="11">
        <f>VLOOKUP(IF(B518="Pensioner",C518,Assumptions!$B$10),Mortality!$A$2:$E$104,5,FALSE)</f>
        <v>17.296790022132885</v>
      </c>
      <c r="M518" s="11">
        <f>1+Assumptions!$B$13*Assumptions!$B$14*Assumptions!$B$15</f>
        <v>1.3187500000000001</v>
      </c>
      <c r="N518" s="11">
        <f>IF(B518="Pensioner",1,1/(1+Assumptions!$B$6)^G518)</f>
        <v>0.44101676468547191</v>
      </c>
      <c r="O518" s="17">
        <f t="shared" si="8"/>
        <v>3366714.4577992712</v>
      </c>
    </row>
    <row r="519" spans="1:15">
      <c r="A519" s="13" t="str">
        <f>Members!A519</f>
        <v>A0411</v>
      </c>
      <c r="B519" s="13" t="str">
        <f>Members!B519</f>
        <v>Active</v>
      </c>
      <c r="C519" s="13">
        <f>Members!C519</f>
        <v>33</v>
      </c>
      <c r="D519" s="14">
        <f>Members!D519</f>
        <v>2.1</v>
      </c>
      <c r="E519" s="16">
        <f>Members!E519</f>
        <v>830000</v>
      </c>
      <c r="F519" s="16">
        <f>Members!F519</f>
        <v>0</v>
      </c>
      <c r="G519" s="15">
        <f>MAX(0,Assumptions!$B$10-C519)</f>
        <v>27</v>
      </c>
      <c r="H519" s="17">
        <f>IF(B519="Active",E519*(1+Assumptions!$B$7)^G519,E519)</f>
        <v>3522852.8456237549</v>
      </c>
      <c r="I519" s="17">
        <f>IF(B519="Active",MIN(Assumptions!$B$12,D519+G519),IF(B519="Deferred",MIN(Assumptions!$B$12,D519),D519))</f>
        <v>29.1</v>
      </c>
      <c r="J519" s="17">
        <f>IF(B519="Active",H519*I519*Assumptions!$B$11,IF(B519="Deferred",E519*I519*Assumptions!$B$11*(1+Assumptions!$B$9)^G519,F519))</f>
        <v>1708583.630127521</v>
      </c>
      <c r="K519" s="11">
        <f>IF(B519="Pensioner",1,VLOOKUP(Assumptions!$B$10,Mortality!$A$2:$F$104,6,FALSE)/VLOOKUP(C519,Mortality!$A$2:$F$104,6,FALSE))</f>
        <v>0.9712826176321353</v>
      </c>
      <c r="L519" s="11">
        <f>VLOOKUP(IF(B519="Pensioner",C519,Assumptions!$B$10),Mortality!$A$2:$E$104,5,FALSE)</f>
        <v>17.296790022132885</v>
      </c>
      <c r="M519" s="11">
        <f>1+Assumptions!$B$13*Assumptions!$B$14*Assumptions!$B$15</f>
        <v>1.3187500000000001</v>
      </c>
      <c r="N519" s="11">
        <f>IF(B519="Pensioner",1,1/(1+Assumptions!$B$6)^G519)</f>
        <v>0.18262515186257369</v>
      </c>
      <c r="O519" s="17">
        <f t="shared" si="8"/>
        <v>6913061.7088916153</v>
      </c>
    </row>
    <row r="520" spans="1:15">
      <c r="A520" s="13" t="str">
        <f>Members!A520</f>
        <v>A0273</v>
      </c>
      <c r="B520" s="13" t="str">
        <f>Members!B520</f>
        <v>Active</v>
      </c>
      <c r="C520" s="13">
        <f>Members!C520</f>
        <v>51</v>
      </c>
      <c r="D520" s="14">
        <f>Members!D520</f>
        <v>19</v>
      </c>
      <c r="E520" s="16">
        <f>Members!E520</f>
        <v>1088000</v>
      </c>
      <c r="F520" s="16">
        <f>Members!F520</f>
        <v>0</v>
      </c>
      <c r="G520" s="15">
        <f>MAX(0,Assumptions!$B$10-C520)</f>
        <v>9</v>
      </c>
      <c r="H520" s="17">
        <f>IF(B520="Active",E520*(1+Assumptions!$B$7)^G520,E520)</f>
        <v>1761574.5693731841</v>
      </c>
      <c r="I520" s="17">
        <f>IF(B520="Active",MIN(Assumptions!$B$12,D520+G520),IF(B520="Deferred",MIN(Assumptions!$B$12,D520),D520))</f>
        <v>28</v>
      </c>
      <c r="J520" s="17">
        <f>IF(B520="Active",H520*I520*Assumptions!$B$11,IF(B520="Deferred",E520*I520*Assumptions!$B$11*(1+Assumptions!$B$9)^G520,F520))</f>
        <v>822068.13237415254</v>
      </c>
      <c r="K520" s="11">
        <f>IF(B520="Pensioner",1,VLOOKUP(Assumptions!$B$10,Mortality!$A$2:$F$104,6,FALSE)/VLOOKUP(C520,Mortality!$A$2:$F$104,6,FALSE))</f>
        <v>0.98240527975061542</v>
      </c>
      <c r="L520" s="11">
        <f>VLOOKUP(IF(B520="Pensioner",C520,Assumptions!$B$10),Mortality!$A$2:$E$104,5,FALSE)</f>
        <v>17.296790022132885</v>
      </c>
      <c r="M520" s="11">
        <f>1+Assumptions!$B$13*Assumptions!$B$14*Assumptions!$B$15</f>
        <v>1.3187500000000001</v>
      </c>
      <c r="N520" s="11">
        <f>IF(B520="Pensioner",1,1/(1+Assumptions!$B$6)^G520)</f>
        <v>0.56735322782936326</v>
      </c>
      <c r="O520" s="17">
        <f t="shared" si="8"/>
        <v>10451533.496258931</v>
      </c>
    </row>
    <row r="521" spans="1:15">
      <c r="A521" s="13" t="str">
        <f>Members!A521</f>
        <v>A0080</v>
      </c>
      <c r="B521" s="13" t="str">
        <f>Members!B521</f>
        <v>Active</v>
      </c>
      <c r="C521" s="13">
        <f>Members!C521</f>
        <v>44</v>
      </c>
      <c r="D521" s="14">
        <f>Members!D521</f>
        <v>21.4</v>
      </c>
      <c r="E521" s="16">
        <f>Members!E521</f>
        <v>1049000</v>
      </c>
      <c r="F521" s="16">
        <f>Members!F521</f>
        <v>0</v>
      </c>
      <c r="G521" s="15">
        <f>MAX(0,Assumptions!$B$10-C521)</f>
        <v>16</v>
      </c>
      <c r="H521" s="17">
        <f>IF(B521="Active",E521*(1+Assumptions!$B$7)^G521,E521)</f>
        <v>2470670.5715772775</v>
      </c>
      <c r="I521" s="17">
        <f>IF(B521="Active",MIN(Assumptions!$B$12,D521+G521),IF(B521="Deferred",MIN(Assumptions!$B$12,D521),D521))</f>
        <v>37.4</v>
      </c>
      <c r="J521" s="17">
        <f>IF(B521="Active",H521*I521*Assumptions!$B$11,IF(B521="Deferred",E521*I521*Assumptions!$B$11*(1+Assumptions!$B$9)^G521,F521))</f>
        <v>1540051.322949836</v>
      </c>
      <c r="K521" s="11">
        <f>IF(B521="Pensioner",1,VLOOKUP(Assumptions!$B$10,Mortality!$A$2:$F$104,6,FALSE)/VLOOKUP(C521,Mortality!$A$2:$F$104,6,FALSE))</f>
        <v>0.97626822121787327</v>
      </c>
      <c r="L521" s="11">
        <f>VLOOKUP(IF(B521="Pensioner",C521,Assumptions!$B$10),Mortality!$A$2:$E$104,5,FALSE)</f>
        <v>17.296790022132885</v>
      </c>
      <c r="M521" s="11">
        <f>1+Assumptions!$B$13*Assumptions!$B$14*Assumptions!$B$15</f>
        <v>1.3187500000000001</v>
      </c>
      <c r="N521" s="11">
        <f>IF(B521="Pensioner",1,1/(1+Assumptions!$B$6)^G521)</f>
        <v>0.36509532811475648</v>
      </c>
      <c r="O521" s="17">
        <f t="shared" si="8"/>
        <v>12520988.25988479</v>
      </c>
    </row>
    <row r="522" spans="1:15">
      <c r="A522" s="13" t="str">
        <f>Members!A522</f>
        <v>A0129</v>
      </c>
      <c r="B522" s="13" t="str">
        <f>Members!B522</f>
        <v>Active</v>
      </c>
      <c r="C522" s="13">
        <f>Members!C522</f>
        <v>38</v>
      </c>
      <c r="D522" s="14">
        <f>Members!D522</f>
        <v>7.1</v>
      </c>
      <c r="E522" s="16">
        <f>Members!E522</f>
        <v>925000</v>
      </c>
      <c r="F522" s="16">
        <f>Members!F522</f>
        <v>0</v>
      </c>
      <c r="G522" s="15">
        <f>MAX(0,Assumptions!$B$10-C522)</f>
        <v>22</v>
      </c>
      <c r="H522" s="17">
        <f>IF(B522="Active",E522*(1+Assumptions!$B$7)^G522,E522)</f>
        <v>3003971.7536561447</v>
      </c>
      <c r="I522" s="17">
        <f>IF(B522="Active",MIN(Assumptions!$B$12,D522+G522),IF(B522="Deferred",MIN(Assumptions!$B$12,D522),D522))</f>
        <v>29.1</v>
      </c>
      <c r="J522" s="17">
        <f>IF(B522="Active",H522*I522*Assumptions!$B$11,IF(B522="Deferred",E522*I522*Assumptions!$B$11*(1+Assumptions!$B$9)^G522,F522))</f>
        <v>1456926.3005232301</v>
      </c>
      <c r="K522" s="11">
        <f>IF(B522="Pensioner",1,VLOOKUP(Assumptions!$B$10,Mortality!$A$2:$F$104,6,FALSE)/VLOOKUP(C522,Mortality!$A$2:$F$104,6,FALSE))</f>
        <v>0.97314826881680017</v>
      </c>
      <c r="L522" s="11">
        <f>VLOOKUP(IF(B522="Pensioner",C522,Assumptions!$B$10),Mortality!$A$2:$E$104,5,FALSE)</f>
        <v>17.296790022132885</v>
      </c>
      <c r="M522" s="11">
        <f>1+Assumptions!$B$13*Assumptions!$B$14*Assumptions!$B$15</f>
        <v>1.3187500000000001</v>
      </c>
      <c r="N522" s="11">
        <f>IF(B522="Pensioner",1,1/(1+Assumptions!$B$6)^G522)</f>
        <v>0.25021228497116527</v>
      </c>
      <c r="O522" s="17">
        <f t="shared" si="8"/>
        <v>8091950.408163337</v>
      </c>
    </row>
    <row r="523" spans="1:15">
      <c r="A523" s="13" t="str">
        <f>Members!A523</f>
        <v>P0170</v>
      </c>
      <c r="B523" s="13" t="str">
        <f>Members!B523</f>
        <v>Pensioner</v>
      </c>
      <c r="C523" s="13">
        <f>Members!C523</f>
        <v>74</v>
      </c>
      <c r="D523" s="14">
        <f>Members!D523</f>
        <v>36.700000000000003</v>
      </c>
      <c r="E523" s="16">
        <f>Members!E523</f>
        <v>0</v>
      </c>
      <c r="F523" s="16">
        <f>Members!F523</f>
        <v>382000</v>
      </c>
      <c r="G523" s="15">
        <f>MAX(0,Assumptions!$B$10-C523)</f>
        <v>0</v>
      </c>
      <c r="H523" s="17">
        <f>IF(B523="Active",E523*(1+Assumptions!$B$7)^G523,E523)</f>
        <v>0</v>
      </c>
      <c r="I523" s="17">
        <f>IF(B523="Active",MIN(Assumptions!$B$12,D523+G523),IF(B523="Deferred",MIN(Assumptions!$B$12,D523),D523))</f>
        <v>36.700000000000003</v>
      </c>
      <c r="J523" s="17">
        <f>IF(B523="Active",H523*I523*Assumptions!$B$11,IF(B523="Deferred",E523*I523*Assumptions!$B$11*(1+Assumptions!$B$9)^G523,F523))</f>
        <v>382000</v>
      </c>
      <c r="K523" s="11">
        <f>IF(B523="Pensioner",1,VLOOKUP(Assumptions!$B$10,Mortality!$A$2:$F$104,6,FALSE)/VLOOKUP(C523,Mortality!$A$2:$F$104,6,FALSE))</f>
        <v>1</v>
      </c>
      <c r="L523" s="11">
        <f>VLOOKUP(IF(B523="Pensioner",C523,Assumptions!$B$10),Mortality!$A$2:$E$104,5,FALSE)</f>
        <v>11.124346929912107</v>
      </c>
      <c r="M523" s="11">
        <f>1+Assumptions!$B$13*Assumptions!$B$14*Assumptions!$B$15</f>
        <v>1.3187500000000001</v>
      </c>
      <c r="N523" s="11">
        <f>IF(B523="Pensioner",1,1/(1+Assumptions!$B$6)^G523)</f>
        <v>1</v>
      </c>
      <c r="O523" s="17">
        <f t="shared" si="8"/>
        <v>5604028.8202798478</v>
      </c>
    </row>
    <row r="524" spans="1:15">
      <c r="A524" s="13" t="str">
        <f>Members!A524</f>
        <v>A0078</v>
      </c>
      <c r="B524" s="13" t="str">
        <f>Members!B524</f>
        <v>Active</v>
      </c>
      <c r="C524" s="13">
        <f>Members!C524</f>
        <v>52</v>
      </c>
      <c r="D524" s="14">
        <f>Members!D524</f>
        <v>29.3</v>
      </c>
      <c r="E524" s="16">
        <f>Members!E524</f>
        <v>1193000</v>
      </c>
      <c r="F524" s="16">
        <f>Members!F524</f>
        <v>0</v>
      </c>
      <c r="G524" s="15">
        <f>MAX(0,Assumptions!$B$10-C524)</f>
        <v>8</v>
      </c>
      <c r="H524" s="17">
        <f>IF(B524="Active",E524*(1+Assumptions!$B$7)^G524,E524)</f>
        <v>1830881.0123904103</v>
      </c>
      <c r="I524" s="17">
        <f>IF(B524="Active",MIN(Assumptions!$B$12,D524+G524),IF(B524="Deferred",MIN(Assumptions!$B$12,D524),D524))</f>
        <v>37.299999999999997</v>
      </c>
      <c r="J524" s="17">
        <f>IF(B524="Active",H524*I524*Assumptions!$B$11,IF(B524="Deferred",E524*I524*Assumptions!$B$11*(1+Assumptions!$B$9)^G524,F524))</f>
        <v>1138197.6960360382</v>
      </c>
      <c r="K524" s="11">
        <f>IF(B524="Pensioner",1,VLOOKUP(Assumptions!$B$10,Mortality!$A$2:$F$104,6,FALSE)/VLOOKUP(C524,Mortality!$A$2:$F$104,6,FALSE))</f>
        <v>0.98365275168798427</v>
      </c>
      <c r="L524" s="11">
        <f>VLOOKUP(IF(B524="Pensioner",C524,Assumptions!$B$10),Mortality!$A$2:$E$104,5,FALSE)</f>
        <v>17.296790022132885</v>
      </c>
      <c r="M524" s="11">
        <f>1+Assumptions!$B$13*Assumptions!$B$14*Assumptions!$B$15</f>
        <v>1.3187500000000001</v>
      </c>
      <c r="N524" s="11">
        <f>IF(B524="Pensioner",1,1/(1+Assumptions!$B$6)^G524)</f>
        <v>0.60423118763827188</v>
      </c>
      <c r="O524" s="17">
        <f t="shared" si="8"/>
        <v>15430877.978706265</v>
      </c>
    </row>
    <row r="525" spans="1:15">
      <c r="A525" s="13" t="str">
        <f>Members!A525</f>
        <v>D0079</v>
      </c>
      <c r="B525" s="13" t="str">
        <f>Members!B525</f>
        <v>Deferred</v>
      </c>
      <c r="C525" s="13">
        <f>Members!C525</f>
        <v>57</v>
      </c>
      <c r="D525" s="14">
        <f>Members!D525</f>
        <v>22.2</v>
      </c>
      <c r="E525" s="16">
        <f>Members!E525</f>
        <v>1220000</v>
      </c>
      <c r="F525" s="16">
        <f>Members!F525</f>
        <v>0</v>
      </c>
      <c r="G525" s="15">
        <f>MAX(0,Assumptions!$B$10-C525)</f>
        <v>3</v>
      </c>
      <c r="H525" s="17">
        <f>IF(B525="Active",E525*(1+Assumptions!$B$7)^G525,E525)</f>
        <v>1220000</v>
      </c>
      <c r="I525" s="17">
        <f>IF(B525="Active",MIN(Assumptions!$B$12,D525+G525),IF(B525="Deferred",MIN(Assumptions!$B$12,D525),D525))</f>
        <v>22.2</v>
      </c>
      <c r="J525" s="17">
        <f>IF(B525="Active",H525*I525*Assumptions!$B$11,IF(B525="Deferred",E525*I525*Assumptions!$B$11*(1+Assumptions!$B$9)^G525,F525))</f>
        <v>507763.60960000003</v>
      </c>
      <c r="K525" s="11">
        <f>IF(B525="Pensioner",1,VLOOKUP(Assumptions!$B$10,Mortality!$A$2:$F$104,6,FALSE)/VLOOKUP(C525,Mortality!$A$2:$F$104,6,FALSE))</f>
        <v>0.99220038929214172</v>
      </c>
      <c r="L525" s="11">
        <f>VLOOKUP(IF(B525="Pensioner",C525,Assumptions!$B$10),Mortality!$A$2:$E$104,5,FALSE)</f>
        <v>17.296790022132885</v>
      </c>
      <c r="M525" s="11">
        <f>1+Assumptions!$B$13*Assumptions!$B$14*Assumptions!$B$15</f>
        <v>1.3187500000000001</v>
      </c>
      <c r="N525" s="11">
        <f>IF(B525="Pensioner",1,1/(1+Assumptions!$B$6)^G525)</f>
        <v>0.82784909180297994</v>
      </c>
      <c r="O525" s="17">
        <f t="shared" si="8"/>
        <v>9513495.7454889193</v>
      </c>
    </row>
    <row r="526" spans="1:15">
      <c r="A526" s="13" t="str">
        <f>Members!A526</f>
        <v>D0033</v>
      </c>
      <c r="B526" s="13" t="str">
        <f>Members!B526</f>
        <v>Deferred</v>
      </c>
      <c r="C526" s="13">
        <f>Members!C526</f>
        <v>43</v>
      </c>
      <c r="D526" s="14">
        <f>Members!D526</f>
        <v>5.8</v>
      </c>
      <c r="E526" s="16">
        <f>Members!E526</f>
        <v>738000</v>
      </c>
      <c r="F526" s="16">
        <f>Members!F526</f>
        <v>0</v>
      </c>
      <c r="G526" s="15">
        <f>MAX(0,Assumptions!$B$10-C526)</f>
        <v>17</v>
      </c>
      <c r="H526" s="17">
        <f>IF(B526="Active",E526*(1+Assumptions!$B$7)^G526,E526)</f>
        <v>738000</v>
      </c>
      <c r="I526" s="17">
        <f>IF(B526="Active",MIN(Assumptions!$B$12,D526+G526),IF(B526="Deferred",MIN(Assumptions!$B$12,D526),D526))</f>
        <v>5.8</v>
      </c>
      <c r="J526" s="17">
        <f>IF(B526="Active",H526*I526*Assumptions!$B$11,IF(B526="Deferred",E526*I526*Assumptions!$B$11*(1+Assumptions!$B$9)^G526,F526))</f>
        <v>138963.22135298513</v>
      </c>
      <c r="K526" s="11">
        <f>IF(B526="Pensioner",1,VLOOKUP(Assumptions!$B$10,Mortality!$A$2:$F$104,6,FALSE)/VLOOKUP(C526,Mortality!$A$2:$F$104,6,FALSE))</f>
        <v>0.97565175842493801</v>
      </c>
      <c r="L526" s="11">
        <f>VLOOKUP(IF(B526="Pensioner",C526,Assumptions!$B$10),Mortality!$A$2:$E$104,5,FALSE)</f>
        <v>17.296790022132885</v>
      </c>
      <c r="M526" s="11">
        <f>1+Assumptions!$B$13*Assumptions!$B$14*Assumptions!$B$15</f>
        <v>1.3187500000000001</v>
      </c>
      <c r="N526" s="11">
        <f>IF(B526="Pensioner",1,1/(1+Assumptions!$B$6)^G526)</f>
        <v>0.34281251466174323</v>
      </c>
      <c r="O526" s="17">
        <f t="shared" si="8"/>
        <v>1060179.3928637994</v>
      </c>
    </row>
    <row r="527" spans="1:15">
      <c r="A527" s="13" t="str">
        <f>Members!A527</f>
        <v>A0276</v>
      </c>
      <c r="B527" s="13" t="str">
        <f>Members!B527</f>
        <v>Active</v>
      </c>
      <c r="C527" s="13">
        <f>Members!C527</f>
        <v>30</v>
      </c>
      <c r="D527" s="14">
        <f>Members!D527</f>
        <v>1.9</v>
      </c>
      <c r="E527" s="16">
        <f>Members!E527</f>
        <v>585000</v>
      </c>
      <c r="F527" s="16">
        <f>Members!F527</f>
        <v>0</v>
      </c>
      <c r="G527" s="15">
        <f>MAX(0,Assumptions!$B$10-C527)</f>
        <v>30</v>
      </c>
      <c r="H527" s="17">
        <f>IF(B527="Active",E527*(1+Assumptions!$B$7)^G527,E527)</f>
        <v>2915611.50371111</v>
      </c>
      <c r="I527" s="17">
        <f>IF(B527="Active",MIN(Assumptions!$B$12,D527+G527),IF(B527="Deferred",MIN(Assumptions!$B$12,D527),D527))</f>
        <v>31.9</v>
      </c>
      <c r="J527" s="17">
        <f>IF(B527="Active",H527*I527*Assumptions!$B$11,IF(B527="Deferred",E527*I527*Assumptions!$B$11*(1+Assumptions!$B$9)^G527,F527))</f>
        <v>1550133.4494730732</v>
      </c>
      <c r="K527" s="11">
        <f>IF(B527="Pensioner",1,VLOOKUP(Assumptions!$B$10,Mortality!$A$2:$F$104,6,FALSE)/VLOOKUP(C527,Mortality!$A$2:$F$104,6,FALSE))</f>
        <v>0.97034568803187526</v>
      </c>
      <c r="L527" s="11">
        <f>VLOOKUP(IF(B527="Pensioner",C527,Assumptions!$B$10),Mortality!$A$2:$E$104,5,FALSE)</f>
        <v>17.296790022132885</v>
      </c>
      <c r="M527" s="11">
        <f>1+Assumptions!$B$13*Assumptions!$B$14*Assumptions!$B$15</f>
        <v>1.3187500000000001</v>
      </c>
      <c r="N527" s="11">
        <f>IF(B527="Pensioner",1,1/(1+Assumptions!$B$6)^G527)</f>
        <v>0.15118606610981289</v>
      </c>
      <c r="O527" s="17">
        <f t="shared" si="8"/>
        <v>5187227.8002308533</v>
      </c>
    </row>
    <row r="528" spans="1:15">
      <c r="A528" s="13" t="str">
        <f>Members!A528</f>
        <v>A0076</v>
      </c>
      <c r="B528" s="13" t="str">
        <f>Members!B528</f>
        <v>Active</v>
      </c>
      <c r="C528" s="13">
        <f>Members!C528</f>
        <v>27</v>
      </c>
      <c r="D528" s="14">
        <f>Members!D528</f>
        <v>1.1000000000000001</v>
      </c>
      <c r="E528" s="16">
        <f>Members!E528</f>
        <v>563000</v>
      </c>
      <c r="F528" s="16">
        <f>Members!F528</f>
        <v>0</v>
      </c>
      <c r="G528" s="15">
        <f>MAX(0,Assumptions!$B$10-C528)</f>
        <v>33</v>
      </c>
      <c r="H528" s="17">
        <f>IF(B528="Active",E528*(1+Assumptions!$B$7)^G528,E528)</f>
        <v>3294879.7011795542</v>
      </c>
      <c r="I528" s="17">
        <f>IF(B528="Active",MIN(Assumptions!$B$12,D528+G528),IF(B528="Deferred",MIN(Assumptions!$B$12,D528),D528))</f>
        <v>34.1</v>
      </c>
      <c r="J528" s="17">
        <f>IF(B528="Active",H528*I528*Assumptions!$B$11,IF(B528="Deferred",E528*I528*Assumptions!$B$11*(1+Assumptions!$B$9)^G528,F528))</f>
        <v>1872589.9635037135</v>
      </c>
      <c r="K528" s="11">
        <f>IF(B528="Pensioner",1,VLOOKUP(Assumptions!$B$10,Mortality!$A$2:$F$104,6,FALSE)/VLOOKUP(C528,Mortality!$A$2:$F$104,6,FALSE))</f>
        <v>0.96949713302845153</v>
      </c>
      <c r="L528" s="11">
        <f>VLOOKUP(IF(B528="Pensioner",C528,Assumptions!$B$10),Mortality!$A$2:$E$104,5,FALSE)</f>
        <v>17.296790022132885</v>
      </c>
      <c r="M528" s="11">
        <f>1+Assumptions!$B$13*Assumptions!$B$14*Assumptions!$B$15</f>
        <v>1.3187500000000001</v>
      </c>
      <c r="N528" s="11">
        <f>IF(B528="Pensioner",1,1/(1+Assumptions!$B$6)^G528)</f>
        <v>0.12515924752227392</v>
      </c>
      <c r="O528" s="17">
        <f t="shared" si="8"/>
        <v>5182987.3613937031</v>
      </c>
    </row>
    <row r="529" spans="1:15">
      <c r="A529" s="13" t="str">
        <f>Members!A529</f>
        <v>A0309</v>
      </c>
      <c r="B529" s="13" t="str">
        <f>Members!B529</f>
        <v>Active</v>
      </c>
      <c r="C529" s="13">
        <f>Members!C529</f>
        <v>38</v>
      </c>
      <c r="D529" s="14">
        <f>Members!D529</f>
        <v>14.3</v>
      </c>
      <c r="E529" s="16">
        <f>Members!E529</f>
        <v>621000</v>
      </c>
      <c r="F529" s="16">
        <f>Members!F529</f>
        <v>0</v>
      </c>
      <c r="G529" s="15">
        <f>MAX(0,Assumptions!$B$10-C529)</f>
        <v>22</v>
      </c>
      <c r="H529" s="17">
        <f>IF(B529="Active",E529*(1+Assumptions!$B$7)^G529,E529)</f>
        <v>2016720.4962383416</v>
      </c>
      <c r="I529" s="17">
        <f>IF(B529="Active",MIN(Assumptions!$B$12,D529+G529),IF(B529="Deferred",MIN(Assumptions!$B$12,D529),D529))</f>
        <v>36.299999999999997</v>
      </c>
      <c r="J529" s="17">
        <f>IF(B529="Active",H529*I529*Assumptions!$B$11,IF(B529="Deferred",E529*I529*Assumptions!$B$11*(1+Assumptions!$B$9)^G529,F529))</f>
        <v>1220115.9002241967</v>
      </c>
      <c r="K529" s="11">
        <f>IF(B529="Pensioner",1,VLOOKUP(Assumptions!$B$10,Mortality!$A$2:$F$104,6,FALSE)/VLOOKUP(C529,Mortality!$A$2:$F$104,6,FALSE))</f>
        <v>0.97314826881680017</v>
      </c>
      <c r="L529" s="11">
        <f>VLOOKUP(IF(B529="Pensioner",C529,Assumptions!$B$10),Mortality!$A$2:$E$104,5,FALSE)</f>
        <v>17.296790022132885</v>
      </c>
      <c r="M529" s="11">
        <f>1+Assumptions!$B$13*Assumptions!$B$14*Assumptions!$B$15</f>
        <v>1.3187500000000001</v>
      </c>
      <c r="N529" s="11">
        <f>IF(B529="Pensioner",1,1/(1+Assumptions!$B$6)^G529)</f>
        <v>0.25021228497116527</v>
      </c>
      <c r="O529" s="17">
        <f t="shared" si="8"/>
        <v>6776675.9054867812</v>
      </c>
    </row>
    <row r="530" spans="1:15">
      <c r="A530" s="13" t="str">
        <f>Members!A530</f>
        <v>A0584</v>
      </c>
      <c r="B530" s="13" t="str">
        <f>Members!B530</f>
        <v>Active</v>
      </c>
      <c r="C530" s="13">
        <f>Members!C530</f>
        <v>57</v>
      </c>
      <c r="D530" s="14">
        <f>Members!D530</f>
        <v>29.5</v>
      </c>
      <c r="E530" s="16">
        <f>Members!E530</f>
        <v>2109000</v>
      </c>
      <c r="F530" s="16">
        <f>Members!F530</f>
        <v>0</v>
      </c>
      <c r="G530" s="15">
        <f>MAX(0,Assumptions!$B$10-C530)</f>
        <v>3</v>
      </c>
      <c r="H530" s="17">
        <f>IF(B530="Active",E530*(1+Assumptions!$B$7)^G530,E530)</f>
        <v>2476475.0598749998</v>
      </c>
      <c r="I530" s="17">
        <f>IF(B530="Active",MIN(Assumptions!$B$12,D530+G530),IF(B530="Deferred",MIN(Assumptions!$B$12,D530),D530))</f>
        <v>32.5</v>
      </c>
      <c r="J530" s="17">
        <f>IF(B530="Active",H530*I530*Assumptions!$B$11,IF(B530="Deferred",E530*I530*Assumptions!$B$11*(1+Assumptions!$B$9)^G530,F530))</f>
        <v>1341423.9907656249</v>
      </c>
      <c r="K530" s="11">
        <f>IF(B530="Pensioner",1,VLOOKUP(Assumptions!$B$10,Mortality!$A$2:$F$104,6,FALSE)/VLOOKUP(C530,Mortality!$A$2:$F$104,6,FALSE))</f>
        <v>0.99220038929214172</v>
      </c>
      <c r="L530" s="11">
        <f>VLOOKUP(IF(B530="Pensioner",C530,Assumptions!$B$10),Mortality!$A$2:$E$104,5,FALSE)</f>
        <v>17.296790022132885</v>
      </c>
      <c r="M530" s="11">
        <f>1+Assumptions!$B$13*Assumptions!$B$14*Assumptions!$B$15</f>
        <v>1.3187500000000001</v>
      </c>
      <c r="N530" s="11">
        <f>IF(B530="Pensioner",1,1/(1+Assumptions!$B$6)^G530)</f>
        <v>0.82784909180297994</v>
      </c>
      <c r="O530" s="17">
        <f t="shared" si="8"/>
        <v>25133016.994066879</v>
      </c>
    </row>
    <row r="531" spans="1:15">
      <c r="A531" s="13" t="str">
        <f>Members!A531</f>
        <v>D0057</v>
      </c>
      <c r="B531" s="13" t="str">
        <f>Members!B531</f>
        <v>Deferred</v>
      </c>
      <c r="C531" s="13">
        <f>Members!C531</f>
        <v>37</v>
      </c>
      <c r="D531" s="14">
        <f>Members!D531</f>
        <v>6.2</v>
      </c>
      <c r="E531" s="16">
        <f>Members!E531</f>
        <v>395000</v>
      </c>
      <c r="F531" s="16">
        <f>Members!F531</f>
        <v>0</v>
      </c>
      <c r="G531" s="15">
        <f>MAX(0,Assumptions!$B$10-C531)</f>
        <v>23</v>
      </c>
      <c r="H531" s="17">
        <f>IF(B531="Active",E531*(1+Assumptions!$B$7)^G531,E531)</f>
        <v>395000</v>
      </c>
      <c r="I531" s="17">
        <f>IF(B531="Active",MIN(Assumptions!$B$12,D531+G531),IF(B531="Deferred",MIN(Assumptions!$B$12,D531),D531))</f>
        <v>6.2</v>
      </c>
      <c r="J531" s="17">
        <f>IF(B531="Active",H531*I531*Assumptions!$B$11,IF(B531="Deferred",E531*I531*Assumptions!$B$11*(1+Assumptions!$B$9)^G531,F531))</f>
        <v>100601.47275352407</v>
      </c>
      <c r="K531" s="11">
        <f>IF(B531="Pensioner",1,VLOOKUP(Assumptions!$B$10,Mortality!$A$2:$F$104,6,FALSE)/VLOOKUP(C531,Mortality!$A$2:$F$104,6,FALSE))</f>
        <v>0.97273561412651877</v>
      </c>
      <c r="L531" s="11">
        <f>VLOOKUP(IF(B531="Pensioner",C531,Assumptions!$B$10),Mortality!$A$2:$E$104,5,FALSE)</f>
        <v>17.296790022132885</v>
      </c>
      <c r="M531" s="11">
        <f>1+Assumptions!$B$13*Assumptions!$B$14*Assumptions!$B$15</f>
        <v>1.3187500000000001</v>
      </c>
      <c r="N531" s="11">
        <f>IF(B531="Pensioner",1,1/(1+Assumptions!$B$6)^G531)</f>
        <v>0.23494111264898151</v>
      </c>
      <c r="O531" s="17">
        <f t="shared" si="8"/>
        <v>524428.35152591602</v>
      </c>
    </row>
    <row r="532" spans="1:15">
      <c r="A532" s="13" t="str">
        <f>Members!A532</f>
        <v>P0180</v>
      </c>
      <c r="B532" s="13" t="str">
        <f>Members!B532</f>
        <v>Pensioner</v>
      </c>
      <c r="C532" s="13">
        <f>Members!C532</f>
        <v>89</v>
      </c>
      <c r="D532" s="14">
        <f>Members!D532</f>
        <v>29.7</v>
      </c>
      <c r="E532" s="16">
        <f>Members!E532</f>
        <v>0</v>
      </c>
      <c r="F532" s="16">
        <f>Members!F532</f>
        <v>794000</v>
      </c>
      <c r="G532" s="15">
        <f>MAX(0,Assumptions!$B$10-C532)</f>
        <v>0</v>
      </c>
      <c r="H532" s="17">
        <f>IF(B532="Active",E532*(1+Assumptions!$B$7)^G532,E532)</f>
        <v>0</v>
      </c>
      <c r="I532" s="17">
        <f>IF(B532="Active",MIN(Assumptions!$B$12,D532+G532),IF(B532="Deferred",MIN(Assumptions!$B$12,D532),D532))</f>
        <v>29.7</v>
      </c>
      <c r="J532" s="17">
        <f>IF(B532="Active",H532*I532*Assumptions!$B$11,IF(B532="Deferred",E532*I532*Assumptions!$B$11*(1+Assumptions!$B$9)^G532,F532))</f>
        <v>794000</v>
      </c>
      <c r="K532" s="11">
        <f>IF(B532="Pensioner",1,VLOOKUP(Assumptions!$B$10,Mortality!$A$2:$F$104,6,FALSE)/VLOOKUP(C532,Mortality!$A$2:$F$104,6,FALSE))</f>
        <v>1</v>
      </c>
      <c r="L532" s="11">
        <f>VLOOKUP(IF(B532="Pensioner",C532,Assumptions!$B$10),Mortality!$A$2:$E$104,5,FALSE)</f>
        <v>4.6715821823893648</v>
      </c>
      <c r="M532" s="11">
        <f>1+Assumptions!$B$13*Assumptions!$B$14*Assumptions!$B$15</f>
        <v>1.3187500000000001</v>
      </c>
      <c r="N532" s="11">
        <f>IF(B532="Pensioner",1,1/(1+Assumptions!$B$6)^G532)</f>
        <v>1</v>
      </c>
      <c r="O532" s="17">
        <f t="shared" si="8"/>
        <v>4891555.3084026249</v>
      </c>
    </row>
    <row r="533" spans="1:15">
      <c r="A533" s="13" t="str">
        <f>Members!A533</f>
        <v>P0077</v>
      </c>
      <c r="B533" s="13" t="str">
        <f>Members!B533</f>
        <v>Pensioner</v>
      </c>
      <c r="C533" s="13">
        <f>Members!C533</f>
        <v>60</v>
      </c>
      <c r="D533" s="14">
        <f>Members!D533</f>
        <v>22.8</v>
      </c>
      <c r="E533" s="16">
        <f>Members!E533</f>
        <v>0</v>
      </c>
      <c r="F533" s="16">
        <f>Members!F533</f>
        <v>141000</v>
      </c>
      <c r="G533" s="15">
        <f>MAX(0,Assumptions!$B$10-C533)</f>
        <v>0</v>
      </c>
      <c r="H533" s="17">
        <f>IF(B533="Active",E533*(1+Assumptions!$B$7)^G533,E533)</f>
        <v>0</v>
      </c>
      <c r="I533" s="17">
        <f>IF(B533="Active",MIN(Assumptions!$B$12,D533+G533),IF(B533="Deferred",MIN(Assumptions!$B$12,D533),D533))</f>
        <v>22.8</v>
      </c>
      <c r="J533" s="17">
        <f>IF(B533="Active",H533*I533*Assumptions!$B$11,IF(B533="Deferred",E533*I533*Assumptions!$B$11*(1+Assumptions!$B$9)^G533,F533))</f>
        <v>141000</v>
      </c>
      <c r="K533" s="11">
        <f>IF(B533="Pensioner",1,VLOOKUP(Assumptions!$B$10,Mortality!$A$2:$F$104,6,FALSE)/VLOOKUP(C533,Mortality!$A$2:$F$104,6,FALSE))</f>
        <v>1</v>
      </c>
      <c r="L533" s="11">
        <f>VLOOKUP(IF(B533="Pensioner",C533,Assumptions!$B$10),Mortality!$A$2:$E$104,5,FALSE)</f>
        <v>17.296790022132885</v>
      </c>
      <c r="M533" s="11">
        <f>1+Assumptions!$B$13*Assumptions!$B$14*Assumptions!$B$15</f>
        <v>1.3187500000000001</v>
      </c>
      <c r="N533" s="11">
        <f>IF(B533="Pensioner",1,1/(1+Assumptions!$B$6)^G533)</f>
        <v>1</v>
      </c>
      <c r="O533" s="17">
        <f t="shared" si="8"/>
        <v>3216229.9996779719</v>
      </c>
    </row>
    <row r="534" spans="1:15">
      <c r="A534" s="13" t="str">
        <f>Members!A534</f>
        <v>A0014</v>
      </c>
      <c r="B534" s="13" t="str">
        <f>Members!B534</f>
        <v>Active</v>
      </c>
      <c r="C534" s="13">
        <f>Members!C534</f>
        <v>58</v>
      </c>
      <c r="D534" s="14">
        <f>Members!D534</f>
        <v>7.5</v>
      </c>
      <c r="E534" s="16">
        <f>Members!E534</f>
        <v>1444000</v>
      </c>
      <c r="F534" s="16">
        <f>Members!F534</f>
        <v>0</v>
      </c>
      <c r="G534" s="15">
        <f>MAX(0,Assumptions!$B$10-C534)</f>
        <v>2</v>
      </c>
      <c r="H534" s="17">
        <f>IF(B534="Active",E534*(1+Assumptions!$B$7)^G534,E534)</f>
        <v>1607208.0999999999</v>
      </c>
      <c r="I534" s="17">
        <f>IF(B534="Active",MIN(Assumptions!$B$12,D534+G534),IF(B534="Deferred",MIN(Assumptions!$B$12,D534),D534))</f>
        <v>9.5</v>
      </c>
      <c r="J534" s="17">
        <f>IF(B534="Active",H534*I534*Assumptions!$B$11,IF(B534="Deferred",E534*I534*Assumptions!$B$11*(1+Assumptions!$B$9)^G534,F534))</f>
        <v>254474.61583333332</v>
      </c>
      <c r="K534" s="11">
        <f>IF(B534="Pensioner",1,VLOOKUP(Assumptions!$B$10,Mortality!$A$2:$F$104,6,FALSE)/VLOOKUP(C534,Mortality!$A$2:$F$104,6,FALSE))</f>
        <v>0.99452130442038367</v>
      </c>
      <c r="L534" s="11">
        <f>VLOOKUP(IF(B534="Pensioner",C534,Assumptions!$B$10),Mortality!$A$2:$E$104,5,FALSE)</f>
        <v>17.296790022132885</v>
      </c>
      <c r="M534" s="11">
        <f>1+Assumptions!$B$13*Assumptions!$B$14*Assumptions!$B$15</f>
        <v>1.3187500000000001</v>
      </c>
      <c r="N534" s="11">
        <f>IF(B534="Pensioner",1,1/(1+Assumptions!$B$6)^G534)</f>
        <v>0.88165928277017358</v>
      </c>
      <c r="O534" s="17">
        <f t="shared" si="8"/>
        <v>5089643.0906546591</v>
      </c>
    </row>
    <row r="535" spans="1:15">
      <c r="A535" s="13" t="str">
        <f>Members!A535</f>
        <v>A0371</v>
      </c>
      <c r="B535" s="13" t="str">
        <f>Members!B535</f>
        <v>Active</v>
      </c>
      <c r="C535" s="13">
        <f>Members!C535</f>
        <v>36</v>
      </c>
      <c r="D535" s="14">
        <f>Members!D535</f>
        <v>3.1</v>
      </c>
      <c r="E535" s="16">
        <f>Members!E535</f>
        <v>914000</v>
      </c>
      <c r="F535" s="16">
        <f>Members!F535</f>
        <v>0</v>
      </c>
      <c r="G535" s="15">
        <f>MAX(0,Assumptions!$B$10-C535)</f>
        <v>24</v>
      </c>
      <c r="H535" s="17">
        <f>IF(B535="Active",E535*(1+Assumptions!$B$7)^G535,E535)</f>
        <v>3303735.1721701636</v>
      </c>
      <c r="I535" s="17">
        <f>IF(B535="Active",MIN(Assumptions!$B$12,D535+G535),IF(B535="Deferred",MIN(Assumptions!$B$12,D535),D535))</f>
        <v>27.1</v>
      </c>
      <c r="J535" s="17">
        <f>IF(B535="Active",H535*I535*Assumptions!$B$11,IF(B535="Deferred",E535*I535*Assumptions!$B$11*(1+Assumptions!$B$9)^G535,F535))</f>
        <v>1492187.052763524</v>
      </c>
      <c r="K535" s="11">
        <f>IF(B535="Pensioner",1,VLOOKUP(Assumptions!$B$10,Mortality!$A$2:$F$104,6,FALSE)/VLOOKUP(C535,Mortality!$A$2:$F$104,6,FALSE))</f>
        <v>0.97234503055413524</v>
      </c>
      <c r="L535" s="11">
        <f>VLOOKUP(IF(B535="Pensioner",C535,Assumptions!$B$10),Mortality!$A$2:$E$104,5,FALSE)</f>
        <v>17.296790022132885</v>
      </c>
      <c r="M535" s="11">
        <f>1+Assumptions!$B$13*Assumptions!$B$14*Assumptions!$B$15</f>
        <v>1.3187500000000001</v>
      </c>
      <c r="N535" s="11">
        <f>IF(B535="Pensioner",1,1/(1+Assumptions!$B$6)^G535)</f>
        <v>0.22060198370796386</v>
      </c>
      <c r="O535" s="17">
        <f t="shared" si="8"/>
        <v>7300978.4353209417</v>
      </c>
    </row>
    <row r="536" spans="1:15">
      <c r="A536" s="13" t="str">
        <f>Members!A536</f>
        <v>A0007</v>
      </c>
      <c r="B536" s="13" t="str">
        <f>Members!B536</f>
        <v>Active</v>
      </c>
      <c r="C536" s="13">
        <f>Members!C536</f>
        <v>30</v>
      </c>
      <c r="D536" s="14">
        <f>Members!D536</f>
        <v>1.5</v>
      </c>
      <c r="E536" s="16">
        <f>Members!E536</f>
        <v>639000</v>
      </c>
      <c r="F536" s="16">
        <f>Members!F536</f>
        <v>0</v>
      </c>
      <c r="G536" s="15">
        <f>MAX(0,Assumptions!$B$10-C536)</f>
        <v>30</v>
      </c>
      <c r="H536" s="17">
        <f>IF(B536="Active",E536*(1+Assumptions!$B$7)^G536,E536)</f>
        <v>3184744.8732844433</v>
      </c>
      <c r="I536" s="17">
        <f>IF(B536="Active",MIN(Assumptions!$B$12,D536+G536),IF(B536="Deferred",MIN(Assumptions!$B$12,D536),D536))</f>
        <v>31.5</v>
      </c>
      <c r="J536" s="17">
        <f>IF(B536="Active",H536*I536*Assumptions!$B$11,IF(B536="Deferred",E536*I536*Assumptions!$B$11*(1+Assumptions!$B$9)^G536,F536))</f>
        <v>1671991.0584743328</v>
      </c>
      <c r="K536" s="11">
        <f>IF(B536="Pensioner",1,VLOOKUP(Assumptions!$B$10,Mortality!$A$2:$F$104,6,FALSE)/VLOOKUP(C536,Mortality!$A$2:$F$104,6,FALSE))</f>
        <v>0.97034568803187526</v>
      </c>
      <c r="L536" s="11">
        <f>VLOOKUP(IF(B536="Pensioner",C536,Assumptions!$B$10),Mortality!$A$2:$E$104,5,FALSE)</f>
        <v>17.296790022132885</v>
      </c>
      <c r="M536" s="11">
        <f>1+Assumptions!$B$13*Assumptions!$B$14*Assumptions!$B$15</f>
        <v>1.3187500000000001</v>
      </c>
      <c r="N536" s="11">
        <f>IF(B536="Pensioner",1,1/(1+Assumptions!$B$6)^G536)</f>
        <v>0.15118606610981289</v>
      </c>
      <c r="O536" s="17">
        <f t="shared" si="8"/>
        <v>5595001.1937382724</v>
      </c>
    </row>
    <row r="537" spans="1:15">
      <c r="A537" s="13" t="str">
        <f>Members!A537</f>
        <v>P0037</v>
      </c>
      <c r="B537" s="13" t="str">
        <f>Members!B537</f>
        <v>Pensioner</v>
      </c>
      <c r="C537" s="13">
        <f>Members!C537</f>
        <v>64</v>
      </c>
      <c r="D537" s="14">
        <f>Members!D537</f>
        <v>19.2</v>
      </c>
      <c r="E537" s="16">
        <f>Members!E537</f>
        <v>0</v>
      </c>
      <c r="F537" s="16">
        <f>Members!F537</f>
        <v>278000</v>
      </c>
      <c r="G537" s="15">
        <f>MAX(0,Assumptions!$B$10-C537)</f>
        <v>0</v>
      </c>
      <c r="H537" s="17">
        <f>IF(B537="Active",E537*(1+Assumptions!$B$7)^G537,E537)</f>
        <v>0</v>
      </c>
      <c r="I537" s="17">
        <f>IF(B537="Active",MIN(Assumptions!$B$12,D537+G537),IF(B537="Deferred",MIN(Assumptions!$B$12,D537),D537))</f>
        <v>19.2</v>
      </c>
      <c r="J537" s="17">
        <f>IF(B537="Active",H537*I537*Assumptions!$B$11,IF(B537="Deferred",E537*I537*Assumptions!$B$11*(1+Assumptions!$B$9)^G537,F537))</f>
        <v>278000</v>
      </c>
      <c r="K537" s="11">
        <f>IF(B537="Pensioner",1,VLOOKUP(Assumptions!$B$10,Mortality!$A$2:$F$104,6,FALSE)/VLOOKUP(C537,Mortality!$A$2:$F$104,6,FALSE))</f>
        <v>1</v>
      </c>
      <c r="L537" s="11">
        <f>VLOOKUP(IF(B537="Pensioner",C537,Assumptions!$B$10),Mortality!$A$2:$E$104,5,FALSE)</f>
        <v>15.628758769824573</v>
      </c>
      <c r="M537" s="11">
        <f>1+Assumptions!$B$13*Assumptions!$B$14*Assumptions!$B$15</f>
        <v>1.3187500000000001</v>
      </c>
      <c r="N537" s="11">
        <f>IF(B537="Pensioner",1,1/(1+Assumptions!$B$6)^G537)</f>
        <v>1</v>
      </c>
      <c r="O537" s="17">
        <f t="shared" si="8"/>
        <v>5729698.3245023126</v>
      </c>
    </row>
    <row r="538" spans="1:15">
      <c r="A538" s="13" t="str">
        <f>Members!A538</f>
        <v>P0163</v>
      </c>
      <c r="B538" s="13" t="str">
        <f>Members!B538</f>
        <v>Pensioner</v>
      </c>
      <c r="C538" s="13">
        <f>Members!C538</f>
        <v>87</v>
      </c>
      <c r="D538" s="14">
        <f>Members!D538</f>
        <v>33.1</v>
      </c>
      <c r="E538" s="16">
        <f>Members!E538</f>
        <v>0</v>
      </c>
      <c r="F538" s="16">
        <f>Members!F538</f>
        <v>451000</v>
      </c>
      <c r="G538" s="15">
        <f>MAX(0,Assumptions!$B$10-C538)</f>
        <v>0</v>
      </c>
      <c r="H538" s="17">
        <f>IF(B538="Active",E538*(1+Assumptions!$B$7)^G538,E538)</f>
        <v>0</v>
      </c>
      <c r="I538" s="17">
        <f>IF(B538="Active",MIN(Assumptions!$B$12,D538+G538),IF(B538="Deferred",MIN(Assumptions!$B$12,D538),D538))</f>
        <v>33.1</v>
      </c>
      <c r="J538" s="17">
        <f>IF(B538="Active",H538*I538*Assumptions!$B$11,IF(B538="Deferred",E538*I538*Assumptions!$B$11*(1+Assumptions!$B$9)^G538,F538))</f>
        <v>451000</v>
      </c>
      <c r="K538" s="11">
        <f>IF(B538="Pensioner",1,VLOOKUP(Assumptions!$B$10,Mortality!$A$2:$F$104,6,FALSE)/VLOOKUP(C538,Mortality!$A$2:$F$104,6,FALSE))</f>
        <v>1</v>
      </c>
      <c r="L538" s="11">
        <f>VLOOKUP(IF(B538="Pensioner",C538,Assumptions!$B$10),Mortality!$A$2:$E$104,5,FALSE)</f>
        <v>5.427731360162463</v>
      </c>
      <c r="M538" s="11">
        <f>1+Assumptions!$B$13*Assumptions!$B$14*Assumptions!$B$15</f>
        <v>1.3187500000000001</v>
      </c>
      <c r="N538" s="11">
        <f>IF(B538="Pensioner",1,1/(1+Assumptions!$B$6)^G538)</f>
        <v>1</v>
      </c>
      <c r="O538" s="17">
        <f t="shared" si="8"/>
        <v>3228177.1497776262</v>
      </c>
    </row>
    <row r="539" spans="1:15">
      <c r="A539" s="13" t="str">
        <f>Members!A539</f>
        <v>D0017</v>
      </c>
      <c r="B539" s="13" t="str">
        <f>Members!B539</f>
        <v>Deferred</v>
      </c>
      <c r="C539" s="13">
        <f>Members!C539</f>
        <v>48</v>
      </c>
      <c r="D539" s="14">
        <f>Members!D539</f>
        <v>8.3000000000000007</v>
      </c>
      <c r="E539" s="16">
        <f>Members!E539</f>
        <v>860000</v>
      </c>
      <c r="F539" s="16">
        <f>Members!F539</f>
        <v>0</v>
      </c>
      <c r="G539" s="15">
        <f>MAX(0,Assumptions!$B$10-C539)</f>
        <v>12</v>
      </c>
      <c r="H539" s="17">
        <f>IF(B539="Active",E539*(1+Assumptions!$B$7)^G539,E539)</f>
        <v>860000</v>
      </c>
      <c r="I539" s="17">
        <f>IF(B539="Active",MIN(Assumptions!$B$12,D539+G539),IF(B539="Deferred",MIN(Assumptions!$B$12,D539),D539))</f>
        <v>8.3000000000000007</v>
      </c>
      <c r="J539" s="17">
        <f>IF(B539="Active",H539*I539*Assumptions!$B$11,IF(B539="Deferred",E539*I539*Assumptions!$B$11*(1+Assumptions!$B$9)^G539,F539))</f>
        <v>190469.46626893524</v>
      </c>
      <c r="K539" s="11">
        <f>IF(B539="Pensioner",1,VLOOKUP(Assumptions!$B$10,Mortality!$A$2:$F$104,6,FALSE)/VLOOKUP(C539,Mortality!$A$2:$F$104,6,FALSE))</f>
        <v>0.97930374297365907</v>
      </c>
      <c r="L539" s="11">
        <f>VLOOKUP(IF(B539="Pensioner",C539,Assumptions!$B$10),Mortality!$A$2:$E$104,5,FALSE)</f>
        <v>17.296790022132885</v>
      </c>
      <c r="M539" s="11">
        <f>1+Assumptions!$B$13*Assumptions!$B$14*Assumptions!$B$15</f>
        <v>1.3187500000000001</v>
      </c>
      <c r="N539" s="11">
        <f>IF(B539="Pensioner",1,1/(1+Assumptions!$B$6)^G539)</f>
        <v>0.4696828543900276</v>
      </c>
      <c r="O539" s="17">
        <f t="shared" si="8"/>
        <v>1998368.0235854615</v>
      </c>
    </row>
    <row r="540" spans="1:15">
      <c r="A540" s="13" t="str">
        <f>Members!A540</f>
        <v>A0442</v>
      </c>
      <c r="B540" s="13" t="str">
        <f>Members!B540</f>
        <v>Active</v>
      </c>
      <c r="C540" s="13">
        <f>Members!C540</f>
        <v>24</v>
      </c>
      <c r="D540" s="14">
        <f>Members!D540</f>
        <v>1.8</v>
      </c>
      <c r="E540" s="16">
        <f>Members!E540</f>
        <v>340000</v>
      </c>
      <c r="F540" s="16">
        <f>Members!F540</f>
        <v>0</v>
      </c>
      <c r="G540" s="15">
        <f>MAX(0,Assumptions!$B$10-C540)</f>
        <v>36</v>
      </c>
      <c r="H540" s="17">
        <f>IF(B540="Active",E540*(1+Assumptions!$B$7)^G540,E540)</f>
        <v>2336509.0303067626</v>
      </c>
      <c r="I540" s="17">
        <f>IF(B540="Active",MIN(Assumptions!$B$12,D540+G540),IF(B540="Deferred",MIN(Assumptions!$B$12,D540),D540))</f>
        <v>37.799999999999997</v>
      </c>
      <c r="J540" s="17">
        <f>IF(B540="Active",H540*I540*Assumptions!$B$11,IF(B540="Deferred",E540*I540*Assumptions!$B$11*(1+Assumptions!$B$9)^G540,F540))</f>
        <v>1472000.6890932601</v>
      </c>
      <c r="K540" s="11">
        <f>IF(B540="Pensioner",1,VLOOKUP(Assumptions!$B$10,Mortality!$A$2:$F$104,6,FALSE)/VLOOKUP(C540,Mortality!$A$2:$F$104,6,FALSE))</f>
        <v>0.96871086700607645</v>
      </c>
      <c r="L540" s="11">
        <f>VLOOKUP(IF(B540="Pensioner",C540,Assumptions!$B$10),Mortality!$A$2:$E$104,5,FALSE)</f>
        <v>17.296790022132885</v>
      </c>
      <c r="M540" s="11">
        <f>1+Assumptions!$B$13*Assumptions!$B$14*Assumptions!$B$15</f>
        <v>1.3187500000000001</v>
      </c>
      <c r="N540" s="11">
        <f>IF(B540="Pensioner",1,1/(1+Assumptions!$B$6)^G540)</f>
        <v>0.10361296939205883</v>
      </c>
      <c r="O540" s="17">
        <f t="shared" si="8"/>
        <v>3370111.6649920363</v>
      </c>
    </row>
    <row r="541" spans="1:15">
      <c r="A541" s="13" t="str">
        <f>Members!A541</f>
        <v>D0030</v>
      </c>
      <c r="B541" s="13" t="str">
        <f>Members!B541</f>
        <v>Deferred</v>
      </c>
      <c r="C541" s="13">
        <f>Members!C541</f>
        <v>54</v>
      </c>
      <c r="D541" s="14">
        <f>Members!D541</f>
        <v>23.6</v>
      </c>
      <c r="E541" s="16">
        <f>Members!E541</f>
        <v>1202000</v>
      </c>
      <c r="F541" s="16">
        <f>Members!F541</f>
        <v>0</v>
      </c>
      <c r="G541" s="15">
        <f>MAX(0,Assumptions!$B$10-C541)</f>
        <v>6</v>
      </c>
      <c r="H541" s="17">
        <f>IF(B541="Active",E541*(1+Assumptions!$B$7)^G541,E541)</f>
        <v>1202000</v>
      </c>
      <c r="I541" s="17">
        <f>IF(B541="Active",MIN(Assumptions!$B$12,D541+G541),IF(B541="Deferred",MIN(Assumptions!$B$12,D541),D541))</f>
        <v>23.6</v>
      </c>
      <c r="J541" s="17">
        <f>IF(B541="Active",H541*I541*Assumptions!$B$11,IF(B541="Deferred",E541*I541*Assumptions!$B$11*(1+Assumptions!$B$9)^G541,F541))</f>
        <v>598225.96102466236</v>
      </c>
      <c r="K541" s="11">
        <f>IF(B541="Pensioner",1,VLOOKUP(Assumptions!$B$10,Mortality!$A$2:$F$104,6,FALSE)/VLOOKUP(C541,Mortality!$A$2:$F$104,6,FALSE))</f>
        <v>0.98655351190569374</v>
      </c>
      <c r="L541" s="11">
        <f>VLOOKUP(IF(B541="Pensioner",C541,Assumptions!$B$10),Mortality!$A$2:$E$104,5,FALSE)</f>
        <v>17.296790022132885</v>
      </c>
      <c r="M541" s="11">
        <f>1+Assumptions!$B$13*Assumptions!$B$14*Assumptions!$B$15</f>
        <v>1.3187500000000001</v>
      </c>
      <c r="N541" s="11">
        <f>IF(B541="Pensioner",1,1/(1+Assumptions!$B$6)^G541)</f>
        <v>0.68533411879901873</v>
      </c>
      <c r="O541" s="17">
        <f t="shared" si="8"/>
        <v>9226059.3106964659</v>
      </c>
    </row>
    <row r="542" spans="1:15">
      <c r="A542" s="13" t="str">
        <f>Members!A542</f>
        <v>A0430</v>
      </c>
      <c r="B542" s="13" t="str">
        <f>Members!B542</f>
        <v>Active</v>
      </c>
      <c r="C542" s="13">
        <f>Members!C542</f>
        <v>46</v>
      </c>
      <c r="D542" s="14">
        <f>Members!D542</f>
        <v>1.7</v>
      </c>
      <c r="E542" s="16">
        <f>Members!E542</f>
        <v>1343000</v>
      </c>
      <c r="F542" s="16">
        <f>Members!F542</f>
        <v>0</v>
      </c>
      <c r="G542" s="15">
        <f>MAX(0,Assumptions!$B$10-C542)</f>
        <v>14</v>
      </c>
      <c r="H542" s="17">
        <f>IF(B542="Active",E542*(1+Assumptions!$B$7)^G542,E542)</f>
        <v>2841910.8332469827</v>
      </c>
      <c r="I542" s="17">
        <f>IF(B542="Active",MIN(Assumptions!$B$12,D542+G542),IF(B542="Deferred",MIN(Assumptions!$B$12,D542),D542))</f>
        <v>15.7</v>
      </c>
      <c r="J542" s="17">
        <f>IF(B542="Active",H542*I542*Assumptions!$B$11,IF(B542="Deferred",E542*I542*Assumptions!$B$11*(1+Assumptions!$B$9)^G542,F542))</f>
        <v>743633.33469962713</v>
      </c>
      <c r="K542" s="11">
        <f>IF(B542="Pensioner",1,VLOOKUP(Assumptions!$B$10,Mortality!$A$2:$F$104,6,FALSE)/VLOOKUP(C542,Mortality!$A$2:$F$104,6,FALSE))</f>
        <v>0.97765823283048059</v>
      </c>
      <c r="L542" s="11">
        <f>VLOOKUP(IF(B542="Pensioner",C542,Assumptions!$B$10),Mortality!$A$2:$E$104,5,FALSE)</f>
        <v>17.296790022132885</v>
      </c>
      <c r="M542" s="11">
        <f>1+Assumptions!$B$13*Assumptions!$B$14*Assumptions!$B$15</f>
        <v>1.3187500000000001</v>
      </c>
      <c r="N542" s="11">
        <f>IF(B542="Pensioner",1,1/(1+Assumptions!$B$6)^G542)</f>
        <v>0.41410024853095956</v>
      </c>
      <c r="O542" s="17">
        <f t="shared" si="8"/>
        <v>6867195.1370883659</v>
      </c>
    </row>
    <row r="543" spans="1:15">
      <c r="A543" s="13" t="str">
        <f>Members!A543</f>
        <v>A0263</v>
      </c>
      <c r="B543" s="13" t="str">
        <f>Members!B543</f>
        <v>Active</v>
      </c>
      <c r="C543" s="13">
        <f>Members!C543</f>
        <v>51</v>
      </c>
      <c r="D543" s="14">
        <f>Members!D543</f>
        <v>25.9</v>
      </c>
      <c r="E543" s="16">
        <f>Members!E543</f>
        <v>1479000</v>
      </c>
      <c r="F543" s="16">
        <f>Members!F543</f>
        <v>0</v>
      </c>
      <c r="G543" s="15">
        <f>MAX(0,Assumptions!$B$10-C543)</f>
        <v>9</v>
      </c>
      <c r="H543" s="17">
        <f>IF(B543="Active",E543*(1+Assumptions!$B$7)^G543,E543)</f>
        <v>2394640.4302416723</v>
      </c>
      <c r="I543" s="17">
        <f>IF(B543="Active",MIN(Assumptions!$B$12,D543+G543),IF(B543="Deferred",MIN(Assumptions!$B$12,D543),D543))</f>
        <v>34.9</v>
      </c>
      <c r="J543" s="17">
        <f>IF(B543="Active",H543*I543*Assumptions!$B$11,IF(B543="Deferred",E543*I543*Assumptions!$B$11*(1+Assumptions!$B$9)^G543,F543))</f>
        <v>1392882.5169239058</v>
      </c>
      <c r="K543" s="11">
        <f>IF(B543="Pensioner",1,VLOOKUP(Assumptions!$B$10,Mortality!$A$2:$F$104,6,FALSE)/VLOOKUP(C543,Mortality!$A$2:$F$104,6,FALSE))</f>
        <v>0.98240527975061542</v>
      </c>
      <c r="L543" s="11">
        <f>VLOOKUP(IF(B543="Pensioner",C543,Assumptions!$B$10),Mortality!$A$2:$E$104,5,FALSE)</f>
        <v>17.296790022132885</v>
      </c>
      <c r="M543" s="11">
        <f>1+Assumptions!$B$13*Assumptions!$B$14*Assumptions!$B$15</f>
        <v>1.3187500000000001</v>
      </c>
      <c r="N543" s="11">
        <f>IF(B543="Pensioner",1,1/(1+Assumptions!$B$6)^G543)</f>
        <v>0.56735322782936326</v>
      </c>
      <c r="O543" s="17">
        <f t="shared" si="8"/>
        <v>17708700.42114453</v>
      </c>
    </row>
    <row r="544" spans="1:15">
      <c r="A544" s="13" t="str">
        <f>Members!A544</f>
        <v>D0065</v>
      </c>
      <c r="B544" s="13" t="str">
        <f>Members!B544</f>
        <v>Deferred</v>
      </c>
      <c r="C544" s="13">
        <f>Members!C544</f>
        <v>36</v>
      </c>
      <c r="D544" s="14">
        <f>Members!D544</f>
        <v>7.4</v>
      </c>
      <c r="E544" s="16">
        <f>Members!E544</f>
        <v>384000</v>
      </c>
      <c r="F544" s="16">
        <f>Members!F544</f>
        <v>0</v>
      </c>
      <c r="G544" s="15">
        <f>MAX(0,Assumptions!$B$10-C544)</f>
        <v>24</v>
      </c>
      <c r="H544" s="17">
        <f>IF(B544="Active",E544*(1+Assumptions!$B$7)^G544,E544)</f>
        <v>384000</v>
      </c>
      <c r="I544" s="17">
        <f>IF(B544="Active",MIN(Assumptions!$B$12,D544+G544),IF(B544="Deferred",MIN(Assumptions!$B$12,D544),D544))</f>
        <v>7.4</v>
      </c>
      <c r="J544" s="17">
        <f>IF(B544="Active",H544*I544*Assumptions!$B$11,IF(B544="Deferred",E544*I544*Assumptions!$B$11*(1+Assumptions!$B$9)^G544,F544))</f>
        <v>121398.08524927341</v>
      </c>
      <c r="K544" s="11">
        <f>IF(B544="Pensioner",1,VLOOKUP(Assumptions!$B$10,Mortality!$A$2:$F$104,6,FALSE)/VLOOKUP(C544,Mortality!$A$2:$F$104,6,FALSE))</f>
        <v>0.97234503055413524</v>
      </c>
      <c r="L544" s="11">
        <f>VLOOKUP(IF(B544="Pensioner",C544,Assumptions!$B$10),Mortality!$A$2:$E$104,5,FALSE)</f>
        <v>17.296790022132885</v>
      </c>
      <c r="M544" s="11">
        <f>1+Assumptions!$B$13*Assumptions!$B$14*Assumptions!$B$15</f>
        <v>1.3187500000000001</v>
      </c>
      <c r="N544" s="11">
        <f>IF(B544="Pensioner",1,1/(1+Assumptions!$B$6)^G544)</f>
        <v>0.22060198370796386</v>
      </c>
      <c r="O544" s="17">
        <f t="shared" si="8"/>
        <v>593977.00901688472</v>
      </c>
    </row>
    <row r="545" spans="1:15">
      <c r="A545" s="13" t="str">
        <f>Members!A545</f>
        <v>A0225</v>
      </c>
      <c r="B545" s="13" t="str">
        <f>Members!B545</f>
        <v>Active</v>
      </c>
      <c r="C545" s="13">
        <f>Members!C545</f>
        <v>43</v>
      </c>
      <c r="D545" s="14">
        <f>Members!D545</f>
        <v>7.8</v>
      </c>
      <c r="E545" s="16">
        <f>Members!E545</f>
        <v>956000</v>
      </c>
      <c r="F545" s="16">
        <f>Members!F545</f>
        <v>0</v>
      </c>
      <c r="G545" s="15">
        <f>MAX(0,Assumptions!$B$10-C545)</f>
        <v>17</v>
      </c>
      <c r="H545" s="17">
        <f>IF(B545="Active",E545*(1+Assumptions!$B$7)^G545,E545)</f>
        <v>2375470.8532711254</v>
      </c>
      <c r="I545" s="17">
        <f>IF(B545="Active",MIN(Assumptions!$B$12,D545+G545),IF(B545="Deferred",MIN(Assumptions!$B$12,D545),D545))</f>
        <v>24.8</v>
      </c>
      <c r="J545" s="17">
        <f>IF(B545="Active",H545*I545*Assumptions!$B$11,IF(B545="Deferred",E545*I545*Assumptions!$B$11*(1+Assumptions!$B$9)^G545,F545))</f>
        <v>981861.28601873177</v>
      </c>
      <c r="K545" s="11">
        <f>IF(B545="Pensioner",1,VLOOKUP(Assumptions!$B$10,Mortality!$A$2:$F$104,6,FALSE)/VLOOKUP(C545,Mortality!$A$2:$F$104,6,FALSE))</f>
        <v>0.97565175842493801</v>
      </c>
      <c r="L545" s="11">
        <f>VLOOKUP(IF(B545="Pensioner",C545,Assumptions!$B$10),Mortality!$A$2:$E$104,5,FALSE)</f>
        <v>17.296790022132885</v>
      </c>
      <c r="M545" s="11">
        <f>1+Assumptions!$B$13*Assumptions!$B$14*Assumptions!$B$15</f>
        <v>1.3187500000000001</v>
      </c>
      <c r="N545" s="11">
        <f>IF(B545="Pensioner",1,1/(1+Assumptions!$B$6)^G545)</f>
        <v>0.34281251466174323</v>
      </c>
      <c r="O545" s="17">
        <f t="shared" si="8"/>
        <v>7490824.4926451324</v>
      </c>
    </row>
    <row r="546" spans="1:15">
      <c r="A546" s="13" t="str">
        <f>Members!A546</f>
        <v>A0090</v>
      </c>
      <c r="B546" s="13" t="str">
        <f>Members!B546</f>
        <v>Active</v>
      </c>
      <c r="C546" s="13">
        <f>Members!C546</f>
        <v>25</v>
      </c>
      <c r="D546" s="14">
        <f>Members!D546</f>
        <v>1</v>
      </c>
      <c r="E546" s="16">
        <f>Members!E546</f>
        <v>561000</v>
      </c>
      <c r="F546" s="16">
        <f>Members!F546</f>
        <v>0</v>
      </c>
      <c r="G546" s="15">
        <f>MAX(0,Assumptions!$B$10-C546)</f>
        <v>35</v>
      </c>
      <c r="H546" s="17">
        <f>IF(B546="Active",E546*(1+Assumptions!$B$7)^G546,E546)</f>
        <v>3654255.8293897235</v>
      </c>
      <c r="I546" s="17">
        <f>IF(B546="Active",MIN(Assumptions!$B$12,D546+G546),IF(B546="Deferred",MIN(Assumptions!$B$12,D546),D546))</f>
        <v>36</v>
      </c>
      <c r="J546" s="17">
        <f>IF(B546="Active",H546*I546*Assumptions!$B$11,IF(B546="Deferred",E546*I546*Assumptions!$B$11*(1+Assumptions!$B$9)^G546,F546))</f>
        <v>2192553.4976338344</v>
      </c>
      <c r="K546" s="11">
        <f>IF(B546="Pensioner",1,VLOOKUP(Assumptions!$B$10,Mortality!$A$2:$F$104,6,FALSE)/VLOOKUP(C546,Mortality!$A$2:$F$104,6,FALSE))</f>
        <v>0.96896729760411437</v>
      </c>
      <c r="L546" s="11">
        <f>VLOOKUP(IF(B546="Pensioner",C546,Assumptions!$B$10),Mortality!$A$2:$E$104,5,FALSE)</f>
        <v>17.296790022132885</v>
      </c>
      <c r="M546" s="11">
        <f>1+Assumptions!$B$13*Assumptions!$B$14*Assumptions!$B$15</f>
        <v>1.3187500000000001</v>
      </c>
      <c r="N546" s="11">
        <f>IF(B546="Pensioner",1,1/(1+Assumptions!$B$6)^G546)</f>
        <v>0.11034781240254267</v>
      </c>
      <c r="O546" s="17">
        <f t="shared" si="8"/>
        <v>5347502.9467161531</v>
      </c>
    </row>
    <row r="547" spans="1:15">
      <c r="A547" s="13" t="str">
        <f>Members!A547</f>
        <v>A0384</v>
      </c>
      <c r="B547" s="13" t="str">
        <f>Members!B547</f>
        <v>Active</v>
      </c>
      <c r="C547" s="13">
        <f>Members!C547</f>
        <v>39</v>
      </c>
      <c r="D547" s="14">
        <f>Members!D547</f>
        <v>17</v>
      </c>
      <c r="E547" s="16">
        <f>Members!E547</f>
        <v>624000</v>
      </c>
      <c r="F547" s="16">
        <f>Members!F547</f>
        <v>0</v>
      </c>
      <c r="G547" s="15">
        <f>MAX(0,Assumptions!$B$10-C547)</f>
        <v>21</v>
      </c>
      <c r="H547" s="17">
        <f>IF(B547="Active",E547*(1+Assumptions!$B$7)^G547,E547)</f>
        <v>1920818.1112144839</v>
      </c>
      <c r="I547" s="17">
        <f>IF(B547="Active",MIN(Assumptions!$B$12,D547+G547),IF(B547="Deferred",MIN(Assumptions!$B$12,D547),D547))</f>
        <v>38</v>
      </c>
      <c r="J547" s="17">
        <f>IF(B547="Active",H547*I547*Assumptions!$B$11,IF(B547="Deferred",E547*I547*Assumptions!$B$11*(1+Assumptions!$B$9)^G547,F547))</f>
        <v>1216518.1371025066</v>
      </c>
      <c r="K547" s="11">
        <f>IF(B547="Pensioner",1,VLOOKUP(Assumptions!$B$10,Mortality!$A$2:$F$104,6,FALSE)/VLOOKUP(C547,Mortality!$A$2:$F$104,6,FALSE))</f>
        <v>0.97358574177887802</v>
      </c>
      <c r="L547" s="11">
        <f>VLOOKUP(IF(B547="Pensioner",C547,Assumptions!$B$10),Mortality!$A$2:$E$104,5,FALSE)</f>
        <v>17.296790022132885</v>
      </c>
      <c r="M547" s="11">
        <f>1+Assumptions!$B$13*Assumptions!$B$14*Assumptions!$B$15</f>
        <v>1.3187500000000001</v>
      </c>
      <c r="N547" s="11">
        <f>IF(B547="Pensioner",1,1/(1+Assumptions!$B$6)^G547)</f>
        <v>0.26647608349429097</v>
      </c>
      <c r="O547" s="17">
        <f t="shared" si="8"/>
        <v>7199113.4205556493</v>
      </c>
    </row>
    <row r="548" spans="1:15">
      <c r="A548" s="13" t="str">
        <f>Members!A548</f>
        <v>D0126</v>
      </c>
      <c r="B548" s="13" t="str">
        <f>Members!B548</f>
        <v>Deferred</v>
      </c>
      <c r="C548" s="13">
        <f>Members!C548</f>
        <v>36</v>
      </c>
      <c r="D548" s="14">
        <f>Members!D548</f>
        <v>4.3</v>
      </c>
      <c r="E548" s="16">
        <f>Members!E548</f>
        <v>523000</v>
      </c>
      <c r="F548" s="16">
        <f>Members!F548</f>
        <v>0</v>
      </c>
      <c r="G548" s="15">
        <f>MAX(0,Assumptions!$B$10-C548)</f>
        <v>24</v>
      </c>
      <c r="H548" s="17">
        <f>IF(B548="Active",E548*(1+Assumptions!$B$7)^G548,E548)</f>
        <v>523000</v>
      </c>
      <c r="I548" s="17">
        <f>IF(B548="Active",MIN(Assumptions!$B$12,D548+G548),IF(B548="Deferred",MIN(Assumptions!$B$12,D548),D548))</f>
        <v>4.3</v>
      </c>
      <c r="J548" s="17">
        <f>IF(B548="Active",H548*I548*Assumptions!$B$11,IF(B548="Deferred",E548*I548*Assumptions!$B$11*(1+Assumptions!$B$9)^G548,F548))</f>
        <v>96076.912273751033</v>
      </c>
      <c r="K548" s="11">
        <f>IF(B548="Pensioner",1,VLOOKUP(Assumptions!$B$10,Mortality!$A$2:$F$104,6,FALSE)/VLOOKUP(C548,Mortality!$A$2:$F$104,6,FALSE))</f>
        <v>0.97234503055413524</v>
      </c>
      <c r="L548" s="11">
        <f>VLOOKUP(IF(B548="Pensioner",C548,Assumptions!$B$10),Mortality!$A$2:$E$104,5,FALSE)</f>
        <v>17.296790022132885</v>
      </c>
      <c r="M548" s="11">
        <f>1+Assumptions!$B$13*Assumptions!$B$14*Assumptions!$B$15</f>
        <v>1.3187500000000001</v>
      </c>
      <c r="N548" s="11">
        <f>IF(B548="Pensioner",1,1/(1+Assumptions!$B$6)^G548)</f>
        <v>0.22060198370796386</v>
      </c>
      <c r="O548" s="17">
        <f t="shared" si="8"/>
        <v>470085.47845512111</v>
      </c>
    </row>
    <row r="549" spans="1:15">
      <c r="A549" s="13" t="str">
        <f>Members!A549</f>
        <v>A0117</v>
      </c>
      <c r="B549" s="13" t="str">
        <f>Members!B549</f>
        <v>Active</v>
      </c>
      <c r="C549" s="13">
        <f>Members!C549</f>
        <v>46</v>
      </c>
      <c r="D549" s="14">
        <f>Members!D549</f>
        <v>21.6</v>
      </c>
      <c r="E549" s="16">
        <f>Members!E549</f>
        <v>849000</v>
      </c>
      <c r="F549" s="16">
        <f>Members!F549</f>
        <v>0</v>
      </c>
      <c r="G549" s="15">
        <f>MAX(0,Assumptions!$B$10-C549)</f>
        <v>14</v>
      </c>
      <c r="H549" s="17">
        <f>IF(B549="Active",E549*(1+Assumptions!$B$7)^G549,E549)</f>
        <v>1796561.6510995445</v>
      </c>
      <c r="I549" s="17">
        <f>IF(B549="Active",MIN(Assumptions!$B$12,D549+G549),IF(B549="Deferred",MIN(Assumptions!$B$12,D549),D549))</f>
        <v>35.6</v>
      </c>
      <c r="J549" s="17">
        <f>IF(B549="Active",H549*I549*Assumptions!$B$11,IF(B549="Deferred",E549*I549*Assumptions!$B$11*(1+Assumptions!$B$9)^G549,F549))</f>
        <v>1065959.9129857298</v>
      </c>
      <c r="K549" s="11">
        <f>IF(B549="Pensioner",1,VLOOKUP(Assumptions!$B$10,Mortality!$A$2:$F$104,6,FALSE)/VLOOKUP(C549,Mortality!$A$2:$F$104,6,FALSE))</f>
        <v>0.97765823283048059</v>
      </c>
      <c r="L549" s="11">
        <f>VLOOKUP(IF(B549="Pensioner",C549,Assumptions!$B$10),Mortality!$A$2:$E$104,5,FALSE)</f>
        <v>17.296790022132885</v>
      </c>
      <c r="M549" s="11">
        <f>1+Assumptions!$B$13*Assumptions!$B$14*Assumptions!$B$15</f>
        <v>1.3187500000000001</v>
      </c>
      <c r="N549" s="11">
        <f>IF(B549="Pensioner",1,1/(1+Assumptions!$B$6)^G549)</f>
        <v>0.41410024853095956</v>
      </c>
      <c r="O549" s="17">
        <f t="shared" si="8"/>
        <v>9843768.9506530017</v>
      </c>
    </row>
    <row r="550" spans="1:15">
      <c r="A550" s="13" t="str">
        <f>Members!A550</f>
        <v>P0004</v>
      </c>
      <c r="B550" s="13" t="str">
        <f>Members!B550</f>
        <v>Pensioner</v>
      </c>
      <c r="C550" s="13">
        <f>Members!C550</f>
        <v>69</v>
      </c>
      <c r="D550" s="14">
        <f>Members!D550</f>
        <v>38.9</v>
      </c>
      <c r="E550" s="16">
        <f>Members!E550</f>
        <v>0</v>
      </c>
      <c r="F550" s="16">
        <f>Members!F550</f>
        <v>178000</v>
      </c>
      <c r="G550" s="15">
        <f>MAX(0,Assumptions!$B$10-C550)</f>
        <v>0</v>
      </c>
      <c r="H550" s="17">
        <f>IF(B550="Active",E550*(1+Assumptions!$B$7)^G550,E550)</f>
        <v>0</v>
      </c>
      <c r="I550" s="17">
        <f>IF(B550="Active",MIN(Assumptions!$B$12,D550+G550),IF(B550="Deferred",MIN(Assumptions!$B$12,D550),D550))</f>
        <v>38.9</v>
      </c>
      <c r="J550" s="17">
        <f>IF(B550="Active",H550*I550*Assumptions!$B$11,IF(B550="Deferred",E550*I550*Assumptions!$B$11*(1+Assumptions!$B$9)^G550,F550))</f>
        <v>178000</v>
      </c>
      <c r="K550" s="11">
        <f>IF(B550="Pensioner",1,VLOOKUP(Assumptions!$B$10,Mortality!$A$2:$F$104,6,FALSE)/VLOOKUP(C550,Mortality!$A$2:$F$104,6,FALSE))</f>
        <v>1</v>
      </c>
      <c r="L550" s="11">
        <f>VLOOKUP(IF(B550="Pensioner",C550,Assumptions!$B$10),Mortality!$A$2:$E$104,5,FALSE)</f>
        <v>13.418448528291036</v>
      </c>
      <c r="M550" s="11">
        <f>1+Assumptions!$B$13*Assumptions!$B$14*Assumptions!$B$15</f>
        <v>1.3187500000000001</v>
      </c>
      <c r="N550" s="11">
        <f>IF(B550="Pensioner",1,1/(1+Assumptions!$B$6)^G550)</f>
        <v>1</v>
      </c>
      <c r="O550" s="17">
        <f t="shared" si="8"/>
        <v>3149813.061409717</v>
      </c>
    </row>
    <row r="551" spans="1:15">
      <c r="A551" s="13" t="str">
        <f>Members!A551</f>
        <v>A0230</v>
      </c>
      <c r="B551" s="13" t="str">
        <f>Members!B551</f>
        <v>Active</v>
      </c>
      <c r="C551" s="13">
        <f>Members!C551</f>
        <v>25</v>
      </c>
      <c r="D551" s="14">
        <f>Members!D551</f>
        <v>1.3</v>
      </c>
      <c r="E551" s="16">
        <f>Members!E551</f>
        <v>520000</v>
      </c>
      <c r="F551" s="16">
        <f>Members!F551</f>
        <v>0</v>
      </c>
      <c r="G551" s="15">
        <f>MAX(0,Assumptions!$B$10-C551)</f>
        <v>35</v>
      </c>
      <c r="H551" s="17">
        <f>IF(B551="Active",E551*(1+Assumptions!$B$7)^G551,E551)</f>
        <v>3387189.004068906</v>
      </c>
      <c r="I551" s="17">
        <f>IF(B551="Active",MIN(Assumptions!$B$12,D551+G551),IF(B551="Deferred",MIN(Assumptions!$B$12,D551),D551))</f>
        <v>36.299999999999997</v>
      </c>
      <c r="J551" s="17">
        <f>IF(B551="Active",H551*I551*Assumptions!$B$11,IF(B551="Deferred",E551*I551*Assumptions!$B$11*(1+Assumptions!$B$9)^G551,F551))</f>
        <v>2049249.3474616881</v>
      </c>
      <c r="K551" s="11">
        <f>IF(B551="Pensioner",1,VLOOKUP(Assumptions!$B$10,Mortality!$A$2:$F$104,6,FALSE)/VLOOKUP(C551,Mortality!$A$2:$F$104,6,FALSE))</f>
        <v>0.96896729760411437</v>
      </c>
      <c r="L551" s="11">
        <f>VLOOKUP(IF(B551="Pensioner",C551,Assumptions!$B$10),Mortality!$A$2:$E$104,5,FALSE)</f>
        <v>17.296790022132885</v>
      </c>
      <c r="M551" s="11">
        <f>1+Assumptions!$B$13*Assumptions!$B$14*Assumptions!$B$15</f>
        <v>1.3187500000000001</v>
      </c>
      <c r="N551" s="11">
        <f>IF(B551="Pensioner",1,1/(1+Assumptions!$B$6)^G551)</f>
        <v>0.11034781240254267</v>
      </c>
      <c r="O551" s="17">
        <f t="shared" si="8"/>
        <v>4997992.9501987565</v>
      </c>
    </row>
    <row r="552" spans="1:15">
      <c r="A552" s="13" t="str">
        <f>Members!A552</f>
        <v>D0051</v>
      </c>
      <c r="B552" s="13" t="str">
        <f>Members!B552</f>
        <v>Deferred</v>
      </c>
      <c r="C552" s="13">
        <f>Members!C552</f>
        <v>44</v>
      </c>
      <c r="D552" s="14">
        <f>Members!D552</f>
        <v>10.9</v>
      </c>
      <c r="E552" s="16">
        <f>Members!E552</f>
        <v>710000</v>
      </c>
      <c r="F552" s="16">
        <f>Members!F552</f>
        <v>0</v>
      </c>
      <c r="G552" s="15">
        <f>MAX(0,Assumptions!$B$10-C552)</f>
        <v>16</v>
      </c>
      <c r="H552" s="17">
        <f>IF(B552="Active",E552*(1+Assumptions!$B$7)^G552,E552)</f>
        <v>710000</v>
      </c>
      <c r="I552" s="17">
        <f>IF(B552="Active",MIN(Assumptions!$B$12,D552+G552),IF(B552="Deferred",MIN(Assumptions!$B$12,D552),D552))</f>
        <v>10.9</v>
      </c>
      <c r="J552" s="17">
        <f>IF(B552="Active",H552*I552*Assumptions!$B$11,IF(B552="Deferred",E552*I552*Assumptions!$B$11*(1+Assumptions!$B$9)^G552,F552))</f>
        <v>241583.36434471252</v>
      </c>
      <c r="K552" s="11">
        <f>IF(B552="Pensioner",1,VLOOKUP(Assumptions!$B$10,Mortality!$A$2:$F$104,6,FALSE)/VLOOKUP(C552,Mortality!$A$2:$F$104,6,FALSE))</f>
        <v>0.97626822121787327</v>
      </c>
      <c r="L552" s="11">
        <f>VLOOKUP(IF(B552="Pensioner",C552,Assumptions!$B$10),Mortality!$A$2:$E$104,5,FALSE)</f>
        <v>17.296790022132885</v>
      </c>
      <c r="M552" s="11">
        <f>1+Assumptions!$B$13*Assumptions!$B$14*Assumptions!$B$15</f>
        <v>1.3187500000000001</v>
      </c>
      <c r="N552" s="11">
        <f>IF(B552="Pensioner",1,1/(1+Assumptions!$B$6)^G552)</f>
        <v>0.36509532811475648</v>
      </c>
      <c r="O552" s="17">
        <f t="shared" si="8"/>
        <v>1964130.9504866051</v>
      </c>
    </row>
    <row r="553" spans="1:15">
      <c r="A553" s="13" t="str">
        <f>Members!A553</f>
        <v>A0440</v>
      </c>
      <c r="B553" s="13" t="str">
        <f>Members!B553</f>
        <v>Active</v>
      </c>
      <c r="C553" s="13">
        <f>Members!C553</f>
        <v>55</v>
      </c>
      <c r="D553" s="14">
        <f>Members!D553</f>
        <v>1.2</v>
      </c>
      <c r="E553" s="16">
        <f>Members!E553</f>
        <v>1810000</v>
      </c>
      <c r="F553" s="16">
        <f>Members!F553</f>
        <v>0</v>
      </c>
      <c r="G553" s="15">
        <f>MAX(0,Assumptions!$B$10-C553)</f>
        <v>5</v>
      </c>
      <c r="H553" s="17">
        <f>IF(B553="Active",E553*(1+Assumptions!$B$7)^G553,E553)</f>
        <v>2365597.6116009681</v>
      </c>
      <c r="I553" s="17">
        <f>IF(B553="Active",MIN(Assumptions!$B$12,D553+G553),IF(B553="Deferred",MIN(Assumptions!$B$12,D553),D553))</f>
        <v>6.2</v>
      </c>
      <c r="J553" s="17">
        <f>IF(B553="Active",H553*I553*Assumptions!$B$11,IF(B553="Deferred",E553*I553*Assumptions!$B$11*(1+Assumptions!$B$9)^G553,F553))</f>
        <v>244445.08653210005</v>
      </c>
      <c r="K553" s="11">
        <f>IF(B553="Pensioner",1,VLOOKUP(Assumptions!$B$10,Mortality!$A$2:$F$104,6,FALSE)/VLOOKUP(C553,Mortality!$A$2:$F$104,6,FALSE))</f>
        <v>0.98824190874991746</v>
      </c>
      <c r="L553" s="11">
        <f>VLOOKUP(IF(B553="Pensioner",C553,Assumptions!$B$10),Mortality!$A$2:$E$104,5,FALSE)</f>
        <v>17.296790022132885</v>
      </c>
      <c r="M553" s="11">
        <f>1+Assumptions!$B$13*Assumptions!$B$14*Assumptions!$B$15</f>
        <v>1.3187500000000001</v>
      </c>
      <c r="N553" s="11">
        <f>IF(B553="Pensioner",1,1/(1+Assumptions!$B$6)^G553)</f>
        <v>0.72988083652095492</v>
      </c>
      <c r="O553" s="17">
        <f t="shared" si="8"/>
        <v>4021837.5666622152</v>
      </c>
    </row>
    <row r="554" spans="1:15">
      <c r="A554" s="13" t="str">
        <f>Members!A554</f>
        <v>A0031</v>
      </c>
      <c r="B554" s="13" t="str">
        <f>Members!B554</f>
        <v>Active</v>
      </c>
      <c r="C554" s="13">
        <f>Members!C554</f>
        <v>57</v>
      </c>
      <c r="D554" s="14">
        <f>Members!D554</f>
        <v>1.4</v>
      </c>
      <c r="E554" s="16">
        <f>Members!E554</f>
        <v>2247000</v>
      </c>
      <c r="F554" s="16">
        <f>Members!F554</f>
        <v>0</v>
      </c>
      <c r="G554" s="15">
        <f>MAX(0,Assumptions!$B$10-C554)</f>
        <v>3</v>
      </c>
      <c r="H554" s="17">
        <f>IF(B554="Active",E554*(1+Assumptions!$B$7)^G554,E554)</f>
        <v>2638520.3696249994</v>
      </c>
      <c r="I554" s="17">
        <f>IF(B554="Active",MIN(Assumptions!$B$12,D554+G554),IF(B554="Deferred",MIN(Assumptions!$B$12,D554),D554))</f>
        <v>4.4000000000000004</v>
      </c>
      <c r="J554" s="17">
        <f>IF(B554="Active",H554*I554*Assumptions!$B$11,IF(B554="Deferred",E554*I554*Assumptions!$B$11*(1+Assumptions!$B$9)^G554,F554))</f>
        <v>193491.49377249996</v>
      </c>
      <c r="K554" s="11">
        <f>IF(B554="Pensioner",1,VLOOKUP(Assumptions!$B$10,Mortality!$A$2:$F$104,6,FALSE)/VLOOKUP(C554,Mortality!$A$2:$F$104,6,FALSE))</f>
        <v>0.99220038929214172</v>
      </c>
      <c r="L554" s="11">
        <f>VLOOKUP(IF(B554="Pensioner",C554,Assumptions!$B$10),Mortality!$A$2:$E$104,5,FALSE)</f>
        <v>17.296790022132885</v>
      </c>
      <c r="M554" s="11">
        <f>1+Assumptions!$B$13*Assumptions!$B$14*Assumptions!$B$15</f>
        <v>1.3187500000000001</v>
      </c>
      <c r="N554" s="11">
        <f>IF(B554="Pensioner",1,1/(1+Assumptions!$B$6)^G554)</f>
        <v>0.82784909180297994</v>
      </c>
      <c r="O554" s="17">
        <f t="shared" si="8"/>
        <v>3625270.63379568</v>
      </c>
    </row>
    <row r="555" spans="1:15">
      <c r="A555" s="13" t="str">
        <f>Members!A555</f>
        <v>A0177</v>
      </c>
      <c r="B555" s="13" t="str">
        <f>Members!B555</f>
        <v>Active</v>
      </c>
      <c r="C555" s="13">
        <f>Members!C555</f>
        <v>55</v>
      </c>
      <c r="D555" s="14">
        <f>Members!D555</f>
        <v>6.1</v>
      </c>
      <c r="E555" s="16">
        <f>Members!E555</f>
        <v>2079000</v>
      </c>
      <c r="F555" s="16">
        <f>Members!F555</f>
        <v>0</v>
      </c>
      <c r="G555" s="15">
        <f>MAX(0,Assumptions!$B$10-C555)</f>
        <v>5</v>
      </c>
      <c r="H555" s="17">
        <f>IF(B555="Active",E555*(1+Assumptions!$B$7)^G555,E555)</f>
        <v>2717169.8533250899</v>
      </c>
      <c r="I555" s="17">
        <f>IF(B555="Active",MIN(Assumptions!$B$12,D555+G555),IF(B555="Deferred",MIN(Assumptions!$B$12,D555),D555))</f>
        <v>11.1</v>
      </c>
      <c r="J555" s="17">
        <f>IF(B555="Active",H555*I555*Assumptions!$B$11,IF(B555="Deferred",E555*I555*Assumptions!$B$11*(1+Assumptions!$B$9)^G555,F555))</f>
        <v>502676.42286514159</v>
      </c>
      <c r="K555" s="11">
        <f>IF(B555="Pensioner",1,VLOOKUP(Assumptions!$B$10,Mortality!$A$2:$F$104,6,FALSE)/VLOOKUP(C555,Mortality!$A$2:$F$104,6,FALSE))</f>
        <v>0.98824190874991746</v>
      </c>
      <c r="L555" s="11">
        <f>VLOOKUP(IF(B555="Pensioner",C555,Assumptions!$B$10),Mortality!$A$2:$E$104,5,FALSE)</f>
        <v>17.296790022132885</v>
      </c>
      <c r="M555" s="11">
        <f>1+Assumptions!$B$13*Assumptions!$B$14*Assumptions!$B$15</f>
        <v>1.3187500000000001</v>
      </c>
      <c r="N555" s="11">
        <f>IF(B555="Pensioner",1,1/(1+Assumptions!$B$6)^G555)</f>
        <v>0.72988083652095492</v>
      </c>
      <c r="O555" s="17">
        <f t="shared" si="8"/>
        <v>8270499.3176000044</v>
      </c>
    </row>
    <row r="556" spans="1:15">
      <c r="A556" s="13" t="str">
        <f>Members!A556</f>
        <v>P0134</v>
      </c>
      <c r="B556" s="13" t="str">
        <f>Members!B556</f>
        <v>Pensioner</v>
      </c>
      <c r="C556" s="13">
        <f>Members!C556</f>
        <v>88</v>
      </c>
      <c r="D556" s="14">
        <f>Members!D556</f>
        <v>21.5</v>
      </c>
      <c r="E556" s="16">
        <f>Members!E556</f>
        <v>0</v>
      </c>
      <c r="F556" s="16">
        <f>Members!F556</f>
        <v>555000</v>
      </c>
      <c r="G556" s="15">
        <f>MAX(0,Assumptions!$B$10-C556)</f>
        <v>0</v>
      </c>
      <c r="H556" s="17">
        <f>IF(B556="Active",E556*(1+Assumptions!$B$7)^G556,E556)</f>
        <v>0</v>
      </c>
      <c r="I556" s="17">
        <f>IF(B556="Active",MIN(Assumptions!$B$12,D556+G556),IF(B556="Deferred",MIN(Assumptions!$B$12,D556),D556))</f>
        <v>21.5</v>
      </c>
      <c r="J556" s="17">
        <f>IF(B556="Active",H556*I556*Assumptions!$B$11,IF(B556="Deferred",E556*I556*Assumptions!$B$11*(1+Assumptions!$B$9)^G556,F556))</f>
        <v>555000</v>
      </c>
      <c r="K556" s="11">
        <f>IF(B556="Pensioner",1,VLOOKUP(Assumptions!$B$10,Mortality!$A$2:$F$104,6,FALSE)/VLOOKUP(C556,Mortality!$A$2:$F$104,6,FALSE))</f>
        <v>1</v>
      </c>
      <c r="L556" s="11">
        <f>VLOOKUP(IF(B556="Pensioner",C556,Assumptions!$B$10),Mortality!$A$2:$E$104,5,FALSE)</f>
        <v>5.0437428962217341</v>
      </c>
      <c r="M556" s="11">
        <f>1+Assumptions!$B$13*Assumptions!$B$14*Assumptions!$B$15</f>
        <v>1.3187500000000001</v>
      </c>
      <c r="N556" s="11">
        <f>IF(B556="Pensioner",1,1/(1+Assumptions!$B$6)^G556)</f>
        <v>1</v>
      </c>
      <c r="O556" s="17">
        <f t="shared" si="8"/>
        <v>3691546.9491377887</v>
      </c>
    </row>
    <row r="557" spans="1:15">
      <c r="A557" s="13" t="str">
        <f>Members!A557</f>
        <v>A0169</v>
      </c>
      <c r="B557" s="13" t="str">
        <f>Members!B557</f>
        <v>Active</v>
      </c>
      <c r="C557" s="13">
        <f>Members!C557</f>
        <v>57</v>
      </c>
      <c r="D557" s="14">
        <f>Members!D557</f>
        <v>2.5</v>
      </c>
      <c r="E557" s="16">
        <f>Members!E557</f>
        <v>1858000</v>
      </c>
      <c r="F557" s="16">
        <f>Members!F557</f>
        <v>0</v>
      </c>
      <c r="G557" s="15">
        <f>MAX(0,Assumptions!$B$10-C557)</f>
        <v>3</v>
      </c>
      <c r="H557" s="17">
        <f>IF(B557="Active",E557*(1+Assumptions!$B$7)^G557,E557)</f>
        <v>2181740.4747499996</v>
      </c>
      <c r="I557" s="17">
        <f>IF(B557="Active",MIN(Assumptions!$B$12,D557+G557),IF(B557="Deferred",MIN(Assumptions!$B$12,D557),D557))</f>
        <v>5.5</v>
      </c>
      <c r="J557" s="17">
        <f>IF(B557="Active",H557*I557*Assumptions!$B$11,IF(B557="Deferred",E557*I557*Assumptions!$B$11*(1+Assumptions!$B$9)^G557,F557))</f>
        <v>199992.87685208331</v>
      </c>
      <c r="K557" s="11">
        <f>IF(B557="Pensioner",1,VLOOKUP(Assumptions!$B$10,Mortality!$A$2:$F$104,6,FALSE)/VLOOKUP(C557,Mortality!$A$2:$F$104,6,FALSE))</f>
        <v>0.99220038929214172</v>
      </c>
      <c r="L557" s="11">
        <f>VLOOKUP(IF(B557="Pensioner",C557,Assumptions!$B$10),Mortality!$A$2:$E$104,5,FALSE)</f>
        <v>17.296790022132885</v>
      </c>
      <c r="M557" s="11">
        <f>1+Assumptions!$B$13*Assumptions!$B$14*Assumptions!$B$15</f>
        <v>1.3187500000000001</v>
      </c>
      <c r="N557" s="11">
        <f>IF(B557="Pensioner",1,1/(1+Assumptions!$B$6)^G557)</f>
        <v>0.82784909180297994</v>
      </c>
      <c r="O557" s="17">
        <f t="shared" si="8"/>
        <v>3747081.0177972708</v>
      </c>
    </row>
    <row r="558" spans="1:15">
      <c r="A558" s="13" t="str">
        <f>Members!A558</f>
        <v>A0245</v>
      </c>
      <c r="B558" s="13" t="str">
        <f>Members!B558</f>
        <v>Active</v>
      </c>
      <c r="C558" s="13">
        <f>Members!C558</f>
        <v>57</v>
      </c>
      <c r="D558" s="14">
        <f>Members!D558</f>
        <v>9.1999999999999993</v>
      </c>
      <c r="E558" s="16">
        <f>Members!E558</f>
        <v>2052000</v>
      </c>
      <c r="F558" s="16">
        <f>Members!F558</f>
        <v>0</v>
      </c>
      <c r="G558" s="15">
        <f>MAX(0,Assumptions!$B$10-C558)</f>
        <v>3</v>
      </c>
      <c r="H558" s="17">
        <f>IF(B558="Active",E558*(1+Assumptions!$B$7)^G558,E558)</f>
        <v>2409543.3014999996</v>
      </c>
      <c r="I558" s="17">
        <f>IF(B558="Active",MIN(Assumptions!$B$12,D558+G558),IF(B558="Deferred",MIN(Assumptions!$B$12,D558),D558))</f>
        <v>12.2</v>
      </c>
      <c r="J558" s="17">
        <f>IF(B558="Active",H558*I558*Assumptions!$B$11,IF(B558="Deferred",E558*I558*Assumptions!$B$11*(1+Assumptions!$B$9)^G558,F558))</f>
        <v>489940.4713049999</v>
      </c>
      <c r="K558" s="11">
        <f>IF(B558="Pensioner",1,VLOOKUP(Assumptions!$B$10,Mortality!$A$2:$F$104,6,FALSE)/VLOOKUP(C558,Mortality!$A$2:$F$104,6,FALSE))</f>
        <v>0.99220038929214172</v>
      </c>
      <c r="L558" s="11">
        <f>VLOOKUP(IF(B558="Pensioner",C558,Assumptions!$B$10),Mortality!$A$2:$E$104,5,FALSE)</f>
        <v>17.296790022132885</v>
      </c>
      <c r="M558" s="11">
        <f>1+Assumptions!$B$13*Assumptions!$B$14*Assumptions!$B$15</f>
        <v>1.3187500000000001</v>
      </c>
      <c r="N558" s="11">
        <f>IF(B558="Pensioner",1,1/(1+Assumptions!$B$6)^G558)</f>
        <v>0.82784909180297994</v>
      </c>
      <c r="O558" s="17">
        <f t="shared" si="8"/>
        <v>9179560.1362113673</v>
      </c>
    </row>
    <row r="559" spans="1:15">
      <c r="A559" s="13" t="str">
        <f>Members!A559</f>
        <v>P0190</v>
      </c>
      <c r="B559" s="13" t="str">
        <f>Members!B559</f>
        <v>Pensioner</v>
      </c>
      <c r="C559" s="13">
        <f>Members!C559</f>
        <v>74</v>
      </c>
      <c r="D559" s="14">
        <f>Members!D559</f>
        <v>31.4</v>
      </c>
      <c r="E559" s="16">
        <f>Members!E559</f>
        <v>0</v>
      </c>
      <c r="F559" s="16">
        <f>Members!F559</f>
        <v>444000</v>
      </c>
      <c r="G559" s="15">
        <f>MAX(0,Assumptions!$B$10-C559)</f>
        <v>0</v>
      </c>
      <c r="H559" s="17">
        <f>IF(B559="Active",E559*(1+Assumptions!$B$7)^G559,E559)</f>
        <v>0</v>
      </c>
      <c r="I559" s="17">
        <f>IF(B559="Active",MIN(Assumptions!$B$12,D559+G559),IF(B559="Deferred",MIN(Assumptions!$B$12,D559),D559))</f>
        <v>31.4</v>
      </c>
      <c r="J559" s="17">
        <f>IF(B559="Active",H559*I559*Assumptions!$B$11,IF(B559="Deferred",E559*I559*Assumptions!$B$11*(1+Assumptions!$B$9)^G559,F559))</f>
        <v>444000</v>
      </c>
      <c r="K559" s="11">
        <f>IF(B559="Pensioner",1,VLOOKUP(Assumptions!$B$10,Mortality!$A$2:$F$104,6,FALSE)/VLOOKUP(C559,Mortality!$A$2:$F$104,6,FALSE))</f>
        <v>1</v>
      </c>
      <c r="L559" s="11">
        <f>VLOOKUP(IF(B559="Pensioner",C559,Assumptions!$B$10),Mortality!$A$2:$E$104,5,FALSE)</f>
        <v>11.124346929912107</v>
      </c>
      <c r="M559" s="11">
        <f>1+Assumptions!$B$13*Assumptions!$B$14*Assumptions!$B$15</f>
        <v>1.3187500000000001</v>
      </c>
      <c r="N559" s="11">
        <f>IF(B559="Pensioner",1,1/(1+Assumptions!$B$6)^G559)</f>
        <v>1</v>
      </c>
      <c r="O559" s="17">
        <f t="shared" si="8"/>
        <v>6513583.2361367866</v>
      </c>
    </row>
    <row r="560" spans="1:15">
      <c r="A560" s="13" t="str">
        <f>Members!A560</f>
        <v>D0121</v>
      </c>
      <c r="B560" s="13" t="str">
        <f>Members!B560</f>
        <v>Deferred</v>
      </c>
      <c r="C560" s="13">
        <f>Members!C560</f>
        <v>50</v>
      </c>
      <c r="D560" s="14">
        <f>Members!D560</f>
        <v>9.3000000000000007</v>
      </c>
      <c r="E560" s="16">
        <f>Members!E560</f>
        <v>986000</v>
      </c>
      <c r="F560" s="16">
        <f>Members!F560</f>
        <v>0</v>
      </c>
      <c r="G560" s="15">
        <f>MAX(0,Assumptions!$B$10-C560)</f>
        <v>10</v>
      </c>
      <c r="H560" s="17">
        <f>IF(B560="Active",E560*(1+Assumptions!$B$7)^G560,E560)</f>
        <v>986000</v>
      </c>
      <c r="I560" s="17">
        <f>IF(B560="Active",MIN(Assumptions!$B$12,D560+G560),IF(B560="Deferred",MIN(Assumptions!$B$12,D560),D560))</f>
        <v>9.3000000000000007</v>
      </c>
      <c r="J560" s="17">
        <f>IF(B560="Active",H560*I560*Assumptions!$B$11,IF(B560="Deferred",E560*I560*Assumptions!$B$11*(1+Assumptions!$B$9)^G560,F560))</f>
        <v>226225.7340640706</v>
      </c>
      <c r="K560" s="11">
        <f>IF(B560="Pensioner",1,VLOOKUP(Assumptions!$B$10,Mortality!$A$2:$F$104,6,FALSE)/VLOOKUP(C560,Mortality!$A$2:$F$104,6,FALSE))</f>
        <v>0.98127299335824147</v>
      </c>
      <c r="L560" s="11">
        <f>VLOOKUP(IF(B560="Pensioner",C560,Assumptions!$B$10),Mortality!$A$2:$E$104,5,FALSE)</f>
        <v>17.296790022132885</v>
      </c>
      <c r="M560" s="11">
        <f>1+Assumptions!$B$13*Assumptions!$B$14*Assumptions!$B$15</f>
        <v>1.3187500000000001</v>
      </c>
      <c r="N560" s="11">
        <f>IF(B560="Pensioner",1,1/(1+Assumptions!$B$6)^G560)</f>
        <v>0.53272603552052888</v>
      </c>
      <c r="O560" s="17">
        <f t="shared" si="8"/>
        <v>2697514.3306803969</v>
      </c>
    </row>
    <row r="561" spans="1:15">
      <c r="A561" s="13" t="str">
        <f>Members!A561</f>
        <v>A0515</v>
      </c>
      <c r="B561" s="13" t="str">
        <f>Members!B561</f>
        <v>Active</v>
      </c>
      <c r="C561" s="13">
        <f>Members!C561</f>
        <v>55</v>
      </c>
      <c r="D561" s="14">
        <f>Members!D561</f>
        <v>14.2</v>
      </c>
      <c r="E561" s="16">
        <f>Members!E561</f>
        <v>1475000</v>
      </c>
      <c r="F561" s="16">
        <f>Members!F561</f>
        <v>0</v>
      </c>
      <c r="G561" s="15">
        <f>MAX(0,Assumptions!$B$10-C561)</f>
        <v>5</v>
      </c>
      <c r="H561" s="17">
        <f>IF(B561="Active",E561*(1+Assumptions!$B$7)^G561,E561)</f>
        <v>1927766.0094538277</v>
      </c>
      <c r="I561" s="17">
        <f>IF(B561="Active",MIN(Assumptions!$B$12,D561+G561),IF(B561="Deferred",MIN(Assumptions!$B$12,D561),D561))</f>
        <v>19.2</v>
      </c>
      <c r="J561" s="17">
        <f>IF(B561="Active",H561*I561*Assumptions!$B$11,IF(B561="Deferred",E561*I561*Assumptions!$B$11*(1+Assumptions!$B$9)^G561,F561))</f>
        <v>616885.12302522489</v>
      </c>
      <c r="K561" s="11">
        <f>IF(B561="Pensioner",1,VLOOKUP(Assumptions!$B$10,Mortality!$A$2:$F$104,6,FALSE)/VLOOKUP(C561,Mortality!$A$2:$F$104,6,FALSE))</f>
        <v>0.98824190874991746</v>
      </c>
      <c r="L561" s="11">
        <f>VLOOKUP(IF(B561="Pensioner",C561,Assumptions!$B$10),Mortality!$A$2:$E$104,5,FALSE)</f>
        <v>17.296790022132885</v>
      </c>
      <c r="M561" s="11">
        <f>1+Assumptions!$B$13*Assumptions!$B$14*Assumptions!$B$15</f>
        <v>1.3187500000000001</v>
      </c>
      <c r="N561" s="11">
        <f>IF(B561="Pensioner",1,1/(1+Assumptions!$B$6)^G561)</f>
        <v>0.72988083652095492</v>
      </c>
      <c r="O561" s="17">
        <f t="shared" si="8"/>
        <v>10149566.91212564</v>
      </c>
    </row>
    <row r="562" spans="1:15">
      <c r="A562" s="13" t="str">
        <f>Members!A562</f>
        <v>D0004</v>
      </c>
      <c r="B562" s="13" t="str">
        <f>Members!B562</f>
        <v>Deferred</v>
      </c>
      <c r="C562" s="13">
        <f>Members!C562</f>
        <v>41</v>
      </c>
      <c r="D562" s="14">
        <f>Members!D562</f>
        <v>10.8</v>
      </c>
      <c r="E562" s="16">
        <f>Members!E562</f>
        <v>782000</v>
      </c>
      <c r="F562" s="16">
        <f>Members!F562</f>
        <v>0</v>
      </c>
      <c r="G562" s="15">
        <f>MAX(0,Assumptions!$B$10-C562)</f>
        <v>19</v>
      </c>
      <c r="H562" s="17">
        <f>IF(B562="Active",E562*(1+Assumptions!$B$7)^G562,E562)</f>
        <v>782000</v>
      </c>
      <c r="I562" s="17">
        <f>IF(B562="Active",MIN(Assumptions!$B$12,D562+G562),IF(B562="Deferred",MIN(Assumptions!$B$12,D562),D562))</f>
        <v>10.8</v>
      </c>
      <c r="J562" s="17">
        <f>IF(B562="Active",H562*I562*Assumptions!$B$11,IF(B562="Deferred",E562*I562*Assumptions!$B$11*(1+Assumptions!$B$9)^G562,F562))</f>
        <v>296560.09001286956</v>
      </c>
      <c r="K562" s="11">
        <f>IF(B562="Pensioner",1,VLOOKUP(Assumptions!$B$10,Mortality!$A$2:$F$104,6,FALSE)/VLOOKUP(C562,Mortality!$A$2:$F$104,6,FALSE))</f>
        <v>0.97454789540795339</v>
      </c>
      <c r="L562" s="11">
        <f>VLOOKUP(IF(B562="Pensioner",C562,Assumptions!$B$10),Mortality!$A$2:$E$104,5,FALSE)</f>
        <v>17.296790022132885</v>
      </c>
      <c r="M562" s="11">
        <f>1+Assumptions!$B$13*Assumptions!$B$14*Assumptions!$B$15</f>
        <v>1.3187500000000001</v>
      </c>
      <c r="N562" s="11">
        <f>IF(B562="Pensioner",1,1/(1+Assumptions!$B$6)^G562)</f>
        <v>0.30224383580131214</v>
      </c>
      <c r="O562" s="17">
        <f t="shared" si="8"/>
        <v>1992513.7677617997</v>
      </c>
    </row>
    <row r="563" spans="1:15">
      <c r="A563" s="13" t="str">
        <f>Members!A563</f>
        <v>A0353</v>
      </c>
      <c r="B563" s="13" t="str">
        <f>Members!B563</f>
        <v>Active</v>
      </c>
      <c r="C563" s="13">
        <f>Members!C563</f>
        <v>34</v>
      </c>
      <c r="D563" s="14">
        <f>Members!D563</f>
        <v>5.5</v>
      </c>
      <c r="E563" s="16">
        <f>Members!E563</f>
        <v>702000</v>
      </c>
      <c r="F563" s="16">
        <f>Members!F563</f>
        <v>0</v>
      </c>
      <c r="G563" s="15">
        <f>MAX(0,Assumptions!$B$10-C563)</f>
        <v>26</v>
      </c>
      <c r="H563" s="17">
        <f>IF(B563="Active",E563*(1+Assumptions!$B$7)^G563,E563)</f>
        <v>2824236.5073121409</v>
      </c>
      <c r="I563" s="17">
        <f>IF(B563="Active",MIN(Assumptions!$B$12,D563+G563),IF(B563="Deferred",MIN(Assumptions!$B$12,D563),D563))</f>
        <v>31.5</v>
      </c>
      <c r="J563" s="17">
        <f>IF(B563="Active",H563*I563*Assumptions!$B$11,IF(B563="Deferred",E563*I563*Assumptions!$B$11*(1+Assumptions!$B$9)^G563,F563))</f>
        <v>1482724.1663388738</v>
      </c>
      <c r="K563" s="11">
        <f>IF(B563="Pensioner",1,VLOOKUP(Assumptions!$B$10,Mortality!$A$2:$F$104,6,FALSE)/VLOOKUP(C563,Mortality!$A$2:$F$104,6,FALSE))</f>
        <v>0.97162058192333911</v>
      </c>
      <c r="L563" s="11">
        <f>VLOOKUP(IF(B563="Pensioner",C563,Assumptions!$B$10),Mortality!$A$2:$E$104,5,FALSE)</f>
        <v>17.296790022132885</v>
      </c>
      <c r="M563" s="11">
        <f>1+Assumptions!$B$13*Assumptions!$B$14*Assumptions!$B$15</f>
        <v>1.3187500000000001</v>
      </c>
      <c r="N563" s="11">
        <f>IF(B563="Pensioner",1,1/(1+Assumptions!$B$6)^G563)</f>
        <v>0.19449578673364096</v>
      </c>
      <c r="O563" s="17">
        <f t="shared" si="8"/>
        <v>6391389.070685707</v>
      </c>
    </row>
    <row r="564" spans="1:15">
      <c r="A564" s="13" t="str">
        <f>Members!A564</f>
        <v>A0206</v>
      </c>
      <c r="B564" s="13" t="str">
        <f>Members!B564</f>
        <v>Active</v>
      </c>
      <c r="C564" s="13">
        <f>Members!C564</f>
        <v>25</v>
      </c>
      <c r="D564" s="14">
        <f>Members!D564</f>
        <v>1</v>
      </c>
      <c r="E564" s="16">
        <f>Members!E564</f>
        <v>538000</v>
      </c>
      <c r="F564" s="16">
        <f>Members!F564</f>
        <v>0</v>
      </c>
      <c r="G564" s="15">
        <f>MAX(0,Assumptions!$B$10-C564)</f>
        <v>35</v>
      </c>
      <c r="H564" s="17">
        <f>IF(B564="Active",E564*(1+Assumptions!$B$7)^G564,E564)</f>
        <v>3504437.8542097523</v>
      </c>
      <c r="I564" s="17">
        <f>IF(B564="Active",MIN(Assumptions!$B$12,D564+G564),IF(B564="Deferred",MIN(Assumptions!$B$12,D564),D564))</f>
        <v>36</v>
      </c>
      <c r="J564" s="17">
        <f>IF(B564="Active",H564*I564*Assumptions!$B$11,IF(B564="Deferred",E564*I564*Assumptions!$B$11*(1+Assumptions!$B$9)^G564,F564))</f>
        <v>2102662.7125258511</v>
      </c>
      <c r="K564" s="11">
        <f>IF(B564="Pensioner",1,VLOOKUP(Assumptions!$B$10,Mortality!$A$2:$F$104,6,FALSE)/VLOOKUP(C564,Mortality!$A$2:$F$104,6,FALSE))</f>
        <v>0.96896729760411437</v>
      </c>
      <c r="L564" s="11">
        <f>VLOOKUP(IF(B564="Pensioner",C564,Assumptions!$B$10),Mortality!$A$2:$E$104,5,FALSE)</f>
        <v>17.296790022132885</v>
      </c>
      <c r="M564" s="11">
        <f>1+Assumptions!$B$13*Assumptions!$B$14*Assumptions!$B$15</f>
        <v>1.3187500000000001</v>
      </c>
      <c r="N564" s="11">
        <f>IF(B564="Pensioner",1,1/(1+Assumptions!$B$6)^G564)</f>
        <v>0.11034781240254267</v>
      </c>
      <c r="O564" s="17">
        <f t="shared" si="8"/>
        <v>5128264.8579916032</v>
      </c>
    </row>
    <row r="565" spans="1:15">
      <c r="A565" s="13" t="str">
        <f>Members!A565</f>
        <v>A0432</v>
      </c>
      <c r="B565" s="13" t="str">
        <f>Members!B565</f>
        <v>Active</v>
      </c>
      <c r="C565" s="13">
        <f>Members!C565</f>
        <v>26</v>
      </c>
      <c r="D565" s="14">
        <f>Members!D565</f>
        <v>4.5</v>
      </c>
      <c r="E565" s="16">
        <f>Members!E565</f>
        <v>433000</v>
      </c>
      <c r="F565" s="16">
        <f>Members!F565</f>
        <v>0</v>
      </c>
      <c r="G565" s="15">
        <f>MAX(0,Assumptions!$B$10-C565)</f>
        <v>34</v>
      </c>
      <c r="H565" s="17">
        <f>IF(B565="Active",E565*(1+Assumptions!$B$7)^G565,E565)</f>
        <v>2673446.661979286</v>
      </c>
      <c r="I565" s="17">
        <f>IF(B565="Active",MIN(Assumptions!$B$12,D565+G565),IF(B565="Deferred",MIN(Assumptions!$B$12,D565),D565))</f>
        <v>38.5</v>
      </c>
      <c r="J565" s="17">
        <f>IF(B565="Active",H565*I565*Assumptions!$B$11,IF(B565="Deferred",E565*I565*Assumptions!$B$11*(1+Assumptions!$B$9)^G565,F565))</f>
        <v>1715461.6081033752</v>
      </c>
      <c r="K565" s="11">
        <f>IF(B565="Pensioner",1,VLOOKUP(Assumptions!$B$10,Mortality!$A$2:$F$104,6,FALSE)/VLOOKUP(C565,Mortality!$A$2:$F$104,6,FALSE))</f>
        <v>0.96922916291892547</v>
      </c>
      <c r="L565" s="11">
        <f>VLOOKUP(IF(B565="Pensioner",C565,Assumptions!$B$10),Mortality!$A$2:$E$104,5,FALSE)</f>
        <v>17.296790022132885</v>
      </c>
      <c r="M565" s="11">
        <f>1+Assumptions!$B$13*Assumptions!$B$14*Assumptions!$B$15</f>
        <v>1.3187500000000001</v>
      </c>
      <c r="N565" s="11">
        <f>IF(B565="Pensioner",1,1/(1+Assumptions!$B$6)^G565)</f>
        <v>0.11752042020870793</v>
      </c>
      <c r="O565" s="17">
        <f t="shared" si="8"/>
        <v>4457063.2544526169</v>
      </c>
    </row>
    <row r="566" spans="1:15">
      <c r="A566" s="13" t="str">
        <f>Members!A566</f>
        <v>D0008</v>
      </c>
      <c r="B566" s="13" t="str">
        <f>Members!B566</f>
        <v>Deferred</v>
      </c>
      <c r="C566" s="13">
        <f>Members!C566</f>
        <v>35</v>
      </c>
      <c r="D566" s="14">
        <f>Members!D566</f>
        <v>4.2</v>
      </c>
      <c r="E566" s="16">
        <f>Members!E566</f>
        <v>490000</v>
      </c>
      <c r="F566" s="16">
        <f>Members!F566</f>
        <v>0</v>
      </c>
      <c r="G566" s="15">
        <f>MAX(0,Assumptions!$B$10-C566)</f>
        <v>25</v>
      </c>
      <c r="H566" s="17">
        <f>IF(B566="Active",E566*(1+Assumptions!$B$7)^G566,E566)</f>
        <v>490000</v>
      </c>
      <c r="I566" s="17">
        <f>IF(B566="Active",MIN(Assumptions!$B$12,D566+G566),IF(B566="Deferred",MIN(Assumptions!$B$12,D566),D566))</f>
        <v>4.2</v>
      </c>
      <c r="J566" s="17">
        <f>IF(B566="Active",H566*I566*Assumptions!$B$11,IF(B566="Deferred",E566*I566*Assumptions!$B$11*(1+Assumptions!$B$9)^G566,F566))</f>
        <v>91438.186170018627</v>
      </c>
      <c r="K566" s="11">
        <f>IF(B566="Pensioner",1,VLOOKUP(Assumptions!$B$10,Mortality!$A$2:$F$104,6,FALSE)/VLOOKUP(C566,Mortality!$A$2:$F$104,6,FALSE))</f>
        <v>0.97197407653867529</v>
      </c>
      <c r="L566" s="11">
        <f>VLOOKUP(IF(B566="Pensioner",C566,Assumptions!$B$10),Mortality!$A$2:$E$104,5,FALSE)</f>
        <v>17.296790022132885</v>
      </c>
      <c r="M566" s="11">
        <f>1+Assumptions!$B$13*Assumptions!$B$14*Assumptions!$B$15</f>
        <v>1.3187500000000001</v>
      </c>
      <c r="N566" s="11">
        <f>IF(B566="Pensioner",1,1/(1+Assumptions!$B$6)^G566)</f>
        <v>0.20713801287132758</v>
      </c>
      <c r="O566" s="17">
        <f t="shared" si="8"/>
        <v>419923.39993651141</v>
      </c>
    </row>
    <row r="567" spans="1:15">
      <c r="A567" s="13" t="str">
        <f>Members!A567</f>
        <v>A0548</v>
      </c>
      <c r="B567" s="13" t="str">
        <f>Members!B567</f>
        <v>Active</v>
      </c>
      <c r="C567" s="13">
        <f>Members!C567</f>
        <v>33</v>
      </c>
      <c r="D567" s="14">
        <f>Members!D567</f>
        <v>1.8</v>
      </c>
      <c r="E567" s="16">
        <f>Members!E567</f>
        <v>706000</v>
      </c>
      <c r="F567" s="16">
        <f>Members!F567</f>
        <v>0</v>
      </c>
      <c r="G567" s="15">
        <f>MAX(0,Assumptions!$B$10-C567)</f>
        <v>27</v>
      </c>
      <c r="H567" s="17">
        <f>IF(B567="Active",E567*(1+Assumptions!$B$7)^G567,E567)</f>
        <v>2996547.1192896035</v>
      </c>
      <c r="I567" s="17">
        <f>IF(B567="Active",MIN(Assumptions!$B$12,D567+G567),IF(B567="Deferred",MIN(Assumptions!$B$12,D567),D567))</f>
        <v>28.8</v>
      </c>
      <c r="J567" s="17">
        <f>IF(B567="Active",H567*I567*Assumptions!$B$11,IF(B567="Deferred",E567*I567*Assumptions!$B$11*(1+Assumptions!$B$9)^G567,F567))</f>
        <v>1438342.6172590097</v>
      </c>
      <c r="K567" s="11">
        <f>IF(B567="Pensioner",1,VLOOKUP(Assumptions!$B$10,Mortality!$A$2:$F$104,6,FALSE)/VLOOKUP(C567,Mortality!$A$2:$F$104,6,FALSE))</f>
        <v>0.9712826176321353</v>
      </c>
      <c r="L567" s="11">
        <f>VLOOKUP(IF(B567="Pensioner",C567,Assumptions!$B$10),Mortality!$A$2:$E$104,5,FALSE)</f>
        <v>17.296790022132885</v>
      </c>
      <c r="M567" s="11">
        <f>1+Assumptions!$B$13*Assumptions!$B$14*Assumptions!$B$15</f>
        <v>1.3187500000000001</v>
      </c>
      <c r="N567" s="11">
        <f>IF(B567="Pensioner",1,1/(1+Assumptions!$B$6)^G567)</f>
        <v>0.18262515186257369</v>
      </c>
      <c r="O567" s="17">
        <f t="shared" si="8"/>
        <v>5819645.6388254641</v>
      </c>
    </row>
    <row r="568" spans="1:15">
      <c r="A568" s="13" t="str">
        <f>Members!A568</f>
        <v>A0429</v>
      </c>
      <c r="B568" s="13" t="str">
        <f>Members!B568</f>
        <v>Active</v>
      </c>
      <c r="C568" s="13">
        <f>Members!C568</f>
        <v>44</v>
      </c>
      <c r="D568" s="14">
        <f>Members!D568</f>
        <v>12.7</v>
      </c>
      <c r="E568" s="16">
        <f>Members!E568</f>
        <v>934000</v>
      </c>
      <c r="F568" s="16">
        <f>Members!F568</f>
        <v>0</v>
      </c>
      <c r="G568" s="15">
        <f>MAX(0,Assumptions!$B$10-C568)</f>
        <v>16</v>
      </c>
      <c r="H568" s="17">
        <f>IF(B568="Active",E568*(1+Assumptions!$B$7)^G568,E568)</f>
        <v>2199815.3611565083</v>
      </c>
      <c r="I568" s="17">
        <f>IF(B568="Active",MIN(Assumptions!$B$12,D568+G568),IF(B568="Deferred",MIN(Assumptions!$B$12,D568),D568))</f>
        <v>28.7</v>
      </c>
      <c r="J568" s="17">
        <f>IF(B568="Active",H568*I568*Assumptions!$B$11,IF(B568="Deferred",E568*I568*Assumptions!$B$11*(1+Assumptions!$B$9)^G568,F568))</f>
        <v>1052245.014419863</v>
      </c>
      <c r="K568" s="11">
        <f>IF(B568="Pensioner",1,VLOOKUP(Assumptions!$B$10,Mortality!$A$2:$F$104,6,FALSE)/VLOOKUP(C568,Mortality!$A$2:$F$104,6,FALSE))</f>
        <v>0.97626822121787327</v>
      </c>
      <c r="L568" s="11">
        <f>VLOOKUP(IF(B568="Pensioner",C568,Assumptions!$B$10),Mortality!$A$2:$E$104,5,FALSE)</f>
        <v>17.296790022132885</v>
      </c>
      <c r="M568" s="11">
        <f>1+Assumptions!$B$13*Assumptions!$B$14*Assumptions!$B$15</f>
        <v>1.3187500000000001</v>
      </c>
      <c r="N568" s="11">
        <f>IF(B568="Pensioner",1,1/(1+Assumptions!$B$6)^G568)</f>
        <v>0.36509532811475648</v>
      </c>
      <c r="O568" s="17">
        <f t="shared" si="8"/>
        <v>8555005.4571152478</v>
      </c>
    </row>
    <row r="569" spans="1:15">
      <c r="A569" s="13" t="str">
        <f>Members!A569</f>
        <v>A0319</v>
      </c>
      <c r="B569" s="13" t="str">
        <f>Members!B569</f>
        <v>Active</v>
      </c>
      <c r="C569" s="13">
        <f>Members!C569</f>
        <v>53</v>
      </c>
      <c r="D569" s="14">
        <f>Members!D569</f>
        <v>19.600000000000001</v>
      </c>
      <c r="E569" s="16">
        <f>Members!E569</f>
        <v>1803000</v>
      </c>
      <c r="F569" s="16">
        <f>Members!F569</f>
        <v>0</v>
      </c>
      <c r="G569" s="15">
        <f>MAX(0,Assumptions!$B$10-C569)</f>
        <v>7</v>
      </c>
      <c r="H569" s="17">
        <f>IF(B569="Active",E569*(1+Assumptions!$B$7)^G569,E569)</f>
        <v>2622786.527524231</v>
      </c>
      <c r="I569" s="17">
        <f>IF(B569="Active",MIN(Assumptions!$B$12,D569+G569),IF(B569="Deferred",MIN(Assumptions!$B$12,D569),D569))</f>
        <v>26.6</v>
      </c>
      <c r="J569" s="17">
        <f>IF(B569="Active",H569*I569*Assumptions!$B$11,IF(B569="Deferred",E569*I569*Assumptions!$B$11*(1+Assumptions!$B$9)^G569,F569))</f>
        <v>1162768.693869076</v>
      </c>
      <c r="K569" s="11">
        <f>IF(B569="Pensioner",1,VLOOKUP(Assumptions!$B$10,Mortality!$A$2:$F$104,6,FALSE)/VLOOKUP(C569,Mortality!$A$2:$F$104,6,FALSE))</f>
        <v>0.98503000174313171</v>
      </c>
      <c r="L569" s="11">
        <f>VLOOKUP(IF(B569="Pensioner",C569,Assumptions!$B$10),Mortality!$A$2:$E$104,5,FALSE)</f>
        <v>17.296790022132885</v>
      </c>
      <c r="M569" s="11">
        <f>1+Assumptions!$B$13*Assumptions!$B$14*Assumptions!$B$15</f>
        <v>1.3187500000000001</v>
      </c>
      <c r="N569" s="11">
        <f>IF(B569="Pensioner",1,1/(1+Assumptions!$B$6)^G569)</f>
        <v>0.64350621483475945</v>
      </c>
      <c r="O569" s="17">
        <f t="shared" si="8"/>
        <v>16812160.219714709</v>
      </c>
    </row>
    <row r="570" spans="1:15">
      <c r="A570" s="13" t="str">
        <f>Members!A570</f>
        <v>A0259</v>
      </c>
      <c r="B570" s="13" t="str">
        <f>Members!B570</f>
        <v>Active</v>
      </c>
      <c r="C570" s="13">
        <f>Members!C570</f>
        <v>38</v>
      </c>
      <c r="D570" s="14">
        <f>Members!D570</f>
        <v>9.8000000000000007</v>
      </c>
      <c r="E570" s="16">
        <f>Members!E570</f>
        <v>615000</v>
      </c>
      <c r="F570" s="16">
        <f>Members!F570</f>
        <v>0</v>
      </c>
      <c r="G570" s="15">
        <f>MAX(0,Assumptions!$B$10-C570)</f>
        <v>22</v>
      </c>
      <c r="H570" s="17">
        <f>IF(B570="Active",E570*(1+Assumptions!$B$7)^G570,E570)</f>
        <v>1997235.2740524639</v>
      </c>
      <c r="I570" s="17">
        <f>IF(B570="Active",MIN(Assumptions!$B$12,D570+G570),IF(B570="Deferred",MIN(Assumptions!$B$12,D570),D570))</f>
        <v>31.8</v>
      </c>
      <c r="J570" s="17">
        <f>IF(B570="Active",H570*I570*Assumptions!$B$11,IF(B570="Deferred",E570*I570*Assumptions!$B$11*(1+Assumptions!$B$9)^G570,F570))</f>
        <v>1058534.6952478059</v>
      </c>
      <c r="K570" s="11">
        <f>IF(B570="Pensioner",1,VLOOKUP(Assumptions!$B$10,Mortality!$A$2:$F$104,6,FALSE)/VLOOKUP(C570,Mortality!$A$2:$F$104,6,FALSE))</f>
        <v>0.97314826881680017</v>
      </c>
      <c r="L570" s="11">
        <f>VLOOKUP(IF(B570="Pensioner",C570,Assumptions!$B$10),Mortality!$A$2:$E$104,5,FALSE)</f>
        <v>17.296790022132885</v>
      </c>
      <c r="M570" s="11">
        <f>1+Assumptions!$B$13*Assumptions!$B$14*Assumptions!$B$15</f>
        <v>1.3187500000000001</v>
      </c>
      <c r="N570" s="11">
        <f>IF(B570="Pensioner",1,1/(1+Assumptions!$B$6)^G570)</f>
        <v>0.25021228497116527</v>
      </c>
      <c r="O570" s="17">
        <f t="shared" si="8"/>
        <v>5879233.7376223803</v>
      </c>
    </row>
    <row r="571" spans="1:15">
      <c r="A571" s="13" t="str">
        <f>Members!A571</f>
        <v>A0126</v>
      </c>
      <c r="B571" s="13" t="str">
        <f>Members!B571</f>
        <v>Active</v>
      </c>
      <c r="C571" s="13">
        <f>Members!C571</f>
        <v>43</v>
      </c>
      <c r="D571" s="14">
        <f>Members!D571</f>
        <v>7.5</v>
      </c>
      <c r="E571" s="16">
        <f>Members!E571</f>
        <v>992000</v>
      </c>
      <c r="F571" s="16">
        <f>Members!F571</f>
        <v>0</v>
      </c>
      <c r="G571" s="15">
        <f>MAX(0,Assumptions!$B$10-C571)</f>
        <v>17</v>
      </c>
      <c r="H571" s="17">
        <f>IF(B571="Active",E571*(1+Assumptions!$B$7)^G571,E571)</f>
        <v>2464923.7305909586</v>
      </c>
      <c r="I571" s="17">
        <f>IF(B571="Active",MIN(Assumptions!$B$12,D571+G571),IF(B571="Deferred",MIN(Assumptions!$B$12,D571),D571))</f>
        <v>24.5</v>
      </c>
      <c r="J571" s="17">
        <f>IF(B571="Active",H571*I571*Assumptions!$B$11,IF(B571="Deferred",E571*I571*Assumptions!$B$11*(1+Assumptions!$B$9)^G571,F571))</f>
        <v>1006510.5233246414</v>
      </c>
      <c r="K571" s="11">
        <f>IF(B571="Pensioner",1,VLOOKUP(Assumptions!$B$10,Mortality!$A$2:$F$104,6,FALSE)/VLOOKUP(C571,Mortality!$A$2:$F$104,6,FALSE))</f>
        <v>0.97565175842493801</v>
      </c>
      <c r="L571" s="11">
        <f>VLOOKUP(IF(B571="Pensioner",C571,Assumptions!$B$10),Mortality!$A$2:$E$104,5,FALSE)</f>
        <v>17.296790022132885</v>
      </c>
      <c r="M571" s="11">
        <f>1+Assumptions!$B$13*Assumptions!$B$14*Assumptions!$B$15</f>
        <v>1.3187500000000001</v>
      </c>
      <c r="N571" s="11">
        <f>IF(B571="Pensioner",1,1/(1+Assumptions!$B$6)^G571)</f>
        <v>0.34281251466174323</v>
      </c>
      <c r="O571" s="17">
        <f t="shared" si="8"/>
        <v>7678878.664008609</v>
      </c>
    </row>
    <row r="572" spans="1:15">
      <c r="A572" s="13" t="str">
        <f>Members!A572</f>
        <v>P0164</v>
      </c>
      <c r="B572" s="13" t="str">
        <f>Members!B572</f>
        <v>Pensioner</v>
      </c>
      <c r="C572" s="13">
        <f>Members!C572</f>
        <v>81</v>
      </c>
      <c r="D572" s="14">
        <f>Members!D572</f>
        <v>15.6</v>
      </c>
      <c r="E572" s="16">
        <f>Members!E572</f>
        <v>0</v>
      </c>
      <c r="F572" s="16">
        <f>Members!F572</f>
        <v>429000</v>
      </c>
      <c r="G572" s="15">
        <f>MAX(0,Assumptions!$B$10-C572)</f>
        <v>0</v>
      </c>
      <c r="H572" s="17">
        <f>IF(B572="Active",E572*(1+Assumptions!$B$7)^G572,E572)</f>
        <v>0</v>
      </c>
      <c r="I572" s="17">
        <f>IF(B572="Active",MIN(Assumptions!$B$12,D572+G572),IF(B572="Deferred",MIN(Assumptions!$B$12,D572),D572))</f>
        <v>15.6</v>
      </c>
      <c r="J572" s="17">
        <f>IF(B572="Active",H572*I572*Assumptions!$B$11,IF(B572="Deferred",E572*I572*Assumptions!$B$11*(1+Assumptions!$B$9)^G572,F572))</f>
        <v>429000</v>
      </c>
      <c r="K572" s="11">
        <f>IF(B572="Pensioner",1,VLOOKUP(Assumptions!$B$10,Mortality!$A$2:$F$104,6,FALSE)/VLOOKUP(C572,Mortality!$A$2:$F$104,6,FALSE))</f>
        <v>1</v>
      </c>
      <c r="L572" s="11">
        <f>VLOOKUP(IF(B572="Pensioner",C572,Assumptions!$B$10),Mortality!$A$2:$E$104,5,FALSE)</f>
        <v>7.9368977140485031</v>
      </c>
      <c r="M572" s="11">
        <f>1+Assumptions!$B$13*Assumptions!$B$14*Assumptions!$B$15</f>
        <v>1.3187500000000001</v>
      </c>
      <c r="N572" s="11">
        <f>IF(B572="Pensioner",1,1/(1+Assumptions!$B$6)^G572)</f>
        <v>1</v>
      </c>
      <c r="O572" s="17">
        <f t="shared" si="8"/>
        <v>4490250.2761122286</v>
      </c>
    </row>
    <row r="573" spans="1:15">
      <c r="A573" s="13" t="str">
        <f>Members!A573</f>
        <v>A0494</v>
      </c>
      <c r="B573" s="13" t="str">
        <f>Members!B573</f>
        <v>Active</v>
      </c>
      <c r="C573" s="13">
        <f>Members!C573</f>
        <v>23</v>
      </c>
      <c r="D573" s="14">
        <f>Members!D573</f>
        <v>2.2999999999999998</v>
      </c>
      <c r="E573" s="16">
        <f>Members!E573</f>
        <v>425000</v>
      </c>
      <c r="F573" s="16">
        <f>Members!F573</f>
        <v>0</v>
      </c>
      <c r="G573" s="15">
        <f>MAX(0,Assumptions!$B$10-C573)</f>
        <v>37</v>
      </c>
      <c r="H573" s="17">
        <f>IF(B573="Active",E573*(1+Assumptions!$B$7)^G573,E573)</f>
        <v>3081271.2837170432</v>
      </c>
      <c r="I573" s="17">
        <f>IF(B573="Active",MIN(Assumptions!$B$12,D573+G573),IF(B573="Deferred",MIN(Assumptions!$B$12,D573),D573))</f>
        <v>39.299999999999997</v>
      </c>
      <c r="J573" s="17">
        <f>IF(B573="Active",H573*I573*Assumptions!$B$11,IF(B573="Deferred",E573*I573*Assumptions!$B$11*(1+Assumptions!$B$9)^G573,F573))</f>
        <v>2018232.6908346631</v>
      </c>
      <c r="K573" s="11">
        <f>IF(B573="Pensioner",1,VLOOKUP(Assumptions!$B$10,Mortality!$A$2:$F$104,6,FALSE)/VLOOKUP(C573,Mortality!$A$2:$F$104,6,FALSE))</f>
        <v>0.96845927521970809</v>
      </c>
      <c r="L573" s="11">
        <f>VLOOKUP(IF(B573="Pensioner",C573,Assumptions!$B$10),Mortality!$A$2:$E$104,5,FALSE)</f>
        <v>17.296790022132885</v>
      </c>
      <c r="M573" s="11">
        <f>1+Assumptions!$B$13*Assumptions!$B$14*Assumptions!$B$15</f>
        <v>1.3187500000000001</v>
      </c>
      <c r="N573" s="11">
        <f>IF(B573="Pensioner",1,1/(1+Assumptions!$B$6)^G573)</f>
        <v>9.7289173138083412E-2</v>
      </c>
      <c r="O573" s="17">
        <f t="shared" si="8"/>
        <v>4337556.0278965989</v>
      </c>
    </row>
    <row r="574" spans="1:15">
      <c r="A574" s="13" t="str">
        <f>Members!A574</f>
        <v>A0133</v>
      </c>
      <c r="B574" s="13" t="str">
        <f>Members!B574</f>
        <v>Active</v>
      </c>
      <c r="C574" s="13">
        <f>Members!C574</f>
        <v>35</v>
      </c>
      <c r="D574" s="14">
        <f>Members!D574</f>
        <v>11.4</v>
      </c>
      <c r="E574" s="16">
        <f>Members!E574</f>
        <v>679000</v>
      </c>
      <c r="F574" s="16">
        <f>Members!F574</f>
        <v>0</v>
      </c>
      <c r="G574" s="15">
        <f>MAX(0,Assumptions!$B$10-C574)</f>
        <v>25</v>
      </c>
      <c r="H574" s="17">
        <f>IF(B574="Active",E574*(1+Assumptions!$B$7)^G574,E574)</f>
        <v>2589293.404713606</v>
      </c>
      <c r="I574" s="17">
        <f>IF(B574="Active",MIN(Assumptions!$B$12,D574+G574),IF(B574="Deferred",MIN(Assumptions!$B$12,D574),D574))</f>
        <v>36.4</v>
      </c>
      <c r="J574" s="17">
        <f>IF(B574="Active",H574*I574*Assumptions!$B$11,IF(B574="Deferred",E574*I574*Assumptions!$B$11*(1+Assumptions!$B$9)^G574,F574))</f>
        <v>1570837.9988595876</v>
      </c>
      <c r="K574" s="11">
        <f>IF(B574="Pensioner",1,VLOOKUP(Assumptions!$B$10,Mortality!$A$2:$F$104,6,FALSE)/VLOOKUP(C574,Mortality!$A$2:$F$104,6,FALSE))</f>
        <v>0.97197407653867529</v>
      </c>
      <c r="L574" s="11">
        <f>VLOOKUP(IF(B574="Pensioner",C574,Assumptions!$B$10),Mortality!$A$2:$E$104,5,FALSE)</f>
        <v>17.296790022132885</v>
      </c>
      <c r="M574" s="11">
        <f>1+Assumptions!$B$13*Assumptions!$B$14*Assumptions!$B$15</f>
        <v>1.3187500000000001</v>
      </c>
      <c r="N574" s="11">
        <f>IF(B574="Pensioner",1,1/(1+Assumptions!$B$6)^G574)</f>
        <v>0.20713801287132758</v>
      </c>
      <c r="O574" s="17">
        <f t="shared" si="8"/>
        <v>7213962.3592716046</v>
      </c>
    </row>
    <row r="575" spans="1:15">
      <c r="A575" s="13" t="str">
        <f>Members!A575</f>
        <v>A0189</v>
      </c>
      <c r="B575" s="13" t="str">
        <f>Members!B575</f>
        <v>Active</v>
      </c>
      <c r="C575" s="13">
        <f>Members!C575</f>
        <v>57</v>
      </c>
      <c r="D575" s="14">
        <f>Members!D575</f>
        <v>19.100000000000001</v>
      </c>
      <c r="E575" s="16">
        <f>Members!E575</f>
        <v>1378000</v>
      </c>
      <c r="F575" s="16">
        <f>Members!F575</f>
        <v>0</v>
      </c>
      <c r="G575" s="15">
        <f>MAX(0,Assumptions!$B$10-C575)</f>
        <v>3</v>
      </c>
      <c r="H575" s="17">
        <f>IF(B575="Active",E575*(1+Assumptions!$B$7)^G575,E575)</f>
        <v>1618104.6147499997</v>
      </c>
      <c r="I575" s="17">
        <f>IF(B575="Active",MIN(Assumptions!$B$12,D575+G575),IF(B575="Deferred",MIN(Assumptions!$B$12,D575),D575))</f>
        <v>22.1</v>
      </c>
      <c r="J575" s="17">
        <f>IF(B575="Active",H575*I575*Assumptions!$B$11,IF(B575="Deferred",E575*I575*Assumptions!$B$11*(1+Assumptions!$B$9)^G575,F575))</f>
        <v>596001.86643291661</v>
      </c>
      <c r="K575" s="11">
        <f>IF(B575="Pensioner",1,VLOOKUP(Assumptions!$B$10,Mortality!$A$2:$F$104,6,FALSE)/VLOOKUP(C575,Mortality!$A$2:$F$104,6,FALSE))</f>
        <v>0.99220038929214172</v>
      </c>
      <c r="L575" s="11">
        <f>VLOOKUP(IF(B575="Pensioner",C575,Assumptions!$B$10),Mortality!$A$2:$E$104,5,FALSE)</f>
        <v>17.296790022132885</v>
      </c>
      <c r="M575" s="11">
        <f>1+Assumptions!$B$13*Assumptions!$B$14*Assumptions!$B$15</f>
        <v>1.3187500000000001</v>
      </c>
      <c r="N575" s="11">
        <f>IF(B575="Pensioner",1,1/(1+Assumptions!$B$6)^G575)</f>
        <v>0.82784909180297994</v>
      </c>
      <c r="O575" s="17">
        <f t="shared" si="8"/>
        <v>11166734.112906793</v>
      </c>
    </row>
    <row r="576" spans="1:15">
      <c r="A576" s="13" t="str">
        <f>Members!A576</f>
        <v>P0056</v>
      </c>
      <c r="B576" s="13" t="str">
        <f>Members!B576</f>
        <v>Pensioner</v>
      </c>
      <c r="C576" s="13">
        <f>Members!C576</f>
        <v>81</v>
      </c>
      <c r="D576" s="14">
        <f>Members!D576</f>
        <v>35.5</v>
      </c>
      <c r="E576" s="16">
        <f>Members!E576</f>
        <v>0</v>
      </c>
      <c r="F576" s="16">
        <f>Members!F576</f>
        <v>612000</v>
      </c>
      <c r="G576" s="15">
        <f>MAX(0,Assumptions!$B$10-C576)</f>
        <v>0</v>
      </c>
      <c r="H576" s="17">
        <f>IF(B576="Active",E576*(1+Assumptions!$B$7)^G576,E576)</f>
        <v>0</v>
      </c>
      <c r="I576" s="17">
        <f>IF(B576="Active",MIN(Assumptions!$B$12,D576+G576),IF(B576="Deferred",MIN(Assumptions!$B$12,D576),D576))</f>
        <v>35.5</v>
      </c>
      <c r="J576" s="17">
        <f>IF(B576="Active",H576*I576*Assumptions!$B$11,IF(B576="Deferred",E576*I576*Assumptions!$B$11*(1+Assumptions!$B$9)^G576,F576))</f>
        <v>612000</v>
      </c>
      <c r="K576" s="11">
        <f>IF(B576="Pensioner",1,VLOOKUP(Assumptions!$B$10,Mortality!$A$2:$F$104,6,FALSE)/VLOOKUP(C576,Mortality!$A$2:$F$104,6,FALSE))</f>
        <v>1</v>
      </c>
      <c r="L576" s="11">
        <f>VLOOKUP(IF(B576="Pensioner",C576,Assumptions!$B$10),Mortality!$A$2:$E$104,5,FALSE)</f>
        <v>7.9368977140485031</v>
      </c>
      <c r="M576" s="11">
        <f>1+Assumptions!$B$13*Assumptions!$B$14*Assumptions!$B$15</f>
        <v>1.3187500000000001</v>
      </c>
      <c r="N576" s="11">
        <f>IF(B576="Pensioner",1,1/(1+Assumptions!$B$6)^G576)</f>
        <v>1</v>
      </c>
      <c r="O576" s="17">
        <f t="shared" si="8"/>
        <v>6405671.7225656966</v>
      </c>
    </row>
    <row r="577" spans="1:15">
      <c r="A577" s="13" t="str">
        <f>Members!A577</f>
        <v>A0170</v>
      </c>
      <c r="B577" s="13" t="str">
        <f>Members!B577</f>
        <v>Active</v>
      </c>
      <c r="C577" s="13">
        <f>Members!C577</f>
        <v>32</v>
      </c>
      <c r="D577" s="14">
        <f>Members!D577</f>
        <v>4</v>
      </c>
      <c r="E577" s="16">
        <f>Members!E577</f>
        <v>574000</v>
      </c>
      <c r="F577" s="16">
        <f>Members!F577</f>
        <v>0</v>
      </c>
      <c r="G577" s="15">
        <f>MAX(0,Assumptions!$B$10-C577)</f>
        <v>28</v>
      </c>
      <c r="H577" s="17">
        <f>IF(B577="Active",E577*(1+Assumptions!$B$7)^G577,E577)</f>
        <v>2570281.9249691293</v>
      </c>
      <c r="I577" s="17">
        <f>IF(B577="Active",MIN(Assumptions!$B$12,D577+G577),IF(B577="Deferred",MIN(Assumptions!$B$12,D577),D577))</f>
        <v>32</v>
      </c>
      <c r="J577" s="17">
        <f>IF(B577="Active",H577*I577*Assumptions!$B$11,IF(B577="Deferred",E577*I577*Assumptions!$B$11*(1+Assumptions!$B$9)^G577,F577))</f>
        <v>1370817.0266502022</v>
      </c>
      <c r="K577" s="11">
        <f>IF(B577="Pensioner",1,VLOOKUP(Assumptions!$B$10,Mortality!$A$2:$F$104,6,FALSE)/VLOOKUP(C577,Mortality!$A$2:$F$104,6,FALSE))</f>
        <v>0.97095846876649572</v>
      </c>
      <c r="L577" s="11">
        <f>VLOOKUP(IF(B577="Pensioner",C577,Assumptions!$B$10),Mortality!$A$2:$E$104,5,FALSE)</f>
        <v>17.296790022132885</v>
      </c>
      <c r="M577" s="11">
        <f>1+Assumptions!$B$13*Assumptions!$B$14*Assumptions!$B$15</f>
        <v>1.3187500000000001</v>
      </c>
      <c r="N577" s="11">
        <f>IF(B577="Pensioner",1,1/(1+Assumptions!$B$6)^G577)</f>
        <v>0.17147901583340255</v>
      </c>
      <c r="O577" s="17">
        <f t="shared" si="8"/>
        <v>5206179.1950051375</v>
      </c>
    </row>
    <row r="578" spans="1:15">
      <c r="A578" s="13" t="str">
        <f>Members!A578</f>
        <v>D0050</v>
      </c>
      <c r="B578" s="13" t="str">
        <f>Members!B578</f>
        <v>Deferred</v>
      </c>
      <c r="C578" s="13">
        <f>Members!C578</f>
        <v>35</v>
      </c>
      <c r="D578" s="14">
        <f>Members!D578</f>
        <v>9.5</v>
      </c>
      <c r="E578" s="16">
        <f>Members!E578</f>
        <v>538000</v>
      </c>
      <c r="F578" s="16">
        <f>Members!F578</f>
        <v>0</v>
      </c>
      <c r="G578" s="15">
        <f>MAX(0,Assumptions!$B$10-C578)</f>
        <v>25</v>
      </c>
      <c r="H578" s="17">
        <f>IF(B578="Active",E578*(1+Assumptions!$B$7)^G578,E578)</f>
        <v>538000</v>
      </c>
      <c r="I578" s="17">
        <f>IF(B578="Active",MIN(Assumptions!$B$12,D578+G578),IF(B578="Deferred",MIN(Assumptions!$B$12,D578),D578))</f>
        <v>9.5</v>
      </c>
      <c r="J578" s="17">
        <f>IF(B578="Active",H578*I578*Assumptions!$B$11,IF(B578="Deferred",E578*I578*Assumptions!$B$11*(1+Assumptions!$B$9)^G578,F578))</f>
        <v>227084.82483720366</v>
      </c>
      <c r="K578" s="11">
        <f>IF(B578="Pensioner",1,VLOOKUP(Assumptions!$B$10,Mortality!$A$2:$F$104,6,FALSE)/VLOOKUP(C578,Mortality!$A$2:$F$104,6,FALSE))</f>
        <v>0.97197407653867529</v>
      </c>
      <c r="L578" s="11">
        <f>VLOOKUP(IF(B578="Pensioner",C578,Assumptions!$B$10),Mortality!$A$2:$E$104,5,FALSE)</f>
        <v>17.296790022132885</v>
      </c>
      <c r="M578" s="11">
        <f>1+Assumptions!$B$13*Assumptions!$B$14*Assumptions!$B$15</f>
        <v>1.3187500000000001</v>
      </c>
      <c r="N578" s="11">
        <f>IF(B578="Pensioner",1,1/(1+Assumptions!$B$6)^G578)</f>
        <v>0.20713801287132758</v>
      </c>
      <c r="O578" s="17">
        <f t="shared" ref="O578:O641" si="9">J578*K578*L578*M578*N578</f>
        <v>1042870.989832609</v>
      </c>
    </row>
    <row r="579" spans="1:15">
      <c r="A579" s="13" t="str">
        <f>Members!A579</f>
        <v>P0236</v>
      </c>
      <c r="B579" s="13" t="str">
        <f>Members!B579</f>
        <v>Pensioner</v>
      </c>
      <c r="C579" s="13">
        <f>Members!C579</f>
        <v>62</v>
      </c>
      <c r="D579" s="14">
        <f>Members!D579</f>
        <v>29.7</v>
      </c>
      <c r="E579" s="16">
        <f>Members!E579</f>
        <v>0</v>
      </c>
      <c r="F579" s="16">
        <f>Members!F579</f>
        <v>184000</v>
      </c>
      <c r="G579" s="15">
        <f>MAX(0,Assumptions!$B$10-C579)</f>
        <v>0</v>
      </c>
      <c r="H579" s="17">
        <f>IF(B579="Active",E579*(1+Assumptions!$B$7)^G579,E579)</f>
        <v>0</v>
      </c>
      <c r="I579" s="17">
        <f>IF(B579="Active",MIN(Assumptions!$B$12,D579+G579),IF(B579="Deferred",MIN(Assumptions!$B$12,D579),D579))</f>
        <v>29.7</v>
      </c>
      <c r="J579" s="17">
        <f>IF(B579="Active",H579*I579*Assumptions!$B$11,IF(B579="Deferred",E579*I579*Assumptions!$B$11*(1+Assumptions!$B$9)^G579,F579))</f>
        <v>184000</v>
      </c>
      <c r="K579" s="11">
        <f>IF(B579="Pensioner",1,VLOOKUP(Assumptions!$B$10,Mortality!$A$2:$F$104,6,FALSE)/VLOOKUP(C579,Mortality!$A$2:$F$104,6,FALSE))</f>
        <v>1</v>
      </c>
      <c r="L579" s="11">
        <f>VLOOKUP(IF(B579="Pensioner",C579,Assumptions!$B$10),Mortality!$A$2:$E$104,5,FALSE)</f>
        <v>16.475532548255334</v>
      </c>
      <c r="M579" s="11">
        <f>1+Assumptions!$B$13*Assumptions!$B$14*Assumptions!$B$15</f>
        <v>1.3187500000000001</v>
      </c>
      <c r="N579" s="11">
        <f>IF(B579="Pensioner",1,1/(1+Assumptions!$B$6)^G579)</f>
        <v>1</v>
      </c>
      <c r="O579" s="17">
        <f t="shared" si="9"/>
        <v>3997787.9728341568</v>
      </c>
    </row>
    <row r="580" spans="1:15">
      <c r="A580" s="13" t="str">
        <f>Members!A580</f>
        <v>D0002</v>
      </c>
      <c r="B580" s="13" t="str">
        <f>Members!B580</f>
        <v>Deferred</v>
      </c>
      <c r="C580" s="13">
        <f>Members!C580</f>
        <v>49</v>
      </c>
      <c r="D580" s="14">
        <f>Members!D580</f>
        <v>2.9</v>
      </c>
      <c r="E580" s="16">
        <f>Members!E580</f>
        <v>803000</v>
      </c>
      <c r="F580" s="16">
        <f>Members!F580</f>
        <v>0</v>
      </c>
      <c r="G580" s="15">
        <f>MAX(0,Assumptions!$B$10-C580)</f>
        <v>11</v>
      </c>
      <c r="H580" s="17">
        <f>IF(B580="Active",E580*(1+Assumptions!$B$7)^G580,E580)</f>
        <v>803000</v>
      </c>
      <c r="I580" s="17">
        <f>IF(B580="Active",MIN(Assumptions!$B$12,D580+G580),IF(B580="Deferred",MIN(Assumptions!$B$12,D580),D580))</f>
        <v>2.9</v>
      </c>
      <c r="J580" s="17">
        <f>IF(B580="Active",H580*I580*Assumptions!$B$11,IF(B580="Deferred",E580*I580*Assumptions!$B$11*(1+Assumptions!$B$9)^G580,F580))</f>
        <v>59748.777682348707</v>
      </c>
      <c r="K580" s="11">
        <f>IF(B580="Pensioner",1,VLOOKUP(Assumptions!$B$10,Mortality!$A$2:$F$104,6,FALSE)/VLOOKUP(C580,Mortality!$A$2:$F$104,6,FALSE))</f>
        <v>0.98024296623595764</v>
      </c>
      <c r="L580" s="11">
        <f>VLOOKUP(IF(B580="Pensioner",C580,Assumptions!$B$10),Mortality!$A$2:$E$104,5,FALSE)</f>
        <v>17.296790022132885</v>
      </c>
      <c r="M580" s="11">
        <f>1+Assumptions!$B$13*Assumptions!$B$14*Assumptions!$B$15</f>
        <v>1.3187500000000001</v>
      </c>
      <c r="N580" s="11">
        <f>IF(B580="Pensioner",1,1/(1+Assumptions!$B$6)^G580)</f>
        <v>0.50021223992537933</v>
      </c>
      <c r="O580" s="17">
        <f t="shared" si="9"/>
        <v>668259.37492491293</v>
      </c>
    </row>
    <row r="581" spans="1:15">
      <c r="A581" s="13" t="str">
        <f>Members!A581</f>
        <v>A0203</v>
      </c>
      <c r="B581" s="13" t="str">
        <f>Members!B581</f>
        <v>Active</v>
      </c>
      <c r="C581" s="13">
        <f>Members!C581</f>
        <v>56</v>
      </c>
      <c r="D581" s="14">
        <f>Members!D581</f>
        <v>24.1</v>
      </c>
      <c r="E581" s="16">
        <f>Members!E581</f>
        <v>1966000</v>
      </c>
      <c r="F581" s="16">
        <f>Members!F581</f>
        <v>0</v>
      </c>
      <c r="G581" s="15">
        <f>MAX(0,Assumptions!$B$10-C581)</f>
        <v>4</v>
      </c>
      <c r="H581" s="17">
        <f>IF(B581="Active",E581*(1+Assumptions!$B$7)^G581,E581)</f>
        <v>2435529.2631287496</v>
      </c>
      <c r="I581" s="17">
        <f>IF(B581="Active",MIN(Assumptions!$B$12,D581+G581),IF(B581="Deferred",MIN(Assumptions!$B$12,D581),D581))</f>
        <v>28.1</v>
      </c>
      <c r="J581" s="17">
        <f>IF(B581="Active",H581*I581*Assumptions!$B$11,IF(B581="Deferred",E581*I581*Assumptions!$B$11*(1+Assumptions!$B$9)^G581,F581))</f>
        <v>1140639.5382319645</v>
      </c>
      <c r="K581" s="11">
        <f>IF(B581="Pensioner",1,VLOOKUP(Assumptions!$B$10,Mortality!$A$2:$F$104,6,FALSE)/VLOOKUP(C581,Mortality!$A$2:$F$104,6,FALSE))</f>
        <v>0.99011625581042195</v>
      </c>
      <c r="L581" s="11">
        <f>VLOOKUP(IF(B581="Pensioner",C581,Assumptions!$B$10),Mortality!$A$2:$E$104,5,FALSE)</f>
        <v>17.296790022132885</v>
      </c>
      <c r="M581" s="11">
        <f>1+Assumptions!$B$13*Assumptions!$B$14*Assumptions!$B$15</f>
        <v>1.3187500000000001</v>
      </c>
      <c r="N581" s="11">
        <f>IF(B581="Pensioner",1,1/(1+Assumptions!$B$6)^G581)</f>
        <v>0.77732309089481699</v>
      </c>
      <c r="O581" s="17">
        <f t="shared" si="9"/>
        <v>20024614.642500326</v>
      </c>
    </row>
    <row r="582" spans="1:15">
      <c r="A582" s="13" t="str">
        <f>Members!A582</f>
        <v>D0083</v>
      </c>
      <c r="B582" s="13" t="str">
        <f>Members!B582</f>
        <v>Deferred</v>
      </c>
      <c r="C582" s="13">
        <f>Members!C582</f>
        <v>58</v>
      </c>
      <c r="D582" s="14">
        <f>Members!D582</f>
        <v>17</v>
      </c>
      <c r="E582" s="16">
        <f>Members!E582</f>
        <v>1164000</v>
      </c>
      <c r="F582" s="16">
        <f>Members!F582</f>
        <v>0</v>
      </c>
      <c r="G582" s="15">
        <f>MAX(0,Assumptions!$B$10-C582)</f>
        <v>2</v>
      </c>
      <c r="H582" s="17">
        <f>IF(B582="Active",E582*(1+Assumptions!$B$7)^G582,E582)</f>
        <v>1164000</v>
      </c>
      <c r="I582" s="17">
        <f>IF(B582="Active",MIN(Assumptions!$B$12,D582+G582),IF(B582="Deferred",MIN(Assumptions!$B$12,D582),D582))</f>
        <v>17</v>
      </c>
      <c r="J582" s="17">
        <f>IF(B582="Active",H582*I582*Assumptions!$B$11,IF(B582="Deferred",E582*I582*Assumptions!$B$11*(1+Assumptions!$B$9)^G582,F582))</f>
        <v>356711.68000000005</v>
      </c>
      <c r="K582" s="11">
        <f>IF(B582="Pensioner",1,VLOOKUP(Assumptions!$B$10,Mortality!$A$2:$F$104,6,FALSE)/VLOOKUP(C582,Mortality!$A$2:$F$104,6,FALSE))</f>
        <v>0.99452130442038367</v>
      </c>
      <c r="L582" s="11">
        <f>VLOOKUP(IF(B582="Pensioner",C582,Assumptions!$B$10),Mortality!$A$2:$E$104,5,FALSE)</f>
        <v>17.296790022132885</v>
      </c>
      <c r="M582" s="11">
        <f>1+Assumptions!$B$13*Assumptions!$B$14*Assumptions!$B$15</f>
        <v>1.3187500000000001</v>
      </c>
      <c r="N582" s="11">
        <f>IF(B582="Pensioner",1,1/(1+Assumptions!$B$6)^G582)</f>
        <v>0.88165928277017358</v>
      </c>
      <c r="O582" s="17">
        <f t="shared" si="9"/>
        <v>7134444.9485558532</v>
      </c>
    </row>
    <row r="583" spans="1:15">
      <c r="A583" s="13" t="str">
        <f>Members!A583</f>
        <v>A0373</v>
      </c>
      <c r="B583" s="13" t="str">
        <f>Members!B583</f>
        <v>Active</v>
      </c>
      <c r="C583" s="13">
        <f>Members!C583</f>
        <v>45</v>
      </c>
      <c r="D583" s="14">
        <f>Members!D583</f>
        <v>4.5</v>
      </c>
      <c r="E583" s="16">
        <f>Members!E583</f>
        <v>970000</v>
      </c>
      <c r="F583" s="16">
        <f>Members!F583</f>
        <v>0</v>
      </c>
      <c r="G583" s="15">
        <f>MAX(0,Assumptions!$B$10-C583)</f>
        <v>15</v>
      </c>
      <c r="H583" s="17">
        <f>IF(B583="Active",E583*(1+Assumptions!$B$7)^G583,E583)</f>
        <v>2165502.1974708112</v>
      </c>
      <c r="I583" s="17">
        <f>IF(B583="Active",MIN(Assumptions!$B$12,D583+G583),IF(B583="Deferred",MIN(Assumptions!$B$12,D583),D583))</f>
        <v>19.5</v>
      </c>
      <c r="J583" s="17">
        <f>IF(B583="Active",H583*I583*Assumptions!$B$11,IF(B583="Deferred",E583*I583*Assumptions!$B$11*(1+Assumptions!$B$9)^G583,F583))</f>
        <v>703788.21417801362</v>
      </c>
      <c r="K583" s="11">
        <f>IF(B583="Pensioner",1,VLOOKUP(Assumptions!$B$10,Mortality!$A$2:$F$104,6,FALSE)/VLOOKUP(C583,Mortality!$A$2:$F$104,6,FALSE))</f>
        <v>0.97693494781946555</v>
      </c>
      <c r="L583" s="11">
        <f>VLOOKUP(IF(B583="Pensioner",C583,Assumptions!$B$10),Mortality!$A$2:$E$104,5,FALSE)</f>
        <v>17.296790022132885</v>
      </c>
      <c r="M583" s="11">
        <f>1+Assumptions!$B$13*Assumptions!$B$14*Assumptions!$B$15</f>
        <v>1.3187500000000001</v>
      </c>
      <c r="N583" s="11">
        <f>IF(B583="Pensioner",1,1/(1+Assumptions!$B$6)^G583)</f>
        <v>0.38882652444221566</v>
      </c>
      <c r="O583" s="17">
        <f t="shared" si="9"/>
        <v>6098057.356308504</v>
      </c>
    </row>
    <row r="584" spans="1:15">
      <c r="A584" s="13" t="str">
        <f>Members!A584</f>
        <v>A0120</v>
      </c>
      <c r="B584" s="13" t="str">
        <f>Members!B584</f>
        <v>Active</v>
      </c>
      <c r="C584" s="13">
        <f>Members!C584</f>
        <v>51</v>
      </c>
      <c r="D584" s="14">
        <f>Members!D584</f>
        <v>16.600000000000001</v>
      </c>
      <c r="E584" s="16">
        <f>Members!E584</f>
        <v>1124000</v>
      </c>
      <c r="F584" s="16">
        <f>Members!F584</f>
        <v>0</v>
      </c>
      <c r="G584" s="15">
        <f>MAX(0,Assumptions!$B$10-C584)</f>
        <v>9</v>
      </c>
      <c r="H584" s="17">
        <f>IF(B584="Active",E584*(1+Assumptions!$B$7)^G584,E584)</f>
        <v>1819861.963212738</v>
      </c>
      <c r="I584" s="17">
        <f>IF(B584="Active",MIN(Assumptions!$B$12,D584+G584),IF(B584="Deferred",MIN(Assumptions!$B$12,D584),D584))</f>
        <v>25.6</v>
      </c>
      <c r="J584" s="17">
        <f>IF(B584="Active",H584*I584*Assumptions!$B$11,IF(B584="Deferred",E584*I584*Assumptions!$B$11*(1+Assumptions!$B$9)^G584,F584))</f>
        <v>776474.43763743492</v>
      </c>
      <c r="K584" s="11">
        <f>IF(B584="Pensioner",1,VLOOKUP(Assumptions!$B$10,Mortality!$A$2:$F$104,6,FALSE)/VLOOKUP(C584,Mortality!$A$2:$F$104,6,FALSE))</f>
        <v>0.98240527975061542</v>
      </c>
      <c r="L584" s="11">
        <f>VLOOKUP(IF(B584="Pensioner",C584,Assumptions!$B$10),Mortality!$A$2:$E$104,5,FALSE)</f>
        <v>17.296790022132885</v>
      </c>
      <c r="M584" s="11">
        <f>1+Assumptions!$B$13*Assumptions!$B$14*Assumptions!$B$15</f>
        <v>1.3187500000000001</v>
      </c>
      <c r="N584" s="11">
        <f>IF(B584="Pensioner",1,1/(1+Assumptions!$B$6)^G584)</f>
        <v>0.56735322782936326</v>
      </c>
      <c r="O584" s="17">
        <f t="shared" si="9"/>
        <v>9871868.6132731438</v>
      </c>
    </row>
    <row r="585" spans="1:15">
      <c r="A585" s="13" t="str">
        <f>Members!A585</f>
        <v>A0470</v>
      </c>
      <c r="B585" s="13" t="str">
        <f>Members!B585</f>
        <v>Active</v>
      </c>
      <c r="C585" s="13">
        <f>Members!C585</f>
        <v>36</v>
      </c>
      <c r="D585" s="14">
        <f>Members!D585</f>
        <v>5.5</v>
      </c>
      <c r="E585" s="16">
        <f>Members!E585</f>
        <v>735000</v>
      </c>
      <c r="F585" s="16">
        <f>Members!F585</f>
        <v>0</v>
      </c>
      <c r="G585" s="15">
        <f>MAX(0,Assumptions!$B$10-C585)</f>
        <v>24</v>
      </c>
      <c r="H585" s="17">
        <f>IF(B585="Active",E585*(1+Assumptions!$B$7)^G585,E585)</f>
        <v>2656723.5793709741</v>
      </c>
      <c r="I585" s="17">
        <f>IF(B585="Active",MIN(Assumptions!$B$12,D585+G585),IF(B585="Deferred",MIN(Assumptions!$B$12,D585),D585))</f>
        <v>29.5</v>
      </c>
      <c r="J585" s="17">
        <f>IF(B585="Active",H585*I585*Assumptions!$B$11,IF(B585="Deferred",E585*I585*Assumptions!$B$11*(1+Assumptions!$B$9)^G585,F585))</f>
        <v>1306222.4265240622</v>
      </c>
      <c r="K585" s="11">
        <f>IF(B585="Pensioner",1,VLOOKUP(Assumptions!$B$10,Mortality!$A$2:$F$104,6,FALSE)/VLOOKUP(C585,Mortality!$A$2:$F$104,6,FALSE))</f>
        <v>0.97234503055413524</v>
      </c>
      <c r="L585" s="11">
        <f>VLOOKUP(IF(B585="Pensioner",C585,Assumptions!$B$10),Mortality!$A$2:$E$104,5,FALSE)</f>
        <v>17.296790022132885</v>
      </c>
      <c r="M585" s="11">
        <f>1+Assumptions!$B$13*Assumptions!$B$14*Assumptions!$B$15</f>
        <v>1.3187500000000001</v>
      </c>
      <c r="N585" s="11">
        <f>IF(B585="Pensioner",1,1/(1+Assumptions!$B$6)^G585)</f>
        <v>0.22060198370796386</v>
      </c>
      <c r="O585" s="17">
        <f t="shared" si="9"/>
        <v>6391090.0112173213</v>
      </c>
    </row>
    <row r="586" spans="1:15">
      <c r="A586" s="13" t="str">
        <f>Members!A586</f>
        <v>D0038</v>
      </c>
      <c r="B586" s="13" t="str">
        <f>Members!B586</f>
        <v>Deferred</v>
      </c>
      <c r="C586" s="13">
        <f>Members!C586</f>
        <v>46</v>
      </c>
      <c r="D586" s="14">
        <f>Members!D586</f>
        <v>13.5</v>
      </c>
      <c r="E586" s="16">
        <f>Members!E586</f>
        <v>813000</v>
      </c>
      <c r="F586" s="16">
        <f>Members!F586</f>
        <v>0</v>
      </c>
      <c r="G586" s="15">
        <f>MAX(0,Assumptions!$B$10-C586)</f>
        <v>14</v>
      </c>
      <c r="H586" s="17">
        <f>IF(B586="Active",E586*(1+Assumptions!$B$7)^G586,E586)</f>
        <v>813000</v>
      </c>
      <c r="I586" s="17">
        <f>IF(B586="Active",MIN(Assumptions!$B$12,D586+G586),IF(B586="Deferred",MIN(Assumptions!$B$12,D586),D586))</f>
        <v>13.5</v>
      </c>
      <c r="J586" s="17">
        <f>IF(B586="Active",H586*I586*Assumptions!$B$11,IF(B586="Deferred",E586*I586*Assumptions!$B$11*(1+Assumptions!$B$9)^G586,F586))</f>
        <v>316766.91417774302</v>
      </c>
      <c r="K586" s="11">
        <f>IF(B586="Pensioner",1,VLOOKUP(Assumptions!$B$10,Mortality!$A$2:$F$104,6,FALSE)/VLOOKUP(C586,Mortality!$A$2:$F$104,6,FALSE))</f>
        <v>0.97765823283048059</v>
      </c>
      <c r="L586" s="11">
        <f>VLOOKUP(IF(B586="Pensioner",C586,Assumptions!$B$10),Mortality!$A$2:$E$104,5,FALSE)</f>
        <v>17.296790022132885</v>
      </c>
      <c r="M586" s="11">
        <f>1+Assumptions!$B$13*Assumptions!$B$14*Assumptions!$B$15</f>
        <v>1.3187500000000001</v>
      </c>
      <c r="N586" s="11">
        <f>IF(B586="Pensioner",1,1/(1+Assumptions!$B$6)^G586)</f>
        <v>0.41410024853095956</v>
      </c>
      <c r="O586" s="17">
        <f t="shared" si="9"/>
        <v>2925232.2497222973</v>
      </c>
    </row>
    <row r="587" spans="1:15">
      <c r="A587" s="13" t="str">
        <f>Members!A587</f>
        <v>D0093</v>
      </c>
      <c r="B587" s="13" t="str">
        <f>Members!B587</f>
        <v>Deferred</v>
      </c>
      <c r="C587" s="13">
        <f>Members!C587</f>
        <v>37</v>
      </c>
      <c r="D587" s="14">
        <f>Members!D587</f>
        <v>11</v>
      </c>
      <c r="E587" s="16">
        <f>Members!E587</f>
        <v>481000</v>
      </c>
      <c r="F587" s="16">
        <f>Members!F587</f>
        <v>0</v>
      </c>
      <c r="G587" s="15">
        <f>MAX(0,Assumptions!$B$10-C587)</f>
        <v>23</v>
      </c>
      <c r="H587" s="17">
        <f>IF(B587="Active",E587*(1+Assumptions!$B$7)^G587,E587)</f>
        <v>481000</v>
      </c>
      <c r="I587" s="17">
        <f>IF(B587="Active",MIN(Assumptions!$B$12,D587+G587),IF(B587="Deferred",MIN(Assumptions!$B$12,D587),D587))</f>
        <v>11</v>
      </c>
      <c r="J587" s="17">
        <f>IF(B587="Active",H587*I587*Assumptions!$B$11,IF(B587="Deferred",E587*I587*Assumptions!$B$11*(1+Assumptions!$B$9)^G587,F587))</f>
        <v>217346.83231477984</v>
      </c>
      <c r="K587" s="11">
        <f>IF(B587="Pensioner",1,VLOOKUP(Assumptions!$B$10,Mortality!$A$2:$F$104,6,FALSE)/VLOOKUP(C587,Mortality!$A$2:$F$104,6,FALSE))</f>
        <v>0.97273561412651877</v>
      </c>
      <c r="L587" s="11">
        <f>VLOOKUP(IF(B587="Pensioner",C587,Assumptions!$B$10),Mortality!$A$2:$E$104,5,FALSE)</f>
        <v>17.296790022132885</v>
      </c>
      <c r="M587" s="11">
        <f>1+Assumptions!$B$13*Assumptions!$B$14*Assumptions!$B$15</f>
        <v>1.3187500000000001</v>
      </c>
      <c r="N587" s="11">
        <f>IF(B587="Pensioner",1,1/(1+Assumptions!$B$6)^G587)</f>
        <v>0.23494111264898151</v>
      </c>
      <c r="O587" s="17">
        <f t="shared" si="9"/>
        <v>1133013.6414551332</v>
      </c>
    </row>
    <row r="588" spans="1:15">
      <c r="A588" s="13" t="str">
        <f>Members!A588</f>
        <v>A0526</v>
      </c>
      <c r="B588" s="13" t="str">
        <f>Members!B588</f>
        <v>Active</v>
      </c>
      <c r="C588" s="13">
        <f>Members!C588</f>
        <v>58</v>
      </c>
      <c r="D588" s="14">
        <f>Members!D588</f>
        <v>7.9</v>
      </c>
      <c r="E588" s="16">
        <f>Members!E588</f>
        <v>1977000</v>
      </c>
      <c r="F588" s="16">
        <f>Members!F588</f>
        <v>0</v>
      </c>
      <c r="G588" s="15">
        <f>MAX(0,Assumptions!$B$10-C588)</f>
        <v>2</v>
      </c>
      <c r="H588" s="17">
        <f>IF(B588="Active",E588*(1+Assumptions!$B$7)^G588,E588)</f>
        <v>2200450.4249999998</v>
      </c>
      <c r="I588" s="17">
        <f>IF(B588="Active",MIN(Assumptions!$B$12,D588+G588),IF(B588="Deferred",MIN(Assumptions!$B$12,D588),D588))</f>
        <v>9.9</v>
      </c>
      <c r="J588" s="17">
        <f>IF(B588="Active",H588*I588*Assumptions!$B$11,IF(B588="Deferred",E588*I588*Assumptions!$B$11*(1+Assumptions!$B$9)^G588,F588))</f>
        <v>363074.32012499997</v>
      </c>
      <c r="K588" s="11">
        <f>IF(B588="Pensioner",1,VLOOKUP(Assumptions!$B$10,Mortality!$A$2:$F$104,6,FALSE)/VLOOKUP(C588,Mortality!$A$2:$F$104,6,FALSE))</f>
        <v>0.99452130442038367</v>
      </c>
      <c r="L588" s="11">
        <f>VLOOKUP(IF(B588="Pensioner",C588,Assumptions!$B$10),Mortality!$A$2:$E$104,5,FALSE)</f>
        <v>17.296790022132885</v>
      </c>
      <c r="M588" s="11">
        <f>1+Assumptions!$B$13*Assumptions!$B$14*Assumptions!$B$15</f>
        <v>1.3187500000000001</v>
      </c>
      <c r="N588" s="11">
        <f>IF(B588="Pensioner",1,1/(1+Assumptions!$B$6)^G588)</f>
        <v>0.88165928277017358</v>
      </c>
      <c r="O588" s="17">
        <f t="shared" si="9"/>
        <v>7261701.5208645724</v>
      </c>
    </row>
    <row r="589" spans="1:15">
      <c r="A589" s="13" t="str">
        <f>Members!A589</f>
        <v>A0458</v>
      </c>
      <c r="B589" s="13" t="str">
        <f>Members!B589</f>
        <v>Active</v>
      </c>
      <c r="C589" s="13">
        <f>Members!C589</f>
        <v>55</v>
      </c>
      <c r="D589" s="14">
        <f>Members!D589</f>
        <v>2.5</v>
      </c>
      <c r="E589" s="16">
        <f>Members!E589</f>
        <v>2194000</v>
      </c>
      <c r="F589" s="16">
        <f>Members!F589</f>
        <v>0</v>
      </c>
      <c r="G589" s="15">
        <f>MAX(0,Assumptions!$B$10-C589)</f>
        <v>5</v>
      </c>
      <c r="H589" s="17">
        <f>IF(B589="Active",E589*(1+Assumptions!$B$7)^G589,E589)</f>
        <v>2867470.2540621683</v>
      </c>
      <c r="I589" s="17">
        <f>IF(B589="Active",MIN(Assumptions!$B$12,D589+G589),IF(B589="Deferred",MIN(Assumptions!$B$12,D589),D589))</f>
        <v>7.5</v>
      </c>
      <c r="J589" s="17">
        <f>IF(B589="Active",H589*I589*Assumptions!$B$11,IF(B589="Deferred",E589*I589*Assumptions!$B$11*(1+Assumptions!$B$9)^G589,F589))</f>
        <v>358433.78175777104</v>
      </c>
      <c r="K589" s="11">
        <f>IF(B589="Pensioner",1,VLOOKUP(Assumptions!$B$10,Mortality!$A$2:$F$104,6,FALSE)/VLOOKUP(C589,Mortality!$A$2:$F$104,6,FALSE))</f>
        <v>0.98824190874991746</v>
      </c>
      <c r="L589" s="11">
        <f>VLOOKUP(IF(B589="Pensioner",C589,Assumptions!$B$10),Mortality!$A$2:$E$104,5,FALSE)</f>
        <v>17.296790022132885</v>
      </c>
      <c r="M589" s="11">
        <f>1+Assumptions!$B$13*Assumptions!$B$14*Assumptions!$B$15</f>
        <v>1.3187500000000001</v>
      </c>
      <c r="N589" s="11">
        <f>IF(B589="Pensioner",1,1/(1+Assumptions!$B$6)^G589)</f>
        <v>0.72988083652095492</v>
      </c>
      <c r="O589" s="17">
        <f t="shared" si="9"/>
        <v>5897285.4357001213</v>
      </c>
    </row>
    <row r="590" spans="1:15">
      <c r="A590" s="13" t="str">
        <f>Members!A590</f>
        <v>A0527</v>
      </c>
      <c r="B590" s="13" t="str">
        <f>Members!B590</f>
        <v>Active</v>
      </c>
      <c r="C590" s="13">
        <f>Members!C590</f>
        <v>50</v>
      </c>
      <c r="D590" s="14">
        <f>Members!D590</f>
        <v>8.6</v>
      </c>
      <c r="E590" s="16">
        <f>Members!E590</f>
        <v>1388000</v>
      </c>
      <c r="F590" s="16">
        <f>Members!F590</f>
        <v>0</v>
      </c>
      <c r="G590" s="15">
        <f>MAX(0,Assumptions!$B$10-C590)</f>
        <v>10</v>
      </c>
      <c r="H590" s="17">
        <f>IF(B590="Active",E590*(1+Assumptions!$B$7)^G590,E590)</f>
        <v>2370904.508194787</v>
      </c>
      <c r="I590" s="17">
        <f>IF(B590="Active",MIN(Assumptions!$B$12,D590+G590),IF(B590="Deferred",MIN(Assumptions!$B$12,D590),D590))</f>
        <v>18.600000000000001</v>
      </c>
      <c r="J590" s="17">
        <f>IF(B590="Active",H590*I590*Assumptions!$B$11,IF(B590="Deferred",E590*I590*Assumptions!$B$11*(1+Assumptions!$B$9)^G590,F590))</f>
        <v>734980.39754038397</v>
      </c>
      <c r="K590" s="11">
        <f>IF(B590="Pensioner",1,VLOOKUP(Assumptions!$B$10,Mortality!$A$2:$F$104,6,FALSE)/VLOOKUP(C590,Mortality!$A$2:$F$104,6,FALSE))</f>
        <v>0.98127299335824147</v>
      </c>
      <c r="L590" s="11">
        <f>VLOOKUP(IF(B590="Pensioner",C590,Assumptions!$B$10),Mortality!$A$2:$E$104,5,FALSE)</f>
        <v>17.296790022132885</v>
      </c>
      <c r="M590" s="11">
        <f>1+Assumptions!$B$13*Assumptions!$B$14*Assumptions!$B$15</f>
        <v>1.3187500000000001</v>
      </c>
      <c r="N590" s="11">
        <f>IF(B590="Pensioner",1,1/(1+Assumptions!$B$6)^G590)</f>
        <v>0.53272603552052888</v>
      </c>
      <c r="O590" s="17">
        <f t="shared" si="9"/>
        <v>8763901.9642780907</v>
      </c>
    </row>
    <row r="591" spans="1:15">
      <c r="A591" s="13" t="str">
        <f>Members!A591</f>
        <v>A0163</v>
      </c>
      <c r="B591" s="13" t="str">
        <f>Members!B591</f>
        <v>Active</v>
      </c>
      <c r="C591" s="13">
        <f>Members!C591</f>
        <v>26</v>
      </c>
      <c r="D591" s="14">
        <f>Members!D591</f>
        <v>3.9</v>
      </c>
      <c r="E591" s="16">
        <f>Members!E591</f>
        <v>381000</v>
      </c>
      <c r="F591" s="16">
        <f>Members!F591</f>
        <v>0</v>
      </c>
      <c r="G591" s="15">
        <f>MAX(0,Assumptions!$B$10-C591)</f>
        <v>34</v>
      </c>
      <c r="H591" s="17">
        <f>IF(B591="Active",E591*(1+Assumptions!$B$7)^G591,E591)</f>
        <v>2352386.0928732287</v>
      </c>
      <c r="I591" s="17">
        <f>IF(B591="Active",MIN(Assumptions!$B$12,D591+G591),IF(B591="Deferred",MIN(Assumptions!$B$12,D591),D591))</f>
        <v>37.9</v>
      </c>
      <c r="J591" s="17">
        <f>IF(B591="Active",H591*I591*Assumptions!$B$11,IF(B591="Deferred",E591*I591*Assumptions!$B$11*(1+Assumptions!$B$9)^G591,F591))</f>
        <v>1485923.8819982561</v>
      </c>
      <c r="K591" s="11">
        <f>IF(B591="Pensioner",1,VLOOKUP(Assumptions!$B$10,Mortality!$A$2:$F$104,6,FALSE)/VLOOKUP(C591,Mortality!$A$2:$F$104,6,FALSE))</f>
        <v>0.96922916291892547</v>
      </c>
      <c r="L591" s="11">
        <f>VLOOKUP(IF(B591="Pensioner",C591,Assumptions!$B$10),Mortality!$A$2:$E$104,5,FALSE)</f>
        <v>17.296790022132885</v>
      </c>
      <c r="M591" s="11">
        <f>1+Assumptions!$B$13*Assumptions!$B$14*Assumptions!$B$15</f>
        <v>1.3187500000000001</v>
      </c>
      <c r="N591" s="11">
        <f>IF(B591="Pensioner",1,1/(1+Assumptions!$B$6)^G591)</f>
        <v>0.11752042020870793</v>
      </c>
      <c r="O591" s="17">
        <f t="shared" si="9"/>
        <v>3860684.9037503586</v>
      </c>
    </row>
    <row r="592" spans="1:15">
      <c r="A592" s="13" t="str">
        <f>Members!A592</f>
        <v>P0108</v>
      </c>
      <c r="B592" s="13" t="str">
        <f>Members!B592</f>
        <v>Pensioner</v>
      </c>
      <c r="C592" s="13">
        <f>Members!C592</f>
        <v>83</v>
      </c>
      <c r="D592" s="14">
        <f>Members!D592</f>
        <v>12.7</v>
      </c>
      <c r="E592" s="16">
        <f>Members!E592</f>
        <v>0</v>
      </c>
      <c r="F592" s="16">
        <f>Members!F592</f>
        <v>684000</v>
      </c>
      <c r="G592" s="15">
        <f>MAX(0,Assumptions!$B$10-C592)</f>
        <v>0</v>
      </c>
      <c r="H592" s="17">
        <f>IF(B592="Active",E592*(1+Assumptions!$B$7)^G592,E592)</f>
        <v>0</v>
      </c>
      <c r="I592" s="17">
        <f>IF(B592="Active",MIN(Assumptions!$B$12,D592+G592),IF(B592="Deferred",MIN(Assumptions!$B$12,D592),D592))</f>
        <v>12.7</v>
      </c>
      <c r="J592" s="17">
        <f>IF(B592="Active",H592*I592*Assumptions!$B$11,IF(B592="Deferred",E592*I592*Assumptions!$B$11*(1+Assumptions!$B$9)^G592,F592))</f>
        <v>684000</v>
      </c>
      <c r="K592" s="11">
        <f>IF(B592="Pensioner",1,VLOOKUP(Assumptions!$B$10,Mortality!$A$2:$F$104,6,FALSE)/VLOOKUP(C592,Mortality!$A$2:$F$104,6,FALSE))</f>
        <v>1</v>
      </c>
      <c r="L592" s="11">
        <f>VLOOKUP(IF(B592="Pensioner",C592,Assumptions!$B$10),Mortality!$A$2:$E$104,5,FALSE)</f>
        <v>7.0669562738307876</v>
      </c>
      <c r="M592" s="11">
        <f>1+Assumptions!$B$13*Assumptions!$B$14*Assumptions!$B$15</f>
        <v>1.3187500000000001</v>
      </c>
      <c r="N592" s="11">
        <f>IF(B592="Pensioner",1,1/(1+Assumptions!$B$6)^G592)</f>
        <v>1</v>
      </c>
      <c r="O592" s="17">
        <f t="shared" si="9"/>
        <v>6374571.2329022158</v>
      </c>
    </row>
    <row r="593" spans="1:15">
      <c r="A593" s="13" t="str">
        <f>Members!A593</f>
        <v>P0156</v>
      </c>
      <c r="B593" s="13" t="str">
        <f>Members!B593</f>
        <v>Pensioner</v>
      </c>
      <c r="C593" s="13">
        <f>Members!C593</f>
        <v>61</v>
      </c>
      <c r="D593" s="14">
        <f>Members!D593</f>
        <v>32.799999999999997</v>
      </c>
      <c r="E593" s="16">
        <f>Members!E593</f>
        <v>0</v>
      </c>
      <c r="F593" s="16">
        <f>Members!F593</f>
        <v>267000</v>
      </c>
      <c r="G593" s="15">
        <f>MAX(0,Assumptions!$B$10-C593)</f>
        <v>0</v>
      </c>
      <c r="H593" s="17">
        <f>IF(B593="Active",E593*(1+Assumptions!$B$7)^G593,E593)</f>
        <v>0</v>
      </c>
      <c r="I593" s="17">
        <f>IF(B593="Active",MIN(Assumptions!$B$12,D593+G593),IF(B593="Deferred",MIN(Assumptions!$B$12,D593),D593))</f>
        <v>32.799999999999997</v>
      </c>
      <c r="J593" s="17">
        <f>IF(B593="Active",H593*I593*Assumptions!$B$11,IF(B593="Deferred",E593*I593*Assumptions!$B$11*(1+Assumptions!$B$9)^G593,F593))</f>
        <v>267000</v>
      </c>
      <c r="K593" s="11">
        <f>IF(B593="Pensioner",1,VLOOKUP(Assumptions!$B$10,Mortality!$A$2:$F$104,6,FALSE)/VLOOKUP(C593,Mortality!$A$2:$F$104,6,FALSE))</f>
        <v>1</v>
      </c>
      <c r="L593" s="11">
        <f>VLOOKUP(IF(B593="Pensioner",C593,Assumptions!$B$10),Mortality!$A$2:$E$104,5,FALSE)</f>
        <v>16.889485221588366</v>
      </c>
      <c r="M593" s="11">
        <f>1+Assumptions!$B$13*Assumptions!$B$14*Assumptions!$B$15</f>
        <v>1.3187500000000001</v>
      </c>
      <c r="N593" s="11">
        <f>IF(B593="Pensioner",1,1/(1+Assumptions!$B$6)^G593)</f>
        <v>1</v>
      </c>
      <c r="O593" s="17">
        <f t="shared" si="9"/>
        <v>5946893.3058038997</v>
      </c>
    </row>
    <row r="594" spans="1:15">
      <c r="A594" s="13" t="str">
        <f>Members!A594</f>
        <v>A0087</v>
      </c>
      <c r="B594" s="13" t="str">
        <f>Members!B594</f>
        <v>Active</v>
      </c>
      <c r="C594" s="13">
        <f>Members!C594</f>
        <v>27</v>
      </c>
      <c r="D594" s="14">
        <f>Members!D594</f>
        <v>1.1000000000000001</v>
      </c>
      <c r="E594" s="16">
        <f>Members!E594</f>
        <v>489000</v>
      </c>
      <c r="F594" s="16">
        <f>Members!F594</f>
        <v>0</v>
      </c>
      <c r="G594" s="15">
        <f>MAX(0,Assumptions!$B$10-C594)</f>
        <v>33</v>
      </c>
      <c r="H594" s="17">
        <f>IF(B594="Active",E594*(1+Assumptions!$B$7)^G594,E594)</f>
        <v>2861804.9269570196</v>
      </c>
      <c r="I594" s="17">
        <f>IF(B594="Active",MIN(Assumptions!$B$12,D594+G594),IF(B594="Deferred",MIN(Assumptions!$B$12,D594),D594))</f>
        <v>34.1</v>
      </c>
      <c r="J594" s="17">
        <f>IF(B594="Active",H594*I594*Assumptions!$B$11,IF(B594="Deferred",E594*I594*Assumptions!$B$11*(1+Assumptions!$B$9)^G594,F594))</f>
        <v>1626459.1334872395</v>
      </c>
      <c r="K594" s="11">
        <f>IF(B594="Pensioner",1,VLOOKUP(Assumptions!$B$10,Mortality!$A$2:$F$104,6,FALSE)/VLOOKUP(C594,Mortality!$A$2:$F$104,6,FALSE))</f>
        <v>0.96949713302845153</v>
      </c>
      <c r="L594" s="11">
        <f>VLOOKUP(IF(B594="Pensioner",C594,Assumptions!$B$10),Mortality!$A$2:$E$104,5,FALSE)</f>
        <v>17.296790022132885</v>
      </c>
      <c r="M594" s="11">
        <f>1+Assumptions!$B$13*Assumptions!$B$14*Assumptions!$B$15</f>
        <v>1.3187500000000001</v>
      </c>
      <c r="N594" s="11">
        <f>IF(B594="Pensioner",1,1/(1+Assumptions!$B$6)^G594)</f>
        <v>0.12515924752227392</v>
      </c>
      <c r="O594" s="17">
        <f t="shared" si="9"/>
        <v>4501742.1309440872</v>
      </c>
    </row>
    <row r="595" spans="1:15">
      <c r="A595" s="13" t="str">
        <f>Members!A595</f>
        <v>P0084</v>
      </c>
      <c r="B595" s="13" t="str">
        <f>Members!B595</f>
        <v>Pensioner</v>
      </c>
      <c r="C595" s="13">
        <f>Members!C595</f>
        <v>74</v>
      </c>
      <c r="D595" s="14">
        <f>Members!D595</f>
        <v>26.2</v>
      </c>
      <c r="E595" s="16">
        <f>Members!E595</f>
        <v>0</v>
      </c>
      <c r="F595" s="16">
        <f>Members!F595</f>
        <v>555000</v>
      </c>
      <c r="G595" s="15">
        <f>MAX(0,Assumptions!$B$10-C595)</f>
        <v>0</v>
      </c>
      <c r="H595" s="17">
        <f>IF(B595="Active",E595*(1+Assumptions!$B$7)^G595,E595)</f>
        <v>0</v>
      </c>
      <c r="I595" s="17">
        <f>IF(B595="Active",MIN(Assumptions!$B$12,D595+G595),IF(B595="Deferred",MIN(Assumptions!$B$12,D595),D595))</f>
        <v>26.2</v>
      </c>
      <c r="J595" s="17">
        <f>IF(B595="Active",H595*I595*Assumptions!$B$11,IF(B595="Deferred",E595*I595*Assumptions!$B$11*(1+Assumptions!$B$9)^G595,F595))</f>
        <v>555000</v>
      </c>
      <c r="K595" s="11">
        <f>IF(B595="Pensioner",1,VLOOKUP(Assumptions!$B$10,Mortality!$A$2:$F$104,6,FALSE)/VLOOKUP(C595,Mortality!$A$2:$F$104,6,FALSE))</f>
        <v>1</v>
      </c>
      <c r="L595" s="11">
        <f>VLOOKUP(IF(B595="Pensioner",C595,Assumptions!$B$10),Mortality!$A$2:$E$104,5,FALSE)</f>
        <v>11.124346929912107</v>
      </c>
      <c r="M595" s="11">
        <f>1+Assumptions!$B$13*Assumptions!$B$14*Assumptions!$B$15</f>
        <v>1.3187500000000001</v>
      </c>
      <c r="N595" s="11">
        <f>IF(B595="Pensioner",1,1/(1+Assumptions!$B$6)^G595)</f>
        <v>1</v>
      </c>
      <c r="O595" s="17">
        <f t="shared" si="9"/>
        <v>8141979.0451709842</v>
      </c>
    </row>
    <row r="596" spans="1:15">
      <c r="A596" s="13" t="str">
        <f>Members!A596</f>
        <v>P0172</v>
      </c>
      <c r="B596" s="13" t="str">
        <f>Members!B596</f>
        <v>Pensioner</v>
      </c>
      <c r="C596" s="13">
        <f>Members!C596</f>
        <v>82</v>
      </c>
      <c r="D596" s="14">
        <f>Members!D596</f>
        <v>14.4</v>
      </c>
      <c r="E596" s="16">
        <f>Members!E596</f>
        <v>0</v>
      </c>
      <c r="F596" s="16">
        <f>Members!F596</f>
        <v>277000</v>
      </c>
      <c r="G596" s="15">
        <f>MAX(0,Assumptions!$B$10-C596)</f>
        <v>0</v>
      </c>
      <c r="H596" s="17">
        <f>IF(B596="Active",E596*(1+Assumptions!$B$7)^G596,E596)</f>
        <v>0</v>
      </c>
      <c r="I596" s="17">
        <f>IF(B596="Active",MIN(Assumptions!$B$12,D596+G596),IF(B596="Deferred",MIN(Assumptions!$B$12,D596),D596))</f>
        <v>14.4</v>
      </c>
      <c r="J596" s="17">
        <f>IF(B596="Active",H596*I596*Assumptions!$B$11,IF(B596="Deferred",E596*I596*Assumptions!$B$11*(1+Assumptions!$B$9)^G596,F596))</f>
        <v>277000</v>
      </c>
      <c r="K596" s="11">
        <f>IF(B596="Pensioner",1,VLOOKUP(Assumptions!$B$10,Mortality!$A$2:$F$104,6,FALSE)/VLOOKUP(C596,Mortality!$A$2:$F$104,6,FALSE))</f>
        <v>1</v>
      </c>
      <c r="L596" s="11">
        <f>VLOOKUP(IF(B596="Pensioner",C596,Assumptions!$B$10),Mortality!$A$2:$E$104,5,FALSE)</f>
        <v>7.4984624308085976</v>
      </c>
      <c r="M596" s="11">
        <f>1+Assumptions!$B$13*Assumptions!$B$14*Assumptions!$B$15</f>
        <v>1.3187500000000001</v>
      </c>
      <c r="N596" s="11">
        <f>IF(B596="Pensioner",1,1/(1+Assumptions!$B$6)^G596)</f>
        <v>1</v>
      </c>
      <c r="O596" s="17">
        <f t="shared" si="9"/>
        <v>2739141.4605841883</v>
      </c>
    </row>
    <row r="597" spans="1:15">
      <c r="A597" s="13" t="str">
        <f>Members!A597</f>
        <v>A0505</v>
      </c>
      <c r="B597" s="13" t="str">
        <f>Members!B597</f>
        <v>Active</v>
      </c>
      <c r="C597" s="13">
        <f>Members!C597</f>
        <v>48</v>
      </c>
      <c r="D597" s="14">
        <f>Members!D597</f>
        <v>4</v>
      </c>
      <c r="E597" s="16">
        <f>Members!E597</f>
        <v>978000</v>
      </c>
      <c r="F597" s="16">
        <f>Members!F597</f>
        <v>0</v>
      </c>
      <c r="G597" s="15">
        <f>MAX(0,Assumptions!$B$10-C597)</f>
        <v>12</v>
      </c>
      <c r="H597" s="17">
        <f>IF(B597="Active",E597*(1+Assumptions!$B$7)^G597,E597)</f>
        <v>1859380.9210723094</v>
      </c>
      <c r="I597" s="17">
        <f>IF(B597="Active",MIN(Assumptions!$B$12,D597+G597),IF(B597="Deferred",MIN(Assumptions!$B$12,D597),D597))</f>
        <v>16</v>
      </c>
      <c r="J597" s="17">
        <f>IF(B597="Active",H597*I597*Assumptions!$B$11,IF(B597="Deferred",E597*I597*Assumptions!$B$11*(1+Assumptions!$B$9)^G597,F597))</f>
        <v>495834.91228594916</v>
      </c>
      <c r="K597" s="11">
        <f>IF(B597="Pensioner",1,VLOOKUP(Assumptions!$B$10,Mortality!$A$2:$F$104,6,FALSE)/VLOOKUP(C597,Mortality!$A$2:$F$104,6,FALSE))</f>
        <v>0.97930374297365907</v>
      </c>
      <c r="L597" s="11">
        <f>VLOOKUP(IF(B597="Pensioner",C597,Assumptions!$B$10),Mortality!$A$2:$E$104,5,FALSE)</f>
        <v>17.296790022132885</v>
      </c>
      <c r="M597" s="11">
        <f>1+Assumptions!$B$13*Assumptions!$B$14*Assumptions!$B$15</f>
        <v>1.3187500000000001</v>
      </c>
      <c r="N597" s="11">
        <f>IF(B597="Pensioner",1,1/(1+Assumptions!$B$6)^G597)</f>
        <v>0.4696828543900276</v>
      </c>
      <c r="O597" s="17">
        <f t="shared" si="9"/>
        <v>5202201.9754624991</v>
      </c>
    </row>
    <row r="598" spans="1:15">
      <c r="A598" s="13" t="str">
        <f>Members!A598</f>
        <v>P0059</v>
      </c>
      <c r="B598" s="13" t="str">
        <f>Members!B598</f>
        <v>Pensioner</v>
      </c>
      <c r="C598" s="13">
        <f>Members!C598</f>
        <v>78</v>
      </c>
      <c r="D598" s="14">
        <f>Members!D598</f>
        <v>16.3</v>
      </c>
      <c r="E598" s="16">
        <f>Members!E598</f>
        <v>0</v>
      </c>
      <c r="F598" s="16">
        <f>Members!F598</f>
        <v>556000</v>
      </c>
      <c r="G598" s="15">
        <f>MAX(0,Assumptions!$B$10-C598)</f>
        <v>0</v>
      </c>
      <c r="H598" s="17">
        <f>IF(B598="Active",E598*(1+Assumptions!$B$7)^G598,E598)</f>
        <v>0</v>
      </c>
      <c r="I598" s="17">
        <f>IF(B598="Active",MIN(Assumptions!$B$12,D598+G598),IF(B598="Deferred",MIN(Assumptions!$B$12,D598),D598))</f>
        <v>16.3</v>
      </c>
      <c r="J598" s="17">
        <f>IF(B598="Active",H598*I598*Assumptions!$B$11,IF(B598="Deferred",E598*I598*Assumptions!$B$11*(1+Assumptions!$B$9)^G598,F598))</f>
        <v>556000</v>
      </c>
      <c r="K598" s="11">
        <f>IF(B598="Pensioner",1,VLOOKUP(Assumptions!$B$10,Mortality!$A$2:$F$104,6,FALSE)/VLOOKUP(C598,Mortality!$A$2:$F$104,6,FALSE))</f>
        <v>1</v>
      </c>
      <c r="L598" s="11">
        <f>VLOOKUP(IF(B598="Pensioner",C598,Assumptions!$B$10),Mortality!$A$2:$E$104,5,FALSE)</f>
        <v>9.2847179241203879</v>
      </c>
      <c r="M598" s="11">
        <f>1+Assumptions!$B$13*Assumptions!$B$14*Assumptions!$B$15</f>
        <v>1.3187500000000001</v>
      </c>
      <c r="N598" s="11">
        <f>IF(B598="Pensioner",1,1/(1+Assumptions!$B$6)^G598)</f>
        <v>1</v>
      </c>
      <c r="O598" s="17">
        <f t="shared" si="9"/>
        <v>6807787.2999131717</v>
      </c>
    </row>
    <row r="599" spans="1:15">
      <c r="A599" s="13" t="str">
        <f>Members!A599</f>
        <v>A0274</v>
      </c>
      <c r="B599" s="13" t="str">
        <f>Members!B599</f>
        <v>Active</v>
      </c>
      <c r="C599" s="13">
        <f>Members!C599</f>
        <v>26</v>
      </c>
      <c r="D599" s="14">
        <f>Members!D599</f>
        <v>4.7</v>
      </c>
      <c r="E599" s="16">
        <f>Members!E599</f>
        <v>502000</v>
      </c>
      <c r="F599" s="16">
        <f>Members!F599</f>
        <v>0</v>
      </c>
      <c r="G599" s="15">
        <f>MAX(0,Assumptions!$B$10-C599)</f>
        <v>34</v>
      </c>
      <c r="H599" s="17">
        <f>IF(B599="Active",E599*(1+Assumptions!$B$7)^G599,E599)</f>
        <v>3099469.3402161701</v>
      </c>
      <c r="I599" s="17">
        <f>IF(B599="Active",MIN(Assumptions!$B$12,D599+G599),IF(B599="Deferred",MIN(Assumptions!$B$12,D599),D599))</f>
        <v>38.700000000000003</v>
      </c>
      <c r="J599" s="17">
        <f>IF(B599="Active",H599*I599*Assumptions!$B$11,IF(B599="Deferred",E599*I599*Assumptions!$B$11*(1+Assumptions!$B$9)^G599,F599))</f>
        <v>1999157.7244394298</v>
      </c>
      <c r="K599" s="11">
        <f>IF(B599="Pensioner",1,VLOOKUP(Assumptions!$B$10,Mortality!$A$2:$F$104,6,FALSE)/VLOOKUP(C599,Mortality!$A$2:$F$104,6,FALSE))</f>
        <v>0.96922916291892547</v>
      </c>
      <c r="L599" s="11">
        <f>VLOOKUP(IF(B599="Pensioner",C599,Assumptions!$B$10),Mortality!$A$2:$E$104,5,FALSE)</f>
        <v>17.296790022132885</v>
      </c>
      <c r="M599" s="11">
        <f>1+Assumptions!$B$13*Assumptions!$B$14*Assumptions!$B$15</f>
        <v>1.3187500000000001</v>
      </c>
      <c r="N599" s="11">
        <f>IF(B599="Pensioner",1,1/(1+Assumptions!$B$6)^G599)</f>
        <v>0.11752042020870793</v>
      </c>
      <c r="O599" s="17">
        <f t="shared" si="9"/>
        <v>5194154.3846646938</v>
      </c>
    </row>
    <row r="600" spans="1:15">
      <c r="A600" s="13" t="str">
        <f>Members!A600</f>
        <v>A0255</v>
      </c>
      <c r="B600" s="13" t="str">
        <f>Members!B600</f>
        <v>Active</v>
      </c>
      <c r="C600" s="13">
        <f>Members!C600</f>
        <v>38</v>
      </c>
      <c r="D600" s="14">
        <f>Members!D600</f>
        <v>7.3</v>
      </c>
      <c r="E600" s="16">
        <f>Members!E600</f>
        <v>768000</v>
      </c>
      <c r="F600" s="16">
        <f>Members!F600</f>
        <v>0</v>
      </c>
      <c r="G600" s="15">
        <f>MAX(0,Assumptions!$B$10-C600)</f>
        <v>22</v>
      </c>
      <c r="H600" s="17">
        <f>IF(B600="Active",E600*(1+Assumptions!$B$7)^G600,E600)</f>
        <v>2494108.4397923453</v>
      </c>
      <c r="I600" s="17">
        <f>IF(B600="Active",MIN(Assumptions!$B$12,D600+G600),IF(B600="Deferred",MIN(Assumptions!$B$12,D600),D600))</f>
        <v>29.3</v>
      </c>
      <c r="J600" s="17">
        <f>IF(B600="Active",H600*I600*Assumptions!$B$11,IF(B600="Deferred",E600*I600*Assumptions!$B$11*(1+Assumptions!$B$9)^G600,F600))</f>
        <v>1217956.2880985953</v>
      </c>
      <c r="K600" s="11">
        <f>IF(B600="Pensioner",1,VLOOKUP(Assumptions!$B$10,Mortality!$A$2:$F$104,6,FALSE)/VLOOKUP(C600,Mortality!$A$2:$F$104,6,FALSE))</f>
        <v>0.97314826881680017</v>
      </c>
      <c r="L600" s="11">
        <f>VLOOKUP(IF(B600="Pensioner",C600,Assumptions!$B$10),Mortality!$A$2:$E$104,5,FALSE)</f>
        <v>17.296790022132885</v>
      </c>
      <c r="M600" s="11">
        <f>1+Assumptions!$B$13*Assumptions!$B$14*Assumptions!$B$15</f>
        <v>1.3187500000000001</v>
      </c>
      <c r="N600" s="11">
        <f>IF(B600="Pensioner",1,1/(1+Assumptions!$B$6)^G600)</f>
        <v>0.25021228497116527</v>
      </c>
      <c r="O600" s="17">
        <f t="shared" si="9"/>
        <v>6764681.1503540343</v>
      </c>
    </row>
    <row r="601" spans="1:15">
      <c r="A601" s="13" t="str">
        <f>Members!A601</f>
        <v>P0235</v>
      </c>
      <c r="B601" s="13" t="str">
        <f>Members!B601</f>
        <v>Pensioner</v>
      </c>
      <c r="C601" s="13">
        <f>Members!C601</f>
        <v>89</v>
      </c>
      <c r="D601" s="14">
        <f>Members!D601</f>
        <v>20.5</v>
      </c>
      <c r="E601" s="16">
        <f>Members!E601</f>
        <v>0</v>
      </c>
      <c r="F601" s="16">
        <f>Members!F601</f>
        <v>538000</v>
      </c>
      <c r="G601" s="15">
        <f>MAX(0,Assumptions!$B$10-C601)</f>
        <v>0</v>
      </c>
      <c r="H601" s="17">
        <f>IF(B601="Active",E601*(1+Assumptions!$B$7)^G601,E601)</f>
        <v>0</v>
      </c>
      <c r="I601" s="17">
        <f>IF(B601="Active",MIN(Assumptions!$B$12,D601+G601),IF(B601="Deferred",MIN(Assumptions!$B$12,D601),D601))</f>
        <v>20.5</v>
      </c>
      <c r="J601" s="17">
        <f>IF(B601="Active",H601*I601*Assumptions!$B$11,IF(B601="Deferred",E601*I601*Assumptions!$B$11*(1+Assumptions!$B$9)^G601,F601))</f>
        <v>538000</v>
      </c>
      <c r="K601" s="11">
        <f>IF(B601="Pensioner",1,VLOOKUP(Assumptions!$B$10,Mortality!$A$2:$F$104,6,FALSE)/VLOOKUP(C601,Mortality!$A$2:$F$104,6,FALSE))</f>
        <v>1</v>
      </c>
      <c r="L601" s="11">
        <f>VLOOKUP(IF(B601="Pensioner",C601,Assumptions!$B$10),Mortality!$A$2:$E$104,5,FALSE)</f>
        <v>4.6715821823893648</v>
      </c>
      <c r="M601" s="11">
        <f>1+Assumptions!$B$13*Assumptions!$B$14*Assumptions!$B$15</f>
        <v>1.3187500000000001</v>
      </c>
      <c r="N601" s="11">
        <f>IF(B601="Pensioner",1,1/(1+Assumptions!$B$6)^G601)</f>
        <v>1</v>
      </c>
      <c r="O601" s="17">
        <f t="shared" si="9"/>
        <v>3314429.1636279747</v>
      </c>
    </row>
    <row r="602" spans="1:15">
      <c r="A602" s="13" t="str">
        <f>Members!A602</f>
        <v>D0110</v>
      </c>
      <c r="B602" s="13" t="str">
        <f>Members!B602</f>
        <v>Deferred</v>
      </c>
      <c r="C602" s="13">
        <f>Members!C602</f>
        <v>56</v>
      </c>
      <c r="D602" s="14">
        <f>Members!D602</f>
        <v>7.9</v>
      </c>
      <c r="E602" s="16">
        <f>Members!E602</f>
        <v>1472000</v>
      </c>
      <c r="F602" s="16">
        <f>Members!F602</f>
        <v>0</v>
      </c>
      <c r="G602" s="15">
        <f>MAX(0,Assumptions!$B$10-C602)</f>
        <v>4</v>
      </c>
      <c r="H602" s="17">
        <f>IF(B602="Active",E602*(1+Assumptions!$B$7)^G602,E602)</f>
        <v>1472000</v>
      </c>
      <c r="I602" s="17">
        <f>IF(B602="Active",MIN(Assumptions!$B$12,D602+G602),IF(B602="Deferred",MIN(Assumptions!$B$12,D602),D602))</f>
        <v>7.9</v>
      </c>
      <c r="J602" s="17">
        <f>IF(B602="Active",H602*I602*Assumptions!$B$11,IF(B602="Deferred",E602*I602*Assumptions!$B$11*(1+Assumptions!$B$9)^G602,F602))</f>
        <v>226734.18704213339</v>
      </c>
      <c r="K602" s="11">
        <f>IF(B602="Pensioner",1,VLOOKUP(Assumptions!$B$10,Mortality!$A$2:$F$104,6,FALSE)/VLOOKUP(C602,Mortality!$A$2:$F$104,6,FALSE))</f>
        <v>0.99011625581042195</v>
      </c>
      <c r="L602" s="11">
        <f>VLOOKUP(IF(B602="Pensioner",C602,Assumptions!$B$10),Mortality!$A$2:$E$104,5,FALSE)</f>
        <v>17.296790022132885</v>
      </c>
      <c r="M602" s="11">
        <f>1+Assumptions!$B$13*Assumptions!$B$14*Assumptions!$B$15</f>
        <v>1.3187500000000001</v>
      </c>
      <c r="N602" s="11">
        <f>IF(B602="Pensioner",1,1/(1+Assumptions!$B$6)^G602)</f>
        <v>0.77732309089481699</v>
      </c>
      <c r="O602" s="17">
        <f t="shared" si="9"/>
        <v>3980455.3231925475</v>
      </c>
    </row>
    <row r="603" spans="1:15">
      <c r="A603" s="13" t="str">
        <f>Members!A603</f>
        <v>P0064</v>
      </c>
      <c r="B603" s="13" t="str">
        <f>Members!B603</f>
        <v>Pensioner</v>
      </c>
      <c r="C603" s="13">
        <f>Members!C603</f>
        <v>85</v>
      </c>
      <c r="D603" s="14">
        <f>Members!D603</f>
        <v>39.799999999999997</v>
      </c>
      <c r="E603" s="16">
        <f>Members!E603</f>
        <v>0</v>
      </c>
      <c r="F603" s="16">
        <f>Members!F603</f>
        <v>395000</v>
      </c>
      <c r="G603" s="15">
        <f>MAX(0,Assumptions!$B$10-C603)</f>
        <v>0</v>
      </c>
      <c r="H603" s="17">
        <f>IF(B603="Active",E603*(1+Assumptions!$B$7)^G603,E603)</f>
        <v>0</v>
      </c>
      <c r="I603" s="17">
        <f>IF(B603="Active",MIN(Assumptions!$B$12,D603+G603),IF(B603="Deferred",MIN(Assumptions!$B$12,D603),D603))</f>
        <v>39.799999999999997</v>
      </c>
      <c r="J603" s="17">
        <f>IF(B603="Active",H603*I603*Assumptions!$B$11,IF(B603="Deferred",E603*I603*Assumptions!$B$11*(1+Assumptions!$B$9)^G603,F603))</f>
        <v>395000</v>
      </c>
      <c r="K603" s="11">
        <f>IF(B603="Pensioner",1,VLOOKUP(Assumptions!$B$10,Mortality!$A$2:$F$104,6,FALSE)/VLOOKUP(C603,Mortality!$A$2:$F$104,6,FALSE))</f>
        <v>1</v>
      </c>
      <c r="L603" s="11">
        <f>VLOOKUP(IF(B603="Pensioner",C603,Assumptions!$B$10),Mortality!$A$2:$E$104,5,FALSE)</f>
        <v>6.2282827560748935</v>
      </c>
      <c r="M603" s="11">
        <f>1+Assumptions!$B$13*Assumptions!$B$14*Assumptions!$B$15</f>
        <v>1.3187500000000001</v>
      </c>
      <c r="N603" s="11">
        <f>IF(B603="Pensioner",1,1/(1+Assumptions!$B$6)^G603)</f>
        <v>1</v>
      </c>
      <c r="O603" s="17">
        <f t="shared" si="9"/>
        <v>3244351.4144066381</v>
      </c>
    </row>
    <row r="604" spans="1:15">
      <c r="A604" s="13" t="str">
        <f>Members!A604</f>
        <v>P0226</v>
      </c>
      <c r="B604" s="13" t="str">
        <f>Members!B604</f>
        <v>Pensioner</v>
      </c>
      <c r="C604" s="13">
        <f>Members!C604</f>
        <v>62</v>
      </c>
      <c r="D604" s="14">
        <f>Members!D604</f>
        <v>34.1</v>
      </c>
      <c r="E604" s="16">
        <f>Members!E604</f>
        <v>0</v>
      </c>
      <c r="F604" s="16">
        <f>Members!F604</f>
        <v>372000</v>
      </c>
      <c r="G604" s="15">
        <f>MAX(0,Assumptions!$B$10-C604)</f>
        <v>0</v>
      </c>
      <c r="H604" s="17">
        <f>IF(B604="Active",E604*(1+Assumptions!$B$7)^G604,E604)</f>
        <v>0</v>
      </c>
      <c r="I604" s="17">
        <f>IF(B604="Active",MIN(Assumptions!$B$12,D604+G604),IF(B604="Deferred",MIN(Assumptions!$B$12,D604),D604))</f>
        <v>34.1</v>
      </c>
      <c r="J604" s="17">
        <f>IF(B604="Active",H604*I604*Assumptions!$B$11,IF(B604="Deferred",E604*I604*Assumptions!$B$11*(1+Assumptions!$B$9)^G604,F604))</f>
        <v>372000</v>
      </c>
      <c r="K604" s="11">
        <f>IF(B604="Pensioner",1,VLOOKUP(Assumptions!$B$10,Mortality!$A$2:$F$104,6,FALSE)/VLOOKUP(C604,Mortality!$A$2:$F$104,6,FALSE))</f>
        <v>1</v>
      </c>
      <c r="L604" s="11">
        <f>VLOOKUP(IF(B604="Pensioner",C604,Assumptions!$B$10),Mortality!$A$2:$E$104,5,FALSE)</f>
        <v>16.475532548255334</v>
      </c>
      <c r="M604" s="11">
        <f>1+Assumptions!$B$13*Assumptions!$B$14*Assumptions!$B$15</f>
        <v>1.3187500000000001</v>
      </c>
      <c r="N604" s="11">
        <f>IF(B604="Pensioner",1,1/(1+Assumptions!$B$6)^G604)</f>
        <v>1</v>
      </c>
      <c r="O604" s="17">
        <f t="shared" si="9"/>
        <v>8082484.3798603611</v>
      </c>
    </row>
    <row r="605" spans="1:15">
      <c r="A605" s="13" t="str">
        <f>Members!A605</f>
        <v>A0085</v>
      </c>
      <c r="B605" s="13" t="str">
        <f>Members!B605</f>
        <v>Active</v>
      </c>
      <c r="C605" s="13">
        <f>Members!C605</f>
        <v>58</v>
      </c>
      <c r="D605" s="14">
        <f>Members!D605</f>
        <v>29.9</v>
      </c>
      <c r="E605" s="16">
        <f>Members!E605</f>
        <v>1740000</v>
      </c>
      <c r="F605" s="16">
        <f>Members!F605</f>
        <v>0</v>
      </c>
      <c r="G605" s="15">
        <f>MAX(0,Assumptions!$B$10-C605)</f>
        <v>2</v>
      </c>
      <c r="H605" s="17">
        <f>IF(B605="Active",E605*(1+Assumptions!$B$7)^G605,E605)</f>
        <v>1936663.4999999998</v>
      </c>
      <c r="I605" s="17">
        <f>IF(B605="Active",MIN(Assumptions!$B$12,D605+G605),IF(B605="Deferred",MIN(Assumptions!$B$12,D605),D605))</f>
        <v>31.9</v>
      </c>
      <c r="J605" s="17">
        <f>IF(B605="Active",H605*I605*Assumptions!$B$11,IF(B605="Deferred",E605*I605*Assumptions!$B$11*(1+Assumptions!$B$9)^G605,F605))</f>
        <v>1029659.4274999999</v>
      </c>
      <c r="K605" s="11">
        <f>IF(B605="Pensioner",1,VLOOKUP(Assumptions!$B$10,Mortality!$A$2:$F$104,6,FALSE)/VLOOKUP(C605,Mortality!$A$2:$F$104,6,FALSE))</f>
        <v>0.99452130442038367</v>
      </c>
      <c r="L605" s="11">
        <f>VLOOKUP(IF(B605="Pensioner",C605,Assumptions!$B$10),Mortality!$A$2:$E$104,5,FALSE)</f>
        <v>17.296790022132885</v>
      </c>
      <c r="M605" s="11">
        <f>1+Assumptions!$B$13*Assumptions!$B$14*Assumptions!$B$15</f>
        <v>1.3187500000000001</v>
      </c>
      <c r="N605" s="11">
        <f>IF(B605="Pensioner",1,1/(1+Assumptions!$B$6)^G605)</f>
        <v>0.88165928277017358</v>
      </c>
      <c r="O605" s="17">
        <f t="shared" si="9"/>
        <v>20593798.614220552</v>
      </c>
    </row>
    <row r="606" spans="1:15">
      <c r="A606" s="13" t="str">
        <f>Members!A606</f>
        <v>A0107</v>
      </c>
      <c r="B606" s="13" t="str">
        <f>Members!B606</f>
        <v>Active</v>
      </c>
      <c r="C606" s="13">
        <f>Members!C606</f>
        <v>29</v>
      </c>
      <c r="D606" s="14">
        <f>Members!D606</f>
        <v>5.7</v>
      </c>
      <c r="E606" s="16">
        <f>Members!E606</f>
        <v>588000</v>
      </c>
      <c r="F606" s="16">
        <f>Members!F606</f>
        <v>0</v>
      </c>
      <c r="G606" s="15">
        <f>MAX(0,Assumptions!$B$10-C606)</f>
        <v>31</v>
      </c>
      <c r="H606" s="17">
        <f>IF(B606="Active",E606*(1+Assumptions!$B$7)^G606,E606)</f>
        <v>3091744.3422429911</v>
      </c>
      <c r="I606" s="17">
        <f>IF(B606="Active",MIN(Assumptions!$B$12,D606+G606),IF(B606="Deferred",MIN(Assumptions!$B$12,D606),D606))</f>
        <v>36.700000000000003</v>
      </c>
      <c r="J606" s="17">
        <f>IF(B606="Active",H606*I606*Assumptions!$B$11,IF(B606="Deferred",E606*I606*Assumptions!$B$11*(1+Assumptions!$B$9)^G606,F606))</f>
        <v>1891116.9560052964</v>
      </c>
      <c r="K606" s="11">
        <f>IF(B606="Pensioner",1,VLOOKUP(Assumptions!$B$10,Mortality!$A$2:$F$104,6,FALSE)/VLOOKUP(C606,Mortality!$A$2:$F$104,6,FALSE))</f>
        <v>0.9700544954739736</v>
      </c>
      <c r="L606" s="11">
        <f>VLOOKUP(IF(B606="Pensioner",C606,Assumptions!$B$10),Mortality!$A$2:$E$104,5,FALSE)</f>
        <v>17.296790022132885</v>
      </c>
      <c r="M606" s="11">
        <f>1+Assumptions!$B$13*Assumptions!$B$14*Assumptions!$B$15</f>
        <v>1.3187500000000001</v>
      </c>
      <c r="N606" s="11">
        <f>IF(B606="Pensioner",1,1/(1+Assumptions!$B$6)^G606)</f>
        <v>0.14195874752095111</v>
      </c>
      <c r="O606" s="17">
        <f t="shared" si="9"/>
        <v>5940249.2218526667</v>
      </c>
    </row>
    <row r="607" spans="1:15">
      <c r="A607" s="13" t="str">
        <f>Members!A607</f>
        <v>P0144</v>
      </c>
      <c r="B607" s="13" t="str">
        <f>Members!B607</f>
        <v>Pensioner</v>
      </c>
      <c r="C607" s="13">
        <f>Members!C607</f>
        <v>61</v>
      </c>
      <c r="D607" s="14">
        <f>Members!D607</f>
        <v>17.3</v>
      </c>
      <c r="E607" s="16">
        <f>Members!E607</f>
        <v>0</v>
      </c>
      <c r="F607" s="16">
        <f>Members!F607</f>
        <v>368000</v>
      </c>
      <c r="G607" s="15">
        <f>MAX(0,Assumptions!$B$10-C607)</f>
        <v>0</v>
      </c>
      <c r="H607" s="17">
        <f>IF(B607="Active",E607*(1+Assumptions!$B$7)^G607,E607)</f>
        <v>0</v>
      </c>
      <c r="I607" s="17">
        <f>IF(B607="Active",MIN(Assumptions!$B$12,D607+G607),IF(B607="Deferred",MIN(Assumptions!$B$12,D607),D607))</f>
        <v>17.3</v>
      </c>
      <c r="J607" s="17">
        <f>IF(B607="Active",H607*I607*Assumptions!$B$11,IF(B607="Deferred",E607*I607*Assumptions!$B$11*(1+Assumptions!$B$9)^G607,F607))</f>
        <v>368000</v>
      </c>
      <c r="K607" s="11">
        <f>IF(B607="Pensioner",1,VLOOKUP(Assumptions!$B$10,Mortality!$A$2:$F$104,6,FALSE)/VLOOKUP(C607,Mortality!$A$2:$F$104,6,FALSE))</f>
        <v>1</v>
      </c>
      <c r="L607" s="11">
        <f>VLOOKUP(IF(B607="Pensioner",C607,Assumptions!$B$10),Mortality!$A$2:$E$104,5,FALSE)</f>
        <v>16.889485221588366</v>
      </c>
      <c r="M607" s="11">
        <f>1+Assumptions!$B$13*Assumptions!$B$14*Assumptions!$B$15</f>
        <v>1.3187500000000001</v>
      </c>
      <c r="N607" s="11">
        <f>IF(B607="Pensioner",1,1/(1+Assumptions!$B$6)^G607)</f>
        <v>1</v>
      </c>
      <c r="O607" s="17">
        <f t="shared" si="9"/>
        <v>8196467.178036835</v>
      </c>
    </row>
    <row r="608" spans="1:15">
      <c r="A608" s="13" t="str">
        <f>Members!A608</f>
        <v>A0295</v>
      </c>
      <c r="B608" s="13" t="str">
        <f>Members!B608</f>
        <v>Active</v>
      </c>
      <c r="C608" s="13">
        <f>Members!C608</f>
        <v>39</v>
      </c>
      <c r="D608" s="14">
        <f>Members!D608</f>
        <v>8</v>
      </c>
      <c r="E608" s="16">
        <f>Members!E608</f>
        <v>977000</v>
      </c>
      <c r="F608" s="16">
        <f>Members!F608</f>
        <v>0</v>
      </c>
      <c r="G608" s="15">
        <f>MAX(0,Assumptions!$B$10-C608)</f>
        <v>21</v>
      </c>
      <c r="H608" s="17">
        <f>IF(B608="Active",E608*(1+Assumptions!$B$7)^G608,E608)</f>
        <v>3007434.7670778059</v>
      </c>
      <c r="I608" s="17">
        <f>IF(B608="Active",MIN(Assumptions!$B$12,D608+G608),IF(B608="Deferred",MIN(Assumptions!$B$12,D608),D608))</f>
        <v>29</v>
      </c>
      <c r="J608" s="17">
        <f>IF(B608="Active",H608*I608*Assumptions!$B$11,IF(B608="Deferred",E608*I608*Assumptions!$B$11*(1+Assumptions!$B$9)^G608,F608))</f>
        <v>1453593.470754273</v>
      </c>
      <c r="K608" s="11">
        <f>IF(B608="Pensioner",1,VLOOKUP(Assumptions!$B$10,Mortality!$A$2:$F$104,6,FALSE)/VLOOKUP(C608,Mortality!$A$2:$F$104,6,FALSE))</f>
        <v>0.97358574177887802</v>
      </c>
      <c r="L608" s="11">
        <f>VLOOKUP(IF(B608="Pensioner",C608,Assumptions!$B$10),Mortality!$A$2:$E$104,5,FALSE)</f>
        <v>17.296790022132885</v>
      </c>
      <c r="M608" s="11">
        <f>1+Assumptions!$B$13*Assumptions!$B$14*Assumptions!$B$15</f>
        <v>1.3187500000000001</v>
      </c>
      <c r="N608" s="11">
        <f>IF(B608="Pensioner",1,1/(1+Assumptions!$B$6)^G608)</f>
        <v>0.26647608349429097</v>
      </c>
      <c r="O608" s="17">
        <f t="shared" si="9"/>
        <v>8602078.2955719996</v>
      </c>
    </row>
    <row r="609" spans="1:15">
      <c r="A609" s="13" t="str">
        <f>Members!A609</f>
        <v>A0524</v>
      </c>
      <c r="B609" s="13" t="str">
        <f>Members!B609</f>
        <v>Active</v>
      </c>
      <c r="C609" s="13">
        <f>Members!C609</f>
        <v>57</v>
      </c>
      <c r="D609" s="14">
        <f>Members!D609</f>
        <v>25.2</v>
      </c>
      <c r="E609" s="16">
        <f>Members!E609</f>
        <v>1831000</v>
      </c>
      <c r="F609" s="16">
        <f>Members!F609</f>
        <v>0</v>
      </c>
      <c r="G609" s="15">
        <f>MAX(0,Assumptions!$B$10-C609)</f>
        <v>3</v>
      </c>
      <c r="H609" s="17">
        <f>IF(B609="Active",E609*(1+Assumptions!$B$7)^G609,E609)</f>
        <v>2150035.9576249998</v>
      </c>
      <c r="I609" s="17">
        <f>IF(B609="Active",MIN(Assumptions!$B$12,D609+G609),IF(B609="Deferred",MIN(Assumptions!$B$12,D609),D609))</f>
        <v>28.2</v>
      </c>
      <c r="J609" s="17">
        <f>IF(B609="Active",H609*I609*Assumptions!$B$11,IF(B609="Deferred",E609*I609*Assumptions!$B$11*(1+Assumptions!$B$9)^G609,F609))</f>
        <v>1010516.9000837499</v>
      </c>
      <c r="K609" s="11">
        <f>IF(B609="Pensioner",1,VLOOKUP(Assumptions!$B$10,Mortality!$A$2:$F$104,6,FALSE)/VLOOKUP(C609,Mortality!$A$2:$F$104,6,FALSE))</f>
        <v>0.99220038929214172</v>
      </c>
      <c r="L609" s="11">
        <f>VLOOKUP(IF(B609="Pensioner",C609,Assumptions!$B$10),Mortality!$A$2:$E$104,5,FALSE)</f>
        <v>17.296790022132885</v>
      </c>
      <c r="M609" s="11">
        <f>1+Assumptions!$B$13*Assumptions!$B$14*Assumptions!$B$15</f>
        <v>1.3187500000000001</v>
      </c>
      <c r="N609" s="11">
        <f>IF(B609="Pensioner",1,1/(1+Assumptions!$B$6)^G609)</f>
        <v>0.82784909180297994</v>
      </c>
      <c r="O609" s="17">
        <f t="shared" si="9"/>
        <v>18933117.789328489</v>
      </c>
    </row>
    <row r="610" spans="1:15">
      <c r="A610" s="13" t="str">
        <f>Members!A610</f>
        <v>A0369</v>
      </c>
      <c r="B610" s="13" t="str">
        <f>Members!B610</f>
        <v>Active</v>
      </c>
      <c r="C610" s="13">
        <f>Members!C610</f>
        <v>43</v>
      </c>
      <c r="D610" s="14">
        <f>Members!D610</f>
        <v>13.3</v>
      </c>
      <c r="E610" s="16">
        <f>Members!E610</f>
        <v>1236000</v>
      </c>
      <c r="F610" s="16">
        <f>Members!F610</f>
        <v>0</v>
      </c>
      <c r="G610" s="15">
        <f>MAX(0,Assumptions!$B$10-C610)</f>
        <v>17</v>
      </c>
      <c r="H610" s="17">
        <f>IF(B610="Active",E610*(1+Assumptions!$B$7)^G610,E610)</f>
        <v>3071215.4546476058</v>
      </c>
      <c r="I610" s="17">
        <f>IF(B610="Active",MIN(Assumptions!$B$12,D610+G610),IF(B610="Deferred",MIN(Assumptions!$B$12,D610),D610))</f>
        <v>30.3</v>
      </c>
      <c r="J610" s="17">
        <f>IF(B610="Active",H610*I610*Assumptions!$B$11,IF(B610="Deferred",E610*I610*Assumptions!$B$11*(1+Assumptions!$B$9)^G610,F610))</f>
        <v>1550963.8045970411</v>
      </c>
      <c r="K610" s="11">
        <f>IF(B610="Pensioner",1,VLOOKUP(Assumptions!$B$10,Mortality!$A$2:$F$104,6,FALSE)/VLOOKUP(C610,Mortality!$A$2:$F$104,6,FALSE))</f>
        <v>0.97565175842493801</v>
      </c>
      <c r="L610" s="11">
        <f>VLOOKUP(IF(B610="Pensioner",C610,Assumptions!$B$10),Mortality!$A$2:$E$104,5,FALSE)</f>
        <v>17.296790022132885</v>
      </c>
      <c r="M610" s="11">
        <f>1+Assumptions!$B$13*Assumptions!$B$14*Assumptions!$B$15</f>
        <v>1.3187500000000001</v>
      </c>
      <c r="N610" s="11">
        <f>IF(B610="Pensioner",1,1/(1+Assumptions!$B$6)^G610)</f>
        <v>0.34281251466174323</v>
      </c>
      <c r="O610" s="17">
        <f t="shared" si="9"/>
        <v>11832626.278392598</v>
      </c>
    </row>
    <row r="611" spans="1:15">
      <c r="A611" s="13" t="str">
        <f>Members!A611</f>
        <v>P0206</v>
      </c>
      <c r="B611" s="13" t="str">
        <f>Members!B611</f>
        <v>Pensioner</v>
      </c>
      <c r="C611" s="13">
        <f>Members!C611</f>
        <v>88</v>
      </c>
      <c r="D611" s="14">
        <f>Members!D611</f>
        <v>20.5</v>
      </c>
      <c r="E611" s="16">
        <f>Members!E611</f>
        <v>0</v>
      </c>
      <c r="F611" s="16">
        <f>Members!F611</f>
        <v>917000</v>
      </c>
      <c r="G611" s="15">
        <f>MAX(0,Assumptions!$B$10-C611)</f>
        <v>0</v>
      </c>
      <c r="H611" s="17">
        <f>IF(B611="Active",E611*(1+Assumptions!$B$7)^G611,E611)</f>
        <v>0</v>
      </c>
      <c r="I611" s="17">
        <f>IF(B611="Active",MIN(Assumptions!$B$12,D611+G611),IF(B611="Deferred",MIN(Assumptions!$B$12,D611),D611))</f>
        <v>20.5</v>
      </c>
      <c r="J611" s="17">
        <f>IF(B611="Active",H611*I611*Assumptions!$B$11,IF(B611="Deferred",E611*I611*Assumptions!$B$11*(1+Assumptions!$B$9)^G611,F611))</f>
        <v>917000</v>
      </c>
      <c r="K611" s="11">
        <f>IF(B611="Pensioner",1,VLOOKUP(Assumptions!$B$10,Mortality!$A$2:$F$104,6,FALSE)/VLOOKUP(C611,Mortality!$A$2:$F$104,6,FALSE))</f>
        <v>1</v>
      </c>
      <c r="L611" s="11">
        <f>VLOOKUP(IF(B611="Pensioner",C611,Assumptions!$B$10),Mortality!$A$2:$E$104,5,FALSE)</f>
        <v>5.0437428962217341</v>
      </c>
      <c r="M611" s="11">
        <f>1+Assumptions!$B$13*Assumptions!$B$14*Assumptions!$B$15</f>
        <v>1.3187500000000001</v>
      </c>
      <c r="N611" s="11">
        <f>IF(B611="Pensioner",1,1/(1+Assumptions!$B$6)^G611)</f>
        <v>1</v>
      </c>
      <c r="O611" s="17">
        <f t="shared" si="9"/>
        <v>6099366.7610078426</v>
      </c>
    </row>
    <row r="612" spans="1:15">
      <c r="A612" s="13" t="str">
        <f>Members!A612</f>
        <v>P0207</v>
      </c>
      <c r="B612" s="13" t="str">
        <f>Members!B612</f>
        <v>Pensioner</v>
      </c>
      <c r="C612" s="13">
        <f>Members!C612</f>
        <v>73</v>
      </c>
      <c r="D612" s="14">
        <f>Members!D612</f>
        <v>16.600000000000001</v>
      </c>
      <c r="E612" s="16">
        <f>Members!E612</f>
        <v>0</v>
      </c>
      <c r="F612" s="16">
        <f>Members!F612</f>
        <v>241000</v>
      </c>
      <c r="G612" s="15">
        <f>MAX(0,Assumptions!$B$10-C612)</f>
        <v>0</v>
      </c>
      <c r="H612" s="17">
        <f>IF(B612="Active",E612*(1+Assumptions!$B$7)^G612,E612)</f>
        <v>0</v>
      </c>
      <c r="I612" s="17">
        <f>IF(B612="Active",MIN(Assumptions!$B$12,D612+G612),IF(B612="Deferred",MIN(Assumptions!$B$12,D612),D612))</f>
        <v>16.600000000000001</v>
      </c>
      <c r="J612" s="17">
        <f>IF(B612="Active",H612*I612*Assumptions!$B$11,IF(B612="Deferred",E612*I612*Assumptions!$B$11*(1+Assumptions!$B$9)^G612,F612))</f>
        <v>241000</v>
      </c>
      <c r="K612" s="11">
        <f>IF(B612="Pensioner",1,VLOOKUP(Assumptions!$B$10,Mortality!$A$2:$F$104,6,FALSE)/VLOOKUP(C612,Mortality!$A$2:$F$104,6,FALSE))</f>
        <v>1</v>
      </c>
      <c r="L612" s="11">
        <f>VLOOKUP(IF(B612="Pensioner",C612,Assumptions!$B$10),Mortality!$A$2:$E$104,5,FALSE)</f>
        <v>11.586176267789867</v>
      </c>
      <c r="M612" s="11">
        <f>1+Assumptions!$B$13*Assumptions!$B$14*Assumptions!$B$15</f>
        <v>1.3187500000000001</v>
      </c>
      <c r="N612" s="11">
        <f>IF(B612="Pensioner",1,1/(1+Assumptions!$B$6)^G612)</f>
        <v>1</v>
      </c>
      <c r="O612" s="17">
        <f t="shared" si="9"/>
        <v>3682304.0587086407</v>
      </c>
    </row>
    <row r="613" spans="1:15">
      <c r="A613" s="13" t="str">
        <f>Members!A613</f>
        <v>A0605</v>
      </c>
      <c r="B613" s="13" t="str">
        <f>Members!B613</f>
        <v>Active</v>
      </c>
      <c r="C613" s="13">
        <f>Members!C613</f>
        <v>50</v>
      </c>
      <c r="D613" s="14">
        <f>Members!D613</f>
        <v>1.8</v>
      </c>
      <c r="E613" s="16">
        <f>Members!E613</f>
        <v>1704000</v>
      </c>
      <c r="F613" s="16">
        <f>Members!F613</f>
        <v>0</v>
      </c>
      <c r="G613" s="15">
        <f>MAX(0,Assumptions!$B$10-C613)</f>
        <v>10</v>
      </c>
      <c r="H613" s="17">
        <f>IF(B613="Active",E613*(1+Assumptions!$B$7)^G613,E613)</f>
        <v>2910678.1570345224</v>
      </c>
      <c r="I613" s="17">
        <f>IF(B613="Active",MIN(Assumptions!$B$12,D613+G613),IF(B613="Deferred",MIN(Assumptions!$B$12,D613),D613))</f>
        <v>11.8</v>
      </c>
      <c r="J613" s="17">
        <f>IF(B613="Active",H613*I613*Assumptions!$B$11,IF(B613="Deferred",E613*I613*Assumptions!$B$11*(1+Assumptions!$B$9)^G613,F613))</f>
        <v>572433.37088345608</v>
      </c>
      <c r="K613" s="11">
        <f>IF(B613="Pensioner",1,VLOOKUP(Assumptions!$B$10,Mortality!$A$2:$F$104,6,FALSE)/VLOOKUP(C613,Mortality!$A$2:$F$104,6,FALSE))</f>
        <v>0.98127299335824147</v>
      </c>
      <c r="L613" s="11">
        <f>VLOOKUP(IF(B613="Pensioner",C613,Assumptions!$B$10),Mortality!$A$2:$E$104,5,FALSE)</f>
        <v>17.296790022132885</v>
      </c>
      <c r="M613" s="11">
        <f>1+Assumptions!$B$13*Assumptions!$B$14*Assumptions!$B$15</f>
        <v>1.3187500000000001</v>
      </c>
      <c r="N613" s="11">
        <f>IF(B613="Pensioner",1,1/(1+Assumptions!$B$6)^G613)</f>
        <v>0.53272603552052888</v>
      </c>
      <c r="O613" s="17">
        <f t="shared" si="9"/>
        <v>6825692.1685155565</v>
      </c>
    </row>
    <row r="614" spans="1:15">
      <c r="A614" s="13" t="str">
        <f>Members!A614</f>
        <v>A0413</v>
      </c>
      <c r="B614" s="13" t="str">
        <f>Members!B614</f>
        <v>Active</v>
      </c>
      <c r="C614" s="13">
        <f>Members!C614</f>
        <v>42</v>
      </c>
      <c r="D614" s="14">
        <f>Members!D614</f>
        <v>11.3</v>
      </c>
      <c r="E614" s="16">
        <f>Members!E614</f>
        <v>1163000</v>
      </c>
      <c r="F614" s="16">
        <f>Members!F614</f>
        <v>0</v>
      </c>
      <c r="G614" s="15">
        <f>MAX(0,Assumptions!$B$10-C614)</f>
        <v>18</v>
      </c>
      <c r="H614" s="17">
        <f>IF(B614="Active",E614*(1+Assumptions!$B$7)^G614,E614)</f>
        <v>3048765.2672424754</v>
      </c>
      <c r="I614" s="17">
        <f>IF(B614="Active",MIN(Assumptions!$B$12,D614+G614),IF(B614="Deferred",MIN(Assumptions!$B$12,D614),D614))</f>
        <v>29.3</v>
      </c>
      <c r="J614" s="17">
        <f>IF(B614="Active",H614*I614*Assumptions!$B$11,IF(B614="Deferred",E614*I614*Assumptions!$B$11*(1+Assumptions!$B$9)^G614,F614))</f>
        <v>1488813.7055034088</v>
      </c>
      <c r="K614" s="11">
        <f>IF(B614="Pensioner",1,VLOOKUP(Assumptions!$B$10,Mortality!$A$2:$F$104,6,FALSE)/VLOOKUP(C614,Mortality!$A$2:$F$104,6,FALSE))</f>
        <v>0.97507997078383857</v>
      </c>
      <c r="L614" s="11">
        <f>VLOOKUP(IF(B614="Pensioner",C614,Assumptions!$B$10),Mortality!$A$2:$E$104,5,FALSE)</f>
        <v>17.296790022132885</v>
      </c>
      <c r="M614" s="11">
        <f>1+Assumptions!$B$13*Assumptions!$B$14*Assumptions!$B$15</f>
        <v>1.3187500000000001</v>
      </c>
      <c r="N614" s="11">
        <f>IF(B614="Pensioner",1,1/(1+Assumptions!$B$6)^G614)</f>
        <v>0.32188968512839738</v>
      </c>
      <c r="O614" s="17">
        <f t="shared" si="9"/>
        <v>10658979.812674113</v>
      </c>
    </row>
    <row r="615" spans="1:15">
      <c r="A615" s="13" t="str">
        <f>Members!A615</f>
        <v>A0542</v>
      </c>
      <c r="B615" s="13" t="str">
        <f>Members!B615</f>
        <v>Active</v>
      </c>
      <c r="C615" s="13">
        <f>Members!C615</f>
        <v>49</v>
      </c>
      <c r="D615" s="14">
        <f>Members!D615</f>
        <v>21.9</v>
      </c>
      <c r="E615" s="16">
        <f>Members!E615</f>
        <v>1148000</v>
      </c>
      <c r="F615" s="16">
        <f>Members!F615</f>
        <v>0</v>
      </c>
      <c r="G615" s="15">
        <f>MAX(0,Assumptions!$B$10-C615)</f>
        <v>11</v>
      </c>
      <c r="H615" s="17">
        <f>IF(B615="Active",E615*(1+Assumptions!$B$7)^G615,E615)</f>
        <v>2068802.0792903702</v>
      </c>
      <c r="I615" s="17">
        <f>IF(B615="Active",MIN(Assumptions!$B$12,D615+G615),IF(B615="Deferred",MIN(Assumptions!$B$12,D615),D615))</f>
        <v>32.9</v>
      </c>
      <c r="J615" s="17">
        <f>IF(B615="Active",H615*I615*Assumptions!$B$11,IF(B615="Deferred",E615*I615*Assumptions!$B$11*(1+Assumptions!$B$9)^G615,F615))</f>
        <v>1134393.1401442196</v>
      </c>
      <c r="K615" s="11">
        <f>IF(B615="Pensioner",1,VLOOKUP(Assumptions!$B$10,Mortality!$A$2:$F$104,6,FALSE)/VLOOKUP(C615,Mortality!$A$2:$F$104,6,FALSE))</f>
        <v>0.98024296623595764</v>
      </c>
      <c r="L615" s="11">
        <f>VLOOKUP(IF(B615="Pensioner",C615,Assumptions!$B$10),Mortality!$A$2:$E$104,5,FALSE)</f>
        <v>17.296790022132885</v>
      </c>
      <c r="M615" s="11">
        <f>1+Assumptions!$B$13*Assumptions!$B$14*Assumptions!$B$15</f>
        <v>1.3187500000000001</v>
      </c>
      <c r="N615" s="11">
        <f>IF(B615="Pensioner",1,1/(1+Assumptions!$B$6)^G615)</f>
        <v>0.50021223992537933</v>
      </c>
      <c r="O615" s="17">
        <f t="shared" si="9"/>
        <v>12687604.335307401</v>
      </c>
    </row>
    <row r="616" spans="1:15">
      <c r="A616" s="13" t="str">
        <f>Members!A616</f>
        <v>P0090</v>
      </c>
      <c r="B616" s="13" t="str">
        <f>Members!B616</f>
        <v>Pensioner</v>
      </c>
      <c r="C616" s="13">
        <f>Members!C616</f>
        <v>63</v>
      </c>
      <c r="D616" s="14">
        <f>Members!D616</f>
        <v>25</v>
      </c>
      <c r="E616" s="16">
        <f>Members!E616</f>
        <v>0</v>
      </c>
      <c r="F616" s="16">
        <f>Members!F616</f>
        <v>164000</v>
      </c>
      <c r="G616" s="15">
        <f>MAX(0,Assumptions!$B$10-C616)</f>
        <v>0</v>
      </c>
      <c r="H616" s="17">
        <f>IF(B616="Active",E616*(1+Assumptions!$B$7)^G616,E616)</f>
        <v>0</v>
      </c>
      <c r="I616" s="17">
        <f>IF(B616="Active",MIN(Assumptions!$B$12,D616+G616),IF(B616="Deferred",MIN(Assumptions!$B$12,D616),D616))</f>
        <v>25</v>
      </c>
      <c r="J616" s="17">
        <f>IF(B616="Active",H616*I616*Assumptions!$B$11,IF(B616="Deferred",E616*I616*Assumptions!$B$11*(1+Assumptions!$B$9)^G616,F616))</f>
        <v>164000</v>
      </c>
      <c r="K616" s="11">
        <f>IF(B616="Pensioner",1,VLOOKUP(Assumptions!$B$10,Mortality!$A$2:$F$104,6,FALSE)/VLOOKUP(C616,Mortality!$A$2:$F$104,6,FALSE))</f>
        <v>1</v>
      </c>
      <c r="L616" s="11">
        <f>VLOOKUP(IF(B616="Pensioner",C616,Assumptions!$B$10),Mortality!$A$2:$E$104,5,FALSE)</f>
        <v>16.055191398346196</v>
      </c>
      <c r="M616" s="11">
        <f>1+Assumptions!$B$13*Assumptions!$B$14*Assumptions!$B$15</f>
        <v>1.3187500000000001</v>
      </c>
      <c r="N616" s="11">
        <f>IF(B616="Pensioner",1,1/(1+Assumptions!$B$6)^G616)</f>
        <v>1</v>
      </c>
      <c r="O616" s="17">
        <f t="shared" si="9"/>
        <v>3472336.5196773233</v>
      </c>
    </row>
    <row r="617" spans="1:15">
      <c r="A617" s="13" t="str">
        <f>Members!A617</f>
        <v>A0473</v>
      </c>
      <c r="B617" s="13" t="str">
        <f>Members!B617</f>
        <v>Active</v>
      </c>
      <c r="C617" s="13">
        <f>Members!C617</f>
        <v>58</v>
      </c>
      <c r="D617" s="14">
        <f>Members!D617</f>
        <v>12.3</v>
      </c>
      <c r="E617" s="16">
        <f>Members!E617</f>
        <v>1676000</v>
      </c>
      <c r="F617" s="16">
        <f>Members!F617</f>
        <v>0</v>
      </c>
      <c r="G617" s="15">
        <f>MAX(0,Assumptions!$B$10-C617)</f>
        <v>2</v>
      </c>
      <c r="H617" s="17">
        <f>IF(B617="Active",E617*(1+Assumptions!$B$7)^G617,E617)</f>
        <v>1865429.9</v>
      </c>
      <c r="I617" s="17">
        <f>IF(B617="Active",MIN(Assumptions!$B$12,D617+G617),IF(B617="Deferred",MIN(Assumptions!$B$12,D617),D617))</f>
        <v>14.3</v>
      </c>
      <c r="J617" s="17">
        <f>IF(B617="Active",H617*I617*Assumptions!$B$11,IF(B617="Deferred",E617*I617*Assumptions!$B$11*(1+Assumptions!$B$9)^G617,F617))</f>
        <v>444594.12616666668</v>
      </c>
      <c r="K617" s="11">
        <f>IF(B617="Pensioner",1,VLOOKUP(Assumptions!$B$10,Mortality!$A$2:$F$104,6,FALSE)/VLOOKUP(C617,Mortality!$A$2:$F$104,6,FALSE))</f>
        <v>0.99452130442038367</v>
      </c>
      <c r="L617" s="11">
        <f>VLOOKUP(IF(B617="Pensioner",C617,Assumptions!$B$10),Mortality!$A$2:$E$104,5,FALSE)</f>
        <v>17.296790022132885</v>
      </c>
      <c r="M617" s="11">
        <f>1+Assumptions!$B$13*Assumptions!$B$14*Assumptions!$B$15</f>
        <v>1.3187500000000001</v>
      </c>
      <c r="N617" s="11">
        <f>IF(B617="Pensioner",1,1/(1+Assumptions!$B$6)^G617)</f>
        <v>0.88165928277017358</v>
      </c>
      <c r="O617" s="17">
        <f t="shared" si="9"/>
        <v>8892145.9414712135</v>
      </c>
    </row>
    <row r="618" spans="1:15">
      <c r="A618" s="13" t="str">
        <f>Members!A618</f>
        <v>A0125</v>
      </c>
      <c r="B618" s="13" t="str">
        <f>Members!B618</f>
        <v>Active</v>
      </c>
      <c r="C618" s="13">
        <f>Members!C618</f>
        <v>25</v>
      </c>
      <c r="D618" s="14">
        <f>Members!D618</f>
        <v>1</v>
      </c>
      <c r="E618" s="16">
        <f>Members!E618</f>
        <v>368000</v>
      </c>
      <c r="F618" s="16">
        <f>Members!F618</f>
        <v>0</v>
      </c>
      <c r="G618" s="15">
        <f>MAX(0,Assumptions!$B$10-C618)</f>
        <v>35</v>
      </c>
      <c r="H618" s="17">
        <f>IF(B618="Active",E618*(1+Assumptions!$B$7)^G618,E618)</f>
        <v>2397087.6028795331</v>
      </c>
      <c r="I618" s="17">
        <f>IF(B618="Active",MIN(Assumptions!$B$12,D618+G618),IF(B618="Deferred",MIN(Assumptions!$B$12,D618),D618))</f>
        <v>36</v>
      </c>
      <c r="J618" s="17">
        <f>IF(B618="Active",H618*I618*Assumptions!$B$11,IF(B618="Deferred",E618*I618*Assumptions!$B$11*(1+Assumptions!$B$9)^G618,F618))</f>
        <v>1438252.5617277198</v>
      </c>
      <c r="K618" s="11">
        <f>IF(B618="Pensioner",1,VLOOKUP(Assumptions!$B$10,Mortality!$A$2:$F$104,6,FALSE)/VLOOKUP(C618,Mortality!$A$2:$F$104,6,FALSE))</f>
        <v>0.96896729760411437</v>
      </c>
      <c r="L618" s="11">
        <f>VLOOKUP(IF(B618="Pensioner",C618,Assumptions!$B$10),Mortality!$A$2:$E$104,5,FALSE)</f>
        <v>17.296790022132885</v>
      </c>
      <c r="M618" s="11">
        <f>1+Assumptions!$B$13*Assumptions!$B$14*Assumptions!$B$15</f>
        <v>1.3187500000000001</v>
      </c>
      <c r="N618" s="11">
        <f>IF(B618="Pensioner",1,1/(1+Assumptions!$B$6)^G618)</f>
        <v>0.11034781240254267</v>
      </c>
      <c r="O618" s="17">
        <f t="shared" si="9"/>
        <v>3507809.4195927694</v>
      </c>
    </row>
    <row r="619" spans="1:15">
      <c r="A619" s="13" t="str">
        <f>Members!A619</f>
        <v>D0114</v>
      </c>
      <c r="B619" s="13" t="str">
        <f>Members!B619</f>
        <v>Deferred</v>
      </c>
      <c r="C619" s="13">
        <f>Members!C619</f>
        <v>42</v>
      </c>
      <c r="D619" s="14">
        <f>Members!D619</f>
        <v>13.4</v>
      </c>
      <c r="E619" s="16">
        <f>Members!E619</f>
        <v>607000</v>
      </c>
      <c r="F619" s="16">
        <f>Members!F619</f>
        <v>0</v>
      </c>
      <c r="G619" s="15">
        <f>MAX(0,Assumptions!$B$10-C619)</f>
        <v>18</v>
      </c>
      <c r="H619" s="17">
        <f>IF(B619="Active",E619*(1+Assumptions!$B$7)^G619,E619)</f>
        <v>607000</v>
      </c>
      <c r="I619" s="17">
        <f>IF(B619="Active",MIN(Assumptions!$B$12,D619+G619),IF(B619="Deferred",MIN(Assumptions!$B$12,D619),D619))</f>
        <v>13.4</v>
      </c>
      <c r="J619" s="17">
        <f>IF(B619="Active",H619*I619*Assumptions!$B$11,IF(B619="Deferred",E619*I619*Assumptions!$B$11*(1+Assumptions!$B$9)^G619,F619))</f>
        <v>274626.43954643188</v>
      </c>
      <c r="K619" s="11">
        <f>IF(B619="Pensioner",1,VLOOKUP(Assumptions!$B$10,Mortality!$A$2:$F$104,6,FALSE)/VLOOKUP(C619,Mortality!$A$2:$F$104,6,FALSE))</f>
        <v>0.97507997078383857</v>
      </c>
      <c r="L619" s="11">
        <f>VLOOKUP(IF(B619="Pensioner",C619,Assumptions!$B$10),Mortality!$A$2:$E$104,5,FALSE)</f>
        <v>17.296790022132885</v>
      </c>
      <c r="M619" s="11">
        <f>1+Assumptions!$B$13*Assumptions!$B$14*Assumptions!$B$15</f>
        <v>1.3187500000000001</v>
      </c>
      <c r="N619" s="11">
        <f>IF(B619="Pensioner",1,1/(1+Assumptions!$B$6)^G619)</f>
        <v>0.32188968512839738</v>
      </c>
      <c r="O619" s="17">
        <f t="shared" si="9"/>
        <v>1966154.4384844347</v>
      </c>
    </row>
    <row r="620" spans="1:15">
      <c r="A620" s="13" t="str">
        <f>Members!A620</f>
        <v>A0123</v>
      </c>
      <c r="B620" s="13" t="str">
        <f>Members!B620</f>
        <v>Active</v>
      </c>
      <c r="C620" s="13">
        <f>Members!C620</f>
        <v>42</v>
      </c>
      <c r="D620" s="14">
        <f>Members!D620</f>
        <v>13.1</v>
      </c>
      <c r="E620" s="16">
        <f>Members!E620</f>
        <v>787000</v>
      </c>
      <c r="F620" s="16">
        <f>Members!F620</f>
        <v>0</v>
      </c>
      <c r="G620" s="15">
        <f>MAX(0,Assumptions!$B$10-C620)</f>
        <v>18</v>
      </c>
      <c r="H620" s="17">
        <f>IF(B620="Active",E620*(1+Assumptions!$B$7)^G620,E620)</f>
        <v>2063093.9512638247</v>
      </c>
      <c r="I620" s="17">
        <f>IF(B620="Active",MIN(Assumptions!$B$12,D620+G620),IF(B620="Deferred",MIN(Assumptions!$B$12,D620),D620))</f>
        <v>31.1</v>
      </c>
      <c r="J620" s="17">
        <f>IF(B620="Active",H620*I620*Assumptions!$B$11,IF(B620="Deferred",E620*I620*Assumptions!$B$11*(1+Assumptions!$B$9)^G620,F620))</f>
        <v>1069370.3647384157</v>
      </c>
      <c r="K620" s="11">
        <f>IF(B620="Pensioner",1,VLOOKUP(Assumptions!$B$10,Mortality!$A$2:$F$104,6,FALSE)/VLOOKUP(C620,Mortality!$A$2:$F$104,6,FALSE))</f>
        <v>0.97507997078383857</v>
      </c>
      <c r="L620" s="11">
        <f>VLOOKUP(IF(B620="Pensioner",C620,Assumptions!$B$10),Mortality!$A$2:$E$104,5,FALSE)</f>
        <v>17.296790022132885</v>
      </c>
      <c r="M620" s="11">
        <f>1+Assumptions!$B$13*Assumptions!$B$14*Assumptions!$B$15</f>
        <v>1.3187500000000001</v>
      </c>
      <c r="N620" s="11">
        <f>IF(B620="Pensioner",1,1/(1+Assumptions!$B$6)^G620)</f>
        <v>0.32188968512839738</v>
      </c>
      <c r="O620" s="17">
        <f t="shared" si="9"/>
        <v>7656026.4644827498</v>
      </c>
    </row>
    <row r="621" spans="1:15">
      <c r="A621" s="13" t="str">
        <f>Members!A621</f>
        <v>A0379</v>
      </c>
      <c r="B621" s="13" t="str">
        <f>Members!B621</f>
        <v>Active</v>
      </c>
      <c r="C621" s="13">
        <f>Members!C621</f>
        <v>44</v>
      </c>
      <c r="D621" s="14">
        <f>Members!D621</f>
        <v>3.9</v>
      </c>
      <c r="E621" s="16">
        <f>Members!E621</f>
        <v>1365000</v>
      </c>
      <c r="F621" s="16">
        <f>Members!F621</f>
        <v>0</v>
      </c>
      <c r="G621" s="15">
        <f>MAX(0,Assumptions!$B$10-C621)</f>
        <v>16</v>
      </c>
      <c r="H621" s="17">
        <f>IF(B621="Active",E621*(1+Assumptions!$B$7)^G621,E621)</f>
        <v>3214933.5845595654</v>
      </c>
      <c r="I621" s="17">
        <f>IF(B621="Active",MIN(Assumptions!$B$12,D621+G621),IF(B621="Deferred",MIN(Assumptions!$B$12,D621),D621))</f>
        <v>19.899999999999999</v>
      </c>
      <c r="J621" s="17">
        <f>IF(B621="Active",H621*I621*Assumptions!$B$11,IF(B621="Deferred",E621*I621*Assumptions!$B$11*(1+Assumptions!$B$9)^G621,F621))</f>
        <v>1066286.305545589</v>
      </c>
      <c r="K621" s="11">
        <f>IF(B621="Pensioner",1,VLOOKUP(Assumptions!$B$10,Mortality!$A$2:$F$104,6,FALSE)/VLOOKUP(C621,Mortality!$A$2:$F$104,6,FALSE))</f>
        <v>0.97626822121787327</v>
      </c>
      <c r="L621" s="11">
        <f>VLOOKUP(IF(B621="Pensioner",C621,Assumptions!$B$10),Mortality!$A$2:$E$104,5,FALSE)</f>
        <v>17.296790022132885</v>
      </c>
      <c r="M621" s="11">
        <f>1+Assumptions!$B$13*Assumptions!$B$14*Assumptions!$B$15</f>
        <v>1.3187500000000001</v>
      </c>
      <c r="N621" s="11">
        <f>IF(B621="Pensioner",1,1/(1+Assumptions!$B$6)^G621)</f>
        <v>0.36509532811475648</v>
      </c>
      <c r="O621" s="17">
        <f t="shared" si="9"/>
        <v>8669164.5365685802</v>
      </c>
    </row>
    <row r="622" spans="1:15">
      <c r="A622" s="13" t="str">
        <f>Members!A622</f>
        <v>A0272</v>
      </c>
      <c r="B622" s="13" t="str">
        <f>Members!B622</f>
        <v>Active</v>
      </c>
      <c r="C622" s="13">
        <f>Members!C622</f>
        <v>22</v>
      </c>
      <c r="D622" s="14">
        <f>Members!D622</f>
        <v>1</v>
      </c>
      <c r="E622" s="16">
        <f>Members!E622</f>
        <v>445000</v>
      </c>
      <c r="F622" s="16">
        <f>Members!F622</f>
        <v>0</v>
      </c>
      <c r="G622" s="15">
        <f>MAX(0,Assumptions!$B$10-C622)</f>
        <v>38</v>
      </c>
      <c r="H622" s="17">
        <f>IF(B622="Active",E622*(1+Assumptions!$B$7)^G622,E622)</f>
        <v>3403717.2609954323</v>
      </c>
      <c r="I622" s="17">
        <f>IF(B622="Active",MIN(Assumptions!$B$12,D622+G622),IF(B622="Deferred",MIN(Assumptions!$B$12,D622),D622))</f>
        <v>39</v>
      </c>
      <c r="J622" s="17">
        <f>IF(B622="Active",H622*I622*Assumptions!$B$11,IF(B622="Deferred",E622*I622*Assumptions!$B$11*(1+Assumptions!$B$9)^G622,F622))</f>
        <v>2212416.2196470308</v>
      </c>
      <c r="K622" s="11">
        <f>IF(B622="Pensioner",1,VLOOKUP(Assumptions!$B$10,Mortality!$A$2:$F$104,6,FALSE)/VLOOKUP(C622,Mortality!$A$2:$F$104,6,FALSE))</f>
        <v>0.9682119922904866</v>
      </c>
      <c r="L622" s="11">
        <f>VLOOKUP(IF(B622="Pensioner",C622,Assumptions!$B$10),Mortality!$A$2:$E$104,5,FALSE)</f>
        <v>17.296790022132885</v>
      </c>
      <c r="M622" s="11">
        <f>1+Assumptions!$B$13*Assumptions!$B$14*Assumptions!$B$15</f>
        <v>1.3187500000000001</v>
      </c>
      <c r="N622" s="11">
        <f>IF(B622="Pensioner",1,1/(1+Assumptions!$B$6)^G622)</f>
        <v>9.1351336279890546E-2</v>
      </c>
      <c r="O622" s="17">
        <f t="shared" si="9"/>
        <v>4463547.7145364527</v>
      </c>
    </row>
    <row r="623" spans="1:15">
      <c r="A623" s="13" t="str">
        <f>Members!A623</f>
        <v>A0146</v>
      </c>
      <c r="B623" s="13" t="str">
        <f>Members!B623</f>
        <v>Active</v>
      </c>
      <c r="C623" s="13">
        <f>Members!C623</f>
        <v>30</v>
      </c>
      <c r="D623" s="14">
        <f>Members!D623</f>
        <v>4.8</v>
      </c>
      <c r="E623" s="16">
        <f>Members!E623</f>
        <v>682000</v>
      </c>
      <c r="F623" s="16">
        <f>Members!F623</f>
        <v>0</v>
      </c>
      <c r="G623" s="15">
        <f>MAX(0,Assumptions!$B$10-C623)</f>
        <v>30</v>
      </c>
      <c r="H623" s="17">
        <f>IF(B623="Active",E623*(1+Assumptions!$B$7)^G623,E623)</f>
        <v>3399054.778685431</v>
      </c>
      <c r="I623" s="17">
        <f>IF(B623="Active",MIN(Assumptions!$B$12,D623+G623),IF(B623="Deferred",MIN(Assumptions!$B$12,D623),D623))</f>
        <v>34.799999999999997</v>
      </c>
      <c r="J623" s="17">
        <f>IF(B623="Active",H623*I623*Assumptions!$B$11,IF(B623="Deferred",E623*I623*Assumptions!$B$11*(1+Assumptions!$B$9)^G623,F623))</f>
        <v>1971451.7716375496</v>
      </c>
      <c r="K623" s="11">
        <f>IF(B623="Pensioner",1,VLOOKUP(Assumptions!$B$10,Mortality!$A$2:$F$104,6,FALSE)/VLOOKUP(C623,Mortality!$A$2:$F$104,6,FALSE))</f>
        <v>0.97034568803187526</v>
      </c>
      <c r="L623" s="11">
        <f>VLOOKUP(IF(B623="Pensioner",C623,Assumptions!$B$10),Mortality!$A$2:$E$104,5,FALSE)</f>
        <v>17.296790022132885</v>
      </c>
      <c r="M623" s="11">
        <f>1+Assumptions!$B$13*Assumptions!$B$14*Assumptions!$B$15</f>
        <v>1.3187500000000001</v>
      </c>
      <c r="N623" s="11">
        <f>IF(B623="Pensioner",1,1/(1+Assumptions!$B$6)^G623)</f>
        <v>0.15118606610981289</v>
      </c>
      <c r="O623" s="17">
        <f t="shared" si="9"/>
        <v>6597089.7151653953</v>
      </c>
    </row>
    <row r="624" spans="1:15">
      <c r="A624" s="13" t="str">
        <f>Members!A624</f>
        <v>D0024</v>
      </c>
      <c r="B624" s="13" t="str">
        <f>Members!B624</f>
        <v>Deferred</v>
      </c>
      <c r="C624" s="13">
        <f>Members!C624</f>
        <v>30</v>
      </c>
      <c r="D624" s="14">
        <f>Members!D624</f>
        <v>2.6</v>
      </c>
      <c r="E624" s="16">
        <f>Members!E624</f>
        <v>333000</v>
      </c>
      <c r="F624" s="16">
        <f>Members!F624</f>
        <v>0</v>
      </c>
      <c r="G624" s="15">
        <f>MAX(0,Assumptions!$B$10-C624)</f>
        <v>30</v>
      </c>
      <c r="H624" s="17">
        <f>IF(B624="Active",E624*(1+Assumptions!$B$7)^G624,E624)</f>
        <v>333000</v>
      </c>
      <c r="I624" s="17">
        <f>IF(B624="Active",MIN(Assumptions!$B$12,D624+G624),IF(B624="Deferred",MIN(Assumptions!$B$12,D624),D624))</f>
        <v>2.6</v>
      </c>
      <c r="J624" s="17">
        <f>IF(B624="Active",H624*I624*Assumptions!$B$11,IF(B624="Deferred",E624*I624*Assumptions!$B$11*(1+Assumptions!$B$9)^G624,F624))</f>
        <v>46802.226069697434</v>
      </c>
      <c r="K624" s="11">
        <f>IF(B624="Pensioner",1,VLOOKUP(Assumptions!$B$10,Mortality!$A$2:$F$104,6,FALSE)/VLOOKUP(C624,Mortality!$A$2:$F$104,6,FALSE))</f>
        <v>0.97034568803187526</v>
      </c>
      <c r="L624" s="11">
        <f>VLOOKUP(IF(B624="Pensioner",C624,Assumptions!$B$10),Mortality!$A$2:$E$104,5,FALSE)</f>
        <v>17.296790022132885</v>
      </c>
      <c r="M624" s="11">
        <f>1+Assumptions!$B$13*Assumptions!$B$14*Assumptions!$B$15</f>
        <v>1.3187500000000001</v>
      </c>
      <c r="N624" s="11">
        <f>IF(B624="Pensioner",1,1/(1+Assumptions!$B$6)^G624)</f>
        <v>0.15118606610981289</v>
      </c>
      <c r="O624" s="17">
        <f t="shared" si="9"/>
        <v>156614.77936880098</v>
      </c>
    </row>
    <row r="625" spans="1:15">
      <c r="A625" s="13" t="str">
        <f>Members!A625</f>
        <v>P0069</v>
      </c>
      <c r="B625" s="13" t="str">
        <f>Members!B625</f>
        <v>Pensioner</v>
      </c>
      <c r="C625" s="13">
        <f>Members!C625</f>
        <v>61</v>
      </c>
      <c r="D625" s="14">
        <f>Members!D625</f>
        <v>20.5</v>
      </c>
      <c r="E625" s="16">
        <f>Members!E625</f>
        <v>0</v>
      </c>
      <c r="F625" s="16">
        <f>Members!F625</f>
        <v>240000</v>
      </c>
      <c r="G625" s="15">
        <f>MAX(0,Assumptions!$B$10-C625)</f>
        <v>0</v>
      </c>
      <c r="H625" s="17">
        <f>IF(B625="Active",E625*(1+Assumptions!$B$7)^G625,E625)</f>
        <v>0</v>
      </c>
      <c r="I625" s="17">
        <f>IF(B625="Active",MIN(Assumptions!$B$12,D625+G625),IF(B625="Deferred",MIN(Assumptions!$B$12,D625),D625))</f>
        <v>20.5</v>
      </c>
      <c r="J625" s="17">
        <f>IF(B625="Active",H625*I625*Assumptions!$B$11,IF(B625="Deferred",E625*I625*Assumptions!$B$11*(1+Assumptions!$B$9)^G625,F625))</f>
        <v>240000</v>
      </c>
      <c r="K625" s="11">
        <f>IF(B625="Pensioner",1,VLOOKUP(Assumptions!$B$10,Mortality!$A$2:$F$104,6,FALSE)/VLOOKUP(C625,Mortality!$A$2:$F$104,6,FALSE))</f>
        <v>1</v>
      </c>
      <c r="L625" s="11">
        <f>VLOOKUP(IF(B625="Pensioner",C625,Assumptions!$B$10),Mortality!$A$2:$E$104,5,FALSE)</f>
        <v>16.889485221588366</v>
      </c>
      <c r="M625" s="11">
        <f>1+Assumptions!$B$13*Assumptions!$B$14*Assumptions!$B$15</f>
        <v>1.3187500000000001</v>
      </c>
      <c r="N625" s="11">
        <f>IF(B625="Pensioner",1,1/(1+Assumptions!$B$6)^G625)</f>
        <v>1</v>
      </c>
      <c r="O625" s="17">
        <f t="shared" si="9"/>
        <v>5345522.0726327179</v>
      </c>
    </row>
    <row r="626" spans="1:15">
      <c r="A626" s="13" t="str">
        <f>Members!A626</f>
        <v>A0142</v>
      </c>
      <c r="B626" s="13" t="str">
        <f>Members!B626</f>
        <v>Active</v>
      </c>
      <c r="C626" s="13">
        <f>Members!C626</f>
        <v>39</v>
      </c>
      <c r="D626" s="14">
        <f>Members!D626</f>
        <v>14.9</v>
      </c>
      <c r="E626" s="16">
        <f>Members!E626</f>
        <v>857000</v>
      </c>
      <c r="F626" s="16">
        <f>Members!F626</f>
        <v>0</v>
      </c>
      <c r="G626" s="15">
        <f>MAX(0,Assumptions!$B$10-C626)</f>
        <v>21</v>
      </c>
      <c r="H626" s="17">
        <f>IF(B626="Active",E626*(1+Assumptions!$B$7)^G626,E626)</f>
        <v>2638046.6687673279</v>
      </c>
      <c r="I626" s="17">
        <f>IF(B626="Active",MIN(Assumptions!$B$12,D626+G626),IF(B626="Deferred",MIN(Assumptions!$B$12,D626),D626))</f>
        <v>35.9</v>
      </c>
      <c r="J626" s="17">
        <f>IF(B626="Active",H626*I626*Assumptions!$B$11,IF(B626="Deferred",E626*I626*Assumptions!$B$11*(1+Assumptions!$B$9)^G626,F626))</f>
        <v>1578431.2568124509</v>
      </c>
      <c r="K626" s="11">
        <f>IF(B626="Pensioner",1,VLOOKUP(Assumptions!$B$10,Mortality!$A$2:$F$104,6,FALSE)/VLOOKUP(C626,Mortality!$A$2:$F$104,6,FALSE))</f>
        <v>0.97358574177887802</v>
      </c>
      <c r="L626" s="11">
        <f>VLOOKUP(IF(B626="Pensioner",C626,Assumptions!$B$10),Mortality!$A$2:$E$104,5,FALSE)</f>
        <v>17.296790022132885</v>
      </c>
      <c r="M626" s="11">
        <f>1+Assumptions!$B$13*Assumptions!$B$14*Assumptions!$B$15</f>
        <v>1.3187500000000001</v>
      </c>
      <c r="N626" s="11">
        <f>IF(B626="Pensioner",1,1/(1+Assumptions!$B$6)^G626)</f>
        <v>0.26647608349429097</v>
      </c>
      <c r="O626" s="17">
        <f t="shared" si="9"/>
        <v>9340843.591044249</v>
      </c>
    </row>
    <row r="627" spans="1:15">
      <c r="A627" s="13" t="str">
        <f>Members!A627</f>
        <v>A0468</v>
      </c>
      <c r="B627" s="13" t="str">
        <f>Members!B627</f>
        <v>Active</v>
      </c>
      <c r="C627" s="13">
        <f>Members!C627</f>
        <v>24</v>
      </c>
      <c r="D627" s="14">
        <f>Members!D627</f>
        <v>1</v>
      </c>
      <c r="E627" s="16">
        <f>Members!E627</f>
        <v>488000</v>
      </c>
      <c r="F627" s="16">
        <f>Members!F627</f>
        <v>0</v>
      </c>
      <c r="G627" s="15">
        <f>MAX(0,Assumptions!$B$10-C627)</f>
        <v>36</v>
      </c>
      <c r="H627" s="17">
        <f>IF(B627="Active",E627*(1+Assumptions!$B$7)^G627,E627)</f>
        <v>3353577.66702853</v>
      </c>
      <c r="I627" s="17">
        <f>IF(B627="Active",MIN(Assumptions!$B$12,D627+G627),IF(B627="Deferred",MIN(Assumptions!$B$12,D627),D627))</f>
        <v>37</v>
      </c>
      <c r="J627" s="17">
        <f>IF(B627="Active",H627*I627*Assumptions!$B$11,IF(B627="Deferred",E627*I627*Assumptions!$B$11*(1+Assumptions!$B$9)^G627,F627))</f>
        <v>2068039.5613342603</v>
      </c>
      <c r="K627" s="11">
        <f>IF(B627="Pensioner",1,VLOOKUP(Assumptions!$B$10,Mortality!$A$2:$F$104,6,FALSE)/VLOOKUP(C627,Mortality!$A$2:$F$104,6,FALSE))</f>
        <v>0.96871086700607645</v>
      </c>
      <c r="L627" s="11">
        <f>VLOOKUP(IF(B627="Pensioner",C627,Assumptions!$B$10),Mortality!$A$2:$E$104,5,FALSE)</f>
        <v>17.296790022132885</v>
      </c>
      <c r="M627" s="11">
        <f>1+Assumptions!$B$13*Assumptions!$B$14*Assumptions!$B$15</f>
        <v>1.3187500000000001</v>
      </c>
      <c r="N627" s="11">
        <f>IF(B627="Pensioner",1,1/(1+Assumptions!$B$6)^G627)</f>
        <v>0.10361296939205883</v>
      </c>
      <c r="O627" s="17">
        <f t="shared" si="9"/>
        <v>4734728.9311466087</v>
      </c>
    </row>
    <row r="628" spans="1:15">
      <c r="A628" s="13" t="str">
        <f>Members!A628</f>
        <v>A0422</v>
      </c>
      <c r="B628" s="13" t="str">
        <f>Members!B628</f>
        <v>Active</v>
      </c>
      <c r="C628" s="13">
        <f>Members!C628</f>
        <v>48</v>
      </c>
      <c r="D628" s="14">
        <f>Members!D628</f>
        <v>9.1999999999999993</v>
      </c>
      <c r="E628" s="16">
        <f>Members!E628</f>
        <v>1402000</v>
      </c>
      <c r="F628" s="16">
        <f>Members!F628</f>
        <v>0</v>
      </c>
      <c r="G628" s="15">
        <f>MAX(0,Assumptions!$B$10-C628)</f>
        <v>12</v>
      </c>
      <c r="H628" s="17">
        <f>IF(B628="Active",E628*(1+Assumptions!$B$7)^G628,E628)</f>
        <v>2665492.8950341288</v>
      </c>
      <c r="I628" s="17">
        <f>IF(B628="Active",MIN(Assumptions!$B$12,D628+G628),IF(B628="Deferred",MIN(Assumptions!$B$12,D628),D628))</f>
        <v>21.2</v>
      </c>
      <c r="J628" s="17">
        <f>IF(B628="Active",H628*I628*Assumptions!$B$11,IF(B628="Deferred",E628*I628*Assumptions!$B$11*(1+Assumptions!$B$9)^G628,F628))</f>
        <v>941807.48957872554</v>
      </c>
      <c r="K628" s="11">
        <f>IF(B628="Pensioner",1,VLOOKUP(Assumptions!$B$10,Mortality!$A$2:$F$104,6,FALSE)/VLOOKUP(C628,Mortality!$A$2:$F$104,6,FALSE))</f>
        <v>0.97930374297365907</v>
      </c>
      <c r="L628" s="11">
        <f>VLOOKUP(IF(B628="Pensioner",C628,Assumptions!$B$10),Mortality!$A$2:$E$104,5,FALSE)</f>
        <v>17.296790022132885</v>
      </c>
      <c r="M628" s="11">
        <f>1+Assumptions!$B$13*Assumptions!$B$14*Assumptions!$B$15</f>
        <v>1.3187500000000001</v>
      </c>
      <c r="N628" s="11">
        <f>IF(B628="Pensioner",1,1/(1+Assumptions!$B$6)^G628)</f>
        <v>0.4696828543900276</v>
      </c>
      <c r="O628" s="17">
        <f t="shared" si="9"/>
        <v>9881258.1796706691</v>
      </c>
    </row>
    <row r="629" spans="1:15">
      <c r="A629" s="13" t="str">
        <f>Members!A629</f>
        <v>A0613</v>
      </c>
      <c r="B629" s="13" t="str">
        <f>Members!B629</f>
        <v>Active</v>
      </c>
      <c r="C629" s="13">
        <f>Members!C629</f>
        <v>58</v>
      </c>
      <c r="D629" s="14">
        <f>Members!D629</f>
        <v>24.7</v>
      </c>
      <c r="E629" s="16">
        <f>Members!E629</f>
        <v>1439000</v>
      </c>
      <c r="F629" s="16">
        <f>Members!F629</f>
        <v>0</v>
      </c>
      <c r="G629" s="15">
        <f>MAX(0,Assumptions!$B$10-C629)</f>
        <v>2</v>
      </c>
      <c r="H629" s="17">
        <f>IF(B629="Active",E629*(1+Assumptions!$B$7)^G629,E629)</f>
        <v>1601642.9749999999</v>
      </c>
      <c r="I629" s="17">
        <f>IF(B629="Active",MIN(Assumptions!$B$12,D629+G629),IF(B629="Deferred",MIN(Assumptions!$B$12,D629),D629))</f>
        <v>26.7</v>
      </c>
      <c r="J629" s="17">
        <f>IF(B629="Active",H629*I629*Assumptions!$B$11,IF(B629="Deferred",E629*I629*Assumptions!$B$11*(1+Assumptions!$B$9)^G629,F629))</f>
        <v>712731.12387499993</v>
      </c>
      <c r="K629" s="11">
        <f>IF(B629="Pensioner",1,VLOOKUP(Assumptions!$B$10,Mortality!$A$2:$F$104,6,FALSE)/VLOOKUP(C629,Mortality!$A$2:$F$104,6,FALSE))</f>
        <v>0.99452130442038367</v>
      </c>
      <c r="L629" s="11">
        <f>VLOOKUP(IF(B629="Pensioner",C629,Assumptions!$B$10),Mortality!$A$2:$E$104,5,FALSE)</f>
        <v>17.296790022132885</v>
      </c>
      <c r="M629" s="11">
        <f>1+Assumptions!$B$13*Assumptions!$B$14*Assumptions!$B$15</f>
        <v>1.3187500000000001</v>
      </c>
      <c r="N629" s="11">
        <f>IF(B629="Pensioner",1,1/(1+Assumptions!$B$6)^G629)</f>
        <v>0.88165928277017358</v>
      </c>
      <c r="O629" s="17">
        <f t="shared" si="9"/>
        <v>14255044.764467845</v>
      </c>
    </row>
    <row r="630" spans="1:15">
      <c r="A630" s="13" t="str">
        <f>Members!A630</f>
        <v>A0540</v>
      </c>
      <c r="B630" s="13" t="str">
        <f>Members!B630</f>
        <v>Active</v>
      </c>
      <c r="C630" s="13">
        <f>Members!C630</f>
        <v>27</v>
      </c>
      <c r="D630" s="14">
        <f>Members!D630</f>
        <v>2.7</v>
      </c>
      <c r="E630" s="16">
        <f>Members!E630</f>
        <v>391000</v>
      </c>
      <c r="F630" s="16">
        <f>Members!F630</f>
        <v>0</v>
      </c>
      <c r="G630" s="15">
        <f>MAX(0,Assumptions!$B$10-C630)</f>
        <v>33</v>
      </c>
      <c r="H630" s="17">
        <f>IF(B630="Active",E630*(1+Assumptions!$B$7)^G630,E630)</f>
        <v>2288273.4692028523</v>
      </c>
      <c r="I630" s="17">
        <f>IF(B630="Active",MIN(Assumptions!$B$12,D630+G630),IF(B630="Deferred",MIN(Assumptions!$B$12,D630),D630))</f>
        <v>35.700000000000003</v>
      </c>
      <c r="J630" s="17">
        <f>IF(B630="Active",H630*I630*Assumptions!$B$11,IF(B630="Deferred",E630*I630*Assumptions!$B$11*(1+Assumptions!$B$9)^G630,F630))</f>
        <v>1361522.7141756972</v>
      </c>
      <c r="K630" s="11">
        <f>IF(B630="Pensioner",1,VLOOKUP(Assumptions!$B$10,Mortality!$A$2:$F$104,6,FALSE)/VLOOKUP(C630,Mortality!$A$2:$F$104,6,FALSE))</f>
        <v>0.96949713302845153</v>
      </c>
      <c r="L630" s="11">
        <f>VLOOKUP(IF(B630="Pensioner",C630,Assumptions!$B$10),Mortality!$A$2:$E$104,5,FALSE)</f>
        <v>17.296790022132885</v>
      </c>
      <c r="M630" s="11">
        <f>1+Assumptions!$B$13*Assumptions!$B$14*Assumptions!$B$15</f>
        <v>1.3187500000000001</v>
      </c>
      <c r="N630" s="11">
        <f>IF(B630="Pensioner",1,1/(1+Assumptions!$B$6)^G630)</f>
        <v>0.12515924752227392</v>
      </c>
      <c r="O630" s="17">
        <f t="shared" si="9"/>
        <v>3768446.4604410962</v>
      </c>
    </row>
    <row r="631" spans="1:15">
      <c r="A631" s="13" t="str">
        <f>Members!A631</f>
        <v>A0198</v>
      </c>
      <c r="B631" s="13" t="str">
        <f>Members!B631</f>
        <v>Active</v>
      </c>
      <c r="C631" s="13">
        <f>Members!C631</f>
        <v>33</v>
      </c>
      <c r="D631" s="14">
        <f>Members!D631</f>
        <v>2.6</v>
      </c>
      <c r="E631" s="16">
        <f>Members!E631</f>
        <v>681000</v>
      </c>
      <c r="F631" s="16">
        <f>Members!F631</f>
        <v>0</v>
      </c>
      <c r="G631" s="15">
        <f>MAX(0,Assumptions!$B$10-C631)</f>
        <v>27</v>
      </c>
      <c r="H631" s="17">
        <f>IF(B631="Active",E631*(1+Assumptions!$B$7)^G631,E631)</f>
        <v>2890437.0938190087</v>
      </c>
      <c r="I631" s="17">
        <f>IF(B631="Active",MIN(Assumptions!$B$12,D631+G631),IF(B631="Deferred",MIN(Assumptions!$B$12,D631),D631))</f>
        <v>29.6</v>
      </c>
      <c r="J631" s="17">
        <f>IF(B631="Active",H631*I631*Assumptions!$B$11,IF(B631="Deferred",E631*I631*Assumptions!$B$11*(1+Assumptions!$B$9)^G631,F631))</f>
        <v>1425948.9662840443</v>
      </c>
      <c r="K631" s="11">
        <f>IF(B631="Pensioner",1,VLOOKUP(Assumptions!$B$10,Mortality!$A$2:$F$104,6,FALSE)/VLOOKUP(C631,Mortality!$A$2:$F$104,6,FALSE))</f>
        <v>0.9712826176321353</v>
      </c>
      <c r="L631" s="11">
        <f>VLOOKUP(IF(B631="Pensioner",C631,Assumptions!$B$10),Mortality!$A$2:$E$104,5,FALSE)</f>
        <v>17.296790022132885</v>
      </c>
      <c r="M631" s="11">
        <f>1+Assumptions!$B$13*Assumptions!$B$14*Assumptions!$B$15</f>
        <v>1.3187500000000001</v>
      </c>
      <c r="N631" s="11">
        <f>IF(B631="Pensioner",1,1/(1+Assumptions!$B$6)^G631)</f>
        <v>0.18262515186257369</v>
      </c>
      <c r="O631" s="17">
        <f t="shared" si="9"/>
        <v>5769499.9670083905</v>
      </c>
    </row>
    <row r="632" spans="1:15">
      <c r="A632" s="13" t="str">
        <f>Members!A632</f>
        <v>A0450</v>
      </c>
      <c r="B632" s="13" t="str">
        <f>Members!B632</f>
        <v>Active</v>
      </c>
      <c r="C632" s="13">
        <f>Members!C632</f>
        <v>22</v>
      </c>
      <c r="D632" s="14">
        <f>Members!D632</f>
        <v>1.4</v>
      </c>
      <c r="E632" s="16">
        <f>Members!E632</f>
        <v>562000</v>
      </c>
      <c r="F632" s="16">
        <f>Members!F632</f>
        <v>0</v>
      </c>
      <c r="G632" s="15">
        <f>MAX(0,Assumptions!$B$10-C632)</f>
        <v>38</v>
      </c>
      <c r="H632" s="17">
        <f>IF(B632="Active",E632*(1+Assumptions!$B$7)^G632,E632)</f>
        <v>4298627.1925380519</v>
      </c>
      <c r="I632" s="17">
        <f>IF(B632="Active",MIN(Assumptions!$B$12,D632+G632),IF(B632="Deferred",MIN(Assumptions!$B$12,D632),D632))</f>
        <v>39.4</v>
      </c>
      <c r="J632" s="17">
        <f>IF(B632="Active",H632*I632*Assumptions!$B$11,IF(B632="Deferred",E632*I632*Assumptions!$B$11*(1+Assumptions!$B$9)^G632,F632))</f>
        <v>2822765.1897666538</v>
      </c>
      <c r="K632" s="11">
        <f>IF(B632="Pensioner",1,VLOOKUP(Assumptions!$B$10,Mortality!$A$2:$F$104,6,FALSE)/VLOOKUP(C632,Mortality!$A$2:$F$104,6,FALSE))</f>
        <v>0.9682119922904866</v>
      </c>
      <c r="L632" s="11">
        <f>VLOOKUP(IF(B632="Pensioner",C632,Assumptions!$B$10),Mortality!$A$2:$E$104,5,FALSE)</f>
        <v>17.296790022132885</v>
      </c>
      <c r="M632" s="11">
        <f>1+Assumptions!$B$13*Assumptions!$B$14*Assumptions!$B$15</f>
        <v>1.3187500000000001</v>
      </c>
      <c r="N632" s="11">
        <f>IF(B632="Pensioner",1,1/(1+Assumptions!$B$6)^G632)</f>
        <v>9.1351336279890546E-2</v>
      </c>
      <c r="O632" s="17">
        <f t="shared" si="9"/>
        <v>5694926.2076311018</v>
      </c>
    </row>
    <row r="633" spans="1:15">
      <c r="A633" s="13" t="str">
        <f>Members!A633</f>
        <v>P0171</v>
      </c>
      <c r="B633" s="13" t="str">
        <f>Members!B633</f>
        <v>Pensioner</v>
      </c>
      <c r="C633" s="13">
        <f>Members!C633</f>
        <v>87</v>
      </c>
      <c r="D633" s="14">
        <f>Members!D633</f>
        <v>26.2</v>
      </c>
      <c r="E633" s="16">
        <f>Members!E633</f>
        <v>0</v>
      </c>
      <c r="F633" s="16">
        <f>Members!F633</f>
        <v>423000</v>
      </c>
      <c r="G633" s="15">
        <f>MAX(0,Assumptions!$B$10-C633)</f>
        <v>0</v>
      </c>
      <c r="H633" s="17">
        <f>IF(B633="Active",E633*(1+Assumptions!$B$7)^G633,E633)</f>
        <v>0</v>
      </c>
      <c r="I633" s="17">
        <f>IF(B633="Active",MIN(Assumptions!$B$12,D633+G633),IF(B633="Deferred",MIN(Assumptions!$B$12,D633),D633))</f>
        <v>26.2</v>
      </c>
      <c r="J633" s="17">
        <f>IF(B633="Active",H633*I633*Assumptions!$B$11,IF(B633="Deferred",E633*I633*Assumptions!$B$11*(1+Assumptions!$B$9)^G633,F633))</f>
        <v>423000</v>
      </c>
      <c r="K633" s="11">
        <f>IF(B633="Pensioner",1,VLOOKUP(Assumptions!$B$10,Mortality!$A$2:$F$104,6,FALSE)/VLOOKUP(C633,Mortality!$A$2:$F$104,6,FALSE))</f>
        <v>1</v>
      </c>
      <c r="L633" s="11">
        <f>VLOOKUP(IF(B633="Pensioner",C633,Assumptions!$B$10),Mortality!$A$2:$E$104,5,FALSE)</f>
        <v>5.427731360162463</v>
      </c>
      <c r="M633" s="11">
        <f>1+Assumptions!$B$13*Assumptions!$B$14*Assumptions!$B$15</f>
        <v>1.3187500000000001</v>
      </c>
      <c r="N633" s="11">
        <f>IF(B633="Pensioner",1,1/(1+Assumptions!$B$6)^G633)</f>
        <v>1</v>
      </c>
      <c r="O633" s="17">
        <f t="shared" si="9"/>
        <v>3027758.1693036272</v>
      </c>
    </row>
    <row r="634" spans="1:15">
      <c r="A634" s="13" t="str">
        <f>Members!A634</f>
        <v>A0446</v>
      </c>
      <c r="B634" s="13" t="str">
        <f>Members!B634</f>
        <v>Active</v>
      </c>
      <c r="C634" s="13">
        <f>Members!C634</f>
        <v>40</v>
      </c>
      <c r="D634" s="14">
        <f>Members!D634</f>
        <v>18.5</v>
      </c>
      <c r="E634" s="16">
        <f>Members!E634</f>
        <v>678000</v>
      </c>
      <c r="F634" s="16">
        <f>Members!F634</f>
        <v>0</v>
      </c>
      <c r="G634" s="15">
        <f>MAX(0,Assumptions!$B$10-C634)</f>
        <v>20</v>
      </c>
      <c r="H634" s="17">
        <f>IF(B634="Active",E634*(1+Assumptions!$B$7)^G634,E634)</f>
        <v>1978239.5786295726</v>
      </c>
      <c r="I634" s="17">
        <f>IF(B634="Active",MIN(Assumptions!$B$12,D634+G634),IF(B634="Deferred",MIN(Assumptions!$B$12,D634),D634))</f>
        <v>38.5</v>
      </c>
      <c r="J634" s="17">
        <f>IF(B634="Active",H634*I634*Assumptions!$B$11,IF(B634="Deferred",E634*I634*Assumptions!$B$11*(1+Assumptions!$B$9)^G634,F634))</f>
        <v>1269370.396287309</v>
      </c>
      <c r="K634" s="11">
        <f>IF(B634="Pensioner",1,VLOOKUP(Assumptions!$B$10,Mortality!$A$2:$F$104,6,FALSE)/VLOOKUP(C634,Mortality!$A$2:$F$104,6,FALSE))</f>
        <v>0.97405112431987673</v>
      </c>
      <c r="L634" s="11">
        <f>VLOOKUP(IF(B634="Pensioner",C634,Assumptions!$B$10),Mortality!$A$2:$E$104,5,FALSE)</f>
        <v>17.296790022132885</v>
      </c>
      <c r="M634" s="11">
        <f>1+Assumptions!$B$13*Assumptions!$B$14*Assumptions!$B$15</f>
        <v>1.3187500000000001</v>
      </c>
      <c r="N634" s="11">
        <f>IF(B634="Pensioner",1,1/(1+Assumptions!$B$6)^G634)</f>
        <v>0.28379702892141989</v>
      </c>
      <c r="O634" s="17">
        <f t="shared" si="9"/>
        <v>8003979.1386830527</v>
      </c>
    </row>
    <row r="635" spans="1:15">
      <c r="A635" s="13" t="str">
        <f>Members!A635</f>
        <v>A0038</v>
      </c>
      <c r="B635" s="13" t="str">
        <f>Members!B635</f>
        <v>Active</v>
      </c>
      <c r="C635" s="13">
        <f>Members!C635</f>
        <v>39</v>
      </c>
      <c r="D635" s="14">
        <f>Members!D635</f>
        <v>8.3000000000000007</v>
      </c>
      <c r="E635" s="16">
        <f>Members!E635</f>
        <v>698000</v>
      </c>
      <c r="F635" s="16">
        <f>Members!F635</f>
        <v>0</v>
      </c>
      <c r="G635" s="15">
        <f>MAX(0,Assumptions!$B$10-C635)</f>
        <v>21</v>
      </c>
      <c r="H635" s="17">
        <f>IF(B635="Active",E635*(1+Assumptions!$B$7)^G635,E635)</f>
        <v>2148607.4385059453</v>
      </c>
      <c r="I635" s="17">
        <f>IF(B635="Active",MIN(Assumptions!$B$12,D635+G635),IF(B635="Deferred",MIN(Assumptions!$B$12,D635),D635))</f>
        <v>29.3</v>
      </c>
      <c r="J635" s="17">
        <f>IF(B635="Active",H635*I635*Assumptions!$B$11,IF(B635="Deferred",E635*I635*Assumptions!$B$11*(1+Assumptions!$B$9)^G635,F635))</f>
        <v>1049236.6324704033</v>
      </c>
      <c r="K635" s="11">
        <f>IF(B635="Pensioner",1,VLOOKUP(Assumptions!$B$10,Mortality!$A$2:$F$104,6,FALSE)/VLOOKUP(C635,Mortality!$A$2:$F$104,6,FALSE))</f>
        <v>0.97358574177887802</v>
      </c>
      <c r="L635" s="11">
        <f>VLOOKUP(IF(B635="Pensioner",C635,Assumptions!$B$10),Mortality!$A$2:$E$104,5,FALSE)</f>
        <v>17.296790022132885</v>
      </c>
      <c r="M635" s="11">
        <f>1+Assumptions!$B$13*Assumptions!$B$14*Assumptions!$B$15</f>
        <v>1.3187500000000001</v>
      </c>
      <c r="N635" s="11">
        <f>IF(B635="Pensioner",1,1/(1+Assumptions!$B$6)^G635)</f>
        <v>0.26647608349429097</v>
      </c>
      <c r="O635" s="17">
        <f t="shared" si="9"/>
        <v>6209174.6039622054</v>
      </c>
    </row>
    <row r="636" spans="1:15">
      <c r="A636" s="13" t="str">
        <f>Members!A636</f>
        <v>D0122</v>
      </c>
      <c r="B636" s="13" t="str">
        <f>Members!B636</f>
        <v>Deferred</v>
      </c>
      <c r="C636" s="13">
        <f>Members!C636</f>
        <v>40</v>
      </c>
      <c r="D636" s="14">
        <f>Members!D636</f>
        <v>13.9</v>
      </c>
      <c r="E636" s="16">
        <f>Members!E636</f>
        <v>526000</v>
      </c>
      <c r="F636" s="16">
        <f>Members!F636</f>
        <v>0</v>
      </c>
      <c r="G636" s="15">
        <f>MAX(0,Assumptions!$B$10-C636)</f>
        <v>20</v>
      </c>
      <c r="H636" s="17">
        <f>IF(B636="Active",E636*(1+Assumptions!$B$7)^G636,E636)</f>
        <v>526000</v>
      </c>
      <c r="I636" s="17">
        <f>IF(B636="Active",MIN(Assumptions!$B$12,D636+G636),IF(B636="Deferred",MIN(Assumptions!$B$12,D636),D636))</f>
        <v>13.9</v>
      </c>
      <c r="J636" s="17">
        <f>IF(B636="Active",H636*I636*Assumptions!$B$11,IF(B636="Deferred",E636*I636*Assumptions!$B$11*(1+Assumptions!$B$9)^G636,F636))</f>
        <v>267002.96246624261</v>
      </c>
      <c r="K636" s="11">
        <f>IF(B636="Pensioner",1,VLOOKUP(Assumptions!$B$10,Mortality!$A$2:$F$104,6,FALSE)/VLOOKUP(C636,Mortality!$A$2:$F$104,6,FALSE))</f>
        <v>0.97405112431987673</v>
      </c>
      <c r="L636" s="11">
        <f>VLOOKUP(IF(B636="Pensioner",C636,Assumptions!$B$10),Mortality!$A$2:$E$104,5,FALSE)</f>
        <v>17.296790022132885</v>
      </c>
      <c r="M636" s="11">
        <f>1+Assumptions!$B$13*Assumptions!$B$14*Assumptions!$B$15</f>
        <v>1.3187500000000001</v>
      </c>
      <c r="N636" s="11">
        <f>IF(B636="Pensioner",1,1/(1+Assumptions!$B$6)^G636)</f>
        <v>0.28379702892141989</v>
      </c>
      <c r="O636" s="17">
        <f t="shared" si="9"/>
        <v>1683579.6295525646</v>
      </c>
    </row>
    <row r="637" spans="1:15">
      <c r="A637" s="13" t="str">
        <f>Members!A637</f>
        <v>A0160</v>
      </c>
      <c r="B637" s="13" t="str">
        <f>Members!B637</f>
        <v>Active</v>
      </c>
      <c r="C637" s="13">
        <f>Members!C637</f>
        <v>50</v>
      </c>
      <c r="D637" s="14">
        <f>Members!D637</f>
        <v>29.3</v>
      </c>
      <c r="E637" s="16">
        <f>Members!E637</f>
        <v>1633000</v>
      </c>
      <c r="F637" s="16">
        <f>Members!F637</f>
        <v>0</v>
      </c>
      <c r="G637" s="15">
        <f>MAX(0,Assumptions!$B$10-C637)</f>
        <v>10</v>
      </c>
      <c r="H637" s="17">
        <f>IF(B637="Active",E637*(1+Assumptions!$B$7)^G637,E637)</f>
        <v>2789399.9004914174</v>
      </c>
      <c r="I637" s="17">
        <f>IF(B637="Active",MIN(Assumptions!$B$12,D637+G637),IF(B637="Deferred",MIN(Assumptions!$B$12,D637),D637))</f>
        <v>39.299999999999997</v>
      </c>
      <c r="J637" s="17">
        <f>IF(B637="Active",H637*I637*Assumptions!$B$11,IF(B637="Deferred",E637*I637*Assumptions!$B$11*(1+Assumptions!$B$9)^G637,F637))</f>
        <v>1827056.9348218783</v>
      </c>
      <c r="K637" s="11">
        <f>IF(B637="Pensioner",1,VLOOKUP(Assumptions!$B$10,Mortality!$A$2:$F$104,6,FALSE)/VLOOKUP(C637,Mortality!$A$2:$F$104,6,FALSE))</f>
        <v>0.98127299335824147</v>
      </c>
      <c r="L637" s="11">
        <f>VLOOKUP(IF(B637="Pensioner",C637,Assumptions!$B$10),Mortality!$A$2:$E$104,5,FALSE)</f>
        <v>17.296790022132885</v>
      </c>
      <c r="M637" s="11">
        <f>1+Assumptions!$B$13*Assumptions!$B$14*Assumptions!$B$15</f>
        <v>1.3187500000000001</v>
      </c>
      <c r="N637" s="11">
        <f>IF(B637="Pensioner",1,1/(1+Assumptions!$B$6)^G637)</f>
        <v>0.53272603552052888</v>
      </c>
      <c r="O637" s="17">
        <f t="shared" si="9"/>
        <v>21785816.211586196</v>
      </c>
    </row>
    <row r="638" spans="1:15">
      <c r="A638" s="13" t="str">
        <f>Members!A638</f>
        <v>A0486</v>
      </c>
      <c r="B638" s="13" t="str">
        <f>Members!B638</f>
        <v>Active</v>
      </c>
      <c r="C638" s="13">
        <f>Members!C638</f>
        <v>23</v>
      </c>
      <c r="D638" s="14">
        <f>Members!D638</f>
        <v>1.8</v>
      </c>
      <c r="E638" s="16">
        <f>Members!E638</f>
        <v>507000</v>
      </c>
      <c r="F638" s="16">
        <f>Members!F638</f>
        <v>0</v>
      </c>
      <c r="G638" s="15">
        <f>MAX(0,Assumptions!$B$10-C638)</f>
        <v>37</v>
      </c>
      <c r="H638" s="17">
        <f>IF(B638="Active",E638*(1+Assumptions!$B$7)^G638,E638)</f>
        <v>3675775.3902224489</v>
      </c>
      <c r="I638" s="17">
        <f>IF(B638="Active",MIN(Assumptions!$B$12,D638+G638),IF(B638="Deferred",MIN(Assumptions!$B$12,D638),D638))</f>
        <v>38.799999999999997</v>
      </c>
      <c r="J638" s="17">
        <f>IF(B638="Active",H638*I638*Assumptions!$B$11,IF(B638="Deferred",E638*I638*Assumptions!$B$11*(1+Assumptions!$B$9)^G638,F638))</f>
        <v>2377001.4190105163</v>
      </c>
      <c r="K638" s="11">
        <f>IF(B638="Pensioner",1,VLOOKUP(Assumptions!$B$10,Mortality!$A$2:$F$104,6,FALSE)/VLOOKUP(C638,Mortality!$A$2:$F$104,6,FALSE))</f>
        <v>0.96845927521970809</v>
      </c>
      <c r="L638" s="11">
        <f>VLOOKUP(IF(B638="Pensioner",C638,Assumptions!$B$10),Mortality!$A$2:$E$104,5,FALSE)</f>
        <v>17.296790022132885</v>
      </c>
      <c r="M638" s="11">
        <f>1+Assumptions!$B$13*Assumptions!$B$14*Assumptions!$B$15</f>
        <v>1.3187500000000001</v>
      </c>
      <c r="N638" s="11">
        <f>IF(B638="Pensioner",1,1/(1+Assumptions!$B$6)^G638)</f>
        <v>9.7289173138083412E-2</v>
      </c>
      <c r="O638" s="17">
        <f t="shared" si="9"/>
        <v>5108616.5040186038</v>
      </c>
    </row>
    <row r="639" spans="1:15">
      <c r="A639" s="13" t="str">
        <f>Members!A639</f>
        <v>A0019</v>
      </c>
      <c r="B639" s="13" t="str">
        <f>Members!B639</f>
        <v>Active</v>
      </c>
      <c r="C639" s="13">
        <f>Members!C639</f>
        <v>56</v>
      </c>
      <c r="D639" s="14">
        <f>Members!D639</f>
        <v>2.8</v>
      </c>
      <c r="E639" s="16">
        <f>Members!E639</f>
        <v>1546000</v>
      </c>
      <c r="F639" s="16">
        <f>Members!F639</f>
        <v>0</v>
      </c>
      <c r="G639" s="15">
        <f>MAX(0,Assumptions!$B$10-C639)</f>
        <v>4</v>
      </c>
      <c r="H639" s="17">
        <f>IF(B639="Active",E639*(1+Assumptions!$B$7)^G639,E639)</f>
        <v>1915222.9098662497</v>
      </c>
      <c r="I639" s="17">
        <f>IF(B639="Active",MIN(Assumptions!$B$12,D639+G639),IF(B639="Deferred",MIN(Assumptions!$B$12,D639),D639))</f>
        <v>6.8</v>
      </c>
      <c r="J639" s="17">
        <f>IF(B639="Active",H639*I639*Assumptions!$B$11,IF(B639="Deferred",E639*I639*Assumptions!$B$11*(1+Assumptions!$B$9)^G639,F639))</f>
        <v>217058.59645150829</v>
      </c>
      <c r="K639" s="11">
        <f>IF(B639="Pensioner",1,VLOOKUP(Assumptions!$B$10,Mortality!$A$2:$F$104,6,FALSE)/VLOOKUP(C639,Mortality!$A$2:$F$104,6,FALSE))</f>
        <v>0.99011625581042195</v>
      </c>
      <c r="L639" s="11">
        <f>VLOOKUP(IF(B639="Pensioner",C639,Assumptions!$B$10),Mortality!$A$2:$E$104,5,FALSE)</f>
        <v>17.296790022132885</v>
      </c>
      <c r="M639" s="11">
        <f>1+Assumptions!$B$13*Assumptions!$B$14*Assumptions!$B$15</f>
        <v>1.3187500000000001</v>
      </c>
      <c r="N639" s="11">
        <f>IF(B639="Pensioner",1,1/(1+Assumptions!$B$6)^G639)</f>
        <v>0.77732309089481699</v>
      </c>
      <c r="O639" s="17">
        <f t="shared" si="9"/>
        <v>3810594.4981713584</v>
      </c>
    </row>
    <row r="640" spans="1:15">
      <c r="A640" s="13" t="str">
        <f>Members!A640</f>
        <v>A0099</v>
      </c>
      <c r="B640" s="13" t="str">
        <f>Members!B640</f>
        <v>Active</v>
      </c>
      <c r="C640" s="13">
        <f>Members!C640</f>
        <v>47</v>
      </c>
      <c r="D640" s="14">
        <f>Members!D640</f>
        <v>12.8</v>
      </c>
      <c r="E640" s="16">
        <f>Members!E640</f>
        <v>1327000</v>
      </c>
      <c r="F640" s="16">
        <f>Members!F640</f>
        <v>0</v>
      </c>
      <c r="G640" s="15">
        <f>MAX(0,Assumptions!$B$10-C640)</f>
        <v>13</v>
      </c>
      <c r="H640" s="17">
        <f>IF(B640="Active",E640*(1+Assumptions!$B$7)^G640,E640)</f>
        <v>2661661.961950324</v>
      </c>
      <c r="I640" s="17">
        <f>IF(B640="Active",MIN(Assumptions!$B$12,D640+G640),IF(B640="Deferred",MIN(Assumptions!$B$12,D640),D640))</f>
        <v>25.8</v>
      </c>
      <c r="J640" s="17">
        <f>IF(B640="Active",H640*I640*Assumptions!$B$11,IF(B640="Deferred",E640*I640*Assumptions!$B$11*(1+Assumptions!$B$9)^G640,F640))</f>
        <v>1144514.6436386395</v>
      </c>
      <c r="K640" s="11">
        <f>IF(B640="Pensioner",1,VLOOKUP(Assumptions!$B$10,Mortality!$A$2:$F$104,6,FALSE)/VLOOKUP(C640,Mortality!$A$2:$F$104,6,FALSE))</f>
        <v>0.97844516757479894</v>
      </c>
      <c r="L640" s="11">
        <f>VLOOKUP(IF(B640="Pensioner",C640,Assumptions!$B$10),Mortality!$A$2:$E$104,5,FALSE)</f>
        <v>17.296790022132885</v>
      </c>
      <c r="M640" s="11">
        <f>1+Assumptions!$B$13*Assumptions!$B$14*Assumptions!$B$15</f>
        <v>1.3187500000000001</v>
      </c>
      <c r="N640" s="11">
        <f>IF(B640="Pensioner",1,1/(1+Assumptions!$B$6)^G640)</f>
        <v>0.44101676468547191</v>
      </c>
      <c r="O640" s="17">
        <f t="shared" si="9"/>
        <v>11265252.517630767</v>
      </c>
    </row>
    <row r="641" spans="1:15">
      <c r="A641" s="13" t="str">
        <f>Members!A641</f>
        <v>P0159</v>
      </c>
      <c r="B641" s="13" t="str">
        <f>Members!B641</f>
        <v>Pensioner</v>
      </c>
      <c r="C641" s="13">
        <f>Members!C641</f>
        <v>90</v>
      </c>
      <c r="D641" s="14">
        <f>Members!D641</f>
        <v>31.5</v>
      </c>
      <c r="E641" s="16">
        <f>Members!E641</f>
        <v>0</v>
      </c>
      <c r="F641" s="16">
        <f>Members!F641</f>
        <v>754000</v>
      </c>
      <c r="G641" s="15">
        <f>MAX(0,Assumptions!$B$10-C641)</f>
        <v>0</v>
      </c>
      <c r="H641" s="17">
        <f>IF(B641="Active",E641*(1+Assumptions!$B$7)^G641,E641)</f>
        <v>0</v>
      </c>
      <c r="I641" s="17">
        <f>IF(B641="Active",MIN(Assumptions!$B$12,D641+G641),IF(B641="Deferred",MIN(Assumptions!$B$12,D641),D641))</f>
        <v>31.5</v>
      </c>
      <c r="J641" s="17">
        <f>IF(B641="Active",H641*I641*Assumptions!$B$11,IF(B641="Deferred",E641*I641*Assumptions!$B$11*(1+Assumptions!$B$9)^G641,F641))</f>
        <v>754000</v>
      </c>
      <c r="K641" s="11">
        <f>IF(B641="Pensioner",1,VLOOKUP(Assumptions!$B$10,Mortality!$A$2:$F$104,6,FALSE)/VLOOKUP(C641,Mortality!$A$2:$F$104,6,FALSE))</f>
        <v>1</v>
      </c>
      <c r="L641" s="11">
        <f>VLOOKUP(IF(B641="Pensioner",C641,Assumptions!$B$10),Mortality!$A$2:$E$104,5,FALSE)</f>
        <v>4.3119079307087222</v>
      </c>
      <c r="M641" s="11">
        <f>1+Assumptions!$B$13*Assumptions!$B$14*Assumptions!$B$15</f>
        <v>1.3187500000000001</v>
      </c>
      <c r="N641" s="11">
        <f>IF(B641="Pensioner",1,1/(1+Assumptions!$B$6)^G641)</f>
        <v>1</v>
      </c>
      <c r="O641" s="17">
        <f t="shared" si="9"/>
        <v>4287491.7520510843</v>
      </c>
    </row>
    <row r="642" spans="1:15">
      <c r="A642" s="13" t="str">
        <f>Members!A642</f>
        <v>A0084</v>
      </c>
      <c r="B642" s="13" t="str">
        <f>Members!B642</f>
        <v>Active</v>
      </c>
      <c r="C642" s="13">
        <f>Members!C642</f>
        <v>28</v>
      </c>
      <c r="D642" s="14">
        <f>Members!D642</f>
        <v>1.4</v>
      </c>
      <c r="E642" s="16">
        <f>Members!E642</f>
        <v>423000</v>
      </c>
      <c r="F642" s="16">
        <f>Members!F642</f>
        <v>0</v>
      </c>
      <c r="G642" s="15">
        <f>MAX(0,Assumptions!$B$10-C642)</f>
        <v>32</v>
      </c>
      <c r="H642" s="17">
        <f>IF(B642="Active",E642*(1+Assumptions!$B$7)^G642,E642)</f>
        <v>2346491.9879099806</v>
      </c>
      <c r="I642" s="17">
        <f>IF(B642="Active",MIN(Assumptions!$B$12,D642+G642),IF(B642="Deferred",MIN(Assumptions!$B$12,D642),D642))</f>
        <v>33.4</v>
      </c>
      <c r="J642" s="17">
        <f>IF(B642="Active",H642*I642*Assumptions!$B$11,IF(B642="Deferred",E642*I642*Assumptions!$B$11*(1+Assumptions!$B$9)^G642,F642))</f>
        <v>1306213.8732698893</v>
      </c>
      <c r="K642" s="11">
        <f>IF(B642="Pensioner",1,VLOOKUP(Assumptions!$B$10,Mortality!$A$2:$F$104,6,FALSE)/VLOOKUP(C642,Mortality!$A$2:$F$104,6,FALSE))</f>
        <v>0.96977196143473232</v>
      </c>
      <c r="L642" s="11">
        <f>VLOOKUP(IF(B642="Pensioner",C642,Assumptions!$B$10),Mortality!$A$2:$E$104,5,FALSE)</f>
        <v>17.296790022132885</v>
      </c>
      <c r="M642" s="11">
        <f>1+Assumptions!$B$13*Assumptions!$B$14*Assumptions!$B$15</f>
        <v>1.3187500000000001</v>
      </c>
      <c r="N642" s="11">
        <f>IF(B642="Pensioner",1,1/(1+Assumptions!$B$6)^G642)</f>
        <v>0.13329459861122173</v>
      </c>
      <c r="O642" s="17">
        <f t="shared" ref="O642:O705" si="10">J642*K642*L642*M642*N642</f>
        <v>3851451.6708923834</v>
      </c>
    </row>
    <row r="643" spans="1:15">
      <c r="A643" s="13" t="str">
        <f>Members!A643</f>
        <v>A0620</v>
      </c>
      <c r="B643" s="13" t="str">
        <f>Members!B643</f>
        <v>Active</v>
      </c>
      <c r="C643" s="13">
        <f>Members!C643</f>
        <v>31</v>
      </c>
      <c r="D643" s="14">
        <f>Members!D643</f>
        <v>6.8</v>
      </c>
      <c r="E643" s="16">
        <f>Members!E643</f>
        <v>656000</v>
      </c>
      <c r="F643" s="16">
        <f>Members!F643</f>
        <v>0</v>
      </c>
      <c r="G643" s="15">
        <f>MAX(0,Assumptions!$B$10-C643)</f>
        <v>29</v>
      </c>
      <c r="H643" s="17">
        <f>IF(B643="Active",E643*(1+Assumptions!$B$7)^G643,E643)</f>
        <v>3099025.6352484925</v>
      </c>
      <c r="I643" s="17">
        <f>IF(B643="Active",MIN(Assumptions!$B$12,D643+G643),IF(B643="Deferred",MIN(Assumptions!$B$12,D643),D643))</f>
        <v>35.799999999999997</v>
      </c>
      <c r="J643" s="17">
        <f>IF(B643="Active",H643*I643*Assumptions!$B$11,IF(B643="Deferred",E643*I643*Assumptions!$B$11*(1+Assumptions!$B$9)^G643,F643))</f>
        <v>1849085.2956982669</v>
      </c>
      <c r="K643" s="11">
        <f>IF(B643="Pensioner",1,VLOOKUP(Assumptions!$B$10,Mortality!$A$2:$F$104,6,FALSE)/VLOOKUP(C643,Mortality!$A$2:$F$104,6,FALSE))</f>
        <v>0.97064661072952085</v>
      </c>
      <c r="L643" s="11">
        <f>VLOOKUP(IF(B643="Pensioner",C643,Assumptions!$B$10),Mortality!$A$2:$E$104,5,FALSE)</f>
        <v>17.296790022132885</v>
      </c>
      <c r="M643" s="11">
        <f>1+Assumptions!$B$13*Assumptions!$B$14*Assumptions!$B$15</f>
        <v>1.3187500000000001</v>
      </c>
      <c r="N643" s="11">
        <f>IF(B643="Pensioner",1,1/(1+Assumptions!$B$6)^G643)</f>
        <v>0.16101316040695074</v>
      </c>
      <c r="O643" s="17">
        <f t="shared" si="10"/>
        <v>6591851.9972725799</v>
      </c>
    </row>
    <row r="644" spans="1:15">
      <c r="A644" s="13" t="str">
        <f>Members!A644</f>
        <v>D0105</v>
      </c>
      <c r="B644" s="13" t="str">
        <f>Members!B644</f>
        <v>Deferred</v>
      </c>
      <c r="C644" s="13">
        <f>Members!C644</f>
        <v>45</v>
      </c>
      <c r="D644" s="14">
        <f>Members!D644</f>
        <v>17.8</v>
      </c>
      <c r="E644" s="16">
        <f>Members!E644</f>
        <v>537000</v>
      </c>
      <c r="F644" s="16">
        <f>Members!F644</f>
        <v>0</v>
      </c>
      <c r="G644" s="15">
        <f>MAX(0,Assumptions!$B$10-C644)</f>
        <v>15</v>
      </c>
      <c r="H644" s="17">
        <f>IF(B644="Active",E644*(1+Assumptions!$B$7)^G644,E644)</f>
        <v>537000</v>
      </c>
      <c r="I644" s="17">
        <f>IF(B644="Active",MIN(Assumptions!$B$12,D644+G644),IF(B644="Deferred",MIN(Assumptions!$B$12,D644),D644))</f>
        <v>17.8</v>
      </c>
      <c r="J644" s="17">
        <f>IF(B644="Active",H644*I644*Assumptions!$B$11,IF(B644="Deferred",E644*I644*Assumptions!$B$11*(1+Assumptions!$B$9)^G644,F644))</f>
        <v>286908.30986230692</v>
      </c>
      <c r="K644" s="11">
        <f>IF(B644="Pensioner",1,VLOOKUP(Assumptions!$B$10,Mortality!$A$2:$F$104,6,FALSE)/VLOOKUP(C644,Mortality!$A$2:$F$104,6,FALSE))</f>
        <v>0.97693494781946555</v>
      </c>
      <c r="L644" s="11">
        <f>VLOOKUP(IF(B644="Pensioner",C644,Assumptions!$B$10),Mortality!$A$2:$E$104,5,FALSE)</f>
        <v>17.296790022132885</v>
      </c>
      <c r="M644" s="11">
        <f>1+Assumptions!$B$13*Assumptions!$B$14*Assumptions!$B$15</f>
        <v>1.3187500000000001</v>
      </c>
      <c r="N644" s="11">
        <f>IF(B644="Pensioner",1,1/(1+Assumptions!$B$6)^G644)</f>
        <v>0.38882652444221566</v>
      </c>
      <c r="O644" s="17">
        <f t="shared" si="10"/>
        <v>2485951.4471769021</v>
      </c>
    </row>
    <row r="645" spans="1:15">
      <c r="A645" s="13" t="str">
        <f>Members!A645</f>
        <v>A0387</v>
      </c>
      <c r="B645" s="13" t="str">
        <f>Members!B645</f>
        <v>Active</v>
      </c>
      <c r="C645" s="13">
        <f>Members!C645</f>
        <v>37</v>
      </c>
      <c r="D645" s="14">
        <f>Members!D645</f>
        <v>2.1</v>
      </c>
      <c r="E645" s="16">
        <f>Members!E645</f>
        <v>765000</v>
      </c>
      <c r="F645" s="16">
        <f>Members!F645</f>
        <v>0</v>
      </c>
      <c r="G645" s="15">
        <f>MAX(0,Assumptions!$B$10-C645)</f>
        <v>23</v>
      </c>
      <c r="H645" s="17">
        <f>IF(B645="Active",E645*(1+Assumptions!$B$7)^G645,E645)</f>
        <v>2621005.9492778736</v>
      </c>
      <c r="I645" s="17">
        <f>IF(B645="Active",MIN(Assumptions!$B$12,D645+G645),IF(B645="Deferred",MIN(Assumptions!$B$12,D645),D645))</f>
        <v>25.1</v>
      </c>
      <c r="J645" s="17">
        <f>IF(B645="Active",H645*I645*Assumptions!$B$11,IF(B645="Deferred",E645*I645*Assumptions!$B$11*(1+Assumptions!$B$9)^G645,F645))</f>
        <v>1096454.1554479105</v>
      </c>
      <c r="K645" s="11">
        <f>IF(B645="Pensioner",1,VLOOKUP(Assumptions!$B$10,Mortality!$A$2:$F$104,6,FALSE)/VLOOKUP(C645,Mortality!$A$2:$F$104,6,FALSE))</f>
        <v>0.97273561412651877</v>
      </c>
      <c r="L645" s="11">
        <f>VLOOKUP(IF(B645="Pensioner",C645,Assumptions!$B$10),Mortality!$A$2:$E$104,5,FALSE)</f>
        <v>17.296790022132885</v>
      </c>
      <c r="M645" s="11">
        <f>1+Assumptions!$B$13*Assumptions!$B$14*Assumptions!$B$15</f>
        <v>1.3187500000000001</v>
      </c>
      <c r="N645" s="11">
        <f>IF(B645="Pensioner",1,1/(1+Assumptions!$B$6)^G645)</f>
        <v>0.23494111264898151</v>
      </c>
      <c r="O645" s="17">
        <f t="shared" si="10"/>
        <v>5715737.8468412682</v>
      </c>
    </row>
    <row r="646" spans="1:15">
      <c r="A646" s="13" t="str">
        <f>Members!A646</f>
        <v>D0095</v>
      </c>
      <c r="B646" s="13" t="str">
        <f>Members!B646</f>
        <v>Deferred</v>
      </c>
      <c r="C646" s="13">
        <f>Members!C646</f>
        <v>53</v>
      </c>
      <c r="D646" s="14">
        <f>Members!D646</f>
        <v>15.1</v>
      </c>
      <c r="E646" s="16">
        <f>Members!E646</f>
        <v>1129000</v>
      </c>
      <c r="F646" s="16">
        <f>Members!F646</f>
        <v>0</v>
      </c>
      <c r="G646" s="15">
        <f>MAX(0,Assumptions!$B$10-C646)</f>
        <v>7</v>
      </c>
      <c r="H646" s="17">
        <f>IF(B646="Active",E646*(1+Assumptions!$B$7)^G646,E646)</f>
        <v>1129000</v>
      </c>
      <c r="I646" s="17">
        <f>IF(B646="Active",MIN(Assumptions!$B$12,D646+G646),IF(B646="Deferred",MIN(Assumptions!$B$12,D646),D646))</f>
        <v>15.1</v>
      </c>
      <c r="J646" s="17">
        <f>IF(B646="Active",H646*I646*Assumptions!$B$11,IF(B646="Deferred",E646*I646*Assumptions!$B$11*(1+Assumptions!$B$9)^G646,F646))</f>
        <v>373897.88965391141</v>
      </c>
      <c r="K646" s="11">
        <f>IF(B646="Pensioner",1,VLOOKUP(Assumptions!$B$10,Mortality!$A$2:$F$104,6,FALSE)/VLOOKUP(C646,Mortality!$A$2:$F$104,6,FALSE))</f>
        <v>0.98503000174313171</v>
      </c>
      <c r="L646" s="11">
        <f>VLOOKUP(IF(B646="Pensioner",C646,Assumptions!$B$10),Mortality!$A$2:$E$104,5,FALSE)</f>
        <v>17.296790022132885</v>
      </c>
      <c r="M646" s="11">
        <f>1+Assumptions!$B$13*Assumptions!$B$14*Assumptions!$B$15</f>
        <v>1.3187500000000001</v>
      </c>
      <c r="N646" s="11">
        <f>IF(B646="Pensioner",1,1/(1+Assumptions!$B$6)^G646)</f>
        <v>0.64350621483475945</v>
      </c>
      <c r="O646" s="17">
        <f t="shared" si="10"/>
        <v>5406089.1558390679</v>
      </c>
    </row>
    <row r="647" spans="1:15">
      <c r="A647" s="13" t="str">
        <f>Members!A647</f>
        <v>A0408</v>
      </c>
      <c r="B647" s="13" t="str">
        <f>Members!B647</f>
        <v>Active</v>
      </c>
      <c r="C647" s="13">
        <f>Members!C647</f>
        <v>50</v>
      </c>
      <c r="D647" s="14">
        <f>Members!D647</f>
        <v>4.7</v>
      </c>
      <c r="E647" s="16">
        <f>Members!E647</f>
        <v>1023000</v>
      </c>
      <c r="F647" s="16">
        <f>Members!F647</f>
        <v>0</v>
      </c>
      <c r="G647" s="15">
        <f>MAX(0,Assumptions!$B$10-C647)</f>
        <v>10</v>
      </c>
      <c r="H647" s="17">
        <f>IF(B647="Active",E647*(1+Assumptions!$B$7)^G647,E647)</f>
        <v>1747431.7808957256</v>
      </c>
      <c r="I647" s="17">
        <f>IF(B647="Active",MIN(Assumptions!$B$12,D647+G647),IF(B647="Deferred",MIN(Assumptions!$B$12,D647),D647))</f>
        <v>14.7</v>
      </c>
      <c r="J647" s="17">
        <f>IF(B647="Active",H647*I647*Assumptions!$B$11,IF(B647="Deferred",E647*I647*Assumptions!$B$11*(1+Assumptions!$B$9)^G647,F647))</f>
        <v>428120.78631945275</v>
      </c>
      <c r="K647" s="11">
        <f>IF(B647="Pensioner",1,VLOOKUP(Assumptions!$B$10,Mortality!$A$2:$F$104,6,FALSE)/VLOOKUP(C647,Mortality!$A$2:$F$104,6,FALSE))</f>
        <v>0.98127299335824147</v>
      </c>
      <c r="L647" s="11">
        <f>VLOOKUP(IF(B647="Pensioner",C647,Assumptions!$B$10),Mortality!$A$2:$E$104,5,FALSE)</f>
        <v>17.296790022132885</v>
      </c>
      <c r="M647" s="11">
        <f>1+Assumptions!$B$13*Assumptions!$B$14*Assumptions!$B$15</f>
        <v>1.3187500000000001</v>
      </c>
      <c r="N647" s="11">
        <f>IF(B647="Pensioner",1,1/(1+Assumptions!$B$6)^G647)</f>
        <v>0.53272603552052888</v>
      </c>
      <c r="O647" s="17">
        <f t="shared" si="10"/>
        <v>5104909.7536879219</v>
      </c>
    </row>
    <row r="648" spans="1:15">
      <c r="A648" s="13" t="str">
        <f>Members!A648</f>
        <v>A0238</v>
      </c>
      <c r="B648" s="13" t="str">
        <f>Members!B648</f>
        <v>Active</v>
      </c>
      <c r="C648" s="13">
        <f>Members!C648</f>
        <v>55</v>
      </c>
      <c r="D648" s="14">
        <f>Members!D648</f>
        <v>13.8</v>
      </c>
      <c r="E648" s="16">
        <f>Members!E648</f>
        <v>1815000</v>
      </c>
      <c r="F648" s="16">
        <f>Members!F648</f>
        <v>0</v>
      </c>
      <c r="G648" s="15">
        <f>MAX(0,Assumptions!$B$10-C648)</f>
        <v>5</v>
      </c>
      <c r="H648" s="17">
        <f>IF(B648="Active",E648*(1+Assumptions!$B$7)^G648,E648)</f>
        <v>2372132.4116330151</v>
      </c>
      <c r="I648" s="17">
        <f>IF(B648="Active",MIN(Assumptions!$B$12,D648+G648),IF(B648="Deferred",MIN(Assumptions!$B$12,D648),D648))</f>
        <v>18.8</v>
      </c>
      <c r="J648" s="17">
        <f>IF(B648="Active",H648*I648*Assumptions!$B$11,IF(B648="Deferred",E648*I648*Assumptions!$B$11*(1+Assumptions!$B$9)^G648,F648))</f>
        <v>743268.15564501146</v>
      </c>
      <c r="K648" s="11">
        <f>IF(B648="Pensioner",1,VLOOKUP(Assumptions!$B$10,Mortality!$A$2:$F$104,6,FALSE)/VLOOKUP(C648,Mortality!$A$2:$F$104,6,FALSE))</f>
        <v>0.98824190874991746</v>
      </c>
      <c r="L648" s="11">
        <f>VLOOKUP(IF(B648="Pensioner",C648,Assumptions!$B$10),Mortality!$A$2:$E$104,5,FALSE)</f>
        <v>17.296790022132885</v>
      </c>
      <c r="M648" s="11">
        <f>1+Assumptions!$B$13*Assumptions!$B$14*Assumptions!$B$15</f>
        <v>1.3187500000000001</v>
      </c>
      <c r="N648" s="11">
        <f>IF(B648="Pensioner",1,1/(1+Assumptions!$B$6)^G648)</f>
        <v>0.72988083652095492</v>
      </c>
      <c r="O648" s="17">
        <f t="shared" si="10"/>
        <v>12228937.929927653</v>
      </c>
    </row>
    <row r="649" spans="1:15">
      <c r="A649" s="13" t="str">
        <f>Members!A649</f>
        <v>A0194</v>
      </c>
      <c r="B649" s="13" t="str">
        <f>Members!B649</f>
        <v>Active</v>
      </c>
      <c r="C649" s="13">
        <f>Members!C649</f>
        <v>30</v>
      </c>
      <c r="D649" s="14">
        <f>Members!D649</f>
        <v>5</v>
      </c>
      <c r="E649" s="16">
        <f>Members!E649</f>
        <v>505000</v>
      </c>
      <c r="F649" s="16">
        <f>Members!F649</f>
        <v>0</v>
      </c>
      <c r="G649" s="15">
        <f>MAX(0,Assumptions!$B$10-C649)</f>
        <v>30</v>
      </c>
      <c r="H649" s="17">
        <f>IF(B649="Active",E649*(1+Assumptions!$B$7)^G649,E649)</f>
        <v>2516895.4006395051</v>
      </c>
      <c r="I649" s="17">
        <f>IF(B649="Active",MIN(Assumptions!$B$12,D649+G649),IF(B649="Deferred",MIN(Assumptions!$B$12,D649),D649))</f>
        <v>35</v>
      </c>
      <c r="J649" s="17">
        <f>IF(B649="Active",H649*I649*Assumptions!$B$11,IF(B649="Deferred",E649*I649*Assumptions!$B$11*(1+Assumptions!$B$9)^G649,F649))</f>
        <v>1468188.9837063779</v>
      </c>
      <c r="K649" s="11">
        <f>IF(B649="Pensioner",1,VLOOKUP(Assumptions!$B$10,Mortality!$A$2:$F$104,6,FALSE)/VLOOKUP(C649,Mortality!$A$2:$F$104,6,FALSE))</f>
        <v>0.97034568803187526</v>
      </c>
      <c r="L649" s="11">
        <f>VLOOKUP(IF(B649="Pensioner",C649,Assumptions!$B$10),Mortality!$A$2:$E$104,5,FALSE)</f>
        <v>17.296790022132885</v>
      </c>
      <c r="M649" s="11">
        <f>1+Assumptions!$B$13*Assumptions!$B$14*Assumptions!$B$15</f>
        <v>1.3187500000000001</v>
      </c>
      <c r="N649" s="11">
        <f>IF(B649="Pensioner",1,1/(1+Assumptions!$B$6)^G649)</f>
        <v>0.15118606610981289</v>
      </c>
      <c r="O649" s="17">
        <f t="shared" si="10"/>
        <v>4913016.1760351723</v>
      </c>
    </row>
    <row r="650" spans="1:15">
      <c r="A650" s="13" t="str">
        <f>Members!A650</f>
        <v>A0015</v>
      </c>
      <c r="B650" s="13" t="str">
        <f>Members!B650</f>
        <v>Active</v>
      </c>
      <c r="C650" s="13">
        <f>Members!C650</f>
        <v>39</v>
      </c>
      <c r="D650" s="14">
        <f>Members!D650</f>
        <v>9.9</v>
      </c>
      <c r="E650" s="16">
        <f>Members!E650</f>
        <v>991000</v>
      </c>
      <c r="F650" s="16">
        <f>Members!F650</f>
        <v>0</v>
      </c>
      <c r="G650" s="15">
        <f>MAX(0,Assumptions!$B$10-C650)</f>
        <v>21</v>
      </c>
      <c r="H650" s="17">
        <f>IF(B650="Active",E650*(1+Assumptions!$B$7)^G650,E650)</f>
        <v>3050530.0452140281</v>
      </c>
      <c r="I650" s="17">
        <f>IF(B650="Active",MIN(Assumptions!$B$12,D650+G650),IF(B650="Deferred",MIN(Assumptions!$B$12,D650),D650))</f>
        <v>30.9</v>
      </c>
      <c r="J650" s="17">
        <f>IF(B650="Active",H650*I650*Assumptions!$B$11,IF(B650="Deferred",E650*I650*Assumptions!$B$11*(1+Assumptions!$B$9)^G650,F650))</f>
        <v>1571022.9732852243</v>
      </c>
      <c r="K650" s="11">
        <f>IF(B650="Pensioner",1,VLOOKUP(Assumptions!$B$10,Mortality!$A$2:$F$104,6,FALSE)/VLOOKUP(C650,Mortality!$A$2:$F$104,6,FALSE))</f>
        <v>0.97358574177887802</v>
      </c>
      <c r="L650" s="11">
        <f>VLOOKUP(IF(B650="Pensioner",C650,Assumptions!$B$10),Mortality!$A$2:$E$104,5,FALSE)</f>
        <v>17.296790022132885</v>
      </c>
      <c r="M650" s="11">
        <f>1+Assumptions!$B$13*Assumptions!$B$14*Assumptions!$B$15</f>
        <v>1.3187500000000001</v>
      </c>
      <c r="N650" s="11">
        <f>IF(B650="Pensioner",1,1/(1+Assumptions!$B$6)^G650)</f>
        <v>0.26647608349429097</v>
      </c>
      <c r="O650" s="17">
        <f t="shared" si="10"/>
        <v>9297002.8362395838</v>
      </c>
    </row>
    <row r="651" spans="1:15">
      <c r="A651" s="13" t="str">
        <f>Members!A651</f>
        <v>A0477</v>
      </c>
      <c r="B651" s="13" t="str">
        <f>Members!B651</f>
        <v>Active</v>
      </c>
      <c r="C651" s="13">
        <f>Members!C651</f>
        <v>41</v>
      </c>
      <c r="D651" s="14">
        <f>Members!D651</f>
        <v>3.6</v>
      </c>
      <c r="E651" s="16">
        <f>Members!E651</f>
        <v>722000</v>
      </c>
      <c r="F651" s="16">
        <f>Members!F651</f>
        <v>0</v>
      </c>
      <c r="G651" s="15">
        <f>MAX(0,Assumptions!$B$10-C651)</f>
        <v>19</v>
      </c>
      <c r="H651" s="17">
        <f>IF(B651="Active",E651*(1+Assumptions!$B$7)^G651,E651)</f>
        <v>1996797.0693991967</v>
      </c>
      <c r="I651" s="17">
        <f>IF(B651="Active",MIN(Assumptions!$B$12,D651+G651),IF(B651="Deferred",MIN(Assumptions!$B$12,D651),D651))</f>
        <v>22.6</v>
      </c>
      <c r="J651" s="17">
        <f>IF(B651="Active",H651*I651*Assumptions!$B$11,IF(B651="Deferred",E651*I651*Assumptions!$B$11*(1+Assumptions!$B$9)^G651,F651))</f>
        <v>752126.896140364</v>
      </c>
      <c r="K651" s="11">
        <f>IF(B651="Pensioner",1,VLOOKUP(Assumptions!$B$10,Mortality!$A$2:$F$104,6,FALSE)/VLOOKUP(C651,Mortality!$A$2:$F$104,6,FALSE))</f>
        <v>0.97454789540795339</v>
      </c>
      <c r="L651" s="11">
        <f>VLOOKUP(IF(B651="Pensioner",C651,Assumptions!$B$10),Mortality!$A$2:$E$104,5,FALSE)</f>
        <v>17.296790022132885</v>
      </c>
      <c r="M651" s="11">
        <f>1+Assumptions!$B$13*Assumptions!$B$14*Assumptions!$B$15</f>
        <v>1.3187500000000001</v>
      </c>
      <c r="N651" s="11">
        <f>IF(B651="Pensioner",1,1/(1+Assumptions!$B$6)^G651)</f>
        <v>0.30224383580131214</v>
      </c>
      <c r="O651" s="17">
        <f t="shared" si="10"/>
        <v>5053354.2648931285</v>
      </c>
    </row>
    <row r="652" spans="1:15">
      <c r="A652" s="13" t="str">
        <f>Members!A652</f>
        <v>A0500</v>
      </c>
      <c r="B652" s="13" t="str">
        <f>Members!B652</f>
        <v>Active</v>
      </c>
      <c r="C652" s="13">
        <f>Members!C652</f>
        <v>33</v>
      </c>
      <c r="D652" s="14">
        <f>Members!D652</f>
        <v>7.7</v>
      </c>
      <c r="E652" s="16">
        <f>Members!E652</f>
        <v>713000</v>
      </c>
      <c r="F652" s="16">
        <f>Members!F652</f>
        <v>0</v>
      </c>
      <c r="G652" s="15">
        <f>MAX(0,Assumptions!$B$10-C652)</f>
        <v>27</v>
      </c>
      <c r="H652" s="17">
        <f>IF(B652="Active",E652*(1+Assumptions!$B$7)^G652,E652)</f>
        <v>3026257.9264213704</v>
      </c>
      <c r="I652" s="17">
        <f>IF(B652="Active",MIN(Assumptions!$B$12,D652+G652),IF(B652="Deferred",MIN(Assumptions!$B$12,D652),D652))</f>
        <v>34.700000000000003</v>
      </c>
      <c r="J652" s="17">
        <f>IF(B652="Active",H652*I652*Assumptions!$B$11,IF(B652="Deferred",E652*I652*Assumptions!$B$11*(1+Assumptions!$B$9)^G652,F652))</f>
        <v>1750185.8341136926</v>
      </c>
      <c r="K652" s="11">
        <f>IF(B652="Pensioner",1,VLOOKUP(Assumptions!$B$10,Mortality!$A$2:$F$104,6,FALSE)/VLOOKUP(C652,Mortality!$A$2:$F$104,6,FALSE))</f>
        <v>0.9712826176321353</v>
      </c>
      <c r="L652" s="11">
        <f>VLOOKUP(IF(B652="Pensioner",C652,Assumptions!$B$10),Mortality!$A$2:$E$104,5,FALSE)</f>
        <v>17.296790022132885</v>
      </c>
      <c r="M652" s="11">
        <f>1+Assumptions!$B$13*Assumptions!$B$14*Assumptions!$B$15</f>
        <v>1.3187500000000001</v>
      </c>
      <c r="N652" s="11">
        <f>IF(B652="Pensioner",1,1/(1+Assumptions!$B$6)^G652)</f>
        <v>0.18262515186257369</v>
      </c>
      <c r="O652" s="17">
        <f t="shared" si="10"/>
        <v>7081387.4485926544</v>
      </c>
    </row>
    <row r="653" spans="1:15">
      <c r="A653" s="13" t="str">
        <f>Members!A653</f>
        <v>P0169</v>
      </c>
      <c r="B653" s="13" t="str">
        <f>Members!B653</f>
        <v>Pensioner</v>
      </c>
      <c r="C653" s="13">
        <f>Members!C653</f>
        <v>83</v>
      </c>
      <c r="D653" s="14">
        <f>Members!D653</f>
        <v>37.299999999999997</v>
      </c>
      <c r="E653" s="16">
        <f>Members!E653</f>
        <v>0</v>
      </c>
      <c r="F653" s="16">
        <f>Members!F653</f>
        <v>355000</v>
      </c>
      <c r="G653" s="15">
        <f>MAX(0,Assumptions!$B$10-C653)</f>
        <v>0</v>
      </c>
      <c r="H653" s="17">
        <f>IF(B653="Active",E653*(1+Assumptions!$B$7)^G653,E653)</f>
        <v>0</v>
      </c>
      <c r="I653" s="17">
        <f>IF(B653="Active",MIN(Assumptions!$B$12,D653+G653),IF(B653="Deferred",MIN(Assumptions!$B$12,D653),D653))</f>
        <v>37.299999999999997</v>
      </c>
      <c r="J653" s="17">
        <f>IF(B653="Active",H653*I653*Assumptions!$B$11,IF(B653="Deferred",E653*I653*Assumptions!$B$11*(1+Assumptions!$B$9)^G653,F653))</f>
        <v>355000</v>
      </c>
      <c r="K653" s="11">
        <f>IF(B653="Pensioner",1,VLOOKUP(Assumptions!$B$10,Mortality!$A$2:$F$104,6,FALSE)/VLOOKUP(C653,Mortality!$A$2:$F$104,6,FALSE))</f>
        <v>1</v>
      </c>
      <c r="L653" s="11">
        <f>VLOOKUP(IF(B653="Pensioner",C653,Assumptions!$B$10),Mortality!$A$2:$E$104,5,FALSE)</f>
        <v>7.0669562738307876</v>
      </c>
      <c r="M653" s="11">
        <f>1+Assumptions!$B$13*Assumptions!$B$14*Assumptions!$B$15</f>
        <v>1.3187500000000001</v>
      </c>
      <c r="N653" s="11">
        <f>IF(B653="Pensioner",1,1/(1+Assumptions!$B$6)^G653)</f>
        <v>1</v>
      </c>
      <c r="O653" s="17">
        <f t="shared" si="10"/>
        <v>3308439.7480705944</v>
      </c>
    </row>
    <row r="654" spans="1:15">
      <c r="A654" s="13" t="str">
        <f>Members!A654</f>
        <v>A0154</v>
      </c>
      <c r="B654" s="13" t="str">
        <f>Members!B654</f>
        <v>Active</v>
      </c>
      <c r="C654" s="13">
        <f>Members!C654</f>
        <v>28</v>
      </c>
      <c r="D654" s="14">
        <f>Members!D654</f>
        <v>3.4</v>
      </c>
      <c r="E654" s="16">
        <f>Members!E654</f>
        <v>532000</v>
      </c>
      <c r="F654" s="16">
        <f>Members!F654</f>
        <v>0</v>
      </c>
      <c r="G654" s="15">
        <f>MAX(0,Assumptions!$B$10-C654)</f>
        <v>32</v>
      </c>
      <c r="H654" s="17">
        <f>IF(B654="Active",E654*(1+Assumptions!$B$7)^G654,E654)</f>
        <v>2951143.5876314649</v>
      </c>
      <c r="I654" s="17">
        <f>IF(B654="Active",MIN(Assumptions!$B$12,D654+G654),IF(B654="Deferred",MIN(Assumptions!$B$12,D654),D654))</f>
        <v>35.4</v>
      </c>
      <c r="J654" s="17">
        <f>IF(B654="Active",H654*I654*Assumptions!$B$11,IF(B654="Deferred",E654*I654*Assumptions!$B$11*(1+Assumptions!$B$9)^G654,F654))</f>
        <v>1741174.7167025644</v>
      </c>
      <c r="K654" s="11">
        <f>IF(B654="Pensioner",1,VLOOKUP(Assumptions!$B$10,Mortality!$A$2:$F$104,6,FALSE)/VLOOKUP(C654,Mortality!$A$2:$F$104,6,FALSE))</f>
        <v>0.96977196143473232</v>
      </c>
      <c r="L654" s="11">
        <f>VLOOKUP(IF(B654="Pensioner",C654,Assumptions!$B$10),Mortality!$A$2:$E$104,5,FALSE)</f>
        <v>17.296790022132885</v>
      </c>
      <c r="M654" s="11">
        <f>1+Assumptions!$B$13*Assumptions!$B$14*Assumptions!$B$15</f>
        <v>1.3187500000000001</v>
      </c>
      <c r="N654" s="11">
        <f>IF(B654="Pensioner",1,1/(1+Assumptions!$B$6)^G654)</f>
        <v>0.13329459861122173</v>
      </c>
      <c r="O654" s="17">
        <f t="shared" si="10"/>
        <v>5133960.3790703751</v>
      </c>
    </row>
    <row r="655" spans="1:15">
      <c r="A655" s="13" t="str">
        <f>Members!A655</f>
        <v>A0381</v>
      </c>
      <c r="B655" s="13" t="str">
        <f>Members!B655</f>
        <v>Active</v>
      </c>
      <c r="C655" s="13">
        <f>Members!C655</f>
        <v>34</v>
      </c>
      <c r="D655" s="14">
        <f>Members!D655</f>
        <v>9.6999999999999993</v>
      </c>
      <c r="E655" s="16">
        <f>Members!E655</f>
        <v>725000</v>
      </c>
      <c r="F655" s="16">
        <f>Members!F655</f>
        <v>0</v>
      </c>
      <c r="G655" s="15">
        <f>MAX(0,Assumptions!$B$10-C655)</f>
        <v>26</v>
      </c>
      <c r="H655" s="17">
        <f>IF(B655="Active",E655*(1+Assumptions!$B$7)^G655,E655)</f>
        <v>2916768.4726514276</v>
      </c>
      <c r="I655" s="17">
        <f>IF(B655="Active",MIN(Assumptions!$B$12,D655+G655),IF(B655="Deferred",MIN(Assumptions!$B$12,D655),D655))</f>
        <v>35.700000000000003</v>
      </c>
      <c r="J655" s="17">
        <f>IF(B655="Active",H655*I655*Assumptions!$B$11,IF(B655="Deferred",E655*I655*Assumptions!$B$11*(1+Assumptions!$B$9)^G655,F655))</f>
        <v>1735477.2412275996</v>
      </c>
      <c r="K655" s="11">
        <f>IF(B655="Pensioner",1,VLOOKUP(Assumptions!$B$10,Mortality!$A$2:$F$104,6,FALSE)/VLOOKUP(C655,Mortality!$A$2:$F$104,6,FALSE))</f>
        <v>0.97162058192333911</v>
      </c>
      <c r="L655" s="11">
        <f>VLOOKUP(IF(B655="Pensioner",C655,Assumptions!$B$10),Mortality!$A$2:$E$104,5,FALSE)</f>
        <v>17.296790022132885</v>
      </c>
      <c r="M655" s="11">
        <f>1+Assumptions!$B$13*Assumptions!$B$14*Assumptions!$B$15</f>
        <v>1.3187500000000001</v>
      </c>
      <c r="N655" s="11">
        <f>IF(B655="Pensioner",1,1/(1+Assumptions!$B$6)^G655)</f>
        <v>0.19449578673364096</v>
      </c>
      <c r="O655" s="17">
        <f t="shared" si="10"/>
        <v>7480899.36336195</v>
      </c>
    </row>
    <row r="656" spans="1:15">
      <c r="A656" s="13" t="str">
        <f>Members!A656</f>
        <v>A0134</v>
      </c>
      <c r="B656" s="13" t="str">
        <f>Members!B656</f>
        <v>Active</v>
      </c>
      <c r="C656" s="13">
        <f>Members!C656</f>
        <v>26</v>
      </c>
      <c r="D656" s="14">
        <f>Members!D656</f>
        <v>1.1000000000000001</v>
      </c>
      <c r="E656" s="16">
        <f>Members!E656</f>
        <v>425000</v>
      </c>
      <c r="F656" s="16">
        <f>Members!F656</f>
        <v>0</v>
      </c>
      <c r="G656" s="15">
        <f>MAX(0,Assumptions!$B$10-C656)</f>
        <v>34</v>
      </c>
      <c r="H656" s="17">
        <f>IF(B656="Active",E656*(1+Assumptions!$B$7)^G656,E656)</f>
        <v>2624052.728270662</v>
      </c>
      <c r="I656" s="17">
        <f>IF(B656="Active",MIN(Assumptions!$B$12,D656+G656),IF(B656="Deferred",MIN(Assumptions!$B$12,D656),D656))</f>
        <v>35.1</v>
      </c>
      <c r="J656" s="17">
        <f>IF(B656="Active",H656*I656*Assumptions!$B$11,IF(B656="Deferred",E656*I656*Assumptions!$B$11*(1+Assumptions!$B$9)^G656,F656))</f>
        <v>1535070.8460383373</v>
      </c>
      <c r="K656" s="11">
        <f>IF(B656="Pensioner",1,VLOOKUP(Assumptions!$B$10,Mortality!$A$2:$F$104,6,FALSE)/VLOOKUP(C656,Mortality!$A$2:$F$104,6,FALSE))</f>
        <v>0.96922916291892547</v>
      </c>
      <c r="L656" s="11">
        <f>VLOOKUP(IF(B656="Pensioner",C656,Assumptions!$B$10),Mortality!$A$2:$E$104,5,FALSE)</f>
        <v>17.296790022132885</v>
      </c>
      <c r="M656" s="11">
        <f>1+Assumptions!$B$13*Assumptions!$B$14*Assumptions!$B$15</f>
        <v>1.3187500000000001</v>
      </c>
      <c r="N656" s="11">
        <f>IF(B656="Pensioner",1,1/(1+Assumptions!$B$6)^G656)</f>
        <v>0.11752042020870793</v>
      </c>
      <c r="O656" s="17">
        <f t="shared" si="10"/>
        <v>3988377.1391558088</v>
      </c>
    </row>
    <row r="657" spans="1:15">
      <c r="A657" s="13" t="str">
        <f>Members!A657</f>
        <v>A0498</v>
      </c>
      <c r="B657" s="13" t="str">
        <f>Members!B657</f>
        <v>Active</v>
      </c>
      <c r="C657" s="13">
        <f>Members!C657</f>
        <v>41</v>
      </c>
      <c r="D657" s="14">
        <f>Members!D657</f>
        <v>5.9</v>
      </c>
      <c r="E657" s="16">
        <f>Members!E657</f>
        <v>855000</v>
      </c>
      <c r="F657" s="16">
        <f>Members!F657</f>
        <v>0</v>
      </c>
      <c r="G657" s="15">
        <f>MAX(0,Assumptions!$B$10-C657)</f>
        <v>19</v>
      </c>
      <c r="H657" s="17">
        <f>IF(B657="Active",E657*(1+Assumptions!$B$7)^G657,E657)</f>
        <v>2364628.1084990487</v>
      </c>
      <c r="I657" s="17">
        <f>IF(B657="Active",MIN(Assumptions!$B$12,D657+G657),IF(B657="Deferred",MIN(Assumptions!$B$12,D657),D657))</f>
        <v>24.9</v>
      </c>
      <c r="J657" s="17">
        <f>IF(B657="Active",H657*I657*Assumptions!$B$11,IF(B657="Deferred",E657*I657*Assumptions!$B$11*(1+Assumptions!$B$9)^G657,F657))</f>
        <v>981320.66502710513</v>
      </c>
      <c r="K657" s="11">
        <f>IF(B657="Pensioner",1,VLOOKUP(Assumptions!$B$10,Mortality!$A$2:$F$104,6,FALSE)/VLOOKUP(C657,Mortality!$A$2:$F$104,6,FALSE))</f>
        <v>0.97454789540795339</v>
      </c>
      <c r="L657" s="11">
        <f>VLOOKUP(IF(B657="Pensioner",C657,Assumptions!$B$10),Mortality!$A$2:$E$104,5,FALSE)</f>
        <v>17.296790022132885</v>
      </c>
      <c r="M657" s="11">
        <f>1+Assumptions!$B$13*Assumptions!$B$14*Assumptions!$B$15</f>
        <v>1.3187500000000001</v>
      </c>
      <c r="N657" s="11">
        <f>IF(B657="Pensioner",1,1/(1+Assumptions!$B$6)^G657)</f>
        <v>0.30224383580131214</v>
      </c>
      <c r="O657" s="17">
        <f t="shared" si="10"/>
        <v>6593250.4119850378</v>
      </c>
    </row>
    <row r="658" spans="1:15">
      <c r="A658" s="13" t="str">
        <f>Members!A658</f>
        <v>A0523</v>
      </c>
      <c r="B658" s="13" t="str">
        <f>Members!B658</f>
        <v>Active</v>
      </c>
      <c r="C658" s="13">
        <f>Members!C658</f>
        <v>53</v>
      </c>
      <c r="D658" s="14">
        <f>Members!D658</f>
        <v>1.6</v>
      </c>
      <c r="E658" s="16">
        <f>Members!E658</f>
        <v>1533000</v>
      </c>
      <c r="F658" s="16">
        <f>Members!F658</f>
        <v>0</v>
      </c>
      <c r="G658" s="15">
        <f>MAX(0,Assumptions!$B$10-C658)</f>
        <v>7</v>
      </c>
      <c r="H658" s="17">
        <f>IF(B658="Active",E658*(1+Assumptions!$B$7)^G658,E658)</f>
        <v>2230023.1540181064</v>
      </c>
      <c r="I658" s="17">
        <f>IF(B658="Active",MIN(Assumptions!$B$12,D658+G658),IF(B658="Deferred",MIN(Assumptions!$B$12,D658),D658))</f>
        <v>8.6</v>
      </c>
      <c r="J658" s="17">
        <f>IF(B658="Active",H658*I658*Assumptions!$B$11,IF(B658="Deferred",E658*I658*Assumptions!$B$11*(1+Assumptions!$B$9)^G658,F658))</f>
        <v>319636.65207592858</v>
      </c>
      <c r="K658" s="11">
        <f>IF(B658="Pensioner",1,VLOOKUP(Assumptions!$B$10,Mortality!$A$2:$F$104,6,FALSE)/VLOOKUP(C658,Mortality!$A$2:$F$104,6,FALSE))</f>
        <v>0.98503000174313171</v>
      </c>
      <c r="L658" s="11">
        <f>VLOOKUP(IF(B658="Pensioner",C658,Assumptions!$B$10),Mortality!$A$2:$E$104,5,FALSE)</f>
        <v>17.296790022132885</v>
      </c>
      <c r="M658" s="11">
        <f>1+Assumptions!$B$13*Assumptions!$B$14*Assumptions!$B$15</f>
        <v>1.3187500000000001</v>
      </c>
      <c r="N658" s="11">
        <f>IF(B658="Pensioner",1,1/(1+Assumptions!$B$6)^G658)</f>
        <v>0.64350621483475945</v>
      </c>
      <c r="O658" s="17">
        <f t="shared" si="10"/>
        <v>4621540.4965132186</v>
      </c>
    </row>
    <row r="659" spans="1:15">
      <c r="A659" s="13" t="str">
        <f>Members!A659</f>
        <v>P0018</v>
      </c>
      <c r="B659" s="13" t="str">
        <f>Members!B659</f>
        <v>Pensioner</v>
      </c>
      <c r="C659" s="13">
        <f>Members!C659</f>
        <v>69</v>
      </c>
      <c r="D659" s="14">
        <f>Members!D659</f>
        <v>27.7</v>
      </c>
      <c r="E659" s="16">
        <f>Members!E659</f>
        <v>0</v>
      </c>
      <c r="F659" s="16">
        <f>Members!F659</f>
        <v>472000</v>
      </c>
      <c r="G659" s="15">
        <f>MAX(0,Assumptions!$B$10-C659)</f>
        <v>0</v>
      </c>
      <c r="H659" s="17">
        <f>IF(B659="Active",E659*(1+Assumptions!$B$7)^G659,E659)</f>
        <v>0</v>
      </c>
      <c r="I659" s="17">
        <f>IF(B659="Active",MIN(Assumptions!$B$12,D659+G659),IF(B659="Deferred",MIN(Assumptions!$B$12,D659),D659))</f>
        <v>27.7</v>
      </c>
      <c r="J659" s="17">
        <f>IF(B659="Active",H659*I659*Assumptions!$B$11,IF(B659="Deferred",E659*I659*Assumptions!$B$11*(1+Assumptions!$B$9)^G659,F659))</f>
        <v>472000</v>
      </c>
      <c r="K659" s="11">
        <f>IF(B659="Pensioner",1,VLOOKUP(Assumptions!$B$10,Mortality!$A$2:$F$104,6,FALSE)/VLOOKUP(C659,Mortality!$A$2:$F$104,6,FALSE))</f>
        <v>1</v>
      </c>
      <c r="L659" s="11">
        <f>VLOOKUP(IF(B659="Pensioner",C659,Assumptions!$B$10),Mortality!$A$2:$E$104,5,FALSE)</f>
        <v>13.418448528291036</v>
      </c>
      <c r="M659" s="11">
        <f>1+Assumptions!$B$13*Assumptions!$B$14*Assumptions!$B$15</f>
        <v>1.3187500000000001</v>
      </c>
      <c r="N659" s="11">
        <f>IF(B659="Pensioner",1,1/(1+Assumptions!$B$6)^G659)</f>
        <v>1</v>
      </c>
      <c r="O659" s="17">
        <f t="shared" si="10"/>
        <v>8352313.2864347557</v>
      </c>
    </row>
    <row r="660" spans="1:15">
      <c r="A660" s="13" t="str">
        <f>Members!A660</f>
        <v>A0399</v>
      </c>
      <c r="B660" s="13" t="str">
        <f>Members!B660</f>
        <v>Active</v>
      </c>
      <c r="C660" s="13">
        <f>Members!C660</f>
        <v>27</v>
      </c>
      <c r="D660" s="14">
        <f>Members!D660</f>
        <v>5.0999999999999996</v>
      </c>
      <c r="E660" s="16">
        <f>Members!E660</f>
        <v>645000</v>
      </c>
      <c r="F660" s="16">
        <f>Members!F660</f>
        <v>0</v>
      </c>
      <c r="G660" s="15">
        <f>MAX(0,Assumptions!$B$10-C660)</f>
        <v>33</v>
      </c>
      <c r="H660" s="17">
        <f>IF(B660="Active",E660*(1+Assumptions!$B$7)^G660,E660)</f>
        <v>3774773.3699126332</v>
      </c>
      <c r="I660" s="17">
        <f>IF(B660="Active",MIN(Assumptions!$B$12,D660+G660),IF(B660="Deferred",MIN(Assumptions!$B$12,D660),D660))</f>
        <v>38.1</v>
      </c>
      <c r="J660" s="17">
        <f>IF(B660="Active",H660*I660*Assumptions!$B$11,IF(B660="Deferred",E660*I660*Assumptions!$B$11*(1+Assumptions!$B$9)^G660,F660))</f>
        <v>2396981.089894522</v>
      </c>
      <c r="K660" s="11">
        <f>IF(B660="Pensioner",1,VLOOKUP(Assumptions!$B$10,Mortality!$A$2:$F$104,6,FALSE)/VLOOKUP(C660,Mortality!$A$2:$F$104,6,FALSE))</f>
        <v>0.96949713302845153</v>
      </c>
      <c r="L660" s="11">
        <f>VLOOKUP(IF(B660="Pensioner",C660,Assumptions!$B$10),Mortality!$A$2:$E$104,5,FALSE)</f>
        <v>17.296790022132885</v>
      </c>
      <c r="M660" s="11">
        <f>1+Assumptions!$B$13*Assumptions!$B$14*Assumptions!$B$15</f>
        <v>1.3187500000000001</v>
      </c>
      <c r="N660" s="11">
        <f>IF(B660="Pensioner",1,1/(1+Assumptions!$B$6)^G660)</f>
        <v>0.12515924752227392</v>
      </c>
      <c r="O660" s="17">
        <f t="shared" si="10"/>
        <v>6634406.3230895223</v>
      </c>
    </row>
    <row r="661" spans="1:15">
      <c r="A661" s="13" t="str">
        <f>Members!A661</f>
        <v>D0022</v>
      </c>
      <c r="B661" s="13" t="str">
        <f>Members!B661</f>
        <v>Deferred</v>
      </c>
      <c r="C661" s="13">
        <f>Members!C661</f>
        <v>58</v>
      </c>
      <c r="D661" s="14">
        <f>Members!D661</f>
        <v>3</v>
      </c>
      <c r="E661" s="16">
        <f>Members!E661</f>
        <v>1364000</v>
      </c>
      <c r="F661" s="16">
        <f>Members!F661</f>
        <v>0</v>
      </c>
      <c r="G661" s="15">
        <f>MAX(0,Assumptions!$B$10-C661)</f>
        <v>2</v>
      </c>
      <c r="H661" s="17">
        <f>IF(B661="Active",E661*(1+Assumptions!$B$7)^G661,E661)</f>
        <v>1364000</v>
      </c>
      <c r="I661" s="17">
        <f>IF(B661="Active",MIN(Assumptions!$B$12,D661+G661),IF(B661="Deferred",MIN(Assumptions!$B$12,D661),D661))</f>
        <v>3</v>
      </c>
      <c r="J661" s="17">
        <f>IF(B661="Active",H661*I661*Assumptions!$B$11,IF(B661="Deferred",E661*I661*Assumptions!$B$11*(1+Assumptions!$B$9)^G661,F661))</f>
        <v>73765.12000000001</v>
      </c>
      <c r="K661" s="11">
        <f>IF(B661="Pensioner",1,VLOOKUP(Assumptions!$B$10,Mortality!$A$2:$F$104,6,FALSE)/VLOOKUP(C661,Mortality!$A$2:$F$104,6,FALSE))</f>
        <v>0.99452130442038367</v>
      </c>
      <c r="L661" s="11">
        <f>VLOOKUP(IF(B661="Pensioner",C661,Assumptions!$B$10),Mortality!$A$2:$E$104,5,FALSE)</f>
        <v>17.296790022132885</v>
      </c>
      <c r="M661" s="11">
        <f>1+Assumptions!$B$13*Assumptions!$B$14*Assumptions!$B$15</f>
        <v>1.3187500000000001</v>
      </c>
      <c r="N661" s="11">
        <f>IF(B661="Pensioner",1,1/(1+Assumptions!$B$6)^G661)</f>
        <v>0.88165928277017358</v>
      </c>
      <c r="O661" s="17">
        <f t="shared" si="10"/>
        <v>1475346.1051895365</v>
      </c>
    </row>
    <row r="662" spans="1:15">
      <c r="A662" s="13" t="str">
        <f>Members!A662</f>
        <v>D0005</v>
      </c>
      <c r="B662" s="13" t="str">
        <f>Members!B662</f>
        <v>Deferred</v>
      </c>
      <c r="C662" s="13">
        <f>Members!C662</f>
        <v>58</v>
      </c>
      <c r="D662" s="14">
        <f>Members!D662</f>
        <v>13.6</v>
      </c>
      <c r="E662" s="16">
        <f>Members!E662</f>
        <v>1111000</v>
      </c>
      <c r="F662" s="16">
        <f>Members!F662</f>
        <v>0</v>
      </c>
      <c r="G662" s="15">
        <f>MAX(0,Assumptions!$B$10-C662)</f>
        <v>2</v>
      </c>
      <c r="H662" s="17">
        <f>IF(B662="Active",E662*(1+Assumptions!$B$7)^G662,E662)</f>
        <v>1111000</v>
      </c>
      <c r="I662" s="17">
        <f>IF(B662="Active",MIN(Assumptions!$B$12,D662+G662),IF(B662="Deferred",MIN(Assumptions!$B$12,D662),D662))</f>
        <v>13.6</v>
      </c>
      <c r="J662" s="17">
        <f>IF(B662="Active",H662*I662*Assumptions!$B$11,IF(B662="Deferred",E662*I662*Assumptions!$B$11*(1+Assumptions!$B$9)^G662,F662))</f>
        <v>272375.72266666667</v>
      </c>
      <c r="K662" s="11">
        <f>IF(B662="Pensioner",1,VLOOKUP(Assumptions!$B$10,Mortality!$A$2:$F$104,6,FALSE)/VLOOKUP(C662,Mortality!$A$2:$F$104,6,FALSE))</f>
        <v>0.99452130442038367</v>
      </c>
      <c r="L662" s="11">
        <f>VLOOKUP(IF(B662="Pensioner",C662,Assumptions!$B$10),Mortality!$A$2:$E$104,5,FALSE)</f>
        <v>17.296790022132885</v>
      </c>
      <c r="M662" s="11">
        <f>1+Assumptions!$B$13*Assumptions!$B$14*Assumptions!$B$15</f>
        <v>1.3187500000000001</v>
      </c>
      <c r="N662" s="11">
        <f>IF(B662="Pensioner",1,1/(1+Assumptions!$B$6)^G662)</f>
        <v>0.88165928277017358</v>
      </c>
      <c r="O662" s="17">
        <f t="shared" si="10"/>
        <v>5447675.8335708268</v>
      </c>
    </row>
    <row r="663" spans="1:15">
      <c r="A663" s="13" t="str">
        <f>Members!A663</f>
        <v>A0298</v>
      </c>
      <c r="B663" s="13" t="str">
        <f>Members!B663</f>
        <v>Active</v>
      </c>
      <c r="C663" s="13">
        <f>Members!C663</f>
        <v>25</v>
      </c>
      <c r="D663" s="14">
        <f>Members!D663</f>
        <v>1</v>
      </c>
      <c r="E663" s="16">
        <f>Members!E663</f>
        <v>343000</v>
      </c>
      <c r="F663" s="16">
        <f>Members!F663</f>
        <v>0</v>
      </c>
      <c r="G663" s="15">
        <f>MAX(0,Assumptions!$B$10-C663)</f>
        <v>35</v>
      </c>
      <c r="H663" s="17">
        <f>IF(B663="Active",E663*(1+Assumptions!$B$7)^G663,E663)</f>
        <v>2234241.977683913</v>
      </c>
      <c r="I663" s="17">
        <f>IF(B663="Active",MIN(Assumptions!$B$12,D663+G663),IF(B663="Deferred",MIN(Assumptions!$B$12,D663),D663))</f>
        <v>36</v>
      </c>
      <c r="J663" s="17">
        <f>IF(B663="Active",H663*I663*Assumptions!$B$11,IF(B663="Deferred",E663*I663*Assumptions!$B$11*(1+Assumptions!$B$9)^G663,F663))</f>
        <v>1340545.1866103478</v>
      </c>
      <c r="K663" s="11">
        <f>IF(B663="Pensioner",1,VLOOKUP(Assumptions!$B$10,Mortality!$A$2:$F$104,6,FALSE)/VLOOKUP(C663,Mortality!$A$2:$F$104,6,FALSE))</f>
        <v>0.96896729760411437</v>
      </c>
      <c r="L663" s="11">
        <f>VLOOKUP(IF(B663="Pensioner",C663,Assumptions!$B$10),Mortality!$A$2:$E$104,5,FALSE)</f>
        <v>17.296790022132885</v>
      </c>
      <c r="M663" s="11">
        <f>1+Assumptions!$B$13*Assumptions!$B$14*Assumptions!$B$15</f>
        <v>1.3187500000000001</v>
      </c>
      <c r="N663" s="11">
        <f>IF(B663="Pensioner",1,1/(1+Assumptions!$B$6)^G663)</f>
        <v>0.11034781240254267</v>
      </c>
      <c r="O663" s="17">
        <f t="shared" si="10"/>
        <v>3269507.1492400006</v>
      </c>
    </row>
    <row r="664" spans="1:15">
      <c r="A664" s="13" t="str">
        <f>Members!A664</f>
        <v>P0205</v>
      </c>
      <c r="B664" s="13" t="str">
        <f>Members!B664</f>
        <v>Pensioner</v>
      </c>
      <c r="C664" s="13">
        <f>Members!C664</f>
        <v>75</v>
      </c>
      <c r="D664" s="14">
        <f>Members!D664</f>
        <v>18.399999999999999</v>
      </c>
      <c r="E664" s="16">
        <f>Members!E664</f>
        <v>0</v>
      </c>
      <c r="F664" s="16">
        <f>Members!F664</f>
        <v>500000</v>
      </c>
      <c r="G664" s="15">
        <f>MAX(0,Assumptions!$B$10-C664)</f>
        <v>0</v>
      </c>
      <c r="H664" s="17">
        <f>IF(B664="Active",E664*(1+Assumptions!$B$7)^G664,E664)</f>
        <v>0</v>
      </c>
      <c r="I664" s="17">
        <f>IF(B664="Active",MIN(Assumptions!$B$12,D664+G664),IF(B664="Deferred",MIN(Assumptions!$B$12,D664),D664))</f>
        <v>18.399999999999999</v>
      </c>
      <c r="J664" s="17">
        <f>IF(B664="Active",H664*I664*Assumptions!$B$11,IF(B664="Deferred",E664*I664*Assumptions!$B$11*(1+Assumptions!$B$9)^G664,F664))</f>
        <v>500000</v>
      </c>
      <c r="K664" s="11">
        <f>IF(B664="Pensioner",1,VLOOKUP(Assumptions!$B$10,Mortality!$A$2:$F$104,6,FALSE)/VLOOKUP(C664,Mortality!$A$2:$F$104,6,FALSE))</f>
        <v>1</v>
      </c>
      <c r="L664" s="11">
        <f>VLOOKUP(IF(B664="Pensioner",C664,Assumptions!$B$10),Mortality!$A$2:$E$104,5,FALSE)</f>
        <v>10.662474804432929</v>
      </c>
      <c r="M664" s="11">
        <f>1+Assumptions!$B$13*Assumptions!$B$14*Assumptions!$B$15</f>
        <v>1.3187500000000001</v>
      </c>
      <c r="N664" s="11">
        <f>IF(B664="Pensioner",1,1/(1+Assumptions!$B$6)^G664)</f>
        <v>1</v>
      </c>
      <c r="O664" s="17">
        <f t="shared" si="10"/>
        <v>7030569.3241729625</v>
      </c>
    </row>
    <row r="665" spans="1:15">
      <c r="A665" s="13" t="str">
        <f>Members!A665</f>
        <v>A0147</v>
      </c>
      <c r="B665" s="13" t="str">
        <f>Members!B665</f>
        <v>Active</v>
      </c>
      <c r="C665" s="13">
        <f>Members!C665</f>
        <v>44</v>
      </c>
      <c r="D665" s="14">
        <f>Members!D665</f>
        <v>1.3</v>
      </c>
      <c r="E665" s="16">
        <f>Members!E665</f>
        <v>1282000</v>
      </c>
      <c r="F665" s="16">
        <f>Members!F665</f>
        <v>0</v>
      </c>
      <c r="G665" s="15">
        <f>MAX(0,Assumptions!$B$10-C665)</f>
        <v>16</v>
      </c>
      <c r="H665" s="17">
        <f>IF(B665="Active",E665*(1+Assumptions!$B$7)^G665,E665)</f>
        <v>3019446.7805167492</v>
      </c>
      <c r="I665" s="17">
        <f>IF(B665="Active",MIN(Assumptions!$B$12,D665+G665),IF(B665="Deferred",MIN(Assumptions!$B$12,D665),D665))</f>
        <v>17.3</v>
      </c>
      <c r="J665" s="17">
        <f>IF(B665="Active",H665*I665*Assumptions!$B$11,IF(B665="Deferred",E665*I665*Assumptions!$B$11*(1+Assumptions!$B$9)^G665,F665))</f>
        <v>870607.15504899609</v>
      </c>
      <c r="K665" s="11">
        <f>IF(B665="Pensioner",1,VLOOKUP(Assumptions!$B$10,Mortality!$A$2:$F$104,6,FALSE)/VLOOKUP(C665,Mortality!$A$2:$F$104,6,FALSE))</f>
        <v>0.97626822121787327</v>
      </c>
      <c r="L665" s="11">
        <f>VLOOKUP(IF(B665="Pensioner",C665,Assumptions!$B$10),Mortality!$A$2:$E$104,5,FALSE)</f>
        <v>17.296790022132885</v>
      </c>
      <c r="M665" s="11">
        <f>1+Assumptions!$B$13*Assumptions!$B$14*Assumptions!$B$15</f>
        <v>1.3187500000000001</v>
      </c>
      <c r="N665" s="11">
        <f>IF(B665="Pensioner",1,1/(1+Assumptions!$B$6)^G665)</f>
        <v>0.36509532811475648</v>
      </c>
      <c r="O665" s="17">
        <f t="shared" si="10"/>
        <v>7078245.9031693256</v>
      </c>
    </row>
    <row r="666" spans="1:15">
      <c r="A666" s="13" t="str">
        <f>Members!A666</f>
        <v>A0323</v>
      </c>
      <c r="B666" s="13" t="str">
        <f>Members!B666</f>
        <v>Active</v>
      </c>
      <c r="C666" s="13">
        <f>Members!C666</f>
        <v>26</v>
      </c>
      <c r="D666" s="14">
        <f>Members!D666</f>
        <v>1</v>
      </c>
      <c r="E666" s="16">
        <f>Members!E666</f>
        <v>411000</v>
      </c>
      <c r="F666" s="16">
        <f>Members!F666</f>
        <v>0</v>
      </c>
      <c r="G666" s="15">
        <f>MAX(0,Assumptions!$B$10-C666)</f>
        <v>34</v>
      </c>
      <c r="H666" s="17">
        <f>IF(B666="Active",E666*(1+Assumptions!$B$7)^G666,E666)</f>
        <v>2537613.3442805693</v>
      </c>
      <c r="I666" s="17">
        <f>IF(B666="Active",MIN(Assumptions!$B$12,D666+G666),IF(B666="Deferred",MIN(Assumptions!$B$12,D666),D666))</f>
        <v>35</v>
      </c>
      <c r="J666" s="17">
        <f>IF(B666="Active",H666*I666*Assumptions!$B$11,IF(B666="Deferred",E666*I666*Assumptions!$B$11*(1+Assumptions!$B$9)^G666,F666))</f>
        <v>1480274.4508303322</v>
      </c>
      <c r="K666" s="11">
        <f>IF(B666="Pensioner",1,VLOOKUP(Assumptions!$B$10,Mortality!$A$2:$F$104,6,FALSE)/VLOOKUP(C666,Mortality!$A$2:$F$104,6,FALSE))</f>
        <v>0.96922916291892547</v>
      </c>
      <c r="L666" s="11">
        <f>VLOOKUP(IF(B666="Pensioner",C666,Assumptions!$B$10),Mortality!$A$2:$E$104,5,FALSE)</f>
        <v>17.296790022132885</v>
      </c>
      <c r="M666" s="11">
        <f>1+Assumptions!$B$13*Assumptions!$B$14*Assumptions!$B$15</f>
        <v>1.3187500000000001</v>
      </c>
      <c r="N666" s="11">
        <f>IF(B666="Pensioner",1,1/(1+Assumptions!$B$6)^G666)</f>
        <v>0.11752042020870793</v>
      </c>
      <c r="O666" s="17">
        <f t="shared" si="10"/>
        <v>3846006.7133739791</v>
      </c>
    </row>
    <row r="667" spans="1:15">
      <c r="A667" s="13" t="str">
        <f>Members!A667</f>
        <v>A0417</v>
      </c>
      <c r="B667" s="13" t="str">
        <f>Members!B667</f>
        <v>Active</v>
      </c>
      <c r="C667" s="13">
        <f>Members!C667</f>
        <v>35</v>
      </c>
      <c r="D667" s="14">
        <f>Members!D667</f>
        <v>5.6</v>
      </c>
      <c r="E667" s="16">
        <f>Members!E667</f>
        <v>827000</v>
      </c>
      <c r="F667" s="16">
        <f>Members!F667</f>
        <v>0</v>
      </c>
      <c r="G667" s="15">
        <f>MAX(0,Assumptions!$B$10-C667)</f>
        <v>25</v>
      </c>
      <c r="H667" s="17">
        <f>IF(B667="Active",E667*(1+Assumptions!$B$7)^G667,E667)</f>
        <v>3153675.4723095023</v>
      </c>
      <c r="I667" s="17">
        <f>IF(B667="Active",MIN(Assumptions!$B$12,D667+G667),IF(B667="Deferred",MIN(Assumptions!$B$12,D667),D667))</f>
        <v>30.6</v>
      </c>
      <c r="J667" s="17">
        <f>IF(B667="Active",H667*I667*Assumptions!$B$11,IF(B667="Deferred",E667*I667*Assumptions!$B$11*(1+Assumptions!$B$9)^G667,F667))</f>
        <v>1608374.490877846</v>
      </c>
      <c r="K667" s="11">
        <f>IF(B667="Pensioner",1,VLOOKUP(Assumptions!$B$10,Mortality!$A$2:$F$104,6,FALSE)/VLOOKUP(C667,Mortality!$A$2:$F$104,6,FALSE))</f>
        <v>0.97197407653867529</v>
      </c>
      <c r="L667" s="11">
        <f>VLOOKUP(IF(B667="Pensioner",C667,Assumptions!$B$10),Mortality!$A$2:$E$104,5,FALSE)</f>
        <v>17.296790022132885</v>
      </c>
      <c r="M667" s="11">
        <f>1+Assumptions!$B$13*Assumptions!$B$14*Assumptions!$B$15</f>
        <v>1.3187500000000001</v>
      </c>
      <c r="N667" s="11">
        <f>IF(B667="Pensioner",1,1/(1+Assumptions!$B$6)^G667)</f>
        <v>0.20713801287132758</v>
      </c>
      <c r="O667" s="17">
        <f t="shared" si="10"/>
        <v>7386346.0428312114</v>
      </c>
    </row>
    <row r="668" spans="1:15">
      <c r="A668" s="13" t="str">
        <f>Members!A668</f>
        <v>A0072</v>
      </c>
      <c r="B668" s="13" t="str">
        <f>Members!B668</f>
        <v>Active</v>
      </c>
      <c r="C668" s="13">
        <f>Members!C668</f>
        <v>34</v>
      </c>
      <c r="D668" s="14">
        <f>Members!D668</f>
        <v>8</v>
      </c>
      <c r="E668" s="16">
        <f>Members!E668</f>
        <v>677000</v>
      </c>
      <c r="F668" s="16">
        <f>Members!F668</f>
        <v>0</v>
      </c>
      <c r="G668" s="15">
        <f>MAX(0,Assumptions!$B$10-C668)</f>
        <v>26</v>
      </c>
      <c r="H668" s="17">
        <f>IF(B668="Active",E668*(1+Assumptions!$B$7)^G668,E668)</f>
        <v>2723658.2841172642</v>
      </c>
      <c r="I668" s="17">
        <f>IF(B668="Active",MIN(Assumptions!$B$12,D668+G668),IF(B668="Deferred",MIN(Assumptions!$B$12,D668),D668))</f>
        <v>34</v>
      </c>
      <c r="J668" s="17">
        <f>IF(B668="Active",H668*I668*Assumptions!$B$11,IF(B668="Deferred",E668*I668*Assumptions!$B$11*(1+Assumptions!$B$9)^G668,F668))</f>
        <v>1543406.360999783</v>
      </c>
      <c r="K668" s="11">
        <f>IF(B668="Pensioner",1,VLOOKUP(Assumptions!$B$10,Mortality!$A$2:$F$104,6,FALSE)/VLOOKUP(C668,Mortality!$A$2:$F$104,6,FALSE))</f>
        <v>0.97162058192333911</v>
      </c>
      <c r="L668" s="11">
        <f>VLOOKUP(IF(B668="Pensioner",C668,Assumptions!$B$10),Mortality!$A$2:$E$104,5,FALSE)</f>
        <v>17.296790022132885</v>
      </c>
      <c r="M668" s="11">
        <f>1+Assumptions!$B$13*Assumptions!$B$14*Assumptions!$B$15</f>
        <v>1.3187500000000001</v>
      </c>
      <c r="N668" s="11">
        <f>IF(B668="Pensioner",1,1/(1+Assumptions!$B$6)^G668)</f>
        <v>0.19449578673364096</v>
      </c>
      <c r="O668" s="17">
        <f t="shared" si="10"/>
        <v>6652964.0315218922</v>
      </c>
    </row>
    <row r="669" spans="1:15">
      <c r="A669" s="13" t="str">
        <f>Members!A669</f>
        <v>A0003</v>
      </c>
      <c r="B669" s="13" t="str">
        <f>Members!B669</f>
        <v>Active</v>
      </c>
      <c r="C669" s="13">
        <f>Members!C669</f>
        <v>53</v>
      </c>
      <c r="D669" s="14">
        <f>Members!D669</f>
        <v>9.1999999999999993</v>
      </c>
      <c r="E669" s="16">
        <f>Members!E669</f>
        <v>1679000</v>
      </c>
      <c r="F669" s="16">
        <f>Members!F669</f>
        <v>0</v>
      </c>
      <c r="G669" s="15">
        <f>MAX(0,Assumptions!$B$10-C669)</f>
        <v>7</v>
      </c>
      <c r="H669" s="17">
        <f>IF(B669="Active",E669*(1+Assumptions!$B$7)^G669,E669)</f>
        <v>2442406.3115436402</v>
      </c>
      <c r="I669" s="17">
        <f>IF(B669="Active",MIN(Assumptions!$B$12,D669+G669),IF(B669="Deferred",MIN(Assumptions!$B$12,D669),D669))</f>
        <v>16.2</v>
      </c>
      <c r="J669" s="17">
        <f>IF(B669="Active",H669*I669*Assumptions!$B$11,IF(B669="Deferred",E669*I669*Assumptions!$B$11*(1+Assumptions!$B$9)^G669,F669))</f>
        <v>659449.70411678276</v>
      </c>
      <c r="K669" s="11">
        <f>IF(B669="Pensioner",1,VLOOKUP(Assumptions!$B$10,Mortality!$A$2:$F$104,6,FALSE)/VLOOKUP(C669,Mortality!$A$2:$F$104,6,FALSE))</f>
        <v>0.98503000174313171</v>
      </c>
      <c r="L669" s="11">
        <f>VLOOKUP(IF(B669="Pensioner",C669,Assumptions!$B$10),Mortality!$A$2:$E$104,5,FALSE)</f>
        <v>17.296790022132885</v>
      </c>
      <c r="M669" s="11">
        <f>1+Assumptions!$B$13*Assumptions!$B$14*Assumptions!$B$15</f>
        <v>1.3187500000000001</v>
      </c>
      <c r="N669" s="11">
        <f>IF(B669="Pensioner",1,1/(1+Assumptions!$B$6)^G669)</f>
        <v>0.64350621483475945</v>
      </c>
      <c r="O669" s="17">
        <f t="shared" si="10"/>
        <v>9534806.1406468712</v>
      </c>
    </row>
    <row r="670" spans="1:15">
      <c r="A670" s="13" t="str">
        <f>Members!A670</f>
        <v>A0233</v>
      </c>
      <c r="B670" s="13" t="str">
        <f>Members!B670</f>
        <v>Active</v>
      </c>
      <c r="C670" s="13">
        <f>Members!C670</f>
        <v>32</v>
      </c>
      <c r="D670" s="14">
        <f>Members!D670</f>
        <v>2.7</v>
      </c>
      <c r="E670" s="16">
        <f>Members!E670</f>
        <v>557000</v>
      </c>
      <c r="F670" s="16">
        <f>Members!F670</f>
        <v>0</v>
      </c>
      <c r="G670" s="15">
        <f>MAX(0,Assumptions!$B$10-C670)</f>
        <v>28</v>
      </c>
      <c r="H670" s="17">
        <f>IF(B670="Active",E670*(1+Assumptions!$B$7)^G670,E670)</f>
        <v>2494158.5926965242</v>
      </c>
      <c r="I670" s="17">
        <f>IF(B670="Active",MIN(Assumptions!$B$12,D670+G670),IF(B670="Deferred",MIN(Assumptions!$B$12,D670),D670))</f>
        <v>30.7</v>
      </c>
      <c r="J670" s="17">
        <f>IF(B670="Active",H670*I670*Assumptions!$B$11,IF(B670="Deferred",E670*I670*Assumptions!$B$11*(1+Assumptions!$B$9)^G670,F670))</f>
        <v>1276177.8132630549</v>
      </c>
      <c r="K670" s="11">
        <f>IF(B670="Pensioner",1,VLOOKUP(Assumptions!$B$10,Mortality!$A$2:$F$104,6,FALSE)/VLOOKUP(C670,Mortality!$A$2:$F$104,6,FALSE))</f>
        <v>0.97095846876649572</v>
      </c>
      <c r="L670" s="11">
        <f>VLOOKUP(IF(B670="Pensioner",C670,Assumptions!$B$10),Mortality!$A$2:$E$104,5,FALSE)</f>
        <v>17.296790022132885</v>
      </c>
      <c r="M670" s="11">
        <f>1+Assumptions!$B$13*Assumptions!$B$14*Assumptions!$B$15</f>
        <v>1.3187500000000001</v>
      </c>
      <c r="N670" s="11">
        <f>IF(B670="Pensioner",1,1/(1+Assumptions!$B$6)^G670)</f>
        <v>0.17147901583340255</v>
      </c>
      <c r="O670" s="17">
        <f t="shared" si="10"/>
        <v>4846752.1568308109</v>
      </c>
    </row>
    <row r="671" spans="1:15">
      <c r="A671" s="13" t="str">
        <f>Members!A671</f>
        <v>A0595</v>
      </c>
      <c r="B671" s="13" t="str">
        <f>Members!B671</f>
        <v>Active</v>
      </c>
      <c r="C671" s="13">
        <f>Members!C671</f>
        <v>51</v>
      </c>
      <c r="D671" s="14">
        <f>Members!D671</f>
        <v>23.4</v>
      </c>
      <c r="E671" s="16">
        <f>Members!E671</f>
        <v>1585000</v>
      </c>
      <c r="F671" s="16">
        <f>Members!F671</f>
        <v>0</v>
      </c>
      <c r="G671" s="15">
        <f>MAX(0,Assumptions!$B$10-C671)</f>
        <v>9</v>
      </c>
      <c r="H671" s="17">
        <f>IF(B671="Active",E671*(1+Assumptions!$B$7)^G671,E671)</f>
        <v>2566264.4232136919</v>
      </c>
      <c r="I671" s="17">
        <f>IF(B671="Active",MIN(Assumptions!$B$12,D671+G671),IF(B671="Deferred",MIN(Assumptions!$B$12,D671),D671))</f>
        <v>32.4</v>
      </c>
      <c r="J671" s="17">
        <f>IF(B671="Active",H671*I671*Assumptions!$B$11,IF(B671="Deferred",E671*I671*Assumptions!$B$11*(1+Assumptions!$B$9)^G671,F671))</f>
        <v>1385782.7885353935</v>
      </c>
      <c r="K671" s="11">
        <f>IF(B671="Pensioner",1,VLOOKUP(Assumptions!$B$10,Mortality!$A$2:$F$104,6,FALSE)/VLOOKUP(C671,Mortality!$A$2:$F$104,6,FALSE))</f>
        <v>0.98240527975061542</v>
      </c>
      <c r="L671" s="11">
        <f>VLOOKUP(IF(B671="Pensioner",C671,Assumptions!$B$10),Mortality!$A$2:$E$104,5,FALSE)</f>
        <v>17.296790022132885</v>
      </c>
      <c r="M671" s="11">
        <f>1+Assumptions!$B$13*Assumptions!$B$14*Assumptions!$B$15</f>
        <v>1.3187500000000001</v>
      </c>
      <c r="N671" s="11">
        <f>IF(B671="Pensioner",1,1/(1+Assumptions!$B$6)^G671)</f>
        <v>0.56735322782936326</v>
      </c>
      <c r="O671" s="17">
        <f t="shared" si="10"/>
        <v>17618436.553534701</v>
      </c>
    </row>
    <row r="672" spans="1:15">
      <c r="A672" s="13" t="str">
        <f>Members!A672</f>
        <v>A0113</v>
      </c>
      <c r="B672" s="13" t="str">
        <f>Members!B672</f>
        <v>Active</v>
      </c>
      <c r="C672" s="13">
        <f>Members!C672</f>
        <v>58</v>
      </c>
      <c r="D672" s="14">
        <f>Members!D672</f>
        <v>26.8</v>
      </c>
      <c r="E672" s="16">
        <f>Members!E672</f>
        <v>1508000</v>
      </c>
      <c r="F672" s="16">
        <f>Members!F672</f>
        <v>0</v>
      </c>
      <c r="G672" s="15">
        <f>MAX(0,Assumptions!$B$10-C672)</f>
        <v>2</v>
      </c>
      <c r="H672" s="17">
        <f>IF(B672="Active",E672*(1+Assumptions!$B$7)^G672,E672)</f>
        <v>1678441.7</v>
      </c>
      <c r="I672" s="17">
        <f>IF(B672="Active",MIN(Assumptions!$B$12,D672+G672),IF(B672="Deferred",MIN(Assumptions!$B$12,D672),D672))</f>
        <v>28.8</v>
      </c>
      <c r="J672" s="17">
        <f>IF(B672="Active",H672*I672*Assumptions!$B$11,IF(B672="Deferred",E672*I672*Assumptions!$B$11*(1+Assumptions!$B$9)^G672,F672))</f>
        <v>805652.01600000006</v>
      </c>
      <c r="K672" s="11">
        <f>IF(B672="Pensioner",1,VLOOKUP(Assumptions!$B$10,Mortality!$A$2:$F$104,6,FALSE)/VLOOKUP(C672,Mortality!$A$2:$F$104,6,FALSE))</f>
        <v>0.99452130442038367</v>
      </c>
      <c r="L672" s="11">
        <f>VLOOKUP(IF(B672="Pensioner",C672,Assumptions!$B$10),Mortality!$A$2:$E$104,5,FALSE)</f>
        <v>17.296790022132885</v>
      </c>
      <c r="M672" s="11">
        <f>1+Assumptions!$B$13*Assumptions!$B$14*Assumptions!$B$15</f>
        <v>1.3187500000000001</v>
      </c>
      <c r="N672" s="11">
        <f>IF(B672="Pensioner",1,1/(1+Assumptions!$B$6)^G672)</f>
        <v>0.88165928277017358</v>
      </c>
      <c r="O672" s="17">
        <f t="shared" si="10"/>
        <v>16113517.661785115</v>
      </c>
    </row>
    <row r="673" spans="1:15">
      <c r="A673" s="13" t="str">
        <f>Members!A673</f>
        <v>A0140</v>
      </c>
      <c r="B673" s="13" t="str">
        <f>Members!B673</f>
        <v>Active</v>
      </c>
      <c r="C673" s="13">
        <f>Members!C673</f>
        <v>56</v>
      </c>
      <c r="D673" s="14">
        <f>Members!D673</f>
        <v>2.2999999999999998</v>
      </c>
      <c r="E673" s="16">
        <f>Members!E673</f>
        <v>2030000</v>
      </c>
      <c r="F673" s="16">
        <f>Members!F673</f>
        <v>0</v>
      </c>
      <c r="G673" s="15">
        <f>MAX(0,Assumptions!$B$10-C673)</f>
        <v>4</v>
      </c>
      <c r="H673" s="17">
        <f>IF(B673="Active",E673*(1+Assumptions!$B$7)^G673,E673)</f>
        <v>2514814.0407687495</v>
      </c>
      <c r="I673" s="17">
        <f>IF(B673="Active",MIN(Assumptions!$B$12,D673+G673),IF(B673="Deferred",MIN(Assumptions!$B$12,D673),D673))</f>
        <v>6.3</v>
      </c>
      <c r="J673" s="17">
        <f>IF(B673="Active",H673*I673*Assumptions!$B$11,IF(B673="Deferred",E673*I673*Assumptions!$B$11*(1+Assumptions!$B$9)^G673,F673))</f>
        <v>264055.47428071866</v>
      </c>
      <c r="K673" s="11">
        <f>IF(B673="Pensioner",1,VLOOKUP(Assumptions!$B$10,Mortality!$A$2:$F$104,6,FALSE)/VLOOKUP(C673,Mortality!$A$2:$F$104,6,FALSE))</f>
        <v>0.99011625581042195</v>
      </c>
      <c r="L673" s="11">
        <f>VLOOKUP(IF(B673="Pensioner",C673,Assumptions!$B$10),Mortality!$A$2:$E$104,5,FALSE)</f>
        <v>17.296790022132885</v>
      </c>
      <c r="M673" s="11">
        <f>1+Assumptions!$B$13*Assumptions!$B$14*Assumptions!$B$15</f>
        <v>1.3187500000000001</v>
      </c>
      <c r="N673" s="11">
        <f>IF(B673="Pensioner",1,1/(1+Assumptions!$B$6)^G673)</f>
        <v>0.77732309089481699</v>
      </c>
      <c r="O673" s="17">
        <f t="shared" si="10"/>
        <v>4635653.0169996098</v>
      </c>
    </row>
    <row r="674" spans="1:15">
      <c r="A674" s="13" t="str">
        <f>Members!A674</f>
        <v>A0322</v>
      </c>
      <c r="B674" s="13" t="str">
        <f>Members!B674</f>
        <v>Active</v>
      </c>
      <c r="C674" s="13">
        <f>Members!C674</f>
        <v>46</v>
      </c>
      <c r="D674" s="14">
        <f>Members!D674</f>
        <v>17.7</v>
      </c>
      <c r="E674" s="16">
        <f>Members!E674</f>
        <v>849000</v>
      </c>
      <c r="F674" s="16">
        <f>Members!F674</f>
        <v>0</v>
      </c>
      <c r="G674" s="15">
        <f>MAX(0,Assumptions!$B$10-C674)</f>
        <v>14</v>
      </c>
      <c r="H674" s="17">
        <f>IF(B674="Active",E674*(1+Assumptions!$B$7)^G674,E674)</f>
        <v>1796561.6510995445</v>
      </c>
      <c r="I674" s="17">
        <f>IF(B674="Active",MIN(Assumptions!$B$12,D674+G674),IF(B674="Deferred",MIN(Assumptions!$B$12,D674),D674))</f>
        <v>31.7</v>
      </c>
      <c r="J674" s="17">
        <f>IF(B674="Active",H674*I674*Assumptions!$B$11,IF(B674="Deferred",E674*I674*Assumptions!$B$11*(1+Assumptions!$B$9)^G674,F674))</f>
        <v>949183.40566425934</v>
      </c>
      <c r="K674" s="11">
        <f>IF(B674="Pensioner",1,VLOOKUP(Assumptions!$B$10,Mortality!$A$2:$F$104,6,FALSE)/VLOOKUP(C674,Mortality!$A$2:$F$104,6,FALSE))</f>
        <v>0.97765823283048059</v>
      </c>
      <c r="L674" s="11">
        <f>VLOOKUP(IF(B674="Pensioner",C674,Assumptions!$B$10),Mortality!$A$2:$E$104,5,FALSE)</f>
        <v>17.296790022132885</v>
      </c>
      <c r="M674" s="11">
        <f>1+Assumptions!$B$13*Assumptions!$B$14*Assumptions!$B$15</f>
        <v>1.3187500000000001</v>
      </c>
      <c r="N674" s="11">
        <f>IF(B674="Pensioner",1,1/(1+Assumptions!$B$6)^G674)</f>
        <v>0.41410024853095956</v>
      </c>
      <c r="O674" s="17">
        <f t="shared" si="10"/>
        <v>8765378.5319016892</v>
      </c>
    </row>
    <row r="675" spans="1:15">
      <c r="A675" s="13" t="str">
        <f>Members!A675</f>
        <v>A0092</v>
      </c>
      <c r="B675" s="13" t="str">
        <f>Members!B675</f>
        <v>Active</v>
      </c>
      <c r="C675" s="13">
        <f>Members!C675</f>
        <v>45</v>
      </c>
      <c r="D675" s="14">
        <f>Members!D675</f>
        <v>17.7</v>
      </c>
      <c r="E675" s="16">
        <f>Members!E675</f>
        <v>1154000</v>
      </c>
      <c r="F675" s="16">
        <f>Members!F675</f>
        <v>0</v>
      </c>
      <c r="G675" s="15">
        <f>MAX(0,Assumptions!$B$10-C675)</f>
        <v>15</v>
      </c>
      <c r="H675" s="17">
        <f>IF(B675="Active",E675*(1+Assumptions!$B$7)^G675,E675)</f>
        <v>2576277.872042594</v>
      </c>
      <c r="I675" s="17">
        <f>IF(B675="Active",MIN(Assumptions!$B$12,D675+G675),IF(B675="Deferred",MIN(Assumptions!$B$12,D675),D675))</f>
        <v>32.700000000000003</v>
      </c>
      <c r="J675" s="17">
        <f>IF(B675="Active",H675*I675*Assumptions!$B$11,IF(B675="Deferred",E675*I675*Assumptions!$B$11*(1+Assumptions!$B$9)^G675,F675))</f>
        <v>1404071.4402632141</v>
      </c>
      <c r="K675" s="11">
        <f>IF(B675="Pensioner",1,VLOOKUP(Assumptions!$B$10,Mortality!$A$2:$F$104,6,FALSE)/VLOOKUP(C675,Mortality!$A$2:$F$104,6,FALSE))</f>
        <v>0.97693494781946555</v>
      </c>
      <c r="L675" s="11">
        <f>VLOOKUP(IF(B675="Pensioner",C675,Assumptions!$B$10),Mortality!$A$2:$E$104,5,FALSE)</f>
        <v>17.296790022132885</v>
      </c>
      <c r="M675" s="11">
        <f>1+Assumptions!$B$13*Assumptions!$B$14*Assumptions!$B$15</f>
        <v>1.3187500000000001</v>
      </c>
      <c r="N675" s="11">
        <f>IF(B675="Pensioner",1,1/(1+Assumptions!$B$6)^G675)</f>
        <v>0.38882652444221566</v>
      </c>
      <c r="O675" s="17">
        <f t="shared" si="10"/>
        <v>12165745.323086785</v>
      </c>
    </row>
    <row r="676" spans="1:15">
      <c r="A676" s="13" t="str">
        <f>Members!A676</f>
        <v>P0166</v>
      </c>
      <c r="B676" s="13" t="str">
        <f>Members!B676</f>
        <v>Pensioner</v>
      </c>
      <c r="C676" s="13">
        <f>Members!C676</f>
        <v>84</v>
      </c>
      <c r="D676" s="14">
        <f>Members!D676</f>
        <v>28.8</v>
      </c>
      <c r="E676" s="16">
        <f>Members!E676</f>
        <v>0</v>
      </c>
      <c r="F676" s="16">
        <f>Members!F676</f>
        <v>536000</v>
      </c>
      <c r="G676" s="15">
        <f>MAX(0,Assumptions!$B$10-C676)</f>
        <v>0</v>
      </c>
      <c r="H676" s="17">
        <f>IF(B676="Active",E676*(1+Assumptions!$B$7)^G676,E676)</f>
        <v>0</v>
      </c>
      <c r="I676" s="17">
        <f>IF(B676="Active",MIN(Assumptions!$B$12,D676+G676),IF(B676="Deferred",MIN(Assumptions!$B$12,D676),D676))</f>
        <v>28.8</v>
      </c>
      <c r="J676" s="17">
        <f>IF(B676="Active",H676*I676*Assumptions!$B$11,IF(B676="Deferred",E676*I676*Assumptions!$B$11*(1+Assumptions!$B$9)^G676,F676))</f>
        <v>536000</v>
      </c>
      <c r="K676" s="11">
        <f>IF(B676="Pensioner",1,VLOOKUP(Assumptions!$B$10,Mortality!$A$2:$F$104,6,FALSE)/VLOOKUP(C676,Mortality!$A$2:$F$104,6,FALSE))</f>
        <v>1</v>
      </c>
      <c r="L676" s="11">
        <f>VLOOKUP(IF(B676="Pensioner",C676,Assumptions!$B$10),Mortality!$A$2:$E$104,5,FALSE)</f>
        <v>6.6432720965175314</v>
      </c>
      <c r="M676" s="11">
        <f>1+Assumptions!$B$13*Assumptions!$B$14*Assumptions!$B$15</f>
        <v>1.3187500000000001</v>
      </c>
      <c r="N676" s="11">
        <f>IF(B676="Pensioner",1,1/(1+Assumptions!$B$6)^G676)</f>
        <v>1</v>
      </c>
      <c r="O676" s="17">
        <f t="shared" si="10"/>
        <v>4695796.8814234175</v>
      </c>
    </row>
    <row r="677" spans="1:15">
      <c r="A677" s="13" t="str">
        <f>Members!A677</f>
        <v>P0124</v>
      </c>
      <c r="B677" s="13" t="str">
        <f>Members!B677</f>
        <v>Pensioner</v>
      </c>
      <c r="C677" s="13">
        <f>Members!C677</f>
        <v>68</v>
      </c>
      <c r="D677" s="14">
        <f>Members!D677</f>
        <v>32.4</v>
      </c>
      <c r="E677" s="16">
        <f>Members!E677</f>
        <v>0</v>
      </c>
      <c r="F677" s="16">
        <f>Members!F677</f>
        <v>212000</v>
      </c>
      <c r="G677" s="15">
        <f>MAX(0,Assumptions!$B$10-C677)</f>
        <v>0</v>
      </c>
      <c r="H677" s="17">
        <f>IF(B677="Active",E677*(1+Assumptions!$B$7)^G677,E677)</f>
        <v>0</v>
      </c>
      <c r="I677" s="17">
        <f>IF(B677="Active",MIN(Assumptions!$B$12,D677+G677),IF(B677="Deferred",MIN(Assumptions!$B$12,D677),D677))</f>
        <v>32.4</v>
      </c>
      <c r="J677" s="17">
        <f>IF(B677="Active",H677*I677*Assumptions!$B$11,IF(B677="Deferred",E677*I677*Assumptions!$B$11*(1+Assumptions!$B$9)^G677,F677))</f>
        <v>212000</v>
      </c>
      <c r="K677" s="11">
        <f>IF(B677="Pensioner",1,VLOOKUP(Assumptions!$B$10,Mortality!$A$2:$F$104,6,FALSE)/VLOOKUP(C677,Mortality!$A$2:$F$104,6,FALSE))</f>
        <v>1</v>
      </c>
      <c r="L677" s="11">
        <f>VLOOKUP(IF(B677="Pensioner",C677,Assumptions!$B$10),Mortality!$A$2:$E$104,5,FALSE)</f>
        <v>13.869459484105445</v>
      </c>
      <c r="M677" s="11">
        <f>1+Assumptions!$B$13*Assumptions!$B$14*Assumptions!$B$15</f>
        <v>1.3187500000000001</v>
      </c>
      <c r="N677" s="11">
        <f>IF(B677="Pensioner",1,1/(1+Assumptions!$B$6)^G677)</f>
        <v>1</v>
      </c>
      <c r="O677" s="17">
        <f t="shared" si="10"/>
        <v>3877554.1352687799</v>
      </c>
    </row>
    <row r="678" spans="1:15">
      <c r="A678" s="13" t="str">
        <f>Members!A678</f>
        <v>P0087</v>
      </c>
      <c r="B678" s="13" t="str">
        <f>Members!B678</f>
        <v>Pensioner</v>
      </c>
      <c r="C678" s="13">
        <f>Members!C678</f>
        <v>61</v>
      </c>
      <c r="D678" s="14">
        <f>Members!D678</f>
        <v>23.8</v>
      </c>
      <c r="E678" s="16">
        <f>Members!E678</f>
        <v>0</v>
      </c>
      <c r="F678" s="16">
        <f>Members!F678</f>
        <v>252000</v>
      </c>
      <c r="G678" s="15">
        <f>MAX(0,Assumptions!$B$10-C678)</f>
        <v>0</v>
      </c>
      <c r="H678" s="17">
        <f>IF(B678="Active",E678*(1+Assumptions!$B$7)^G678,E678)</f>
        <v>0</v>
      </c>
      <c r="I678" s="17">
        <f>IF(B678="Active",MIN(Assumptions!$B$12,D678+G678),IF(B678="Deferred",MIN(Assumptions!$B$12,D678),D678))</f>
        <v>23.8</v>
      </c>
      <c r="J678" s="17">
        <f>IF(B678="Active",H678*I678*Assumptions!$B$11,IF(B678="Deferred",E678*I678*Assumptions!$B$11*(1+Assumptions!$B$9)^G678,F678))</f>
        <v>252000</v>
      </c>
      <c r="K678" s="11">
        <f>IF(B678="Pensioner",1,VLOOKUP(Assumptions!$B$10,Mortality!$A$2:$F$104,6,FALSE)/VLOOKUP(C678,Mortality!$A$2:$F$104,6,FALSE))</f>
        <v>1</v>
      </c>
      <c r="L678" s="11">
        <f>VLOOKUP(IF(B678="Pensioner",C678,Assumptions!$B$10),Mortality!$A$2:$E$104,5,FALSE)</f>
        <v>16.889485221588366</v>
      </c>
      <c r="M678" s="11">
        <f>1+Assumptions!$B$13*Assumptions!$B$14*Assumptions!$B$15</f>
        <v>1.3187500000000001</v>
      </c>
      <c r="N678" s="11">
        <f>IF(B678="Pensioner",1,1/(1+Assumptions!$B$6)^G678)</f>
        <v>1</v>
      </c>
      <c r="O678" s="17">
        <f t="shared" si="10"/>
        <v>5612798.176264354</v>
      </c>
    </row>
    <row r="679" spans="1:15">
      <c r="A679" s="13" t="str">
        <f>Members!A679</f>
        <v>P0061</v>
      </c>
      <c r="B679" s="13" t="str">
        <f>Members!B679</f>
        <v>Pensioner</v>
      </c>
      <c r="C679" s="13">
        <f>Members!C679</f>
        <v>64</v>
      </c>
      <c r="D679" s="14">
        <f>Members!D679</f>
        <v>15.2</v>
      </c>
      <c r="E679" s="16">
        <f>Members!E679</f>
        <v>0</v>
      </c>
      <c r="F679" s="16">
        <f>Members!F679</f>
        <v>270000</v>
      </c>
      <c r="G679" s="15">
        <f>MAX(0,Assumptions!$B$10-C679)</f>
        <v>0</v>
      </c>
      <c r="H679" s="17">
        <f>IF(B679="Active",E679*(1+Assumptions!$B$7)^G679,E679)</f>
        <v>0</v>
      </c>
      <c r="I679" s="17">
        <f>IF(B679="Active",MIN(Assumptions!$B$12,D679+G679),IF(B679="Deferred",MIN(Assumptions!$B$12,D679),D679))</f>
        <v>15.2</v>
      </c>
      <c r="J679" s="17">
        <f>IF(B679="Active",H679*I679*Assumptions!$B$11,IF(B679="Deferred",E679*I679*Assumptions!$B$11*(1+Assumptions!$B$9)^G679,F679))</f>
        <v>270000</v>
      </c>
      <c r="K679" s="11">
        <f>IF(B679="Pensioner",1,VLOOKUP(Assumptions!$B$10,Mortality!$A$2:$F$104,6,FALSE)/VLOOKUP(C679,Mortality!$A$2:$F$104,6,FALSE))</f>
        <v>1</v>
      </c>
      <c r="L679" s="11">
        <f>VLOOKUP(IF(B679="Pensioner",C679,Assumptions!$B$10),Mortality!$A$2:$E$104,5,FALSE)</f>
        <v>15.628758769824573</v>
      </c>
      <c r="M679" s="11">
        <f>1+Assumptions!$B$13*Assumptions!$B$14*Assumptions!$B$15</f>
        <v>1.3187500000000001</v>
      </c>
      <c r="N679" s="11">
        <f>IF(B679="Pensioner",1,1/(1+Assumptions!$B$6)^G679)</f>
        <v>1</v>
      </c>
      <c r="O679" s="17">
        <f t="shared" si="10"/>
        <v>5564814.9194806628</v>
      </c>
    </row>
    <row r="680" spans="1:15">
      <c r="A680" s="13" t="str">
        <f>Members!A680</f>
        <v>D0018</v>
      </c>
      <c r="B680" s="13" t="str">
        <f>Members!B680</f>
        <v>Deferred</v>
      </c>
      <c r="C680" s="13">
        <f>Members!C680</f>
        <v>40</v>
      </c>
      <c r="D680" s="14">
        <f>Members!D680</f>
        <v>10</v>
      </c>
      <c r="E680" s="16">
        <f>Members!E680</f>
        <v>445000</v>
      </c>
      <c r="F680" s="16">
        <f>Members!F680</f>
        <v>0</v>
      </c>
      <c r="G680" s="15">
        <f>MAX(0,Assumptions!$B$10-C680)</f>
        <v>20</v>
      </c>
      <c r="H680" s="17">
        <f>IF(B680="Active",E680*(1+Assumptions!$B$7)^G680,E680)</f>
        <v>445000</v>
      </c>
      <c r="I680" s="17">
        <f>IF(B680="Active",MIN(Assumptions!$B$12,D680+G680),IF(B680="Deferred",MIN(Assumptions!$B$12,D680),D680))</f>
        <v>10</v>
      </c>
      <c r="J680" s="17">
        <f>IF(B680="Active",H680*I680*Assumptions!$B$11,IF(B680="Deferred",E680*I680*Assumptions!$B$11*(1+Assumptions!$B$9)^G680,F680))</f>
        <v>162508.29977497875</v>
      </c>
      <c r="K680" s="11">
        <f>IF(B680="Pensioner",1,VLOOKUP(Assumptions!$B$10,Mortality!$A$2:$F$104,6,FALSE)/VLOOKUP(C680,Mortality!$A$2:$F$104,6,FALSE))</f>
        <v>0.97405112431987673</v>
      </c>
      <c r="L680" s="11">
        <f>VLOOKUP(IF(B680="Pensioner",C680,Assumptions!$B$10),Mortality!$A$2:$E$104,5,FALSE)</f>
        <v>17.296790022132885</v>
      </c>
      <c r="M680" s="11">
        <f>1+Assumptions!$B$13*Assumptions!$B$14*Assumptions!$B$15</f>
        <v>1.3187500000000001</v>
      </c>
      <c r="N680" s="11">
        <f>IF(B680="Pensioner",1,1/(1+Assumptions!$B$6)^G680)</f>
        <v>0.28379702892141989</v>
      </c>
      <c r="O680" s="17">
        <f t="shared" si="10"/>
        <v>1024691.4888405658</v>
      </c>
    </row>
    <row r="681" spans="1:15">
      <c r="A681" s="13" t="str">
        <f>Members!A681</f>
        <v>A0555</v>
      </c>
      <c r="B681" s="13" t="str">
        <f>Members!B681</f>
        <v>Active</v>
      </c>
      <c r="C681" s="13">
        <f>Members!C681</f>
        <v>51</v>
      </c>
      <c r="D681" s="14">
        <f>Members!D681</f>
        <v>15.5</v>
      </c>
      <c r="E681" s="16">
        <f>Members!E681</f>
        <v>1602000</v>
      </c>
      <c r="F681" s="16">
        <f>Members!F681</f>
        <v>0</v>
      </c>
      <c r="G681" s="15">
        <f>MAX(0,Assumptions!$B$10-C681)</f>
        <v>9</v>
      </c>
      <c r="H681" s="17">
        <f>IF(B681="Active",E681*(1+Assumptions!$B$7)^G681,E681)</f>
        <v>2593789.025860148</v>
      </c>
      <c r="I681" s="17">
        <f>IF(B681="Active",MIN(Assumptions!$B$12,D681+G681),IF(B681="Deferred",MIN(Assumptions!$B$12,D681),D681))</f>
        <v>24.5</v>
      </c>
      <c r="J681" s="17">
        <f>IF(B681="Active",H681*I681*Assumptions!$B$11,IF(B681="Deferred",E681*I681*Assumptions!$B$11*(1+Assumptions!$B$9)^G681,F681))</f>
        <v>1059130.5188928938</v>
      </c>
      <c r="K681" s="11">
        <f>IF(B681="Pensioner",1,VLOOKUP(Assumptions!$B$10,Mortality!$A$2:$F$104,6,FALSE)/VLOOKUP(C681,Mortality!$A$2:$F$104,6,FALSE))</f>
        <v>0.98240527975061542</v>
      </c>
      <c r="L681" s="11">
        <f>VLOOKUP(IF(B681="Pensioner",C681,Assumptions!$B$10),Mortality!$A$2:$E$104,5,FALSE)</f>
        <v>17.296790022132885</v>
      </c>
      <c r="M681" s="11">
        <f>1+Assumptions!$B$13*Assumptions!$B$14*Assumptions!$B$15</f>
        <v>1.3187500000000001</v>
      </c>
      <c r="N681" s="11">
        <f>IF(B681="Pensioner",1,1/(1+Assumptions!$B$6)^G681)</f>
        <v>0.56735322782936326</v>
      </c>
      <c r="O681" s="17">
        <f t="shared" si="10"/>
        <v>13465475.255864853</v>
      </c>
    </row>
    <row r="682" spans="1:15">
      <c r="A682" s="13" t="str">
        <f>Members!A682</f>
        <v>A0222</v>
      </c>
      <c r="B682" s="13" t="str">
        <f>Members!B682</f>
        <v>Active</v>
      </c>
      <c r="C682" s="13">
        <f>Members!C682</f>
        <v>42</v>
      </c>
      <c r="D682" s="14">
        <f>Members!D682</f>
        <v>7.1</v>
      </c>
      <c r="E682" s="16">
        <f>Members!E682</f>
        <v>830000</v>
      </c>
      <c r="F682" s="16">
        <f>Members!F682</f>
        <v>0</v>
      </c>
      <c r="G682" s="15">
        <f>MAX(0,Assumptions!$B$10-C682)</f>
        <v>18</v>
      </c>
      <c r="H682" s="17">
        <f>IF(B682="Active",E682*(1+Assumptions!$B$7)^G682,E682)</f>
        <v>2175817.0006975532</v>
      </c>
      <c r="I682" s="17">
        <f>IF(B682="Active",MIN(Assumptions!$B$12,D682+G682),IF(B682="Deferred",MIN(Assumptions!$B$12,D682),D682))</f>
        <v>25.1</v>
      </c>
      <c r="J682" s="17">
        <f>IF(B682="Active",H682*I682*Assumptions!$B$11,IF(B682="Deferred",E682*I682*Assumptions!$B$11*(1+Assumptions!$B$9)^G682,F682))</f>
        <v>910216.77862514311</v>
      </c>
      <c r="K682" s="11">
        <f>IF(B682="Pensioner",1,VLOOKUP(Assumptions!$B$10,Mortality!$A$2:$F$104,6,FALSE)/VLOOKUP(C682,Mortality!$A$2:$F$104,6,FALSE))</f>
        <v>0.97507997078383857</v>
      </c>
      <c r="L682" s="11">
        <f>VLOOKUP(IF(B682="Pensioner",C682,Assumptions!$B$10),Mortality!$A$2:$E$104,5,FALSE)</f>
        <v>17.296790022132885</v>
      </c>
      <c r="M682" s="11">
        <f>1+Assumptions!$B$13*Assumptions!$B$14*Assumptions!$B$15</f>
        <v>1.3187500000000001</v>
      </c>
      <c r="N682" s="11">
        <f>IF(B682="Pensioner",1,1/(1+Assumptions!$B$6)^G682)</f>
        <v>0.32188968512839738</v>
      </c>
      <c r="O682" s="17">
        <f t="shared" si="10"/>
        <v>6516585.8110112948</v>
      </c>
    </row>
    <row r="683" spans="1:15">
      <c r="A683" s="13" t="str">
        <f>Members!A683</f>
        <v>P0017</v>
      </c>
      <c r="B683" s="13" t="str">
        <f>Members!B683</f>
        <v>Pensioner</v>
      </c>
      <c r="C683" s="13">
        <f>Members!C683</f>
        <v>69</v>
      </c>
      <c r="D683" s="14">
        <f>Members!D683</f>
        <v>15.8</v>
      </c>
      <c r="E683" s="16">
        <f>Members!E683</f>
        <v>0</v>
      </c>
      <c r="F683" s="16">
        <f>Members!F683</f>
        <v>305000</v>
      </c>
      <c r="G683" s="15">
        <f>MAX(0,Assumptions!$B$10-C683)</f>
        <v>0</v>
      </c>
      <c r="H683" s="17">
        <f>IF(B683="Active",E683*(1+Assumptions!$B$7)^G683,E683)</f>
        <v>0</v>
      </c>
      <c r="I683" s="17">
        <f>IF(B683="Active",MIN(Assumptions!$B$12,D683+G683),IF(B683="Deferred",MIN(Assumptions!$B$12,D683),D683))</f>
        <v>15.8</v>
      </c>
      <c r="J683" s="17">
        <f>IF(B683="Active",H683*I683*Assumptions!$B$11,IF(B683="Deferred",E683*I683*Assumptions!$B$11*(1+Assumptions!$B$9)^G683,F683))</f>
        <v>305000</v>
      </c>
      <c r="K683" s="11">
        <f>IF(B683="Pensioner",1,VLOOKUP(Assumptions!$B$10,Mortality!$A$2:$F$104,6,FALSE)/VLOOKUP(C683,Mortality!$A$2:$F$104,6,FALSE))</f>
        <v>1</v>
      </c>
      <c r="L683" s="11">
        <f>VLOOKUP(IF(B683="Pensioner",C683,Assumptions!$B$10),Mortality!$A$2:$E$104,5,FALSE)</f>
        <v>13.418448528291036</v>
      </c>
      <c r="M683" s="11">
        <f>1+Assumptions!$B$13*Assumptions!$B$14*Assumptions!$B$15</f>
        <v>1.3187500000000001</v>
      </c>
      <c r="N683" s="11">
        <f>IF(B683="Pensioner",1,1/(1+Assumptions!$B$6)^G683)</f>
        <v>1</v>
      </c>
      <c r="O683" s="17">
        <f t="shared" si="10"/>
        <v>5397151.5939885601</v>
      </c>
    </row>
    <row r="684" spans="1:15">
      <c r="A684" s="13" t="str">
        <f>Members!A684</f>
        <v>P0184</v>
      </c>
      <c r="B684" s="13" t="str">
        <f>Members!B684</f>
        <v>Pensioner</v>
      </c>
      <c r="C684" s="13">
        <f>Members!C684</f>
        <v>86</v>
      </c>
      <c r="D684" s="14">
        <f>Members!D684</f>
        <v>36.200000000000003</v>
      </c>
      <c r="E684" s="16">
        <f>Members!E684</f>
        <v>0</v>
      </c>
      <c r="F684" s="16">
        <f>Members!F684</f>
        <v>383000</v>
      </c>
      <c r="G684" s="15">
        <f>MAX(0,Assumptions!$B$10-C684)</f>
        <v>0</v>
      </c>
      <c r="H684" s="17">
        <f>IF(B684="Active",E684*(1+Assumptions!$B$7)^G684,E684)</f>
        <v>0</v>
      </c>
      <c r="I684" s="17">
        <f>IF(B684="Active",MIN(Assumptions!$B$12,D684+G684),IF(B684="Deferred",MIN(Assumptions!$B$12,D684),D684))</f>
        <v>36.200000000000003</v>
      </c>
      <c r="J684" s="17">
        <f>IF(B684="Active",H684*I684*Assumptions!$B$11,IF(B684="Deferred",E684*I684*Assumptions!$B$11*(1+Assumptions!$B$9)^G684,F684))</f>
        <v>383000</v>
      </c>
      <c r="K684" s="11">
        <f>IF(B684="Pensioner",1,VLOOKUP(Assumptions!$B$10,Mortality!$A$2:$F$104,6,FALSE)/VLOOKUP(C684,Mortality!$A$2:$F$104,6,FALSE))</f>
        <v>1</v>
      </c>
      <c r="L684" s="11">
        <f>VLOOKUP(IF(B684="Pensioner",C684,Assumptions!$B$10),Mortality!$A$2:$E$104,5,FALSE)</f>
        <v>5.822832972912483</v>
      </c>
      <c r="M684" s="11">
        <f>1+Assumptions!$B$13*Assumptions!$B$14*Assumptions!$B$15</f>
        <v>1.3187500000000001</v>
      </c>
      <c r="N684" s="11">
        <f>IF(B684="Pensioner",1,1/(1+Assumptions!$B$6)^G684)</f>
        <v>1</v>
      </c>
      <c r="O684" s="17">
        <f t="shared" si="10"/>
        <v>2941003.756499853</v>
      </c>
    </row>
    <row r="685" spans="1:15">
      <c r="A685" s="13" t="str">
        <f>Members!A685</f>
        <v>A0331</v>
      </c>
      <c r="B685" s="13" t="str">
        <f>Members!B685</f>
        <v>Active</v>
      </c>
      <c r="C685" s="13">
        <f>Members!C685</f>
        <v>41</v>
      </c>
      <c r="D685" s="14">
        <f>Members!D685</f>
        <v>10.1</v>
      </c>
      <c r="E685" s="16">
        <f>Members!E685</f>
        <v>1152000</v>
      </c>
      <c r="F685" s="16">
        <f>Members!F685</f>
        <v>0</v>
      </c>
      <c r="G685" s="15">
        <f>MAX(0,Assumptions!$B$10-C685)</f>
        <v>19</v>
      </c>
      <c r="H685" s="17">
        <f>IF(B685="Active",E685*(1+Assumptions!$B$7)^G685,E685)</f>
        <v>3186025.240925034</v>
      </c>
      <c r="I685" s="17">
        <f>IF(B685="Active",MIN(Assumptions!$B$12,D685+G685),IF(B685="Deferred",MIN(Assumptions!$B$12,D685),D685))</f>
        <v>29.1</v>
      </c>
      <c r="J685" s="17">
        <f>IF(B685="Active",H685*I685*Assumptions!$B$11,IF(B685="Deferred",E685*I685*Assumptions!$B$11*(1+Assumptions!$B$9)^G685,F685))</f>
        <v>1545222.2418486415</v>
      </c>
      <c r="K685" s="11">
        <f>IF(B685="Pensioner",1,VLOOKUP(Assumptions!$B$10,Mortality!$A$2:$F$104,6,FALSE)/VLOOKUP(C685,Mortality!$A$2:$F$104,6,FALSE))</f>
        <v>0.97454789540795339</v>
      </c>
      <c r="L685" s="11">
        <f>VLOOKUP(IF(B685="Pensioner",C685,Assumptions!$B$10),Mortality!$A$2:$E$104,5,FALSE)</f>
        <v>17.296790022132885</v>
      </c>
      <c r="M685" s="11">
        <f>1+Assumptions!$B$13*Assumptions!$B$14*Assumptions!$B$15</f>
        <v>1.3187500000000001</v>
      </c>
      <c r="N685" s="11">
        <f>IF(B685="Pensioner",1,1/(1+Assumptions!$B$6)^G685)</f>
        <v>0.30224383580131214</v>
      </c>
      <c r="O685" s="17">
        <f t="shared" si="10"/>
        <v>10381965.39190948</v>
      </c>
    </row>
    <row r="686" spans="1:15">
      <c r="A686" s="13" t="str">
        <f>Members!A686</f>
        <v>A0297</v>
      </c>
      <c r="B686" s="13" t="str">
        <f>Members!B686</f>
        <v>Active</v>
      </c>
      <c r="C686" s="13">
        <f>Members!C686</f>
        <v>51</v>
      </c>
      <c r="D686" s="14">
        <f>Members!D686</f>
        <v>20.2</v>
      </c>
      <c r="E686" s="16">
        <f>Members!E686</f>
        <v>1788000</v>
      </c>
      <c r="F686" s="16">
        <f>Members!F686</f>
        <v>0</v>
      </c>
      <c r="G686" s="15">
        <f>MAX(0,Assumptions!$B$10-C686)</f>
        <v>9</v>
      </c>
      <c r="H686" s="17">
        <f>IF(B686="Active",E686*(1+Assumptions!$B$7)^G686,E686)</f>
        <v>2894940.5606978429</v>
      </c>
      <c r="I686" s="17">
        <f>IF(B686="Active",MIN(Assumptions!$B$12,D686+G686),IF(B686="Deferred",MIN(Assumptions!$B$12,D686),D686))</f>
        <v>29.2</v>
      </c>
      <c r="J686" s="17">
        <f>IF(B686="Active",H686*I686*Assumptions!$B$11,IF(B686="Deferred",E686*I686*Assumptions!$B$11*(1+Assumptions!$B$9)^G686,F686))</f>
        <v>1408871.0728729502</v>
      </c>
      <c r="K686" s="11">
        <f>IF(B686="Pensioner",1,VLOOKUP(Assumptions!$B$10,Mortality!$A$2:$F$104,6,FALSE)/VLOOKUP(C686,Mortality!$A$2:$F$104,6,FALSE))</f>
        <v>0.98240527975061542</v>
      </c>
      <c r="L686" s="11">
        <f>VLOOKUP(IF(B686="Pensioner",C686,Assumptions!$B$10),Mortality!$A$2:$E$104,5,FALSE)</f>
        <v>17.296790022132885</v>
      </c>
      <c r="M686" s="11">
        <f>1+Assumptions!$B$13*Assumptions!$B$14*Assumptions!$B$15</f>
        <v>1.3187500000000001</v>
      </c>
      <c r="N686" s="11">
        <f>IF(B686="Pensioner",1,1/(1+Assumptions!$B$6)^G686)</f>
        <v>0.56735322782936326</v>
      </c>
      <c r="O686" s="17">
        <f t="shared" si="10"/>
        <v>17911974.239308048</v>
      </c>
    </row>
    <row r="687" spans="1:15">
      <c r="A687" s="13" t="str">
        <f>Members!A687</f>
        <v>A0434</v>
      </c>
      <c r="B687" s="13" t="str">
        <f>Members!B687</f>
        <v>Active</v>
      </c>
      <c r="C687" s="13">
        <f>Members!C687</f>
        <v>39</v>
      </c>
      <c r="D687" s="14">
        <f>Members!D687</f>
        <v>15</v>
      </c>
      <c r="E687" s="16">
        <f>Members!E687</f>
        <v>620000</v>
      </c>
      <c r="F687" s="16">
        <f>Members!F687</f>
        <v>0</v>
      </c>
      <c r="G687" s="15">
        <f>MAX(0,Assumptions!$B$10-C687)</f>
        <v>21</v>
      </c>
      <c r="H687" s="17">
        <f>IF(B687="Active",E687*(1+Assumptions!$B$7)^G687,E687)</f>
        <v>1908505.1746041346</v>
      </c>
      <c r="I687" s="17">
        <f>IF(B687="Active",MIN(Assumptions!$B$12,D687+G687),IF(B687="Deferred",MIN(Assumptions!$B$12,D687),D687))</f>
        <v>36</v>
      </c>
      <c r="J687" s="17">
        <f>IF(B687="Active",H687*I687*Assumptions!$B$11,IF(B687="Deferred",E687*I687*Assumptions!$B$11*(1+Assumptions!$B$9)^G687,F687))</f>
        <v>1145103.1047624806</v>
      </c>
      <c r="K687" s="11">
        <f>IF(B687="Pensioner",1,VLOOKUP(Assumptions!$B$10,Mortality!$A$2:$F$104,6,FALSE)/VLOOKUP(C687,Mortality!$A$2:$F$104,6,FALSE))</f>
        <v>0.97358574177887802</v>
      </c>
      <c r="L687" s="11">
        <f>VLOOKUP(IF(B687="Pensioner",C687,Assumptions!$B$10),Mortality!$A$2:$E$104,5,FALSE)</f>
        <v>17.296790022132885</v>
      </c>
      <c r="M687" s="11">
        <f>1+Assumptions!$B$13*Assumptions!$B$14*Assumptions!$B$15</f>
        <v>1.3187500000000001</v>
      </c>
      <c r="N687" s="11">
        <f>IF(B687="Pensioner",1,1/(1+Assumptions!$B$6)^G687)</f>
        <v>0.26647608349429097</v>
      </c>
      <c r="O687" s="17">
        <f t="shared" si="10"/>
        <v>6776493.4019400328</v>
      </c>
    </row>
    <row r="688" spans="1:15">
      <c r="A688" s="13" t="str">
        <f>Members!A688</f>
        <v>A0157</v>
      </c>
      <c r="B688" s="13" t="str">
        <f>Members!B688</f>
        <v>Active</v>
      </c>
      <c r="C688" s="13">
        <f>Members!C688</f>
        <v>22</v>
      </c>
      <c r="D688" s="14">
        <f>Members!D688</f>
        <v>1</v>
      </c>
      <c r="E688" s="16">
        <f>Members!E688</f>
        <v>416000</v>
      </c>
      <c r="F688" s="16">
        <f>Members!F688</f>
        <v>0</v>
      </c>
      <c r="G688" s="15">
        <f>MAX(0,Assumptions!$B$10-C688)</f>
        <v>38</v>
      </c>
      <c r="H688" s="17">
        <f>IF(B688="Active",E688*(1+Assumptions!$B$7)^G688,E688)</f>
        <v>3181901.9788182019</v>
      </c>
      <c r="I688" s="17">
        <f>IF(B688="Active",MIN(Assumptions!$B$12,D688+G688),IF(B688="Deferred",MIN(Assumptions!$B$12,D688),D688))</f>
        <v>39</v>
      </c>
      <c r="J688" s="17">
        <f>IF(B688="Active",H688*I688*Assumptions!$B$11,IF(B688="Deferred",E688*I688*Assumptions!$B$11*(1+Assumptions!$B$9)^G688,F688))</f>
        <v>2068236.2862318312</v>
      </c>
      <c r="K688" s="11">
        <f>IF(B688="Pensioner",1,VLOOKUP(Assumptions!$B$10,Mortality!$A$2:$F$104,6,FALSE)/VLOOKUP(C688,Mortality!$A$2:$F$104,6,FALSE))</f>
        <v>0.9682119922904866</v>
      </c>
      <c r="L688" s="11">
        <f>VLOOKUP(IF(B688="Pensioner",C688,Assumptions!$B$10),Mortality!$A$2:$E$104,5,FALSE)</f>
        <v>17.296790022132885</v>
      </c>
      <c r="M688" s="11">
        <f>1+Assumptions!$B$13*Assumptions!$B$14*Assumptions!$B$15</f>
        <v>1.3187500000000001</v>
      </c>
      <c r="N688" s="11">
        <f>IF(B688="Pensioner",1,1/(1+Assumptions!$B$6)^G688)</f>
        <v>9.1351336279890546E-2</v>
      </c>
      <c r="O688" s="17">
        <f t="shared" si="10"/>
        <v>4172664.8297689091</v>
      </c>
    </row>
    <row r="689" spans="1:15">
      <c r="A689" s="13" t="str">
        <f>Members!A689</f>
        <v>A0223</v>
      </c>
      <c r="B689" s="13" t="str">
        <f>Members!B689</f>
        <v>Active</v>
      </c>
      <c r="C689" s="13">
        <f>Members!C689</f>
        <v>24</v>
      </c>
      <c r="D689" s="14">
        <f>Members!D689</f>
        <v>2.2000000000000002</v>
      </c>
      <c r="E689" s="16">
        <f>Members!E689</f>
        <v>328000</v>
      </c>
      <c r="F689" s="16">
        <f>Members!F689</f>
        <v>0</v>
      </c>
      <c r="G689" s="15">
        <f>MAX(0,Assumptions!$B$10-C689)</f>
        <v>36</v>
      </c>
      <c r="H689" s="17">
        <f>IF(B689="Active",E689*(1+Assumptions!$B$7)^G689,E689)</f>
        <v>2254044.0057077003</v>
      </c>
      <c r="I689" s="17">
        <f>IF(B689="Active",MIN(Assumptions!$B$12,D689+G689),IF(B689="Deferred",MIN(Assumptions!$B$12,D689),D689))</f>
        <v>38.200000000000003</v>
      </c>
      <c r="J689" s="17">
        <f>IF(B689="Active",H689*I689*Assumptions!$B$11,IF(B689="Deferred",E689*I689*Assumptions!$B$11*(1+Assumptions!$B$9)^G689,F689))</f>
        <v>1435074.6836339026</v>
      </c>
      <c r="K689" s="11">
        <f>IF(B689="Pensioner",1,VLOOKUP(Assumptions!$B$10,Mortality!$A$2:$F$104,6,FALSE)/VLOOKUP(C689,Mortality!$A$2:$F$104,6,FALSE))</f>
        <v>0.96871086700607645</v>
      </c>
      <c r="L689" s="11">
        <f>VLOOKUP(IF(B689="Pensioner",C689,Assumptions!$B$10),Mortality!$A$2:$E$104,5,FALSE)</f>
        <v>17.296790022132885</v>
      </c>
      <c r="M689" s="11">
        <f>1+Assumptions!$B$13*Assumptions!$B$14*Assumptions!$B$15</f>
        <v>1.3187500000000001</v>
      </c>
      <c r="N689" s="11">
        <f>IF(B689="Pensioner",1,1/(1+Assumptions!$B$6)^G689)</f>
        <v>0.10361296939205883</v>
      </c>
      <c r="O689" s="17">
        <f t="shared" si="10"/>
        <v>3285570.4262125916</v>
      </c>
    </row>
    <row r="690" spans="1:15">
      <c r="A690" s="13" t="str">
        <f>Members!A690</f>
        <v>A0153</v>
      </c>
      <c r="B690" s="13" t="str">
        <f>Members!B690</f>
        <v>Active</v>
      </c>
      <c r="C690" s="13">
        <f>Members!C690</f>
        <v>33</v>
      </c>
      <c r="D690" s="14">
        <f>Members!D690</f>
        <v>1.6</v>
      </c>
      <c r="E690" s="16">
        <f>Members!E690</f>
        <v>742000</v>
      </c>
      <c r="F690" s="16">
        <f>Members!F690</f>
        <v>0</v>
      </c>
      <c r="G690" s="15">
        <f>MAX(0,Assumptions!$B$10-C690)</f>
        <v>27</v>
      </c>
      <c r="H690" s="17">
        <f>IF(B690="Active",E690*(1+Assumptions!$B$7)^G690,E690)</f>
        <v>3149345.5559672602</v>
      </c>
      <c r="I690" s="17">
        <f>IF(B690="Active",MIN(Assumptions!$B$12,D690+G690),IF(B690="Deferred",MIN(Assumptions!$B$12,D690),D690))</f>
        <v>28.6</v>
      </c>
      <c r="J690" s="17">
        <f>IF(B690="Active",H690*I690*Assumptions!$B$11,IF(B690="Deferred",E690*I690*Assumptions!$B$11*(1+Assumptions!$B$9)^G690,F690))</f>
        <v>1501188.048344394</v>
      </c>
      <c r="K690" s="11">
        <f>IF(B690="Pensioner",1,VLOOKUP(Assumptions!$B$10,Mortality!$A$2:$F$104,6,FALSE)/VLOOKUP(C690,Mortality!$A$2:$F$104,6,FALSE))</f>
        <v>0.9712826176321353</v>
      </c>
      <c r="L690" s="11">
        <f>VLOOKUP(IF(B690="Pensioner",C690,Assumptions!$B$10),Mortality!$A$2:$E$104,5,FALSE)</f>
        <v>17.296790022132885</v>
      </c>
      <c r="M690" s="11">
        <f>1+Assumptions!$B$13*Assumptions!$B$14*Assumptions!$B$15</f>
        <v>1.3187500000000001</v>
      </c>
      <c r="N690" s="11">
        <f>IF(B690="Pensioner",1,1/(1+Assumptions!$B$6)^G690)</f>
        <v>0.18262515186257369</v>
      </c>
      <c r="O690" s="17">
        <f t="shared" si="10"/>
        <v>6073923.1208020011</v>
      </c>
    </row>
    <row r="691" spans="1:15">
      <c r="A691" s="13" t="str">
        <f>Members!A691</f>
        <v>A0040</v>
      </c>
      <c r="B691" s="13" t="str">
        <f>Members!B691</f>
        <v>Active</v>
      </c>
      <c r="C691" s="13">
        <f>Members!C691</f>
        <v>38</v>
      </c>
      <c r="D691" s="14">
        <f>Members!D691</f>
        <v>7.4</v>
      </c>
      <c r="E691" s="16">
        <f>Members!E691</f>
        <v>1007000</v>
      </c>
      <c r="F691" s="16">
        <f>Members!F691</f>
        <v>0</v>
      </c>
      <c r="G691" s="15">
        <f>MAX(0,Assumptions!$B$10-C691)</f>
        <v>22</v>
      </c>
      <c r="H691" s="17">
        <f>IF(B691="Active",E691*(1+Assumptions!$B$7)^G691,E691)</f>
        <v>3270269.7901964732</v>
      </c>
      <c r="I691" s="17">
        <f>IF(B691="Active",MIN(Assumptions!$B$12,D691+G691),IF(B691="Deferred",MIN(Assumptions!$B$12,D691),D691))</f>
        <v>29.4</v>
      </c>
      <c r="J691" s="17">
        <f>IF(B691="Active",H691*I691*Assumptions!$B$11,IF(B691="Deferred",E691*I691*Assumptions!$B$11*(1+Assumptions!$B$9)^G691,F691))</f>
        <v>1602432.1971962717</v>
      </c>
      <c r="K691" s="11">
        <f>IF(B691="Pensioner",1,VLOOKUP(Assumptions!$B$10,Mortality!$A$2:$F$104,6,FALSE)/VLOOKUP(C691,Mortality!$A$2:$F$104,6,FALSE))</f>
        <v>0.97314826881680017</v>
      </c>
      <c r="L691" s="11">
        <f>VLOOKUP(IF(B691="Pensioner",C691,Assumptions!$B$10),Mortality!$A$2:$E$104,5,FALSE)</f>
        <v>17.296790022132885</v>
      </c>
      <c r="M691" s="11">
        <f>1+Assumptions!$B$13*Assumptions!$B$14*Assumptions!$B$15</f>
        <v>1.3187500000000001</v>
      </c>
      <c r="N691" s="11">
        <f>IF(B691="Pensioner",1,1/(1+Assumptions!$B$6)^G691)</f>
        <v>0.25021228497116527</v>
      </c>
      <c r="O691" s="17">
        <f t="shared" si="10"/>
        <v>8900108.3084982671</v>
      </c>
    </row>
    <row r="692" spans="1:15">
      <c r="A692" s="13" t="str">
        <f>Members!A692</f>
        <v>A0062</v>
      </c>
      <c r="B692" s="13" t="str">
        <f>Members!B692</f>
        <v>Active</v>
      </c>
      <c r="C692" s="13">
        <f>Members!C692</f>
        <v>55</v>
      </c>
      <c r="D692" s="14">
        <f>Members!D692</f>
        <v>2.9</v>
      </c>
      <c r="E692" s="16">
        <f>Members!E692</f>
        <v>1237000</v>
      </c>
      <c r="F692" s="16">
        <f>Members!F692</f>
        <v>0</v>
      </c>
      <c r="G692" s="15">
        <f>MAX(0,Assumptions!$B$10-C692)</f>
        <v>5</v>
      </c>
      <c r="H692" s="17">
        <f>IF(B692="Active",E692*(1+Assumptions!$B$7)^G692,E692)</f>
        <v>1616709.5279283966</v>
      </c>
      <c r="I692" s="17">
        <f>IF(B692="Active",MIN(Assumptions!$B$12,D692+G692),IF(B692="Deferred",MIN(Assumptions!$B$12,D692),D692))</f>
        <v>7.9</v>
      </c>
      <c r="J692" s="17">
        <f>IF(B692="Active",H692*I692*Assumptions!$B$11,IF(B692="Deferred",E692*I692*Assumptions!$B$11*(1+Assumptions!$B$9)^G692,F692))</f>
        <v>212866.75451057224</v>
      </c>
      <c r="K692" s="11">
        <f>IF(B692="Pensioner",1,VLOOKUP(Assumptions!$B$10,Mortality!$A$2:$F$104,6,FALSE)/VLOOKUP(C692,Mortality!$A$2:$F$104,6,FALSE))</f>
        <v>0.98824190874991746</v>
      </c>
      <c r="L692" s="11">
        <f>VLOOKUP(IF(B692="Pensioner",C692,Assumptions!$B$10),Mortality!$A$2:$E$104,5,FALSE)</f>
        <v>17.296790022132885</v>
      </c>
      <c r="M692" s="11">
        <f>1+Assumptions!$B$13*Assumptions!$B$14*Assumptions!$B$15</f>
        <v>1.3187500000000001</v>
      </c>
      <c r="N692" s="11">
        <f>IF(B692="Pensioner",1,1/(1+Assumptions!$B$6)^G692)</f>
        <v>0.72988083652095492</v>
      </c>
      <c r="O692" s="17">
        <f t="shared" si="10"/>
        <v>3502281.523141434</v>
      </c>
    </row>
    <row r="693" spans="1:15">
      <c r="A693" s="13" t="str">
        <f>Members!A693</f>
        <v>A0096</v>
      </c>
      <c r="B693" s="13" t="str">
        <f>Members!B693</f>
        <v>Active</v>
      </c>
      <c r="C693" s="13">
        <f>Members!C693</f>
        <v>33</v>
      </c>
      <c r="D693" s="14">
        <f>Members!D693</f>
        <v>5.2</v>
      </c>
      <c r="E693" s="16">
        <f>Members!E693</f>
        <v>527000</v>
      </c>
      <c r="F693" s="16">
        <f>Members!F693</f>
        <v>0</v>
      </c>
      <c r="G693" s="15">
        <f>MAX(0,Assumptions!$B$10-C693)</f>
        <v>27</v>
      </c>
      <c r="H693" s="17">
        <f>IF(B693="Active",E693*(1+Assumptions!$B$7)^G693,E693)</f>
        <v>2236799.3369201431</v>
      </c>
      <c r="I693" s="17">
        <f>IF(B693="Active",MIN(Assumptions!$B$12,D693+G693),IF(B693="Deferred",MIN(Assumptions!$B$12,D693),D693))</f>
        <v>32.200000000000003</v>
      </c>
      <c r="J693" s="17">
        <f>IF(B693="Active",H693*I693*Assumptions!$B$11,IF(B693="Deferred",E693*I693*Assumptions!$B$11*(1+Assumptions!$B$9)^G693,F693))</f>
        <v>1200415.6441471435</v>
      </c>
      <c r="K693" s="11">
        <f>IF(B693="Pensioner",1,VLOOKUP(Assumptions!$B$10,Mortality!$A$2:$F$104,6,FALSE)/VLOOKUP(C693,Mortality!$A$2:$F$104,6,FALSE))</f>
        <v>0.9712826176321353</v>
      </c>
      <c r="L693" s="11">
        <f>VLOOKUP(IF(B693="Pensioner",C693,Assumptions!$B$10),Mortality!$A$2:$E$104,5,FALSE)</f>
        <v>17.296790022132885</v>
      </c>
      <c r="M693" s="11">
        <f>1+Assumptions!$B$13*Assumptions!$B$14*Assumptions!$B$15</f>
        <v>1.3187500000000001</v>
      </c>
      <c r="N693" s="11">
        <f>IF(B693="Pensioner",1,1/(1+Assumptions!$B$6)^G693)</f>
        <v>0.18262515186257369</v>
      </c>
      <c r="O693" s="17">
        <f t="shared" si="10"/>
        <v>4856974.6765563451</v>
      </c>
    </row>
    <row r="694" spans="1:15">
      <c r="A694" s="13" t="str">
        <f>Members!A694</f>
        <v>A0451</v>
      </c>
      <c r="B694" s="13" t="str">
        <f>Members!B694</f>
        <v>Active</v>
      </c>
      <c r="C694" s="13">
        <f>Members!C694</f>
        <v>41</v>
      </c>
      <c r="D694" s="14">
        <f>Members!D694</f>
        <v>8.3000000000000007</v>
      </c>
      <c r="E694" s="16">
        <f>Members!E694</f>
        <v>912000</v>
      </c>
      <c r="F694" s="16">
        <f>Members!F694</f>
        <v>0</v>
      </c>
      <c r="G694" s="15">
        <f>MAX(0,Assumptions!$B$10-C694)</f>
        <v>19</v>
      </c>
      <c r="H694" s="17">
        <f>IF(B694="Active",E694*(1+Assumptions!$B$7)^G694,E694)</f>
        <v>2522269.9823989854</v>
      </c>
      <c r="I694" s="17">
        <f>IF(B694="Active",MIN(Assumptions!$B$12,D694+G694),IF(B694="Deferred",MIN(Assumptions!$B$12,D694),D694))</f>
        <v>27.3</v>
      </c>
      <c r="J694" s="17">
        <f>IF(B694="Active",H694*I694*Assumptions!$B$11,IF(B694="Deferred",E694*I694*Assumptions!$B$11*(1+Assumptions!$B$9)^G694,F694))</f>
        <v>1147632.8419915382</v>
      </c>
      <c r="K694" s="11">
        <f>IF(B694="Pensioner",1,VLOOKUP(Assumptions!$B$10,Mortality!$A$2:$F$104,6,FALSE)/VLOOKUP(C694,Mortality!$A$2:$F$104,6,FALSE))</f>
        <v>0.97454789540795339</v>
      </c>
      <c r="L694" s="11">
        <f>VLOOKUP(IF(B694="Pensioner",C694,Assumptions!$B$10),Mortality!$A$2:$E$104,5,FALSE)</f>
        <v>17.296790022132885</v>
      </c>
      <c r="M694" s="11">
        <f>1+Assumptions!$B$13*Assumptions!$B$14*Assumptions!$B$15</f>
        <v>1.3187500000000001</v>
      </c>
      <c r="N694" s="11">
        <f>IF(B694="Pensioner",1,1/(1+Assumptions!$B$6)^G694)</f>
        <v>0.30224383580131214</v>
      </c>
      <c r="O694" s="17">
        <f t="shared" si="10"/>
        <v>7710660.7227712581</v>
      </c>
    </row>
    <row r="695" spans="1:15">
      <c r="A695" s="13" t="str">
        <f>Members!A695</f>
        <v>P0127</v>
      </c>
      <c r="B695" s="13" t="str">
        <f>Members!B695</f>
        <v>Pensioner</v>
      </c>
      <c r="C695" s="13">
        <f>Members!C695</f>
        <v>71</v>
      </c>
      <c r="D695" s="14">
        <f>Members!D695</f>
        <v>15.3</v>
      </c>
      <c r="E695" s="16">
        <f>Members!E695</f>
        <v>0</v>
      </c>
      <c r="F695" s="16">
        <f>Members!F695</f>
        <v>230000</v>
      </c>
      <c r="G695" s="15">
        <f>MAX(0,Assumptions!$B$10-C695)</f>
        <v>0</v>
      </c>
      <c r="H695" s="17">
        <f>IF(B695="Active",E695*(1+Assumptions!$B$7)^G695,E695)</f>
        <v>0</v>
      </c>
      <c r="I695" s="17">
        <f>IF(B695="Active",MIN(Assumptions!$B$12,D695+G695),IF(B695="Deferred",MIN(Assumptions!$B$12,D695),D695))</f>
        <v>15.3</v>
      </c>
      <c r="J695" s="17">
        <f>IF(B695="Active",H695*I695*Assumptions!$B$11,IF(B695="Deferred",E695*I695*Assumptions!$B$11*(1+Assumptions!$B$9)^G695,F695))</f>
        <v>230000</v>
      </c>
      <c r="K695" s="11">
        <f>IF(B695="Pensioner",1,VLOOKUP(Assumptions!$B$10,Mortality!$A$2:$F$104,6,FALSE)/VLOOKUP(C695,Mortality!$A$2:$F$104,6,FALSE))</f>
        <v>1</v>
      </c>
      <c r="L695" s="11">
        <f>VLOOKUP(IF(B695="Pensioner",C695,Assumptions!$B$10),Mortality!$A$2:$E$104,5,FALSE)</f>
        <v>12.506703342154774</v>
      </c>
      <c r="M695" s="11">
        <f>1+Assumptions!$B$13*Assumptions!$B$14*Assumptions!$B$15</f>
        <v>1.3187500000000001</v>
      </c>
      <c r="N695" s="11">
        <f>IF(B695="Pensioner",1,1/(1+Assumptions!$B$6)^G695)</f>
        <v>1</v>
      </c>
      <c r="O695" s="17">
        <f t="shared" si="10"/>
        <v>3793439.4574673199</v>
      </c>
    </row>
    <row r="696" spans="1:15">
      <c r="A696" s="13" t="str">
        <f>Members!A696</f>
        <v>P0204</v>
      </c>
      <c r="B696" s="13" t="str">
        <f>Members!B696</f>
        <v>Pensioner</v>
      </c>
      <c r="C696" s="13">
        <f>Members!C696</f>
        <v>76</v>
      </c>
      <c r="D696" s="14">
        <f>Members!D696</f>
        <v>37.4</v>
      </c>
      <c r="E696" s="16">
        <f>Members!E696</f>
        <v>0</v>
      </c>
      <c r="F696" s="16">
        <f>Members!F696</f>
        <v>526000</v>
      </c>
      <c r="G696" s="15">
        <f>MAX(0,Assumptions!$B$10-C696)</f>
        <v>0</v>
      </c>
      <c r="H696" s="17">
        <f>IF(B696="Active",E696*(1+Assumptions!$B$7)^G696,E696)</f>
        <v>0</v>
      </c>
      <c r="I696" s="17">
        <f>IF(B696="Active",MIN(Assumptions!$B$12,D696+G696),IF(B696="Deferred",MIN(Assumptions!$B$12,D696),D696))</f>
        <v>37.4</v>
      </c>
      <c r="J696" s="17">
        <f>IF(B696="Active",H696*I696*Assumptions!$B$11,IF(B696="Deferred",E696*I696*Assumptions!$B$11*(1+Assumptions!$B$9)^G696,F696))</f>
        <v>526000</v>
      </c>
      <c r="K696" s="11">
        <f>IF(B696="Pensioner",1,VLOOKUP(Assumptions!$B$10,Mortality!$A$2:$F$104,6,FALSE)/VLOOKUP(C696,Mortality!$A$2:$F$104,6,FALSE))</f>
        <v>1</v>
      </c>
      <c r="L696" s="11">
        <f>VLOOKUP(IF(B696="Pensioner",C696,Assumptions!$B$10),Mortality!$A$2:$E$104,5,FALSE)</f>
        <v>10.201355966192867</v>
      </c>
      <c r="M696" s="11">
        <f>1+Assumptions!$B$13*Assumptions!$B$14*Assumptions!$B$15</f>
        <v>1.3187500000000001</v>
      </c>
      <c r="N696" s="11">
        <f>IF(B696="Pensioner",1,1/(1+Assumptions!$B$6)^G696)</f>
        <v>1</v>
      </c>
      <c r="O696" s="17">
        <f t="shared" si="10"/>
        <v>7076298.0828992603</v>
      </c>
    </row>
    <row r="697" spans="1:15">
      <c r="A697" s="13" t="str">
        <f>Members!A697</f>
        <v>A0101</v>
      </c>
      <c r="B697" s="13" t="str">
        <f>Members!B697</f>
        <v>Active</v>
      </c>
      <c r="C697" s="13">
        <f>Members!C697</f>
        <v>34</v>
      </c>
      <c r="D697" s="14">
        <f>Members!D697</f>
        <v>4.9000000000000004</v>
      </c>
      <c r="E697" s="16">
        <f>Members!E697</f>
        <v>799000</v>
      </c>
      <c r="F697" s="16">
        <f>Members!F697</f>
        <v>0</v>
      </c>
      <c r="G697" s="15">
        <f>MAX(0,Assumptions!$B$10-C697)</f>
        <v>26</v>
      </c>
      <c r="H697" s="17">
        <f>IF(B697="Active",E697*(1+Assumptions!$B$7)^G697,E697)</f>
        <v>3214480.0133082629</v>
      </c>
      <c r="I697" s="17">
        <f>IF(B697="Active",MIN(Assumptions!$B$12,D697+G697),IF(B697="Deferred",MIN(Assumptions!$B$12,D697),D697))</f>
        <v>30.9</v>
      </c>
      <c r="J697" s="17">
        <f>IF(B697="Active",H697*I697*Assumptions!$B$11,IF(B697="Deferred",E697*I697*Assumptions!$B$11*(1+Assumptions!$B$9)^G697,F697))</f>
        <v>1655457.2068537553</v>
      </c>
      <c r="K697" s="11">
        <f>IF(B697="Pensioner",1,VLOOKUP(Assumptions!$B$10,Mortality!$A$2:$F$104,6,FALSE)/VLOOKUP(C697,Mortality!$A$2:$F$104,6,FALSE))</f>
        <v>0.97162058192333911</v>
      </c>
      <c r="L697" s="11">
        <f>VLOOKUP(IF(B697="Pensioner",C697,Assumptions!$B$10),Mortality!$A$2:$E$104,5,FALSE)</f>
        <v>17.296790022132885</v>
      </c>
      <c r="M697" s="11">
        <f>1+Assumptions!$B$13*Assumptions!$B$14*Assumptions!$B$15</f>
        <v>1.3187500000000001</v>
      </c>
      <c r="N697" s="11">
        <f>IF(B697="Pensioner",1,1/(1+Assumptions!$B$6)^G697)</f>
        <v>0.19449578673364096</v>
      </c>
      <c r="O697" s="17">
        <f t="shared" si="10"/>
        <v>7135967.2547852611</v>
      </c>
    </row>
    <row r="698" spans="1:15">
      <c r="A698" s="13" t="str">
        <f>Members!A698</f>
        <v>A0351</v>
      </c>
      <c r="B698" s="13" t="str">
        <f>Members!B698</f>
        <v>Active</v>
      </c>
      <c r="C698" s="13">
        <f>Members!C698</f>
        <v>22</v>
      </c>
      <c r="D698" s="14">
        <f>Members!D698</f>
        <v>1.6</v>
      </c>
      <c r="E698" s="16">
        <f>Members!E698</f>
        <v>440000</v>
      </c>
      <c r="F698" s="16">
        <f>Members!F698</f>
        <v>0</v>
      </c>
      <c r="G698" s="15">
        <f>MAX(0,Assumptions!$B$10-C698)</f>
        <v>38</v>
      </c>
      <c r="H698" s="17">
        <f>IF(B698="Active",E698*(1+Assumptions!$B$7)^G698,E698)</f>
        <v>3365473.2468269444</v>
      </c>
      <c r="I698" s="17">
        <f>IF(B698="Active",MIN(Assumptions!$B$12,D698+G698),IF(B698="Deferred",MIN(Assumptions!$B$12,D698),D698))</f>
        <v>39.6</v>
      </c>
      <c r="J698" s="17">
        <f>IF(B698="Active",H698*I698*Assumptions!$B$11,IF(B698="Deferred",E698*I698*Assumptions!$B$11*(1+Assumptions!$B$9)^G698,F698))</f>
        <v>2221212.3429057836</v>
      </c>
      <c r="K698" s="11">
        <f>IF(B698="Pensioner",1,VLOOKUP(Assumptions!$B$10,Mortality!$A$2:$F$104,6,FALSE)/VLOOKUP(C698,Mortality!$A$2:$F$104,6,FALSE))</f>
        <v>0.9682119922904866</v>
      </c>
      <c r="L698" s="11">
        <f>VLOOKUP(IF(B698="Pensioner",C698,Assumptions!$B$10),Mortality!$A$2:$E$104,5,FALSE)</f>
        <v>17.296790022132885</v>
      </c>
      <c r="M698" s="11">
        <f>1+Assumptions!$B$13*Assumptions!$B$14*Assumptions!$B$15</f>
        <v>1.3187500000000001</v>
      </c>
      <c r="N698" s="11">
        <f>IF(B698="Pensioner",1,1/(1+Assumptions!$B$6)^G698)</f>
        <v>9.1351336279890546E-2</v>
      </c>
      <c r="O698" s="17">
        <f t="shared" si="10"/>
        <v>4481293.8852251898</v>
      </c>
    </row>
    <row r="699" spans="1:15">
      <c r="A699" s="13" t="str">
        <f>Members!A699</f>
        <v>A0111</v>
      </c>
      <c r="B699" s="13" t="str">
        <f>Members!B699</f>
        <v>Active</v>
      </c>
      <c r="C699" s="13">
        <f>Members!C699</f>
        <v>39</v>
      </c>
      <c r="D699" s="14">
        <f>Members!D699</f>
        <v>3.2</v>
      </c>
      <c r="E699" s="16">
        <f>Members!E699</f>
        <v>629000</v>
      </c>
      <c r="F699" s="16">
        <f>Members!F699</f>
        <v>0</v>
      </c>
      <c r="G699" s="15">
        <f>MAX(0,Assumptions!$B$10-C699)</f>
        <v>21</v>
      </c>
      <c r="H699" s="17">
        <f>IF(B699="Active",E699*(1+Assumptions!$B$7)^G699,E699)</f>
        <v>1936209.2819774204</v>
      </c>
      <c r="I699" s="17">
        <f>IF(B699="Active",MIN(Assumptions!$B$12,D699+G699),IF(B699="Deferred",MIN(Assumptions!$B$12,D699),D699))</f>
        <v>24.2</v>
      </c>
      <c r="J699" s="17">
        <f>IF(B699="Active",H699*I699*Assumptions!$B$11,IF(B699="Deferred",E699*I699*Assumptions!$B$11*(1+Assumptions!$B$9)^G699,F699))</f>
        <v>780937.74373089289</v>
      </c>
      <c r="K699" s="11">
        <f>IF(B699="Pensioner",1,VLOOKUP(Assumptions!$B$10,Mortality!$A$2:$F$104,6,FALSE)/VLOOKUP(C699,Mortality!$A$2:$F$104,6,FALSE))</f>
        <v>0.97358574177887802</v>
      </c>
      <c r="L699" s="11">
        <f>VLOOKUP(IF(B699="Pensioner",C699,Assumptions!$B$10),Mortality!$A$2:$E$104,5,FALSE)</f>
        <v>17.296790022132885</v>
      </c>
      <c r="M699" s="11">
        <f>1+Assumptions!$B$13*Assumptions!$B$14*Assumptions!$B$15</f>
        <v>1.3187500000000001</v>
      </c>
      <c r="N699" s="11">
        <f>IF(B699="Pensioner",1,1/(1+Assumptions!$B$6)^G699)</f>
        <v>0.26647608349429097</v>
      </c>
      <c r="O699" s="17">
        <f t="shared" si="10"/>
        <v>4621434.9133356102</v>
      </c>
    </row>
    <row r="700" spans="1:15">
      <c r="A700" s="13" t="str">
        <f>Members!A700</f>
        <v>A0377</v>
      </c>
      <c r="B700" s="13" t="str">
        <f>Members!B700</f>
        <v>Active</v>
      </c>
      <c r="C700" s="13">
        <f>Members!C700</f>
        <v>30</v>
      </c>
      <c r="D700" s="14">
        <f>Members!D700</f>
        <v>7.6</v>
      </c>
      <c r="E700" s="16">
        <f>Members!E700</f>
        <v>649000</v>
      </c>
      <c r="F700" s="16">
        <f>Members!F700</f>
        <v>0</v>
      </c>
      <c r="G700" s="15">
        <f>MAX(0,Assumptions!$B$10-C700)</f>
        <v>30</v>
      </c>
      <c r="H700" s="17">
        <f>IF(B700="Active",E700*(1+Assumptions!$B$7)^G700,E700)</f>
        <v>3234584.3861683938</v>
      </c>
      <c r="I700" s="17">
        <f>IF(B700="Active",MIN(Assumptions!$B$12,D700+G700),IF(B700="Deferred",MIN(Assumptions!$B$12,D700),D700))</f>
        <v>37.6</v>
      </c>
      <c r="J700" s="17">
        <f>IF(B700="Active",H700*I700*Assumptions!$B$11,IF(B700="Deferred",E700*I700*Assumptions!$B$11*(1+Assumptions!$B$9)^G700,F700))</f>
        <v>2027006.2153321933</v>
      </c>
      <c r="K700" s="11">
        <f>IF(B700="Pensioner",1,VLOOKUP(Assumptions!$B$10,Mortality!$A$2:$F$104,6,FALSE)/VLOOKUP(C700,Mortality!$A$2:$F$104,6,FALSE))</f>
        <v>0.97034568803187526</v>
      </c>
      <c r="L700" s="11">
        <f>VLOOKUP(IF(B700="Pensioner",C700,Assumptions!$B$10),Mortality!$A$2:$E$104,5,FALSE)</f>
        <v>17.296790022132885</v>
      </c>
      <c r="M700" s="11">
        <f>1+Assumptions!$B$13*Assumptions!$B$14*Assumptions!$B$15</f>
        <v>1.3187500000000001</v>
      </c>
      <c r="N700" s="11">
        <f>IF(B700="Pensioner",1,1/(1+Assumptions!$B$6)^G700)</f>
        <v>0.15118606610981289</v>
      </c>
      <c r="O700" s="17">
        <f t="shared" si="10"/>
        <v>6782992.1320554838</v>
      </c>
    </row>
    <row r="701" spans="1:15">
      <c r="A701" s="13" t="str">
        <f>Members!A701</f>
        <v>A0305</v>
      </c>
      <c r="B701" s="13" t="str">
        <f>Members!B701</f>
        <v>Active</v>
      </c>
      <c r="C701" s="13">
        <f>Members!C701</f>
        <v>35</v>
      </c>
      <c r="D701" s="14">
        <f>Members!D701</f>
        <v>6.7</v>
      </c>
      <c r="E701" s="16">
        <f>Members!E701</f>
        <v>914000</v>
      </c>
      <c r="F701" s="16">
        <f>Members!F701</f>
        <v>0</v>
      </c>
      <c r="G701" s="15">
        <f>MAX(0,Assumptions!$B$10-C701)</f>
        <v>25</v>
      </c>
      <c r="H701" s="17">
        <f>IF(B701="Active",E701*(1+Assumptions!$B$7)^G701,E701)</f>
        <v>3485440.6066395226</v>
      </c>
      <c r="I701" s="17">
        <f>IF(B701="Active",MIN(Assumptions!$B$12,D701+G701),IF(B701="Deferred",MIN(Assumptions!$B$12,D701),D701))</f>
        <v>31.7</v>
      </c>
      <c r="J701" s="17">
        <f>IF(B701="Active",H701*I701*Assumptions!$B$11,IF(B701="Deferred",E701*I701*Assumptions!$B$11*(1+Assumptions!$B$9)^G701,F701))</f>
        <v>1841474.4538412143</v>
      </c>
      <c r="K701" s="11">
        <f>IF(B701="Pensioner",1,VLOOKUP(Assumptions!$B$10,Mortality!$A$2:$F$104,6,FALSE)/VLOOKUP(C701,Mortality!$A$2:$F$104,6,FALSE))</f>
        <v>0.97197407653867529</v>
      </c>
      <c r="L701" s="11">
        <f>VLOOKUP(IF(B701="Pensioner",C701,Assumptions!$B$10),Mortality!$A$2:$E$104,5,FALSE)</f>
        <v>17.296790022132885</v>
      </c>
      <c r="M701" s="11">
        <f>1+Assumptions!$B$13*Assumptions!$B$14*Assumptions!$B$15</f>
        <v>1.3187500000000001</v>
      </c>
      <c r="N701" s="11">
        <f>IF(B701="Pensioner",1,1/(1+Assumptions!$B$6)^G701)</f>
        <v>0.20713801287132758</v>
      </c>
      <c r="O701" s="17">
        <f t="shared" si="10"/>
        <v>8456841.1288847383</v>
      </c>
    </row>
    <row r="702" spans="1:15">
      <c r="A702" s="13" t="str">
        <f>Members!A702</f>
        <v>A0533</v>
      </c>
      <c r="B702" s="13" t="str">
        <f>Members!B702</f>
        <v>Active</v>
      </c>
      <c r="C702" s="13">
        <f>Members!C702</f>
        <v>55</v>
      </c>
      <c r="D702" s="14">
        <f>Members!D702</f>
        <v>28.4</v>
      </c>
      <c r="E702" s="16">
        <f>Members!E702</f>
        <v>1658000</v>
      </c>
      <c r="F702" s="16">
        <f>Members!F702</f>
        <v>0</v>
      </c>
      <c r="G702" s="15">
        <f>MAX(0,Assumptions!$B$10-C702)</f>
        <v>5</v>
      </c>
      <c r="H702" s="17">
        <f>IF(B702="Active",E702*(1+Assumptions!$B$7)^G702,E702)</f>
        <v>2166939.6906267432</v>
      </c>
      <c r="I702" s="17">
        <f>IF(B702="Active",MIN(Assumptions!$B$12,D702+G702),IF(B702="Deferred",MIN(Assumptions!$B$12,D702),D702))</f>
        <v>33.4</v>
      </c>
      <c r="J702" s="17">
        <f>IF(B702="Active",H702*I702*Assumptions!$B$11,IF(B702="Deferred",E702*I702*Assumptions!$B$11*(1+Assumptions!$B$9)^G702,F702))</f>
        <v>1206263.094448887</v>
      </c>
      <c r="K702" s="11">
        <f>IF(B702="Pensioner",1,VLOOKUP(Assumptions!$B$10,Mortality!$A$2:$F$104,6,FALSE)/VLOOKUP(C702,Mortality!$A$2:$F$104,6,FALSE))</f>
        <v>0.98824190874991746</v>
      </c>
      <c r="L702" s="11">
        <f>VLOOKUP(IF(B702="Pensioner",C702,Assumptions!$B$10),Mortality!$A$2:$E$104,5,FALSE)</f>
        <v>17.296790022132885</v>
      </c>
      <c r="M702" s="11">
        <f>1+Assumptions!$B$13*Assumptions!$B$14*Assumptions!$B$15</f>
        <v>1.3187500000000001</v>
      </c>
      <c r="N702" s="11">
        <f>IF(B702="Pensioner",1,1/(1+Assumptions!$B$6)^G702)</f>
        <v>0.72988083652095492</v>
      </c>
      <c r="O702" s="17">
        <f t="shared" si="10"/>
        <v>19846560.621686578</v>
      </c>
    </row>
    <row r="703" spans="1:15">
      <c r="A703" s="13" t="str">
        <f>Members!A703</f>
        <v>A0549</v>
      </c>
      <c r="B703" s="13" t="str">
        <f>Members!B703</f>
        <v>Active</v>
      </c>
      <c r="C703" s="13">
        <f>Members!C703</f>
        <v>27</v>
      </c>
      <c r="D703" s="14">
        <f>Members!D703</f>
        <v>1.7</v>
      </c>
      <c r="E703" s="16">
        <f>Members!E703</f>
        <v>390000</v>
      </c>
      <c r="F703" s="16">
        <f>Members!F703</f>
        <v>0</v>
      </c>
      <c r="G703" s="15">
        <f>MAX(0,Assumptions!$B$10-C703)</f>
        <v>33</v>
      </c>
      <c r="H703" s="17">
        <f>IF(B703="Active",E703*(1+Assumptions!$B$7)^G703,E703)</f>
        <v>2282421.1073890342</v>
      </c>
      <c r="I703" s="17">
        <f>IF(B703="Active",MIN(Assumptions!$B$12,D703+G703),IF(B703="Deferred",MIN(Assumptions!$B$12,D703),D703))</f>
        <v>34.700000000000003</v>
      </c>
      <c r="J703" s="17">
        <f>IF(B703="Active",H703*I703*Assumptions!$B$11,IF(B703="Deferred",E703*I703*Assumptions!$B$11*(1+Assumptions!$B$9)^G703,F703))</f>
        <v>1320000.2071066583</v>
      </c>
      <c r="K703" s="11">
        <f>IF(B703="Pensioner",1,VLOOKUP(Assumptions!$B$10,Mortality!$A$2:$F$104,6,FALSE)/VLOOKUP(C703,Mortality!$A$2:$F$104,6,FALSE))</f>
        <v>0.96949713302845153</v>
      </c>
      <c r="L703" s="11">
        <f>VLOOKUP(IF(B703="Pensioner",C703,Assumptions!$B$10),Mortality!$A$2:$E$104,5,FALSE)</f>
        <v>17.296790022132885</v>
      </c>
      <c r="M703" s="11">
        <f>1+Assumptions!$B$13*Assumptions!$B$14*Assumptions!$B$15</f>
        <v>1.3187500000000001</v>
      </c>
      <c r="N703" s="11">
        <f>IF(B703="Pensioner",1,1/(1+Assumptions!$B$6)^G703)</f>
        <v>0.12515924752227392</v>
      </c>
      <c r="O703" s="17">
        <f t="shared" si="10"/>
        <v>3653519.736734034</v>
      </c>
    </row>
    <row r="704" spans="1:15">
      <c r="A704" s="13" t="str">
        <f>Members!A704</f>
        <v>A0437</v>
      </c>
      <c r="B704" s="13" t="str">
        <f>Members!B704</f>
        <v>Active</v>
      </c>
      <c r="C704" s="13">
        <f>Members!C704</f>
        <v>35</v>
      </c>
      <c r="D704" s="14">
        <f>Members!D704</f>
        <v>2.8</v>
      </c>
      <c r="E704" s="16">
        <f>Members!E704</f>
        <v>513000</v>
      </c>
      <c r="F704" s="16">
        <f>Members!F704</f>
        <v>0</v>
      </c>
      <c r="G704" s="15">
        <f>MAX(0,Assumptions!$B$10-C704)</f>
        <v>25</v>
      </c>
      <c r="H704" s="17">
        <f>IF(B704="Active",E704*(1+Assumptions!$B$7)^G704,E704)</f>
        <v>1956270.2748425328</v>
      </c>
      <c r="I704" s="17">
        <f>IF(B704="Active",MIN(Assumptions!$B$12,D704+G704),IF(B704="Deferred",MIN(Assumptions!$B$12,D704),D704))</f>
        <v>27.8</v>
      </c>
      <c r="J704" s="17">
        <f>IF(B704="Active",H704*I704*Assumptions!$B$11,IF(B704="Deferred",E704*I704*Assumptions!$B$11*(1+Assumptions!$B$9)^G704,F704))</f>
        <v>906405.22734370688</v>
      </c>
      <c r="K704" s="11">
        <f>IF(B704="Pensioner",1,VLOOKUP(Assumptions!$B$10,Mortality!$A$2:$F$104,6,FALSE)/VLOOKUP(C704,Mortality!$A$2:$F$104,6,FALSE))</f>
        <v>0.97197407653867529</v>
      </c>
      <c r="L704" s="11">
        <f>VLOOKUP(IF(B704="Pensioner",C704,Assumptions!$B$10),Mortality!$A$2:$E$104,5,FALSE)</f>
        <v>17.296790022132885</v>
      </c>
      <c r="M704" s="11">
        <f>1+Assumptions!$B$13*Assumptions!$B$14*Assumptions!$B$15</f>
        <v>1.3187500000000001</v>
      </c>
      <c r="N704" s="11">
        <f>IF(B704="Pensioner",1,1/(1+Assumptions!$B$6)^G704)</f>
        <v>0.20713801287132758</v>
      </c>
      <c r="O704" s="17">
        <f t="shared" si="10"/>
        <v>4162601.8704994447</v>
      </c>
    </row>
    <row r="705" spans="1:15">
      <c r="A705" s="13" t="str">
        <f>Members!A705</f>
        <v>A0359</v>
      </c>
      <c r="B705" s="13" t="str">
        <f>Members!B705</f>
        <v>Active</v>
      </c>
      <c r="C705" s="13">
        <f>Members!C705</f>
        <v>53</v>
      </c>
      <c r="D705" s="14">
        <f>Members!D705</f>
        <v>24.3</v>
      </c>
      <c r="E705" s="16">
        <f>Members!E705</f>
        <v>1233000</v>
      </c>
      <c r="F705" s="16">
        <f>Members!F705</f>
        <v>0</v>
      </c>
      <c r="G705" s="15">
        <f>MAX(0,Assumptions!$B$10-C705)</f>
        <v>7</v>
      </c>
      <c r="H705" s="17">
        <f>IF(B705="Active",E705*(1+Assumptions!$B$7)^G705,E705)</f>
        <v>1793619.4056779682</v>
      </c>
      <c r="I705" s="17">
        <f>IF(B705="Active",MIN(Assumptions!$B$12,D705+G705),IF(B705="Deferred",MIN(Assumptions!$B$12,D705),D705))</f>
        <v>31.3</v>
      </c>
      <c r="J705" s="17">
        <f>IF(B705="Active",H705*I705*Assumptions!$B$11,IF(B705="Deferred",E705*I705*Assumptions!$B$11*(1+Assumptions!$B$9)^G705,F705))</f>
        <v>935671.45662867336</v>
      </c>
      <c r="K705" s="11">
        <f>IF(B705="Pensioner",1,VLOOKUP(Assumptions!$B$10,Mortality!$A$2:$F$104,6,FALSE)/VLOOKUP(C705,Mortality!$A$2:$F$104,6,FALSE))</f>
        <v>0.98503000174313171</v>
      </c>
      <c r="L705" s="11">
        <f>VLOOKUP(IF(B705="Pensioner",C705,Assumptions!$B$10),Mortality!$A$2:$E$104,5,FALSE)</f>
        <v>17.296790022132885</v>
      </c>
      <c r="M705" s="11">
        <f>1+Assumptions!$B$13*Assumptions!$B$14*Assumptions!$B$15</f>
        <v>1.3187500000000001</v>
      </c>
      <c r="N705" s="11">
        <f>IF(B705="Pensioner",1,1/(1+Assumptions!$B$6)^G705)</f>
        <v>0.64350621483475945</v>
      </c>
      <c r="O705" s="17">
        <f t="shared" si="10"/>
        <v>13528622.26580235</v>
      </c>
    </row>
    <row r="706" spans="1:15">
      <c r="A706" s="13" t="str">
        <f>Members!A706</f>
        <v>P0038</v>
      </c>
      <c r="B706" s="13" t="str">
        <f>Members!B706</f>
        <v>Pensioner</v>
      </c>
      <c r="C706" s="13">
        <f>Members!C706</f>
        <v>87</v>
      </c>
      <c r="D706" s="14">
        <f>Members!D706</f>
        <v>18.399999999999999</v>
      </c>
      <c r="E706" s="16">
        <f>Members!E706</f>
        <v>0</v>
      </c>
      <c r="F706" s="16">
        <f>Members!F706</f>
        <v>652000</v>
      </c>
      <c r="G706" s="15">
        <f>MAX(0,Assumptions!$B$10-C706)</f>
        <v>0</v>
      </c>
      <c r="H706" s="17">
        <f>IF(B706="Active",E706*(1+Assumptions!$B$7)^G706,E706)</f>
        <v>0</v>
      </c>
      <c r="I706" s="17">
        <f>IF(B706="Active",MIN(Assumptions!$B$12,D706+G706),IF(B706="Deferred",MIN(Assumptions!$B$12,D706),D706))</f>
        <v>18.399999999999999</v>
      </c>
      <c r="J706" s="17">
        <f>IF(B706="Active",H706*I706*Assumptions!$B$11,IF(B706="Deferred",E706*I706*Assumptions!$B$11*(1+Assumptions!$B$9)^G706,F706))</f>
        <v>652000</v>
      </c>
      <c r="K706" s="11">
        <f>IF(B706="Pensioner",1,VLOOKUP(Assumptions!$B$10,Mortality!$A$2:$F$104,6,FALSE)/VLOOKUP(C706,Mortality!$A$2:$F$104,6,FALSE))</f>
        <v>1</v>
      </c>
      <c r="L706" s="11">
        <f>VLOOKUP(IF(B706="Pensioner",C706,Assumptions!$B$10),Mortality!$A$2:$E$104,5,FALSE)</f>
        <v>5.427731360162463</v>
      </c>
      <c r="M706" s="11">
        <f>1+Assumptions!$B$13*Assumptions!$B$14*Assumptions!$B$15</f>
        <v>1.3187500000000001</v>
      </c>
      <c r="N706" s="11">
        <f>IF(B706="Pensioner",1,1/(1+Assumptions!$B$6)^G706)</f>
        <v>1</v>
      </c>
      <c r="O706" s="17">
        <f t="shared" ref="O706:O769" si="11">J706*K706*L706*M706*N706</f>
        <v>4666899.1167516904</v>
      </c>
    </row>
    <row r="707" spans="1:15">
      <c r="A707" s="13" t="str">
        <f>Members!A707</f>
        <v>A0070</v>
      </c>
      <c r="B707" s="13" t="str">
        <f>Members!B707</f>
        <v>Active</v>
      </c>
      <c r="C707" s="13">
        <f>Members!C707</f>
        <v>44</v>
      </c>
      <c r="D707" s="14">
        <f>Members!D707</f>
        <v>2.2999999999999998</v>
      </c>
      <c r="E707" s="16">
        <f>Members!E707</f>
        <v>998000</v>
      </c>
      <c r="F707" s="16">
        <f>Members!F707</f>
        <v>0</v>
      </c>
      <c r="G707" s="15">
        <f>MAX(0,Assumptions!$B$10-C707)</f>
        <v>16</v>
      </c>
      <c r="H707" s="17">
        <f>IF(B707="Active",E707*(1+Assumptions!$B$7)^G707,E707)</f>
        <v>2350552.1739124148</v>
      </c>
      <c r="I707" s="17">
        <f>IF(B707="Active",MIN(Assumptions!$B$12,D707+G707),IF(B707="Deferred",MIN(Assumptions!$B$12,D707),D707))</f>
        <v>18.3</v>
      </c>
      <c r="J707" s="17">
        <f>IF(B707="Active",H707*I707*Assumptions!$B$11,IF(B707="Deferred",E707*I707*Assumptions!$B$11*(1+Assumptions!$B$9)^G707,F707))</f>
        <v>716918.41304328653</v>
      </c>
      <c r="K707" s="11">
        <f>IF(B707="Pensioner",1,VLOOKUP(Assumptions!$B$10,Mortality!$A$2:$F$104,6,FALSE)/VLOOKUP(C707,Mortality!$A$2:$F$104,6,FALSE))</f>
        <v>0.97626822121787327</v>
      </c>
      <c r="L707" s="11">
        <f>VLOOKUP(IF(B707="Pensioner",C707,Assumptions!$B$10),Mortality!$A$2:$E$104,5,FALSE)</f>
        <v>17.296790022132885</v>
      </c>
      <c r="M707" s="11">
        <f>1+Assumptions!$B$13*Assumptions!$B$14*Assumptions!$B$15</f>
        <v>1.3187500000000001</v>
      </c>
      <c r="N707" s="11">
        <f>IF(B707="Pensioner",1,1/(1+Assumptions!$B$6)^G707)</f>
        <v>0.36509532811475648</v>
      </c>
      <c r="O707" s="17">
        <f t="shared" si="11"/>
        <v>5828719.4064522851</v>
      </c>
    </row>
    <row r="708" spans="1:15">
      <c r="A708" s="13" t="str">
        <f>Members!A708</f>
        <v>A0036</v>
      </c>
      <c r="B708" s="13" t="str">
        <f>Members!B708</f>
        <v>Active</v>
      </c>
      <c r="C708" s="13">
        <f>Members!C708</f>
        <v>25</v>
      </c>
      <c r="D708" s="14">
        <f>Members!D708</f>
        <v>4.0999999999999996</v>
      </c>
      <c r="E708" s="16">
        <f>Members!E708</f>
        <v>532000</v>
      </c>
      <c r="F708" s="16">
        <f>Members!F708</f>
        <v>0</v>
      </c>
      <c r="G708" s="15">
        <f>MAX(0,Assumptions!$B$10-C708)</f>
        <v>35</v>
      </c>
      <c r="H708" s="17">
        <f>IF(B708="Active",E708*(1+Assumptions!$B$7)^G708,E708)</f>
        <v>3465354.9041628037</v>
      </c>
      <c r="I708" s="17">
        <f>IF(B708="Active",MIN(Assumptions!$B$12,D708+G708),IF(B708="Deferred",MIN(Assumptions!$B$12,D708),D708))</f>
        <v>39.1</v>
      </c>
      <c r="J708" s="17">
        <f>IF(B708="Active",H708*I708*Assumptions!$B$11,IF(B708="Deferred",E708*I708*Assumptions!$B$11*(1+Assumptions!$B$9)^G708,F708))</f>
        <v>2258256.2792127603</v>
      </c>
      <c r="K708" s="11">
        <f>IF(B708="Pensioner",1,VLOOKUP(Assumptions!$B$10,Mortality!$A$2:$F$104,6,FALSE)/VLOOKUP(C708,Mortality!$A$2:$F$104,6,FALSE))</f>
        <v>0.96896729760411437</v>
      </c>
      <c r="L708" s="11">
        <f>VLOOKUP(IF(B708="Pensioner",C708,Assumptions!$B$10),Mortality!$A$2:$E$104,5,FALSE)</f>
        <v>17.296790022132885</v>
      </c>
      <c r="M708" s="11">
        <f>1+Assumptions!$B$13*Assumptions!$B$14*Assumptions!$B$15</f>
        <v>1.3187500000000001</v>
      </c>
      <c r="N708" s="11">
        <f>IF(B708="Pensioner",1,1/(1+Assumptions!$B$6)^G708)</f>
        <v>0.11034781240254267</v>
      </c>
      <c r="O708" s="17">
        <f t="shared" si="11"/>
        <v>5507747.9845133703</v>
      </c>
    </row>
    <row r="709" spans="1:15">
      <c r="A709" s="13" t="str">
        <f>Members!A709</f>
        <v>A0166</v>
      </c>
      <c r="B709" s="13" t="str">
        <f>Members!B709</f>
        <v>Active</v>
      </c>
      <c r="C709" s="13">
        <f>Members!C709</f>
        <v>52</v>
      </c>
      <c r="D709" s="14">
        <f>Members!D709</f>
        <v>15.4</v>
      </c>
      <c r="E709" s="16">
        <f>Members!E709</f>
        <v>1194000</v>
      </c>
      <c r="F709" s="16">
        <f>Members!F709</f>
        <v>0</v>
      </c>
      <c r="G709" s="15">
        <f>MAX(0,Assumptions!$B$10-C709)</f>
        <v>8</v>
      </c>
      <c r="H709" s="17">
        <f>IF(B709="Active",E709*(1+Assumptions!$B$7)^G709,E709)</f>
        <v>1832415.6989054065</v>
      </c>
      <c r="I709" s="17">
        <f>IF(B709="Active",MIN(Assumptions!$B$12,D709+G709),IF(B709="Deferred",MIN(Assumptions!$B$12,D709),D709))</f>
        <v>23.4</v>
      </c>
      <c r="J709" s="17">
        <f>IF(B709="Active",H709*I709*Assumptions!$B$11,IF(B709="Deferred",E709*I709*Assumptions!$B$11*(1+Assumptions!$B$9)^G709,F709))</f>
        <v>714642.12257310841</v>
      </c>
      <c r="K709" s="11">
        <f>IF(B709="Pensioner",1,VLOOKUP(Assumptions!$B$10,Mortality!$A$2:$F$104,6,FALSE)/VLOOKUP(C709,Mortality!$A$2:$F$104,6,FALSE))</f>
        <v>0.98365275168798427</v>
      </c>
      <c r="L709" s="11">
        <f>VLOOKUP(IF(B709="Pensioner",C709,Assumptions!$B$10),Mortality!$A$2:$E$104,5,FALSE)</f>
        <v>17.296790022132885</v>
      </c>
      <c r="M709" s="11">
        <f>1+Assumptions!$B$13*Assumptions!$B$14*Assumptions!$B$15</f>
        <v>1.3187500000000001</v>
      </c>
      <c r="N709" s="11">
        <f>IF(B709="Pensioner",1,1/(1+Assumptions!$B$6)^G709)</f>
        <v>0.60423118763827188</v>
      </c>
      <c r="O709" s="17">
        <f t="shared" si="11"/>
        <v>9688611.5920587163</v>
      </c>
    </row>
    <row r="710" spans="1:15">
      <c r="A710" s="13" t="str">
        <f>Members!A710</f>
        <v>A0178</v>
      </c>
      <c r="B710" s="13" t="str">
        <f>Members!B710</f>
        <v>Active</v>
      </c>
      <c r="C710" s="13">
        <f>Members!C710</f>
        <v>49</v>
      </c>
      <c r="D710" s="14">
        <f>Members!D710</f>
        <v>13.7</v>
      </c>
      <c r="E710" s="16">
        <f>Members!E710</f>
        <v>1391000</v>
      </c>
      <c r="F710" s="16">
        <f>Members!F710</f>
        <v>0</v>
      </c>
      <c r="G710" s="15">
        <f>MAX(0,Assumptions!$B$10-C710)</f>
        <v>11</v>
      </c>
      <c r="H710" s="17">
        <f>IF(B710="Active",E710*(1+Assumptions!$B$7)^G710,E710)</f>
        <v>2506710.5333561893</v>
      </c>
      <c r="I710" s="17">
        <f>IF(B710="Active",MIN(Assumptions!$B$12,D710+G710),IF(B710="Deferred",MIN(Assumptions!$B$12,D710),D710))</f>
        <v>24.7</v>
      </c>
      <c r="J710" s="17">
        <f>IF(B710="Active",H710*I710*Assumptions!$B$11,IF(B710="Deferred",E710*I710*Assumptions!$B$11*(1+Assumptions!$B$9)^G710,F710))</f>
        <v>1031929.1695649645</v>
      </c>
      <c r="K710" s="11">
        <f>IF(B710="Pensioner",1,VLOOKUP(Assumptions!$B$10,Mortality!$A$2:$F$104,6,FALSE)/VLOOKUP(C710,Mortality!$A$2:$F$104,6,FALSE))</f>
        <v>0.98024296623595764</v>
      </c>
      <c r="L710" s="11">
        <f>VLOOKUP(IF(B710="Pensioner",C710,Assumptions!$B$10),Mortality!$A$2:$E$104,5,FALSE)</f>
        <v>17.296790022132885</v>
      </c>
      <c r="M710" s="11">
        <f>1+Assumptions!$B$13*Assumptions!$B$14*Assumptions!$B$15</f>
        <v>1.3187500000000001</v>
      </c>
      <c r="N710" s="11">
        <f>IF(B710="Pensioner",1,1/(1+Assumptions!$B$6)^G710)</f>
        <v>0.50021223992537933</v>
      </c>
      <c r="O710" s="17">
        <f t="shared" si="11"/>
        <v>11541597.478135386</v>
      </c>
    </row>
    <row r="711" spans="1:15">
      <c r="A711" s="13" t="str">
        <f>Members!A711</f>
        <v>A0312</v>
      </c>
      <c r="B711" s="13" t="str">
        <f>Members!B711</f>
        <v>Active</v>
      </c>
      <c r="C711" s="13">
        <f>Members!C711</f>
        <v>49</v>
      </c>
      <c r="D711" s="14">
        <f>Members!D711</f>
        <v>17.2</v>
      </c>
      <c r="E711" s="16">
        <f>Members!E711</f>
        <v>1276000</v>
      </c>
      <c r="F711" s="16">
        <f>Members!F711</f>
        <v>0</v>
      </c>
      <c r="G711" s="15">
        <f>MAX(0,Assumptions!$B$10-C711)</f>
        <v>11</v>
      </c>
      <c r="H711" s="17">
        <f>IF(B711="Active",E711*(1+Assumptions!$B$7)^G711,E711)</f>
        <v>2299469.9069464393</v>
      </c>
      <c r="I711" s="17">
        <f>IF(B711="Active",MIN(Assumptions!$B$12,D711+G711),IF(B711="Deferred",MIN(Assumptions!$B$12,D711),D711))</f>
        <v>28.2</v>
      </c>
      <c r="J711" s="17">
        <f>IF(B711="Active",H711*I711*Assumptions!$B$11,IF(B711="Deferred",E711*I711*Assumptions!$B$11*(1+Assumptions!$B$9)^G711,F711))</f>
        <v>1080750.8562648264</v>
      </c>
      <c r="K711" s="11">
        <f>IF(B711="Pensioner",1,VLOOKUP(Assumptions!$B$10,Mortality!$A$2:$F$104,6,FALSE)/VLOOKUP(C711,Mortality!$A$2:$F$104,6,FALSE))</f>
        <v>0.98024296623595764</v>
      </c>
      <c r="L711" s="11">
        <f>VLOOKUP(IF(B711="Pensioner",C711,Assumptions!$B$10),Mortality!$A$2:$E$104,5,FALSE)</f>
        <v>17.296790022132885</v>
      </c>
      <c r="M711" s="11">
        <f>1+Assumptions!$B$13*Assumptions!$B$14*Assumptions!$B$15</f>
        <v>1.3187500000000001</v>
      </c>
      <c r="N711" s="11">
        <f>IF(B711="Pensioner",1,1/(1+Assumptions!$B$6)^G711)</f>
        <v>0.50021223992537933</v>
      </c>
      <c r="O711" s="17">
        <f t="shared" si="11"/>
        <v>12087642.95558903</v>
      </c>
    </row>
    <row r="712" spans="1:15">
      <c r="A712" s="13" t="str">
        <f>Members!A712</f>
        <v>A0376</v>
      </c>
      <c r="B712" s="13" t="str">
        <f>Members!B712</f>
        <v>Active</v>
      </c>
      <c r="C712" s="13">
        <f>Members!C712</f>
        <v>31</v>
      </c>
      <c r="D712" s="14">
        <f>Members!D712</f>
        <v>4</v>
      </c>
      <c r="E712" s="16">
        <f>Members!E712</f>
        <v>462000</v>
      </c>
      <c r="F712" s="16">
        <f>Members!F712</f>
        <v>0</v>
      </c>
      <c r="G712" s="15">
        <f>MAX(0,Assumptions!$B$10-C712)</f>
        <v>29</v>
      </c>
      <c r="H712" s="17">
        <f>IF(B712="Active",E712*(1+Assumptions!$B$7)^G712,E712)</f>
        <v>2182545.4931170787</v>
      </c>
      <c r="I712" s="17">
        <f>IF(B712="Active",MIN(Assumptions!$B$12,D712+G712),IF(B712="Deferred",MIN(Assumptions!$B$12,D712),D712))</f>
        <v>33</v>
      </c>
      <c r="J712" s="17">
        <f>IF(B712="Active",H712*I712*Assumptions!$B$11,IF(B712="Deferred",E712*I712*Assumptions!$B$11*(1+Assumptions!$B$9)^G712,F712))</f>
        <v>1200400.0212143932</v>
      </c>
      <c r="K712" s="11">
        <f>IF(B712="Pensioner",1,VLOOKUP(Assumptions!$B$10,Mortality!$A$2:$F$104,6,FALSE)/VLOOKUP(C712,Mortality!$A$2:$F$104,6,FALSE))</f>
        <v>0.97064661072952085</v>
      </c>
      <c r="L712" s="11">
        <f>VLOOKUP(IF(B712="Pensioner",C712,Assumptions!$B$10),Mortality!$A$2:$E$104,5,FALSE)</f>
        <v>17.296790022132885</v>
      </c>
      <c r="M712" s="11">
        <f>1+Assumptions!$B$13*Assumptions!$B$14*Assumptions!$B$15</f>
        <v>1.3187500000000001</v>
      </c>
      <c r="N712" s="11">
        <f>IF(B712="Pensioner",1,1/(1+Assumptions!$B$6)^G712)</f>
        <v>0.16101316040695074</v>
      </c>
      <c r="O712" s="17">
        <f t="shared" si="11"/>
        <v>4279337.0840040268</v>
      </c>
    </row>
    <row r="713" spans="1:15">
      <c r="A713" s="13" t="str">
        <f>Members!A713</f>
        <v>A0150</v>
      </c>
      <c r="B713" s="13" t="str">
        <f>Members!B713</f>
        <v>Active</v>
      </c>
      <c r="C713" s="13">
        <f>Members!C713</f>
        <v>34</v>
      </c>
      <c r="D713" s="14">
        <f>Members!D713</f>
        <v>6.9</v>
      </c>
      <c r="E713" s="16">
        <f>Members!E713</f>
        <v>605000</v>
      </c>
      <c r="F713" s="16">
        <f>Members!F713</f>
        <v>0</v>
      </c>
      <c r="G713" s="15">
        <f>MAX(0,Assumptions!$B$10-C713)</f>
        <v>26</v>
      </c>
      <c r="H713" s="17">
        <f>IF(B713="Active",E713*(1+Assumptions!$B$7)^G713,E713)</f>
        <v>2433993.0013160189</v>
      </c>
      <c r="I713" s="17">
        <f>IF(B713="Active",MIN(Assumptions!$B$12,D713+G713),IF(B713="Deferred",MIN(Assumptions!$B$12,D713),D713))</f>
        <v>32.9</v>
      </c>
      <c r="J713" s="17">
        <f>IF(B713="Active",H713*I713*Assumptions!$B$11,IF(B713="Deferred",E713*I713*Assumptions!$B$11*(1+Assumptions!$B$9)^G713,F713))</f>
        <v>1334639.4957216168</v>
      </c>
      <c r="K713" s="11">
        <f>IF(B713="Pensioner",1,VLOOKUP(Assumptions!$B$10,Mortality!$A$2:$F$104,6,FALSE)/VLOOKUP(C713,Mortality!$A$2:$F$104,6,FALSE))</f>
        <v>0.97162058192333911</v>
      </c>
      <c r="L713" s="11">
        <f>VLOOKUP(IF(B713="Pensioner",C713,Assumptions!$B$10),Mortality!$A$2:$E$104,5,FALSE)</f>
        <v>17.296790022132885</v>
      </c>
      <c r="M713" s="11">
        <f>1+Assumptions!$B$13*Assumptions!$B$14*Assumptions!$B$15</f>
        <v>1.3187500000000001</v>
      </c>
      <c r="N713" s="11">
        <f>IF(B713="Pensioner",1,1/(1+Assumptions!$B$6)^G713)</f>
        <v>0.19449578673364096</v>
      </c>
      <c r="O713" s="17">
        <f t="shared" si="11"/>
        <v>5753059.4563136455</v>
      </c>
    </row>
    <row r="714" spans="1:15">
      <c r="A714" s="13" t="str">
        <f>Members!A714</f>
        <v>P0148</v>
      </c>
      <c r="B714" s="13" t="str">
        <f>Members!B714</f>
        <v>Pensioner</v>
      </c>
      <c r="C714" s="13">
        <f>Members!C714</f>
        <v>87</v>
      </c>
      <c r="D714" s="14">
        <f>Members!D714</f>
        <v>27</v>
      </c>
      <c r="E714" s="16">
        <f>Members!E714</f>
        <v>0</v>
      </c>
      <c r="F714" s="16">
        <f>Members!F714</f>
        <v>543000</v>
      </c>
      <c r="G714" s="15">
        <f>MAX(0,Assumptions!$B$10-C714)</f>
        <v>0</v>
      </c>
      <c r="H714" s="17">
        <f>IF(B714="Active",E714*(1+Assumptions!$B$7)^G714,E714)</f>
        <v>0</v>
      </c>
      <c r="I714" s="17">
        <f>IF(B714="Active",MIN(Assumptions!$B$12,D714+G714),IF(B714="Deferred",MIN(Assumptions!$B$12,D714),D714))</f>
        <v>27</v>
      </c>
      <c r="J714" s="17">
        <f>IF(B714="Active",H714*I714*Assumptions!$B$11,IF(B714="Deferred",E714*I714*Assumptions!$B$11*(1+Assumptions!$B$9)^G714,F714))</f>
        <v>543000</v>
      </c>
      <c r="K714" s="11">
        <f>IF(B714="Pensioner",1,VLOOKUP(Assumptions!$B$10,Mortality!$A$2:$F$104,6,FALSE)/VLOOKUP(C714,Mortality!$A$2:$F$104,6,FALSE))</f>
        <v>1</v>
      </c>
      <c r="L714" s="11">
        <f>VLOOKUP(IF(B714="Pensioner",C714,Assumptions!$B$10),Mortality!$A$2:$E$104,5,FALSE)</f>
        <v>5.427731360162463</v>
      </c>
      <c r="M714" s="11">
        <f>1+Assumptions!$B$13*Assumptions!$B$14*Assumptions!$B$15</f>
        <v>1.3187500000000001</v>
      </c>
      <c r="N714" s="11">
        <f>IF(B714="Pensioner",1,1/(1+Assumptions!$B$6)^G714)</f>
        <v>1</v>
      </c>
      <c r="O714" s="17">
        <f t="shared" si="11"/>
        <v>3886696.6570493374</v>
      </c>
    </row>
    <row r="715" spans="1:15">
      <c r="A715" s="13" t="str">
        <f>Members!A715</f>
        <v>A0148</v>
      </c>
      <c r="B715" s="13" t="str">
        <f>Members!B715</f>
        <v>Active</v>
      </c>
      <c r="C715" s="13">
        <f>Members!C715</f>
        <v>31</v>
      </c>
      <c r="D715" s="14">
        <f>Members!D715</f>
        <v>2.6</v>
      </c>
      <c r="E715" s="16">
        <f>Members!E715</f>
        <v>516000</v>
      </c>
      <c r="F715" s="16">
        <f>Members!F715</f>
        <v>0</v>
      </c>
      <c r="G715" s="15">
        <f>MAX(0,Assumptions!$B$10-C715)</f>
        <v>29</v>
      </c>
      <c r="H715" s="17">
        <f>IF(B715="Active",E715*(1+Assumptions!$B$7)^G715,E715)</f>
        <v>2437648.2130918019</v>
      </c>
      <c r="I715" s="17">
        <f>IF(B715="Active",MIN(Assumptions!$B$12,D715+G715),IF(B715="Deferred",MIN(Assumptions!$B$12,D715),D715))</f>
        <v>31.6</v>
      </c>
      <c r="J715" s="17">
        <f>IF(B715="Active",H715*I715*Assumptions!$B$11,IF(B715="Deferred",E715*I715*Assumptions!$B$11*(1+Assumptions!$B$9)^G715,F715))</f>
        <v>1283828.0588950156</v>
      </c>
      <c r="K715" s="11">
        <f>IF(B715="Pensioner",1,VLOOKUP(Assumptions!$B$10,Mortality!$A$2:$F$104,6,FALSE)/VLOOKUP(C715,Mortality!$A$2:$F$104,6,FALSE))</f>
        <v>0.97064661072952085</v>
      </c>
      <c r="L715" s="11">
        <f>VLOOKUP(IF(B715="Pensioner",C715,Assumptions!$B$10),Mortality!$A$2:$E$104,5,FALSE)</f>
        <v>17.296790022132885</v>
      </c>
      <c r="M715" s="11">
        <f>1+Assumptions!$B$13*Assumptions!$B$14*Assumptions!$B$15</f>
        <v>1.3187500000000001</v>
      </c>
      <c r="N715" s="11">
        <f>IF(B715="Pensioner",1,1/(1+Assumptions!$B$6)^G715)</f>
        <v>0.16101316040695074</v>
      </c>
      <c r="O715" s="17">
        <f t="shared" si="11"/>
        <v>4576751.8533999771</v>
      </c>
    </row>
    <row r="716" spans="1:15">
      <c r="A716" s="13" t="str">
        <f>Members!A716</f>
        <v>P0244</v>
      </c>
      <c r="B716" s="13" t="str">
        <f>Members!B716</f>
        <v>Pensioner</v>
      </c>
      <c r="C716" s="13">
        <f>Members!C716</f>
        <v>68</v>
      </c>
      <c r="D716" s="14">
        <f>Members!D716</f>
        <v>29.6</v>
      </c>
      <c r="E716" s="16">
        <f>Members!E716</f>
        <v>0</v>
      </c>
      <c r="F716" s="16">
        <f>Members!F716</f>
        <v>269000</v>
      </c>
      <c r="G716" s="15">
        <f>MAX(0,Assumptions!$B$10-C716)</f>
        <v>0</v>
      </c>
      <c r="H716" s="17">
        <f>IF(B716="Active",E716*(1+Assumptions!$B$7)^G716,E716)</f>
        <v>0</v>
      </c>
      <c r="I716" s="17">
        <f>IF(B716="Active",MIN(Assumptions!$B$12,D716+G716),IF(B716="Deferred",MIN(Assumptions!$B$12,D716),D716))</f>
        <v>29.6</v>
      </c>
      <c r="J716" s="17">
        <f>IF(B716="Active",H716*I716*Assumptions!$B$11,IF(B716="Deferred",E716*I716*Assumptions!$B$11*(1+Assumptions!$B$9)^G716,F716))</f>
        <v>269000</v>
      </c>
      <c r="K716" s="11">
        <f>IF(B716="Pensioner",1,VLOOKUP(Assumptions!$B$10,Mortality!$A$2:$F$104,6,FALSE)/VLOOKUP(C716,Mortality!$A$2:$F$104,6,FALSE))</f>
        <v>1</v>
      </c>
      <c r="L716" s="11">
        <f>VLOOKUP(IF(B716="Pensioner",C716,Assumptions!$B$10),Mortality!$A$2:$E$104,5,FALSE)</f>
        <v>13.869459484105445</v>
      </c>
      <c r="M716" s="11">
        <f>1+Assumptions!$B$13*Assumptions!$B$14*Assumptions!$B$15</f>
        <v>1.3187500000000001</v>
      </c>
      <c r="N716" s="11">
        <f>IF(B716="Pensioner",1,1/(1+Assumptions!$B$6)^G716)</f>
        <v>1</v>
      </c>
      <c r="O716" s="17">
        <f t="shared" si="11"/>
        <v>4920104.0678646313</v>
      </c>
    </row>
    <row r="717" spans="1:15">
      <c r="A717" s="13" t="str">
        <f>Members!A717</f>
        <v>A0141</v>
      </c>
      <c r="B717" s="13" t="str">
        <f>Members!B717</f>
        <v>Active</v>
      </c>
      <c r="C717" s="13">
        <f>Members!C717</f>
        <v>44</v>
      </c>
      <c r="D717" s="14">
        <f>Members!D717</f>
        <v>18.600000000000001</v>
      </c>
      <c r="E717" s="16">
        <f>Members!E717</f>
        <v>1272000</v>
      </c>
      <c r="F717" s="16">
        <f>Members!F717</f>
        <v>0</v>
      </c>
      <c r="G717" s="15">
        <f>MAX(0,Assumptions!$B$10-C717)</f>
        <v>16</v>
      </c>
      <c r="H717" s="17">
        <f>IF(B717="Active",E717*(1+Assumptions!$B$7)^G717,E717)</f>
        <v>2995894.1535236388</v>
      </c>
      <c r="I717" s="17">
        <f>IF(B717="Active",MIN(Assumptions!$B$12,D717+G717),IF(B717="Deferred",MIN(Assumptions!$B$12,D717),D717))</f>
        <v>34.6</v>
      </c>
      <c r="J717" s="17">
        <f>IF(B717="Active",H717*I717*Assumptions!$B$11,IF(B717="Deferred",E717*I717*Assumptions!$B$11*(1+Assumptions!$B$9)^G717,F717))</f>
        <v>1727632.2951986317</v>
      </c>
      <c r="K717" s="11">
        <f>IF(B717="Pensioner",1,VLOOKUP(Assumptions!$B$10,Mortality!$A$2:$F$104,6,FALSE)/VLOOKUP(C717,Mortality!$A$2:$F$104,6,FALSE))</f>
        <v>0.97626822121787327</v>
      </c>
      <c r="L717" s="11">
        <f>VLOOKUP(IF(B717="Pensioner",C717,Assumptions!$B$10),Mortality!$A$2:$E$104,5,FALSE)</f>
        <v>17.296790022132885</v>
      </c>
      <c r="M717" s="11">
        <f>1+Assumptions!$B$13*Assumptions!$B$14*Assumptions!$B$15</f>
        <v>1.3187500000000001</v>
      </c>
      <c r="N717" s="11">
        <f>IF(B717="Pensioner",1,1/(1+Assumptions!$B$6)^G717)</f>
        <v>0.36509532811475648</v>
      </c>
      <c r="O717" s="17">
        <f t="shared" si="11"/>
        <v>14046066.753247082</v>
      </c>
    </row>
    <row r="718" spans="1:15">
      <c r="A718" s="13" t="str">
        <f>Members!A718</f>
        <v>A0006</v>
      </c>
      <c r="B718" s="13" t="str">
        <f>Members!B718</f>
        <v>Active</v>
      </c>
      <c r="C718" s="13">
        <f>Members!C718</f>
        <v>29</v>
      </c>
      <c r="D718" s="14">
        <f>Members!D718</f>
        <v>7.1</v>
      </c>
      <c r="E718" s="16">
        <f>Members!E718</f>
        <v>594000</v>
      </c>
      <c r="F718" s="16">
        <f>Members!F718</f>
        <v>0</v>
      </c>
      <c r="G718" s="15">
        <f>MAX(0,Assumptions!$B$10-C718)</f>
        <v>31</v>
      </c>
      <c r="H718" s="17">
        <f>IF(B718="Active",E718*(1+Assumptions!$B$7)^G718,E718)</f>
        <v>3123292.7538985321</v>
      </c>
      <c r="I718" s="17">
        <f>IF(B718="Active",MIN(Assumptions!$B$12,D718+G718),IF(B718="Deferred",MIN(Assumptions!$B$12,D718),D718))</f>
        <v>38.1</v>
      </c>
      <c r="J718" s="17">
        <f>IF(B718="Active",H718*I718*Assumptions!$B$11,IF(B718="Deferred",E718*I718*Assumptions!$B$11*(1+Assumptions!$B$9)^G718,F718))</f>
        <v>1983290.8987255681</v>
      </c>
      <c r="K718" s="11">
        <f>IF(B718="Pensioner",1,VLOOKUP(Assumptions!$B$10,Mortality!$A$2:$F$104,6,FALSE)/VLOOKUP(C718,Mortality!$A$2:$F$104,6,FALSE))</f>
        <v>0.9700544954739736</v>
      </c>
      <c r="L718" s="11">
        <f>VLOOKUP(IF(B718="Pensioner",C718,Assumptions!$B$10),Mortality!$A$2:$E$104,5,FALSE)</f>
        <v>17.296790022132885</v>
      </c>
      <c r="M718" s="11">
        <f>1+Assumptions!$B$13*Assumptions!$B$14*Assumptions!$B$15</f>
        <v>1.3187500000000001</v>
      </c>
      <c r="N718" s="11">
        <f>IF(B718="Pensioner",1,1/(1+Assumptions!$B$6)^G718)</f>
        <v>0.14195874752095111</v>
      </c>
      <c r="O718" s="17">
        <f t="shared" si="11"/>
        <v>6229779.8031213013</v>
      </c>
    </row>
    <row r="719" spans="1:15">
      <c r="A719" s="13" t="str">
        <f>Members!A719</f>
        <v>A0060</v>
      </c>
      <c r="B719" s="13" t="str">
        <f>Members!B719</f>
        <v>Active</v>
      </c>
      <c r="C719" s="13">
        <f>Members!C719</f>
        <v>57</v>
      </c>
      <c r="D719" s="14">
        <f>Members!D719</f>
        <v>29.7</v>
      </c>
      <c r="E719" s="16">
        <f>Members!E719</f>
        <v>1734000</v>
      </c>
      <c r="F719" s="16">
        <f>Members!F719</f>
        <v>0</v>
      </c>
      <c r="G719" s="15">
        <f>MAX(0,Assumptions!$B$10-C719)</f>
        <v>3</v>
      </c>
      <c r="H719" s="17">
        <f>IF(B719="Active",E719*(1+Assumptions!$B$7)^G719,E719)</f>
        <v>2036134.5442499996</v>
      </c>
      <c r="I719" s="17">
        <f>IF(B719="Active",MIN(Assumptions!$B$12,D719+G719),IF(B719="Deferred",MIN(Assumptions!$B$12,D719),D719))</f>
        <v>32.700000000000003</v>
      </c>
      <c r="J719" s="17">
        <f>IF(B719="Active",H719*I719*Assumptions!$B$11,IF(B719="Deferred",E719*I719*Assumptions!$B$11*(1+Assumptions!$B$9)^G719,F719))</f>
        <v>1109693.3266162497</v>
      </c>
      <c r="K719" s="11">
        <f>IF(B719="Pensioner",1,VLOOKUP(Assumptions!$B$10,Mortality!$A$2:$F$104,6,FALSE)/VLOOKUP(C719,Mortality!$A$2:$F$104,6,FALSE))</f>
        <v>0.99220038929214172</v>
      </c>
      <c r="L719" s="11">
        <f>VLOOKUP(IF(B719="Pensioner",C719,Assumptions!$B$10),Mortality!$A$2:$E$104,5,FALSE)</f>
        <v>17.296790022132885</v>
      </c>
      <c r="M719" s="11">
        <f>1+Assumptions!$B$13*Assumptions!$B$14*Assumptions!$B$15</f>
        <v>1.3187500000000001</v>
      </c>
      <c r="N719" s="11">
        <f>IF(B719="Pensioner",1,1/(1+Assumptions!$B$6)^G719)</f>
        <v>0.82784909180297994</v>
      </c>
      <c r="O719" s="17">
        <f t="shared" si="11"/>
        <v>20791294.496030658</v>
      </c>
    </row>
    <row r="720" spans="1:15">
      <c r="A720" s="13" t="str">
        <f>Members!A720</f>
        <v>A0104</v>
      </c>
      <c r="B720" s="13" t="str">
        <f>Members!B720</f>
        <v>Active</v>
      </c>
      <c r="C720" s="13">
        <f>Members!C720</f>
        <v>26</v>
      </c>
      <c r="D720" s="14">
        <f>Members!D720</f>
        <v>1</v>
      </c>
      <c r="E720" s="16">
        <f>Members!E720</f>
        <v>527000</v>
      </c>
      <c r="F720" s="16">
        <f>Members!F720</f>
        <v>0</v>
      </c>
      <c r="G720" s="15">
        <f>MAX(0,Assumptions!$B$10-C720)</f>
        <v>34</v>
      </c>
      <c r="H720" s="17">
        <f>IF(B720="Active",E720*(1+Assumptions!$B$7)^G720,E720)</f>
        <v>3253825.3830556208</v>
      </c>
      <c r="I720" s="17">
        <f>IF(B720="Active",MIN(Assumptions!$B$12,D720+G720),IF(B720="Deferred",MIN(Assumptions!$B$12,D720),D720))</f>
        <v>35</v>
      </c>
      <c r="J720" s="17">
        <f>IF(B720="Active",H720*I720*Assumptions!$B$11,IF(B720="Deferred",E720*I720*Assumptions!$B$11*(1+Assumptions!$B$9)^G720,F720))</f>
        <v>1898064.8067824456</v>
      </c>
      <c r="K720" s="11">
        <f>IF(B720="Pensioner",1,VLOOKUP(Assumptions!$B$10,Mortality!$A$2:$F$104,6,FALSE)/VLOOKUP(C720,Mortality!$A$2:$F$104,6,FALSE))</f>
        <v>0.96922916291892547</v>
      </c>
      <c r="L720" s="11">
        <f>VLOOKUP(IF(B720="Pensioner",C720,Assumptions!$B$10),Mortality!$A$2:$E$104,5,FALSE)</f>
        <v>17.296790022132885</v>
      </c>
      <c r="M720" s="11">
        <f>1+Assumptions!$B$13*Assumptions!$B$14*Assumptions!$B$15</f>
        <v>1.3187500000000001</v>
      </c>
      <c r="N720" s="11">
        <f>IF(B720="Pensioner",1,1/(1+Assumptions!$B$6)^G720)</f>
        <v>0.11752042020870793</v>
      </c>
      <c r="O720" s="17">
        <f t="shared" si="11"/>
        <v>4931497.6592410868</v>
      </c>
    </row>
    <row r="721" spans="1:15">
      <c r="A721" s="13" t="str">
        <f>Members!A721</f>
        <v>D0078</v>
      </c>
      <c r="B721" s="13" t="str">
        <f>Members!B721</f>
        <v>Deferred</v>
      </c>
      <c r="C721" s="13">
        <f>Members!C721</f>
        <v>58</v>
      </c>
      <c r="D721" s="14">
        <f>Members!D721</f>
        <v>22.5</v>
      </c>
      <c r="E721" s="16">
        <f>Members!E721</f>
        <v>1327000</v>
      </c>
      <c r="F721" s="16">
        <f>Members!F721</f>
        <v>0</v>
      </c>
      <c r="G721" s="15">
        <f>MAX(0,Assumptions!$B$10-C721)</f>
        <v>2</v>
      </c>
      <c r="H721" s="17">
        <f>IF(B721="Active",E721*(1+Assumptions!$B$7)^G721,E721)</f>
        <v>1327000</v>
      </c>
      <c r="I721" s="17">
        <f>IF(B721="Active",MIN(Assumptions!$B$12,D721+G721),IF(B721="Deferred",MIN(Assumptions!$B$12,D721),D721))</f>
        <v>22.5</v>
      </c>
      <c r="J721" s="17">
        <f>IF(B721="Active",H721*I721*Assumptions!$B$11,IF(B721="Deferred",E721*I721*Assumptions!$B$11*(1+Assumptions!$B$9)^G721,F721))</f>
        <v>538231.20000000007</v>
      </c>
      <c r="K721" s="11">
        <f>IF(B721="Pensioner",1,VLOOKUP(Assumptions!$B$10,Mortality!$A$2:$F$104,6,FALSE)/VLOOKUP(C721,Mortality!$A$2:$F$104,6,FALSE))</f>
        <v>0.99452130442038367</v>
      </c>
      <c r="L721" s="11">
        <f>VLOOKUP(IF(B721="Pensioner",C721,Assumptions!$B$10),Mortality!$A$2:$E$104,5,FALSE)</f>
        <v>17.296790022132885</v>
      </c>
      <c r="M721" s="11">
        <f>1+Assumptions!$B$13*Assumptions!$B$14*Assumptions!$B$15</f>
        <v>1.3187500000000001</v>
      </c>
      <c r="N721" s="11">
        <f>IF(B721="Pensioner",1,1/(1+Assumptions!$B$6)^G721)</f>
        <v>0.88165928277017358</v>
      </c>
      <c r="O721" s="17">
        <f t="shared" si="11"/>
        <v>10764942.897286557</v>
      </c>
    </row>
    <row r="722" spans="1:15">
      <c r="A722" s="13" t="str">
        <f>Members!A722</f>
        <v>A0567</v>
      </c>
      <c r="B722" s="13" t="str">
        <f>Members!B722</f>
        <v>Active</v>
      </c>
      <c r="C722" s="13">
        <f>Members!C722</f>
        <v>33</v>
      </c>
      <c r="D722" s="14">
        <f>Members!D722</f>
        <v>2.2999999999999998</v>
      </c>
      <c r="E722" s="16">
        <f>Members!E722</f>
        <v>624000</v>
      </c>
      <c r="F722" s="16">
        <f>Members!F722</f>
        <v>0</v>
      </c>
      <c r="G722" s="15">
        <f>MAX(0,Assumptions!$B$10-C722)</f>
        <v>27</v>
      </c>
      <c r="H722" s="17">
        <f>IF(B722="Active",E722*(1+Assumptions!$B$7)^G722,E722)</f>
        <v>2648506.2357460517</v>
      </c>
      <c r="I722" s="17">
        <f>IF(B722="Active",MIN(Assumptions!$B$12,D722+G722),IF(B722="Deferred",MIN(Assumptions!$B$12,D722),D722))</f>
        <v>29.3</v>
      </c>
      <c r="J722" s="17">
        <f>IF(B722="Active",H722*I722*Assumptions!$B$11,IF(B722="Deferred",E722*I722*Assumptions!$B$11*(1+Assumptions!$B$9)^G722,F722))</f>
        <v>1293353.8784559886</v>
      </c>
      <c r="K722" s="11">
        <f>IF(B722="Pensioner",1,VLOOKUP(Assumptions!$B$10,Mortality!$A$2:$F$104,6,FALSE)/VLOOKUP(C722,Mortality!$A$2:$F$104,6,FALSE))</f>
        <v>0.9712826176321353</v>
      </c>
      <c r="L722" s="11">
        <f>VLOOKUP(IF(B722="Pensioner",C722,Assumptions!$B$10),Mortality!$A$2:$E$104,5,FALSE)</f>
        <v>17.296790022132885</v>
      </c>
      <c r="M722" s="11">
        <f>1+Assumptions!$B$13*Assumptions!$B$14*Assumptions!$B$15</f>
        <v>1.3187500000000001</v>
      </c>
      <c r="N722" s="11">
        <f>IF(B722="Pensioner",1,1/(1+Assumptions!$B$6)^G722)</f>
        <v>0.18262515186257369</v>
      </c>
      <c r="O722" s="17">
        <f t="shared" si="11"/>
        <v>5233009.9712668071</v>
      </c>
    </row>
    <row r="723" spans="1:15">
      <c r="A723" s="13" t="str">
        <f>Members!A723</f>
        <v>D0103</v>
      </c>
      <c r="B723" s="13" t="str">
        <f>Members!B723</f>
        <v>Deferred</v>
      </c>
      <c r="C723" s="13">
        <f>Members!C723</f>
        <v>45</v>
      </c>
      <c r="D723" s="14">
        <f>Members!D723</f>
        <v>13.3</v>
      </c>
      <c r="E723" s="16">
        <f>Members!E723</f>
        <v>850000</v>
      </c>
      <c r="F723" s="16">
        <f>Members!F723</f>
        <v>0</v>
      </c>
      <c r="G723" s="15">
        <f>MAX(0,Assumptions!$B$10-C723)</f>
        <v>15</v>
      </c>
      <c r="H723" s="17">
        <f>IF(B723="Active",E723*(1+Assumptions!$B$7)^G723,E723)</f>
        <v>850000</v>
      </c>
      <c r="I723" s="17">
        <f>IF(B723="Active",MIN(Assumptions!$B$12,D723+G723),IF(B723="Deferred",MIN(Assumptions!$B$12,D723),D723))</f>
        <v>13.3</v>
      </c>
      <c r="J723" s="17">
        <f>IF(B723="Active",H723*I723*Assumptions!$B$11,IF(B723="Deferred",E723*I723*Assumptions!$B$11*(1+Assumptions!$B$9)^G723,F723))</f>
        <v>339327.77216259489</v>
      </c>
      <c r="K723" s="11">
        <f>IF(B723="Pensioner",1,VLOOKUP(Assumptions!$B$10,Mortality!$A$2:$F$104,6,FALSE)/VLOOKUP(C723,Mortality!$A$2:$F$104,6,FALSE))</f>
        <v>0.97693494781946555</v>
      </c>
      <c r="L723" s="11">
        <f>VLOOKUP(IF(B723="Pensioner",C723,Assumptions!$B$10),Mortality!$A$2:$E$104,5,FALSE)</f>
        <v>17.296790022132885</v>
      </c>
      <c r="M723" s="11">
        <f>1+Assumptions!$B$13*Assumptions!$B$14*Assumptions!$B$15</f>
        <v>1.3187500000000001</v>
      </c>
      <c r="N723" s="11">
        <f>IF(B723="Pensioner",1,1/(1+Assumptions!$B$6)^G723)</f>
        <v>0.38882652444221566</v>
      </c>
      <c r="O723" s="17">
        <f t="shared" si="11"/>
        <v>2940146.1626529903</v>
      </c>
    </row>
    <row r="724" spans="1:15">
      <c r="A724" s="13" t="str">
        <f>Members!A724</f>
        <v>P0115</v>
      </c>
      <c r="B724" s="13" t="str">
        <f>Members!B724</f>
        <v>Pensioner</v>
      </c>
      <c r="C724" s="13">
        <f>Members!C724</f>
        <v>66</v>
      </c>
      <c r="D724" s="14">
        <f>Members!D724</f>
        <v>17.399999999999999</v>
      </c>
      <c r="E724" s="16">
        <f>Members!E724</f>
        <v>0</v>
      </c>
      <c r="F724" s="16">
        <f>Members!F724</f>
        <v>278000</v>
      </c>
      <c r="G724" s="15">
        <f>MAX(0,Assumptions!$B$10-C724)</f>
        <v>0</v>
      </c>
      <c r="H724" s="17">
        <f>IF(B724="Active",E724*(1+Assumptions!$B$7)^G724,E724)</f>
        <v>0</v>
      </c>
      <c r="I724" s="17">
        <f>IF(B724="Active",MIN(Assumptions!$B$12,D724+G724),IF(B724="Deferred",MIN(Assumptions!$B$12,D724),D724))</f>
        <v>17.399999999999999</v>
      </c>
      <c r="J724" s="17">
        <f>IF(B724="Active",H724*I724*Assumptions!$B$11,IF(B724="Deferred",E724*I724*Assumptions!$B$11*(1+Assumptions!$B$9)^G724,F724))</f>
        <v>278000</v>
      </c>
      <c r="K724" s="11">
        <f>IF(B724="Pensioner",1,VLOOKUP(Assumptions!$B$10,Mortality!$A$2:$F$104,6,FALSE)/VLOOKUP(C724,Mortality!$A$2:$F$104,6,FALSE))</f>
        <v>1</v>
      </c>
      <c r="L724" s="11">
        <f>VLOOKUP(IF(B724="Pensioner",C724,Assumptions!$B$10),Mortality!$A$2:$E$104,5,FALSE)</f>
        <v>14.759005103694845</v>
      </c>
      <c r="M724" s="11">
        <f>1+Assumptions!$B$13*Assumptions!$B$14*Assumptions!$B$15</f>
        <v>1.3187500000000001</v>
      </c>
      <c r="N724" s="11">
        <f>IF(B724="Pensioner",1,1/(1+Assumptions!$B$6)^G724)</f>
        <v>1</v>
      </c>
      <c r="O724" s="17">
        <f t="shared" si="11"/>
        <v>5410835.7585783266</v>
      </c>
    </row>
    <row r="725" spans="1:15">
      <c r="A725" s="13" t="str">
        <f>Members!A725</f>
        <v>A0135</v>
      </c>
      <c r="B725" s="13" t="str">
        <f>Members!B725</f>
        <v>Active</v>
      </c>
      <c r="C725" s="13">
        <f>Members!C725</f>
        <v>42</v>
      </c>
      <c r="D725" s="14">
        <f>Members!D725</f>
        <v>3.3</v>
      </c>
      <c r="E725" s="16">
        <f>Members!E725</f>
        <v>967000</v>
      </c>
      <c r="F725" s="16">
        <f>Members!F725</f>
        <v>0</v>
      </c>
      <c r="G725" s="15">
        <f>MAX(0,Assumptions!$B$10-C725)</f>
        <v>18</v>
      </c>
      <c r="H725" s="17">
        <f>IF(B725="Active",E725*(1+Assumptions!$B$7)^G725,E725)</f>
        <v>2534957.8791259448</v>
      </c>
      <c r="I725" s="17">
        <f>IF(B725="Active",MIN(Assumptions!$B$12,D725+G725),IF(B725="Deferred",MIN(Assumptions!$B$12,D725),D725))</f>
        <v>21.3</v>
      </c>
      <c r="J725" s="17">
        <f>IF(B725="Active",H725*I725*Assumptions!$B$11,IF(B725="Deferred",E725*I725*Assumptions!$B$11*(1+Assumptions!$B$9)^G725,F725))</f>
        <v>899910.04708971048</v>
      </c>
      <c r="K725" s="11">
        <f>IF(B725="Pensioner",1,VLOOKUP(Assumptions!$B$10,Mortality!$A$2:$F$104,6,FALSE)/VLOOKUP(C725,Mortality!$A$2:$F$104,6,FALSE))</f>
        <v>0.97507997078383857</v>
      </c>
      <c r="L725" s="11">
        <f>VLOOKUP(IF(B725="Pensioner",C725,Assumptions!$B$10),Mortality!$A$2:$E$104,5,FALSE)</f>
        <v>17.296790022132885</v>
      </c>
      <c r="M725" s="11">
        <f>1+Assumptions!$B$13*Assumptions!$B$14*Assumptions!$B$15</f>
        <v>1.3187500000000001</v>
      </c>
      <c r="N725" s="11">
        <f>IF(B725="Pensioner",1,1/(1+Assumptions!$B$6)^G725)</f>
        <v>0.32188968512839738</v>
      </c>
      <c r="O725" s="17">
        <f t="shared" si="11"/>
        <v>6442796.0259194914</v>
      </c>
    </row>
    <row r="726" spans="1:15">
      <c r="A726" s="13" t="str">
        <f>Members!A726</f>
        <v>P0202</v>
      </c>
      <c r="B726" s="13" t="str">
        <f>Members!B726</f>
        <v>Pensioner</v>
      </c>
      <c r="C726" s="13">
        <f>Members!C726</f>
        <v>88</v>
      </c>
      <c r="D726" s="14">
        <f>Members!D726</f>
        <v>36.200000000000003</v>
      </c>
      <c r="E726" s="16">
        <f>Members!E726</f>
        <v>0</v>
      </c>
      <c r="F726" s="16">
        <f>Members!F726</f>
        <v>616000</v>
      </c>
      <c r="G726" s="15">
        <f>MAX(0,Assumptions!$B$10-C726)</f>
        <v>0</v>
      </c>
      <c r="H726" s="17">
        <f>IF(B726="Active",E726*(1+Assumptions!$B$7)^G726,E726)</f>
        <v>0</v>
      </c>
      <c r="I726" s="17">
        <f>IF(B726="Active",MIN(Assumptions!$B$12,D726+G726),IF(B726="Deferred",MIN(Assumptions!$B$12,D726),D726))</f>
        <v>36.200000000000003</v>
      </c>
      <c r="J726" s="17">
        <f>IF(B726="Active",H726*I726*Assumptions!$B$11,IF(B726="Deferred",E726*I726*Assumptions!$B$11*(1+Assumptions!$B$9)^G726,F726))</f>
        <v>616000</v>
      </c>
      <c r="K726" s="11">
        <f>IF(B726="Pensioner",1,VLOOKUP(Assumptions!$B$10,Mortality!$A$2:$F$104,6,FALSE)/VLOOKUP(C726,Mortality!$A$2:$F$104,6,FALSE))</f>
        <v>1</v>
      </c>
      <c r="L726" s="11">
        <f>VLOOKUP(IF(B726="Pensioner",C726,Assumptions!$B$10),Mortality!$A$2:$E$104,5,FALSE)</f>
        <v>5.0437428962217341</v>
      </c>
      <c r="M726" s="11">
        <f>1+Assumptions!$B$13*Assumptions!$B$14*Assumptions!$B$15</f>
        <v>1.3187500000000001</v>
      </c>
      <c r="N726" s="11">
        <f>IF(B726="Pensioner",1,1/(1+Assumptions!$B$6)^G726)</f>
        <v>1</v>
      </c>
      <c r="O726" s="17">
        <f t="shared" si="11"/>
        <v>4097284.5417457256</v>
      </c>
    </row>
    <row r="727" spans="1:15">
      <c r="A727" s="13" t="str">
        <f>Members!A727</f>
        <v>A0149</v>
      </c>
      <c r="B727" s="13" t="str">
        <f>Members!B727</f>
        <v>Active</v>
      </c>
      <c r="C727" s="13">
        <f>Members!C727</f>
        <v>36</v>
      </c>
      <c r="D727" s="14">
        <f>Members!D727</f>
        <v>2.1</v>
      </c>
      <c r="E727" s="16">
        <f>Members!E727</f>
        <v>643000</v>
      </c>
      <c r="F727" s="16">
        <f>Members!F727</f>
        <v>0</v>
      </c>
      <c r="G727" s="15">
        <f>MAX(0,Assumptions!$B$10-C727)</f>
        <v>24</v>
      </c>
      <c r="H727" s="17">
        <f>IF(B727="Active",E727*(1+Assumptions!$B$7)^G727,E727)</f>
        <v>2324181.3082116139</v>
      </c>
      <c r="I727" s="17">
        <f>IF(B727="Active",MIN(Assumptions!$B$12,D727+G727),IF(B727="Deferred",MIN(Assumptions!$B$12,D727),D727))</f>
        <v>26.1</v>
      </c>
      <c r="J727" s="17">
        <f>IF(B727="Active",H727*I727*Assumptions!$B$11,IF(B727="Deferred",E727*I727*Assumptions!$B$11*(1+Assumptions!$B$9)^G727,F727))</f>
        <v>1011018.8690720521</v>
      </c>
      <c r="K727" s="11">
        <f>IF(B727="Pensioner",1,VLOOKUP(Assumptions!$B$10,Mortality!$A$2:$F$104,6,FALSE)/VLOOKUP(C727,Mortality!$A$2:$F$104,6,FALSE))</f>
        <v>0.97234503055413524</v>
      </c>
      <c r="L727" s="11">
        <f>VLOOKUP(IF(B727="Pensioner",C727,Assumptions!$B$10),Mortality!$A$2:$E$104,5,FALSE)</f>
        <v>17.296790022132885</v>
      </c>
      <c r="M727" s="11">
        <f>1+Assumptions!$B$13*Assumptions!$B$14*Assumptions!$B$15</f>
        <v>1.3187500000000001</v>
      </c>
      <c r="N727" s="11">
        <f>IF(B727="Pensioner",1,1/(1+Assumptions!$B$6)^G727)</f>
        <v>0.22060198370796386</v>
      </c>
      <c r="O727" s="17">
        <f t="shared" si="11"/>
        <v>4946716.9327915339</v>
      </c>
    </row>
    <row r="728" spans="1:15">
      <c r="A728" s="13" t="str">
        <f>Members!A728</f>
        <v>A0501</v>
      </c>
      <c r="B728" s="13" t="str">
        <f>Members!B728</f>
        <v>Active</v>
      </c>
      <c r="C728" s="13">
        <f>Members!C728</f>
        <v>44</v>
      </c>
      <c r="D728" s="14">
        <f>Members!D728</f>
        <v>16.899999999999999</v>
      </c>
      <c r="E728" s="16">
        <f>Members!E728</f>
        <v>1244000</v>
      </c>
      <c r="F728" s="16">
        <f>Members!F728</f>
        <v>0</v>
      </c>
      <c r="G728" s="15">
        <f>MAX(0,Assumptions!$B$10-C728)</f>
        <v>16</v>
      </c>
      <c r="H728" s="17">
        <f>IF(B728="Active",E728*(1+Assumptions!$B$7)^G728,E728)</f>
        <v>2929946.7979429299</v>
      </c>
      <c r="I728" s="17">
        <f>IF(B728="Active",MIN(Assumptions!$B$12,D728+G728),IF(B728="Deferred",MIN(Assumptions!$B$12,D728),D728))</f>
        <v>32.9</v>
      </c>
      <c r="J728" s="17">
        <f>IF(B728="Active",H728*I728*Assumptions!$B$11,IF(B728="Deferred",E728*I728*Assumptions!$B$11*(1+Assumptions!$B$9)^G728,F728))</f>
        <v>1606587.4942053733</v>
      </c>
      <c r="K728" s="11">
        <f>IF(B728="Pensioner",1,VLOOKUP(Assumptions!$B$10,Mortality!$A$2:$F$104,6,FALSE)/VLOOKUP(C728,Mortality!$A$2:$F$104,6,FALSE))</f>
        <v>0.97626822121787327</v>
      </c>
      <c r="L728" s="11">
        <f>VLOOKUP(IF(B728="Pensioner",C728,Assumptions!$B$10),Mortality!$A$2:$E$104,5,FALSE)</f>
        <v>17.296790022132885</v>
      </c>
      <c r="M728" s="11">
        <f>1+Assumptions!$B$13*Assumptions!$B$14*Assumptions!$B$15</f>
        <v>1.3187500000000001</v>
      </c>
      <c r="N728" s="11">
        <f>IF(B728="Pensioner",1,1/(1+Assumptions!$B$6)^G728)</f>
        <v>0.36509532811475648</v>
      </c>
      <c r="O728" s="17">
        <f t="shared" si="11"/>
        <v>13061943.361012546</v>
      </c>
    </row>
    <row r="729" spans="1:15">
      <c r="A729" s="13" t="str">
        <f>Members!A729</f>
        <v>A0211</v>
      </c>
      <c r="B729" s="13" t="str">
        <f>Members!B729</f>
        <v>Active</v>
      </c>
      <c r="C729" s="13">
        <f>Members!C729</f>
        <v>43</v>
      </c>
      <c r="D729" s="14">
        <f>Members!D729</f>
        <v>18.399999999999999</v>
      </c>
      <c r="E729" s="16">
        <f>Members!E729</f>
        <v>1281000</v>
      </c>
      <c r="F729" s="16">
        <f>Members!F729</f>
        <v>0</v>
      </c>
      <c r="G729" s="15">
        <f>MAX(0,Assumptions!$B$10-C729)</f>
        <v>17</v>
      </c>
      <c r="H729" s="17">
        <f>IF(B729="Active",E729*(1+Assumptions!$B$7)^G729,E729)</f>
        <v>3183031.5512973969</v>
      </c>
      <c r="I729" s="17">
        <f>IF(B729="Active",MIN(Assumptions!$B$12,D729+G729),IF(B729="Deferred",MIN(Assumptions!$B$12,D729),D729))</f>
        <v>35.4</v>
      </c>
      <c r="J729" s="17">
        <f>IF(B729="Active",H729*I729*Assumptions!$B$11,IF(B729="Deferred",E729*I729*Assumptions!$B$11*(1+Assumptions!$B$9)^G729,F729))</f>
        <v>1877988.6152654639</v>
      </c>
      <c r="K729" s="11">
        <f>IF(B729="Pensioner",1,VLOOKUP(Assumptions!$B$10,Mortality!$A$2:$F$104,6,FALSE)/VLOOKUP(C729,Mortality!$A$2:$F$104,6,FALSE))</f>
        <v>0.97565175842493801</v>
      </c>
      <c r="L729" s="11">
        <f>VLOOKUP(IF(B729="Pensioner",C729,Assumptions!$B$10),Mortality!$A$2:$E$104,5,FALSE)</f>
        <v>17.296790022132885</v>
      </c>
      <c r="M729" s="11">
        <f>1+Assumptions!$B$13*Assumptions!$B$14*Assumptions!$B$15</f>
        <v>1.3187500000000001</v>
      </c>
      <c r="N729" s="11">
        <f>IF(B729="Pensioner",1,1/(1+Assumptions!$B$6)^G729)</f>
        <v>0.34281251466174323</v>
      </c>
      <c r="O729" s="17">
        <f t="shared" si="11"/>
        <v>14327566.751492096</v>
      </c>
    </row>
    <row r="730" spans="1:15">
      <c r="A730" s="13" t="str">
        <f>Members!A730</f>
        <v>A0180</v>
      </c>
      <c r="B730" s="13" t="str">
        <f>Members!B730</f>
        <v>Active</v>
      </c>
      <c r="C730" s="13">
        <f>Members!C730</f>
        <v>25</v>
      </c>
      <c r="D730" s="14">
        <f>Members!D730</f>
        <v>1</v>
      </c>
      <c r="E730" s="16">
        <f>Members!E730</f>
        <v>360000</v>
      </c>
      <c r="F730" s="16">
        <f>Members!F730</f>
        <v>0</v>
      </c>
      <c r="G730" s="15">
        <f>MAX(0,Assumptions!$B$10-C730)</f>
        <v>35</v>
      </c>
      <c r="H730" s="17">
        <f>IF(B730="Active",E730*(1+Assumptions!$B$7)^G730,E730)</f>
        <v>2344977.0028169346</v>
      </c>
      <c r="I730" s="17">
        <f>IF(B730="Active",MIN(Assumptions!$B$12,D730+G730),IF(B730="Deferred",MIN(Assumptions!$B$12,D730),D730))</f>
        <v>36</v>
      </c>
      <c r="J730" s="17">
        <f>IF(B730="Active",H730*I730*Assumptions!$B$11,IF(B730="Deferred",E730*I730*Assumptions!$B$11*(1+Assumptions!$B$9)^G730,F730))</f>
        <v>1406986.2016901607</v>
      </c>
      <c r="K730" s="11">
        <f>IF(B730="Pensioner",1,VLOOKUP(Assumptions!$B$10,Mortality!$A$2:$F$104,6,FALSE)/VLOOKUP(C730,Mortality!$A$2:$F$104,6,FALSE))</f>
        <v>0.96896729760411437</v>
      </c>
      <c r="L730" s="11">
        <f>VLOOKUP(IF(B730="Pensioner",C730,Assumptions!$B$10),Mortality!$A$2:$E$104,5,FALSE)</f>
        <v>17.296790022132885</v>
      </c>
      <c r="M730" s="11">
        <f>1+Assumptions!$B$13*Assumptions!$B$14*Assumptions!$B$15</f>
        <v>1.3187500000000001</v>
      </c>
      <c r="N730" s="11">
        <f>IF(B730="Pensioner",1,1/(1+Assumptions!$B$6)^G730)</f>
        <v>0.11034781240254267</v>
      </c>
      <c r="O730" s="17">
        <f t="shared" si="11"/>
        <v>3431552.6930798837</v>
      </c>
    </row>
    <row r="731" spans="1:15">
      <c r="A731" s="13" t="str">
        <f>Members!A731</f>
        <v>P0008</v>
      </c>
      <c r="B731" s="13" t="str">
        <f>Members!B731</f>
        <v>Pensioner</v>
      </c>
      <c r="C731" s="13">
        <f>Members!C731</f>
        <v>72</v>
      </c>
      <c r="D731" s="14">
        <f>Members!D731</f>
        <v>22.6</v>
      </c>
      <c r="E731" s="16">
        <f>Members!E731</f>
        <v>0</v>
      </c>
      <c r="F731" s="16">
        <f>Members!F731</f>
        <v>416000</v>
      </c>
      <c r="G731" s="15">
        <f>MAX(0,Assumptions!$B$10-C731)</f>
        <v>0</v>
      </c>
      <c r="H731" s="17">
        <f>IF(B731="Active",E731*(1+Assumptions!$B$7)^G731,E731)</f>
        <v>0</v>
      </c>
      <c r="I731" s="17">
        <f>IF(B731="Active",MIN(Assumptions!$B$12,D731+G731),IF(B731="Deferred",MIN(Assumptions!$B$12,D731),D731))</f>
        <v>22.6</v>
      </c>
      <c r="J731" s="17">
        <f>IF(B731="Active",H731*I731*Assumptions!$B$11,IF(B731="Deferred",E731*I731*Assumptions!$B$11*(1+Assumptions!$B$9)^G731,F731))</f>
        <v>416000</v>
      </c>
      <c r="K731" s="11">
        <f>IF(B731="Pensioner",1,VLOOKUP(Assumptions!$B$10,Mortality!$A$2:$F$104,6,FALSE)/VLOOKUP(C731,Mortality!$A$2:$F$104,6,FALSE))</f>
        <v>1</v>
      </c>
      <c r="L731" s="11">
        <f>VLOOKUP(IF(B731="Pensioner",C731,Assumptions!$B$10),Mortality!$A$2:$E$104,5,FALSE)</f>
        <v>12.047202362945457</v>
      </c>
      <c r="M731" s="11">
        <f>1+Assumptions!$B$13*Assumptions!$B$14*Assumptions!$B$15</f>
        <v>1.3187500000000001</v>
      </c>
      <c r="N731" s="11">
        <f>IF(B731="Pensioner",1,1/(1+Assumptions!$B$6)^G731)</f>
        <v>1</v>
      </c>
      <c r="O731" s="17">
        <f t="shared" si="11"/>
        <v>6609095.2163118785</v>
      </c>
    </row>
    <row r="732" spans="1:15">
      <c r="A732" s="13" t="str">
        <f>Members!A732</f>
        <v>A0591</v>
      </c>
      <c r="B732" s="13" t="str">
        <f>Members!B732</f>
        <v>Active</v>
      </c>
      <c r="C732" s="13">
        <f>Members!C732</f>
        <v>24</v>
      </c>
      <c r="D732" s="14">
        <f>Members!D732</f>
        <v>1.2</v>
      </c>
      <c r="E732" s="16">
        <f>Members!E732</f>
        <v>465000</v>
      </c>
      <c r="F732" s="16">
        <f>Members!F732</f>
        <v>0</v>
      </c>
      <c r="G732" s="15">
        <f>MAX(0,Assumptions!$B$10-C732)</f>
        <v>36</v>
      </c>
      <c r="H732" s="17">
        <f>IF(B732="Active",E732*(1+Assumptions!$B$7)^G732,E732)</f>
        <v>3195519.7032136605</v>
      </c>
      <c r="I732" s="17">
        <f>IF(B732="Active",MIN(Assumptions!$B$12,D732+G732),IF(B732="Deferred",MIN(Assumptions!$B$12,D732),D732))</f>
        <v>37.200000000000003</v>
      </c>
      <c r="J732" s="17">
        <f>IF(B732="Active",H732*I732*Assumptions!$B$11,IF(B732="Deferred",E732*I732*Assumptions!$B$11*(1+Assumptions!$B$9)^G732,F732))</f>
        <v>1981222.2159924696</v>
      </c>
      <c r="K732" s="11">
        <f>IF(B732="Pensioner",1,VLOOKUP(Assumptions!$B$10,Mortality!$A$2:$F$104,6,FALSE)/VLOOKUP(C732,Mortality!$A$2:$F$104,6,FALSE))</f>
        <v>0.96871086700607645</v>
      </c>
      <c r="L732" s="11">
        <f>VLOOKUP(IF(B732="Pensioner",C732,Assumptions!$B$10),Mortality!$A$2:$E$104,5,FALSE)</f>
        <v>17.296790022132885</v>
      </c>
      <c r="M732" s="11">
        <f>1+Assumptions!$B$13*Assumptions!$B$14*Assumptions!$B$15</f>
        <v>1.3187500000000001</v>
      </c>
      <c r="N732" s="11">
        <f>IF(B732="Pensioner",1,1/(1+Assumptions!$B$6)^G732)</f>
        <v>0.10361296939205883</v>
      </c>
      <c r="O732" s="17">
        <f t="shared" si="11"/>
        <v>4535962.6191279385</v>
      </c>
    </row>
    <row r="733" spans="1:15">
      <c r="A733" s="13" t="str">
        <f>Members!A733</f>
        <v>A0396</v>
      </c>
      <c r="B733" s="13" t="str">
        <f>Members!B733</f>
        <v>Active</v>
      </c>
      <c r="C733" s="13">
        <f>Members!C733</f>
        <v>34</v>
      </c>
      <c r="D733" s="14">
        <f>Members!D733</f>
        <v>2.1</v>
      </c>
      <c r="E733" s="16">
        <f>Members!E733</f>
        <v>767000</v>
      </c>
      <c r="F733" s="16">
        <f>Members!F733</f>
        <v>0</v>
      </c>
      <c r="G733" s="15">
        <f>MAX(0,Assumptions!$B$10-C733)</f>
        <v>26</v>
      </c>
      <c r="H733" s="17">
        <f>IF(B733="Active",E733*(1+Assumptions!$B$7)^G733,E733)</f>
        <v>3085739.8876188206</v>
      </c>
      <c r="I733" s="17">
        <f>IF(B733="Active",MIN(Assumptions!$B$12,D733+G733),IF(B733="Deferred",MIN(Assumptions!$B$12,D733),D733))</f>
        <v>28.1</v>
      </c>
      <c r="J733" s="17">
        <f>IF(B733="Active",H733*I733*Assumptions!$B$11,IF(B733="Deferred",E733*I733*Assumptions!$B$11*(1+Assumptions!$B$9)^G733,F733))</f>
        <v>1445154.8473681477</v>
      </c>
      <c r="K733" s="11">
        <f>IF(B733="Pensioner",1,VLOOKUP(Assumptions!$B$10,Mortality!$A$2:$F$104,6,FALSE)/VLOOKUP(C733,Mortality!$A$2:$F$104,6,FALSE))</f>
        <v>0.97162058192333911</v>
      </c>
      <c r="L733" s="11">
        <f>VLOOKUP(IF(B733="Pensioner",C733,Assumptions!$B$10),Mortality!$A$2:$E$104,5,FALSE)</f>
        <v>17.296790022132885</v>
      </c>
      <c r="M733" s="11">
        <f>1+Assumptions!$B$13*Assumptions!$B$14*Assumptions!$B$15</f>
        <v>1.3187500000000001</v>
      </c>
      <c r="N733" s="11">
        <f>IF(B733="Pensioner",1,1/(1+Assumptions!$B$6)^G733)</f>
        <v>0.19449578673364096</v>
      </c>
      <c r="O733" s="17">
        <f t="shared" si="11"/>
        <v>6229443.821451989</v>
      </c>
    </row>
    <row r="734" spans="1:15">
      <c r="A734" s="13" t="str">
        <f>Members!A734</f>
        <v>D0070</v>
      </c>
      <c r="B734" s="13" t="str">
        <f>Members!B734</f>
        <v>Deferred</v>
      </c>
      <c r="C734" s="13">
        <f>Members!C734</f>
        <v>47</v>
      </c>
      <c r="D734" s="14">
        <f>Members!D734</f>
        <v>10.5</v>
      </c>
      <c r="E734" s="16">
        <f>Members!E734</f>
        <v>1011000</v>
      </c>
      <c r="F734" s="16">
        <f>Members!F734</f>
        <v>0</v>
      </c>
      <c r="G734" s="15">
        <f>MAX(0,Assumptions!$B$10-C734)</f>
        <v>13</v>
      </c>
      <c r="H734" s="17">
        <f>IF(B734="Active",E734*(1+Assumptions!$B$7)^G734,E734)</f>
        <v>1011000</v>
      </c>
      <c r="I734" s="17">
        <f>IF(B734="Active",MIN(Assumptions!$B$12,D734+G734),IF(B734="Deferred",MIN(Assumptions!$B$12,D734),D734))</f>
        <v>10.5</v>
      </c>
      <c r="J734" s="17">
        <f>IF(B734="Active",H734*I734*Assumptions!$B$11,IF(B734="Deferred",E734*I734*Assumptions!$B$11*(1+Assumptions!$B$9)^G734,F734))</f>
        <v>294593.13028089056</v>
      </c>
      <c r="K734" s="11">
        <f>IF(B734="Pensioner",1,VLOOKUP(Assumptions!$B$10,Mortality!$A$2:$F$104,6,FALSE)/VLOOKUP(C734,Mortality!$A$2:$F$104,6,FALSE))</f>
        <v>0.97844516757479894</v>
      </c>
      <c r="L734" s="11">
        <f>VLOOKUP(IF(B734="Pensioner",C734,Assumptions!$B$10),Mortality!$A$2:$E$104,5,FALSE)</f>
        <v>17.296790022132885</v>
      </c>
      <c r="M734" s="11">
        <f>1+Assumptions!$B$13*Assumptions!$B$14*Assumptions!$B$15</f>
        <v>1.3187500000000001</v>
      </c>
      <c r="N734" s="11">
        <f>IF(B734="Pensioner",1,1/(1+Assumptions!$B$6)^G734)</f>
        <v>0.44101676468547191</v>
      </c>
      <c r="O734" s="17">
        <f t="shared" si="11"/>
        <v>2899627.3844280685</v>
      </c>
    </row>
    <row r="735" spans="1:15">
      <c r="A735" s="13" t="str">
        <f>Members!A735</f>
        <v>A0254</v>
      </c>
      <c r="B735" s="13" t="str">
        <f>Members!B735</f>
        <v>Active</v>
      </c>
      <c r="C735" s="13">
        <f>Members!C735</f>
        <v>45</v>
      </c>
      <c r="D735" s="14">
        <f>Members!D735</f>
        <v>2.7</v>
      </c>
      <c r="E735" s="16">
        <f>Members!E735</f>
        <v>1336000</v>
      </c>
      <c r="F735" s="16">
        <f>Members!F735</f>
        <v>0</v>
      </c>
      <c r="G735" s="15">
        <f>MAX(0,Assumptions!$B$10-C735)</f>
        <v>15</v>
      </c>
      <c r="H735" s="17">
        <f>IF(B735="Active",E735*(1+Assumptions!$B$7)^G735,E735)</f>
        <v>2982588.5936299008</v>
      </c>
      <c r="I735" s="17">
        <f>IF(B735="Active",MIN(Assumptions!$B$12,D735+G735),IF(B735="Deferred",MIN(Assumptions!$B$12,D735),D735))</f>
        <v>17.7</v>
      </c>
      <c r="J735" s="17">
        <f>IF(B735="Active",H735*I735*Assumptions!$B$11,IF(B735="Deferred",E735*I735*Assumptions!$B$11*(1+Assumptions!$B$9)^G735,F735))</f>
        <v>879863.63512082072</v>
      </c>
      <c r="K735" s="11">
        <f>IF(B735="Pensioner",1,VLOOKUP(Assumptions!$B$10,Mortality!$A$2:$F$104,6,FALSE)/VLOOKUP(C735,Mortality!$A$2:$F$104,6,FALSE))</f>
        <v>0.97693494781946555</v>
      </c>
      <c r="L735" s="11">
        <f>VLOOKUP(IF(B735="Pensioner",C735,Assumptions!$B$10),Mortality!$A$2:$E$104,5,FALSE)</f>
        <v>17.296790022132885</v>
      </c>
      <c r="M735" s="11">
        <f>1+Assumptions!$B$13*Assumptions!$B$14*Assumptions!$B$15</f>
        <v>1.3187500000000001</v>
      </c>
      <c r="N735" s="11">
        <f>IF(B735="Pensioner",1,1/(1+Assumptions!$B$6)^G735)</f>
        <v>0.38882652444221566</v>
      </c>
      <c r="O735" s="17">
        <f t="shared" si="11"/>
        <v>7623683.9500977239</v>
      </c>
    </row>
    <row r="736" spans="1:15">
      <c r="A736" s="13" t="str">
        <f>Members!A736</f>
        <v>A0301</v>
      </c>
      <c r="B736" s="13" t="str">
        <f>Members!B736</f>
        <v>Active</v>
      </c>
      <c r="C736" s="13">
        <f>Members!C736</f>
        <v>41</v>
      </c>
      <c r="D736" s="14">
        <f>Members!D736</f>
        <v>6.3</v>
      </c>
      <c r="E736" s="16">
        <f>Members!E736</f>
        <v>754000</v>
      </c>
      <c r="F736" s="16">
        <f>Members!F736</f>
        <v>0</v>
      </c>
      <c r="G736" s="15">
        <f>MAX(0,Assumptions!$B$10-C736)</f>
        <v>19</v>
      </c>
      <c r="H736" s="17">
        <f>IF(B736="Active",E736*(1+Assumptions!$B$7)^G736,E736)</f>
        <v>2085297.7705360032</v>
      </c>
      <c r="I736" s="17">
        <f>IF(B736="Active",MIN(Assumptions!$B$12,D736+G736),IF(B736="Deferred",MIN(Assumptions!$B$12,D736),D736))</f>
        <v>25.3</v>
      </c>
      <c r="J736" s="17">
        <f>IF(B736="Active",H736*I736*Assumptions!$B$11,IF(B736="Deferred",E736*I736*Assumptions!$B$11*(1+Assumptions!$B$9)^G736,F736))</f>
        <v>879300.55990934803</v>
      </c>
      <c r="K736" s="11">
        <f>IF(B736="Pensioner",1,VLOOKUP(Assumptions!$B$10,Mortality!$A$2:$F$104,6,FALSE)/VLOOKUP(C736,Mortality!$A$2:$F$104,6,FALSE))</f>
        <v>0.97454789540795339</v>
      </c>
      <c r="L736" s="11">
        <f>VLOOKUP(IF(B736="Pensioner",C736,Assumptions!$B$10),Mortality!$A$2:$E$104,5,FALSE)</f>
        <v>17.296790022132885</v>
      </c>
      <c r="M736" s="11">
        <f>1+Assumptions!$B$13*Assumptions!$B$14*Assumptions!$B$15</f>
        <v>1.3187500000000001</v>
      </c>
      <c r="N736" s="11">
        <f>IF(B736="Pensioner",1,1/(1+Assumptions!$B$6)^G736)</f>
        <v>0.30224383580131214</v>
      </c>
      <c r="O736" s="17">
        <f t="shared" si="11"/>
        <v>5907802.6026496161</v>
      </c>
    </row>
    <row r="737" spans="1:15">
      <c r="A737" s="13" t="str">
        <f>Members!A737</f>
        <v>D0012</v>
      </c>
      <c r="B737" s="13" t="str">
        <f>Members!B737</f>
        <v>Deferred</v>
      </c>
      <c r="C737" s="13">
        <f>Members!C737</f>
        <v>30</v>
      </c>
      <c r="D737" s="14">
        <f>Members!D737</f>
        <v>2.6</v>
      </c>
      <c r="E737" s="16">
        <f>Members!E737</f>
        <v>434000</v>
      </c>
      <c r="F737" s="16">
        <f>Members!F737</f>
        <v>0</v>
      </c>
      <c r="G737" s="15">
        <f>MAX(0,Assumptions!$B$10-C737)</f>
        <v>30</v>
      </c>
      <c r="H737" s="17">
        <f>IF(B737="Active",E737*(1+Assumptions!$B$7)^G737,E737)</f>
        <v>434000</v>
      </c>
      <c r="I737" s="17">
        <f>IF(B737="Active",MIN(Assumptions!$B$12,D737+G737),IF(B737="Deferred",MIN(Assumptions!$B$12,D737),D737))</f>
        <v>2.6</v>
      </c>
      <c r="J737" s="17">
        <f>IF(B737="Active",H737*I737*Assumptions!$B$11,IF(B737="Deferred",E737*I737*Assumptions!$B$11*(1+Assumptions!$B$9)^G737,F737))</f>
        <v>60997.495838584648</v>
      </c>
      <c r="K737" s="11">
        <f>IF(B737="Pensioner",1,VLOOKUP(Assumptions!$B$10,Mortality!$A$2:$F$104,6,FALSE)/VLOOKUP(C737,Mortality!$A$2:$F$104,6,FALSE))</f>
        <v>0.97034568803187526</v>
      </c>
      <c r="L737" s="11">
        <f>VLOOKUP(IF(B737="Pensioner",C737,Assumptions!$B$10),Mortality!$A$2:$E$104,5,FALSE)</f>
        <v>17.296790022132885</v>
      </c>
      <c r="M737" s="11">
        <f>1+Assumptions!$B$13*Assumptions!$B$14*Assumptions!$B$15</f>
        <v>1.3187500000000001</v>
      </c>
      <c r="N737" s="11">
        <f>IF(B737="Pensioner",1,1/(1+Assumptions!$B$6)^G737)</f>
        <v>0.15118606610981289</v>
      </c>
      <c r="O737" s="17">
        <f t="shared" si="11"/>
        <v>204116.55929747637</v>
      </c>
    </row>
    <row r="738" spans="1:15">
      <c r="A738" s="13" t="str">
        <f>Members!A738</f>
        <v>A0088</v>
      </c>
      <c r="B738" s="13" t="str">
        <f>Members!B738</f>
        <v>Active</v>
      </c>
      <c r="C738" s="13">
        <f>Members!C738</f>
        <v>59</v>
      </c>
      <c r="D738" s="14">
        <f>Members!D738</f>
        <v>18</v>
      </c>
      <c r="E738" s="16">
        <f>Members!E738</f>
        <v>2098000</v>
      </c>
      <c r="F738" s="16">
        <f>Members!F738</f>
        <v>0</v>
      </c>
      <c r="G738" s="15">
        <f>MAX(0,Assumptions!$B$10-C738)</f>
        <v>1</v>
      </c>
      <c r="H738" s="17">
        <f>IF(B738="Active",E738*(1+Assumptions!$B$7)^G738,E738)</f>
        <v>2213390</v>
      </c>
      <c r="I738" s="17">
        <f>IF(B738="Active",MIN(Assumptions!$B$12,D738+G738),IF(B738="Deferred",MIN(Assumptions!$B$12,D738),D738))</f>
        <v>19</v>
      </c>
      <c r="J738" s="17">
        <f>IF(B738="Active",H738*I738*Assumptions!$B$11,IF(B738="Deferred",E738*I738*Assumptions!$B$11*(1+Assumptions!$B$9)^G738,F738))</f>
        <v>700906.83333333337</v>
      </c>
      <c r="K738" s="11">
        <f>IF(B738="Pensioner",1,VLOOKUP(Assumptions!$B$10,Mortality!$A$2:$F$104,6,FALSE)/VLOOKUP(C738,Mortality!$A$2:$F$104,6,FALSE))</f>
        <v>0.99710960118319747</v>
      </c>
      <c r="L738" s="11">
        <f>VLOOKUP(IF(B738="Pensioner",C738,Assumptions!$B$10),Mortality!$A$2:$E$104,5,FALSE)</f>
        <v>17.296790022132885</v>
      </c>
      <c r="M738" s="11">
        <f>1+Assumptions!$B$13*Assumptions!$B$14*Assumptions!$B$15</f>
        <v>1.3187500000000001</v>
      </c>
      <c r="N738" s="11">
        <f>IF(B738="Pensioner",1,1/(1+Assumptions!$B$6)^G738)</f>
        <v>0.93896713615023475</v>
      </c>
      <c r="O738" s="17">
        <f t="shared" si="11"/>
        <v>14968613.345875653</v>
      </c>
    </row>
    <row r="739" spans="1:15">
      <c r="A739" s="13" t="str">
        <f>Members!A739</f>
        <v>A0480</v>
      </c>
      <c r="B739" s="13" t="str">
        <f>Members!B739</f>
        <v>Active</v>
      </c>
      <c r="C739" s="13">
        <f>Members!C739</f>
        <v>45</v>
      </c>
      <c r="D739" s="14">
        <f>Members!D739</f>
        <v>5.5</v>
      </c>
      <c r="E739" s="16">
        <f>Members!E739</f>
        <v>1253000</v>
      </c>
      <c r="F739" s="16">
        <f>Members!F739</f>
        <v>0</v>
      </c>
      <c r="G739" s="15">
        <f>MAX(0,Assumptions!$B$10-C739)</f>
        <v>15</v>
      </c>
      <c r="H739" s="17">
        <f>IF(B739="Active",E739*(1+Assumptions!$B$7)^G739,E739)</f>
        <v>2797293.0447741509</v>
      </c>
      <c r="I739" s="17">
        <f>IF(B739="Active",MIN(Assumptions!$B$12,D739+G739),IF(B739="Deferred",MIN(Assumptions!$B$12,D739),D739))</f>
        <v>20.5</v>
      </c>
      <c r="J739" s="17">
        <f>IF(B739="Active",H739*I739*Assumptions!$B$11,IF(B739="Deferred",E739*I739*Assumptions!$B$11*(1+Assumptions!$B$9)^G739,F739))</f>
        <v>955741.7902978349</v>
      </c>
      <c r="K739" s="11">
        <f>IF(B739="Pensioner",1,VLOOKUP(Assumptions!$B$10,Mortality!$A$2:$F$104,6,FALSE)/VLOOKUP(C739,Mortality!$A$2:$F$104,6,FALSE))</f>
        <v>0.97693494781946555</v>
      </c>
      <c r="L739" s="11">
        <f>VLOOKUP(IF(B739="Pensioner",C739,Assumptions!$B$10),Mortality!$A$2:$E$104,5,FALSE)</f>
        <v>17.296790022132885</v>
      </c>
      <c r="M739" s="11">
        <f>1+Assumptions!$B$13*Assumptions!$B$14*Assumptions!$B$15</f>
        <v>1.3187500000000001</v>
      </c>
      <c r="N739" s="11">
        <f>IF(B739="Pensioner",1,1/(1+Assumptions!$B$6)^G739)</f>
        <v>0.38882652444221566</v>
      </c>
      <c r="O739" s="17">
        <f t="shared" si="11"/>
        <v>8281139.3223800361</v>
      </c>
    </row>
    <row r="740" spans="1:15">
      <c r="A740" s="13" t="str">
        <f>Members!A740</f>
        <v>A0552</v>
      </c>
      <c r="B740" s="13" t="str">
        <f>Members!B740</f>
        <v>Active</v>
      </c>
      <c r="C740" s="13">
        <f>Members!C740</f>
        <v>34</v>
      </c>
      <c r="D740" s="14">
        <f>Members!D740</f>
        <v>3</v>
      </c>
      <c r="E740" s="16">
        <f>Members!E740</f>
        <v>505000</v>
      </c>
      <c r="F740" s="16">
        <f>Members!F740</f>
        <v>0</v>
      </c>
      <c r="G740" s="15">
        <f>MAX(0,Assumptions!$B$10-C740)</f>
        <v>26</v>
      </c>
      <c r="H740" s="17">
        <f>IF(B740="Active",E740*(1+Assumptions!$B$7)^G740,E740)</f>
        <v>2031680.1085365117</v>
      </c>
      <c r="I740" s="17">
        <f>IF(B740="Active",MIN(Assumptions!$B$12,D740+G740),IF(B740="Deferred",MIN(Assumptions!$B$12,D740),D740))</f>
        <v>29</v>
      </c>
      <c r="J740" s="17">
        <f>IF(B740="Active",H740*I740*Assumptions!$B$11,IF(B740="Deferred",E740*I740*Assumptions!$B$11*(1+Assumptions!$B$9)^G740,F740))</f>
        <v>981978.71912598063</v>
      </c>
      <c r="K740" s="11">
        <f>IF(B740="Pensioner",1,VLOOKUP(Assumptions!$B$10,Mortality!$A$2:$F$104,6,FALSE)/VLOOKUP(C740,Mortality!$A$2:$F$104,6,FALSE))</f>
        <v>0.97162058192333911</v>
      </c>
      <c r="L740" s="11">
        <f>VLOOKUP(IF(B740="Pensioner",C740,Assumptions!$B$10),Mortality!$A$2:$E$104,5,FALSE)</f>
        <v>17.296790022132885</v>
      </c>
      <c r="M740" s="11">
        <f>1+Assumptions!$B$13*Assumptions!$B$14*Assumptions!$B$15</f>
        <v>1.3187500000000001</v>
      </c>
      <c r="N740" s="11">
        <f>IF(B740="Pensioner",1,1/(1+Assumptions!$B$6)^G740)</f>
        <v>0.19449578673364096</v>
      </c>
      <c r="O740" s="17">
        <f t="shared" si="11"/>
        <v>4232889.8358518602</v>
      </c>
    </row>
    <row r="741" spans="1:15">
      <c r="A741" s="13" t="str">
        <f>Members!A741</f>
        <v>A0226</v>
      </c>
      <c r="B741" s="13" t="str">
        <f>Members!B741</f>
        <v>Active</v>
      </c>
      <c r="C741" s="13">
        <f>Members!C741</f>
        <v>45</v>
      </c>
      <c r="D741" s="14">
        <f>Members!D741</f>
        <v>19.3</v>
      </c>
      <c r="E741" s="16">
        <f>Members!E741</f>
        <v>1408000</v>
      </c>
      <c r="F741" s="16">
        <f>Members!F741</f>
        <v>0</v>
      </c>
      <c r="G741" s="15">
        <f>MAX(0,Assumptions!$B$10-C741)</f>
        <v>15</v>
      </c>
      <c r="H741" s="17">
        <f>IF(B741="Active",E741*(1+Assumptions!$B$7)^G741,E741)</f>
        <v>3143326.901071033</v>
      </c>
      <c r="I741" s="17">
        <f>IF(B741="Active",MIN(Assumptions!$B$12,D741+G741),IF(B741="Deferred",MIN(Assumptions!$B$12,D741),D741))</f>
        <v>34.299999999999997</v>
      </c>
      <c r="J741" s="17">
        <f>IF(B741="Active",H741*I741*Assumptions!$B$11,IF(B741="Deferred",E741*I741*Assumptions!$B$11*(1+Assumptions!$B$9)^G741,F741))</f>
        <v>1796935.2117789402</v>
      </c>
      <c r="K741" s="11">
        <f>IF(B741="Pensioner",1,VLOOKUP(Assumptions!$B$10,Mortality!$A$2:$F$104,6,FALSE)/VLOOKUP(C741,Mortality!$A$2:$F$104,6,FALSE))</f>
        <v>0.97693494781946555</v>
      </c>
      <c r="L741" s="11">
        <f>VLOOKUP(IF(B741="Pensioner",C741,Assumptions!$B$10),Mortality!$A$2:$E$104,5,FALSE)</f>
        <v>17.296790022132885</v>
      </c>
      <c r="M741" s="11">
        <f>1+Assumptions!$B$13*Assumptions!$B$14*Assumptions!$B$15</f>
        <v>1.3187500000000001</v>
      </c>
      <c r="N741" s="11">
        <f>IF(B741="Pensioner",1,1/(1+Assumptions!$B$6)^G741)</f>
        <v>0.38882652444221566</v>
      </c>
      <c r="O741" s="17">
        <f t="shared" si="11"/>
        <v>15569760.570367718</v>
      </c>
    </row>
    <row r="742" spans="1:15">
      <c r="A742" s="13" t="str">
        <f>Members!A742</f>
        <v>A0603</v>
      </c>
      <c r="B742" s="13" t="str">
        <f>Members!B742</f>
        <v>Active</v>
      </c>
      <c r="C742" s="13">
        <f>Members!C742</f>
        <v>27</v>
      </c>
      <c r="D742" s="14">
        <f>Members!D742</f>
        <v>2</v>
      </c>
      <c r="E742" s="16">
        <f>Members!E742</f>
        <v>363000</v>
      </c>
      <c r="F742" s="16">
        <f>Members!F742</f>
        <v>0</v>
      </c>
      <c r="G742" s="15">
        <f>MAX(0,Assumptions!$B$10-C742)</f>
        <v>33</v>
      </c>
      <c r="H742" s="17">
        <f>IF(B742="Active",E742*(1+Assumptions!$B$7)^G742,E742)</f>
        <v>2124407.3384159473</v>
      </c>
      <c r="I742" s="17">
        <f>IF(B742="Active",MIN(Assumptions!$B$12,D742+G742),IF(B742="Deferred",MIN(Assumptions!$B$12,D742),D742))</f>
        <v>35</v>
      </c>
      <c r="J742" s="17">
        <f>IF(B742="Active",H742*I742*Assumptions!$B$11,IF(B742="Deferred",E742*I742*Assumptions!$B$11*(1+Assumptions!$B$9)^G742,F742))</f>
        <v>1239237.6140759692</v>
      </c>
      <c r="K742" s="11">
        <f>IF(B742="Pensioner",1,VLOOKUP(Assumptions!$B$10,Mortality!$A$2:$F$104,6,FALSE)/VLOOKUP(C742,Mortality!$A$2:$F$104,6,FALSE))</f>
        <v>0.96949713302845153</v>
      </c>
      <c r="L742" s="11">
        <f>VLOOKUP(IF(B742="Pensioner",C742,Assumptions!$B$10),Mortality!$A$2:$E$104,5,FALSE)</f>
        <v>17.296790022132885</v>
      </c>
      <c r="M742" s="11">
        <f>1+Assumptions!$B$13*Assumptions!$B$14*Assumptions!$B$15</f>
        <v>1.3187500000000001</v>
      </c>
      <c r="N742" s="11">
        <f>IF(B742="Pensioner",1,1/(1+Assumptions!$B$6)^G742)</f>
        <v>0.12515924752227392</v>
      </c>
      <c r="O742" s="17">
        <f t="shared" si="11"/>
        <v>3429983.6145131085</v>
      </c>
    </row>
    <row r="743" spans="1:15">
      <c r="A743" s="13" t="str">
        <f>Members!A743</f>
        <v>A0035</v>
      </c>
      <c r="B743" s="13" t="str">
        <f>Members!B743</f>
        <v>Active</v>
      </c>
      <c r="C743" s="13">
        <f>Members!C743</f>
        <v>45</v>
      </c>
      <c r="D743" s="14">
        <f>Members!D743</f>
        <v>8.9</v>
      </c>
      <c r="E743" s="16">
        <f>Members!E743</f>
        <v>1217000</v>
      </c>
      <c r="F743" s="16">
        <f>Members!F743</f>
        <v>0</v>
      </c>
      <c r="G743" s="15">
        <f>MAX(0,Assumptions!$B$10-C743)</f>
        <v>15</v>
      </c>
      <c r="H743" s="17">
        <f>IF(B743="Active",E743*(1+Assumptions!$B$7)^G743,E743)</f>
        <v>2716923.8910535849</v>
      </c>
      <c r="I743" s="17">
        <f>IF(B743="Active",MIN(Assumptions!$B$12,D743+G743),IF(B743="Deferred",MIN(Assumptions!$B$12,D743),D743))</f>
        <v>23.9</v>
      </c>
      <c r="J743" s="17">
        <f>IF(B743="Active",H743*I743*Assumptions!$B$11,IF(B743="Deferred",E743*I743*Assumptions!$B$11*(1+Assumptions!$B$9)^G743,F743))</f>
        <v>1082241.3499363447</v>
      </c>
      <c r="K743" s="11">
        <f>IF(B743="Pensioner",1,VLOOKUP(Assumptions!$B$10,Mortality!$A$2:$F$104,6,FALSE)/VLOOKUP(C743,Mortality!$A$2:$F$104,6,FALSE))</f>
        <v>0.97693494781946555</v>
      </c>
      <c r="L743" s="11">
        <f>VLOOKUP(IF(B743="Pensioner",C743,Assumptions!$B$10),Mortality!$A$2:$E$104,5,FALSE)</f>
        <v>17.296790022132885</v>
      </c>
      <c r="M743" s="11">
        <f>1+Assumptions!$B$13*Assumptions!$B$14*Assumptions!$B$15</f>
        <v>1.3187500000000001</v>
      </c>
      <c r="N743" s="11">
        <f>IF(B743="Pensioner",1,1/(1+Assumptions!$B$6)^G743)</f>
        <v>0.38882652444221566</v>
      </c>
      <c r="O743" s="17">
        <f t="shared" si="11"/>
        <v>9377209.9224317223</v>
      </c>
    </row>
    <row r="744" spans="1:15">
      <c r="A744" s="13" t="str">
        <f>Members!A744</f>
        <v>P0109</v>
      </c>
      <c r="B744" s="13" t="str">
        <f>Members!B744</f>
        <v>Pensioner</v>
      </c>
      <c r="C744" s="13">
        <f>Members!C744</f>
        <v>83</v>
      </c>
      <c r="D744" s="14">
        <f>Members!D744</f>
        <v>18.8</v>
      </c>
      <c r="E744" s="16">
        <f>Members!E744</f>
        <v>0</v>
      </c>
      <c r="F744" s="16">
        <f>Members!F744</f>
        <v>541000</v>
      </c>
      <c r="G744" s="15">
        <f>MAX(0,Assumptions!$B$10-C744)</f>
        <v>0</v>
      </c>
      <c r="H744" s="17">
        <f>IF(B744="Active",E744*(1+Assumptions!$B$7)^G744,E744)</f>
        <v>0</v>
      </c>
      <c r="I744" s="17">
        <f>IF(B744="Active",MIN(Assumptions!$B$12,D744+G744),IF(B744="Deferred",MIN(Assumptions!$B$12,D744),D744))</f>
        <v>18.8</v>
      </c>
      <c r="J744" s="17">
        <f>IF(B744="Active",H744*I744*Assumptions!$B$11,IF(B744="Deferred",E744*I744*Assumptions!$B$11*(1+Assumptions!$B$9)^G744,F744))</f>
        <v>541000</v>
      </c>
      <c r="K744" s="11">
        <f>IF(B744="Pensioner",1,VLOOKUP(Assumptions!$B$10,Mortality!$A$2:$F$104,6,FALSE)/VLOOKUP(C744,Mortality!$A$2:$F$104,6,FALSE))</f>
        <v>1</v>
      </c>
      <c r="L744" s="11">
        <f>VLOOKUP(IF(B744="Pensioner",C744,Assumptions!$B$10),Mortality!$A$2:$E$104,5,FALSE)</f>
        <v>7.0669562738307876</v>
      </c>
      <c r="M744" s="11">
        <f>1+Assumptions!$B$13*Assumptions!$B$14*Assumptions!$B$15</f>
        <v>1.3187500000000001</v>
      </c>
      <c r="N744" s="11">
        <f>IF(B744="Pensioner",1,1/(1+Assumptions!$B$6)^G744)</f>
        <v>1</v>
      </c>
      <c r="O744" s="17">
        <f t="shared" si="11"/>
        <v>5041875.7850878639</v>
      </c>
    </row>
    <row r="745" spans="1:15">
      <c r="A745" s="13" t="str">
        <f>Members!A745</f>
        <v>D0062</v>
      </c>
      <c r="B745" s="13" t="str">
        <f>Members!B745</f>
        <v>Deferred</v>
      </c>
      <c r="C745" s="13">
        <f>Members!C745</f>
        <v>34</v>
      </c>
      <c r="D745" s="14">
        <f>Members!D745</f>
        <v>3</v>
      </c>
      <c r="E745" s="16">
        <f>Members!E745</f>
        <v>555000</v>
      </c>
      <c r="F745" s="16">
        <f>Members!F745</f>
        <v>0</v>
      </c>
      <c r="G745" s="15">
        <f>MAX(0,Assumptions!$B$10-C745)</f>
        <v>26</v>
      </c>
      <c r="H745" s="17">
        <f>IF(B745="Active",E745*(1+Assumptions!$B$7)^G745,E745)</f>
        <v>555000</v>
      </c>
      <c r="I745" s="17">
        <f>IF(B745="Active",MIN(Assumptions!$B$12,D745+G745),IF(B745="Deferred",MIN(Assumptions!$B$12,D745),D745))</f>
        <v>3</v>
      </c>
      <c r="J745" s="17">
        <f>IF(B745="Active",H745*I745*Assumptions!$B$11,IF(B745="Deferred",E745*I745*Assumptions!$B$11*(1+Assumptions!$B$9)^G745,F745))</f>
        <v>76936.036526727024</v>
      </c>
      <c r="K745" s="11">
        <f>IF(B745="Pensioner",1,VLOOKUP(Assumptions!$B$10,Mortality!$A$2:$F$104,6,FALSE)/VLOOKUP(C745,Mortality!$A$2:$F$104,6,FALSE))</f>
        <v>0.97162058192333911</v>
      </c>
      <c r="L745" s="11">
        <f>VLOOKUP(IF(B745="Pensioner",C745,Assumptions!$B$10),Mortality!$A$2:$E$104,5,FALSE)</f>
        <v>17.296790022132885</v>
      </c>
      <c r="M745" s="11">
        <f>1+Assumptions!$B$13*Assumptions!$B$14*Assumptions!$B$15</f>
        <v>1.3187500000000001</v>
      </c>
      <c r="N745" s="11">
        <f>IF(B745="Pensioner",1,1/(1+Assumptions!$B$6)^G745)</f>
        <v>0.19449578673364096</v>
      </c>
      <c r="O745" s="17">
        <f t="shared" si="11"/>
        <v>331638.31423410948</v>
      </c>
    </row>
    <row r="746" spans="1:15">
      <c r="A746" s="13" t="str">
        <f>Members!A746</f>
        <v>P0233</v>
      </c>
      <c r="B746" s="13" t="str">
        <f>Members!B746</f>
        <v>Pensioner</v>
      </c>
      <c r="C746" s="13">
        <f>Members!C746</f>
        <v>60</v>
      </c>
      <c r="D746" s="14">
        <f>Members!D746</f>
        <v>37.6</v>
      </c>
      <c r="E746" s="16">
        <f>Members!E746</f>
        <v>0</v>
      </c>
      <c r="F746" s="16">
        <f>Members!F746</f>
        <v>168000</v>
      </c>
      <c r="G746" s="15">
        <f>MAX(0,Assumptions!$B$10-C746)</f>
        <v>0</v>
      </c>
      <c r="H746" s="17">
        <f>IF(B746="Active",E746*(1+Assumptions!$B$7)^G746,E746)</f>
        <v>0</v>
      </c>
      <c r="I746" s="17">
        <f>IF(B746="Active",MIN(Assumptions!$B$12,D746+G746),IF(B746="Deferred",MIN(Assumptions!$B$12,D746),D746))</f>
        <v>37.6</v>
      </c>
      <c r="J746" s="17">
        <f>IF(B746="Active",H746*I746*Assumptions!$B$11,IF(B746="Deferred",E746*I746*Assumptions!$B$11*(1+Assumptions!$B$9)^G746,F746))</f>
        <v>168000</v>
      </c>
      <c r="K746" s="11">
        <f>IF(B746="Pensioner",1,VLOOKUP(Assumptions!$B$10,Mortality!$A$2:$F$104,6,FALSE)/VLOOKUP(C746,Mortality!$A$2:$F$104,6,FALSE))</f>
        <v>1</v>
      </c>
      <c r="L746" s="11">
        <f>VLOOKUP(IF(B746="Pensioner",C746,Assumptions!$B$10),Mortality!$A$2:$E$104,5,FALSE)</f>
        <v>17.296790022132885</v>
      </c>
      <c r="M746" s="11">
        <f>1+Assumptions!$B$13*Assumptions!$B$14*Assumptions!$B$15</f>
        <v>1.3187500000000001</v>
      </c>
      <c r="N746" s="11">
        <f>IF(B746="Pensioner",1,1/(1+Assumptions!$B$6)^G746)</f>
        <v>1</v>
      </c>
      <c r="O746" s="17">
        <f t="shared" si="11"/>
        <v>3832103.8294035411</v>
      </c>
    </row>
    <row r="747" spans="1:15">
      <c r="A747" s="13" t="str">
        <f>Members!A747</f>
        <v>P0002</v>
      </c>
      <c r="B747" s="13" t="str">
        <f>Members!B747</f>
        <v>Pensioner</v>
      </c>
      <c r="C747" s="13">
        <f>Members!C747</f>
        <v>83</v>
      </c>
      <c r="D747" s="14">
        <f>Members!D747</f>
        <v>18.7</v>
      </c>
      <c r="E747" s="16">
        <f>Members!E747</f>
        <v>0</v>
      </c>
      <c r="F747" s="16">
        <f>Members!F747</f>
        <v>642000</v>
      </c>
      <c r="G747" s="15">
        <f>MAX(0,Assumptions!$B$10-C747)</f>
        <v>0</v>
      </c>
      <c r="H747" s="17">
        <f>IF(B747="Active",E747*(1+Assumptions!$B$7)^G747,E747)</f>
        <v>0</v>
      </c>
      <c r="I747" s="17">
        <f>IF(B747="Active",MIN(Assumptions!$B$12,D747+G747),IF(B747="Deferred",MIN(Assumptions!$B$12,D747),D747))</f>
        <v>18.7</v>
      </c>
      <c r="J747" s="17">
        <f>IF(B747="Active",H747*I747*Assumptions!$B$11,IF(B747="Deferred",E747*I747*Assumptions!$B$11*(1+Assumptions!$B$9)^G747,F747))</f>
        <v>642000</v>
      </c>
      <c r="K747" s="11">
        <f>IF(B747="Pensioner",1,VLOOKUP(Assumptions!$B$10,Mortality!$A$2:$F$104,6,FALSE)/VLOOKUP(C747,Mortality!$A$2:$F$104,6,FALSE))</f>
        <v>1</v>
      </c>
      <c r="L747" s="11">
        <f>VLOOKUP(IF(B747="Pensioner",C747,Assumptions!$B$10),Mortality!$A$2:$E$104,5,FALSE)</f>
        <v>7.0669562738307876</v>
      </c>
      <c r="M747" s="11">
        <f>1+Assumptions!$B$13*Assumptions!$B$14*Assumptions!$B$15</f>
        <v>1.3187500000000001</v>
      </c>
      <c r="N747" s="11">
        <f>IF(B747="Pensioner",1,1/(1+Assumptions!$B$6)^G747)</f>
        <v>1</v>
      </c>
      <c r="O747" s="17">
        <f t="shared" si="11"/>
        <v>5983150.1922854139</v>
      </c>
    </row>
    <row r="748" spans="1:15">
      <c r="A748" s="13" t="str">
        <f>Members!A748</f>
        <v>D0098</v>
      </c>
      <c r="B748" s="13" t="str">
        <f>Members!B748</f>
        <v>Deferred</v>
      </c>
      <c r="C748" s="13">
        <f>Members!C748</f>
        <v>43</v>
      </c>
      <c r="D748" s="14">
        <f>Members!D748</f>
        <v>17.8</v>
      </c>
      <c r="E748" s="16">
        <f>Members!E748</f>
        <v>822000</v>
      </c>
      <c r="F748" s="16">
        <f>Members!F748</f>
        <v>0</v>
      </c>
      <c r="G748" s="15">
        <f>MAX(0,Assumptions!$B$10-C748)</f>
        <v>17</v>
      </c>
      <c r="H748" s="17">
        <f>IF(B748="Active",E748*(1+Assumptions!$B$7)^G748,E748)</f>
        <v>822000</v>
      </c>
      <c r="I748" s="17">
        <f>IF(B748="Active",MIN(Assumptions!$B$12,D748+G748),IF(B748="Deferred",MIN(Assumptions!$B$12,D748),D748))</f>
        <v>17.8</v>
      </c>
      <c r="J748" s="17">
        <f>IF(B748="Active",H748*I748*Assumptions!$B$11,IF(B748="Deferred",E748*I748*Assumptions!$B$11*(1+Assumptions!$B$9)^G748,F748))</f>
        <v>475015.01484635484</v>
      </c>
      <c r="K748" s="11">
        <f>IF(B748="Pensioner",1,VLOOKUP(Assumptions!$B$10,Mortality!$A$2:$F$104,6,FALSE)/VLOOKUP(C748,Mortality!$A$2:$F$104,6,FALSE))</f>
        <v>0.97565175842493801</v>
      </c>
      <c r="L748" s="11">
        <f>VLOOKUP(IF(B748="Pensioner",C748,Assumptions!$B$10),Mortality!$A$2:$E$104,5,FALSE)</f>
        <v>17.296790022132885</v>
      </c>
      <c r="M748" s="11">
        <f>1+Assumptions!$B$13*Assumptions!$B$14*Assumptions!$B$15</f>
        <v>1.3187500000000001</v>
      </c>
      <c r="N748" s="11">
        <f>IF(B748="Pensioner",1,1/(1+Assumptions!$B$6)^G748)</f>
        <v>0.34281251466174323</v>
      </c>
      <c r="O748" s="17">
        <f t="shared" si="11"/>
        <v>3623988.600277069</v>
      </c>
    </row>
    <row r="749" spans="1:15">
      <c r="A749" s="13" t="str">
        <f>Members!A749</f>
        <v>A0122</v>
      </c>
      <c r="B749" s="13" t="str">
        <f>Members!B749</f>
        <v>Active</v>
      </c>
      <c r="C749" s="13">
        <f>Members!C749</f>
        <v>43</v>
      </c>
      <c r="D749" s="14">
        <f>Members!D749</f>
        <v>15.1</v>
      </c>
      <c r="E749" s="16">
        <f>Members!E749</f>
        <v>1290000</v>
      </c>
      <c r="F749" s="16">
        <f>Members!F749</f>
        <v>0</v>
      </c>
      <c r="G749" s="15">
        <f>MAX(0,Assumptions!$B$10-C749)</f>
        <v>17</v>
      </c>
      <c r="H749" s="17">
        <f>IF(B749="Active",E749*(1+Assumptions!$B$7)^G749,E749)</f>
        <v>3205394.7706273552</v>
      </c>
      <c r="I749" s="17">
        <f>IF(B749="Active",MIN(Assumptions!$B$12,D749+G749),IF(B749="Deferred",MIN(Assumptions!$B$12,D749),D749))</f>
        <v>32.1</v>
      </c>
      <c r="J749" s="17">
        <f>IF(B749="Active",H749*I749*Assumptions!$B$11,IF(B749="Deferred",E749*I749*Assumptions!$B$11*(1+Assumptions!$B$9)^G749,F749))</f>
        <v>1714886.2022856353</v>
      </c>
      <c r="K749" s="11">
        <f>IF(B749="Pensioner",1,VLOOKUP(Assumptions!$B$10,Mortality!$A$2:$F$104,6,FALSE)/VLOOKUP(C749,Mortality!$A$2:$F$104,6,FALSE))</f>
        <v>0.97565175842493801</v>
      </c>
      <c r="L749" s="11">
        <f>VLOOKUP(IF(B749="Pensioner",C749,Assumptions!$B$10),Mortality!$A$2:$E$104,5,FALSE)</f>
        <v>17.296790022132885</v>
      </c>
      <c r="M749" s="11">
        <f>1+Assumptions!$B$13*Assumptions!$B$14*Assumptions!$B$15</f>
        <v>1.3187500000000001</v>
      </c>
      <c r="N749" s="11">
        <f>IF(B749="Pensioner",1,1/(1+Assumptions!$B$6)^G749)</f>
        <v>0.34281251466174323</v>
      </c>
      <c r="O749" s="17">
        <f t="shared" si="11"/>
        <v>13083224.432107165</v>
      </c>
    </row>
    <row r="750" spans="1:15">
      <c r="A750" s="13" t="str">
        <f>Members!A750</f>
        <v>A0341</v>
      </c>
      <c r="B750" s="13" t="str">
        <f>Members!B750</f>
        <v>Active</v>
      </c>
      <c r="C750" s="13">
        <f>Members!C750</f>
        <v>24</v>
      </c>
      <c r="D750" s="14">
        <f>Members!D750</f>
        <v>1</v>
      </c>
      <c r="E750" s="16">
        <f>Members!E750</f>
        <v>536000</v>
      </c>
      <c r="F750" s="16">
        <f>Members!F750</f>
        <v>0</v>
      </c>
      <c r="G750" s="15">
        <f>MAX(0,Assumptions!$B$10-C750)</f>
        <v>36</v>
      </c>
      <c r="H750" s="17">
        <f>IF(B750="Active",E750*(1+Assumptions!$B$7)^G750,E750)</f>
        <v>3683437.7654247787</v>
      </c>
      <c r="I750" s="17">
        <f>IF(B750="Active",MIN(Assumptions!$B$12,D750+G750),IF(B750="Deferred",MIN(Assumptions!$B$12,D750),D750))</f>
        <v>37</v>
      </c>
      <c r="J750" s="17">
        <f>IF(B750="Active",H750*I750*Assumptions!$B$11,IF(B750="Deferred",E750*I750*Assumptions!$B$11*(1+Assumptions!$B$9)^G750,F750))</f>
        <v>2271453.2886786135</v>
      </c>
      <c r="K750" s="11">
        <f>IF(B750="Pensioner",1,VLOOKUP(Assumptions!$B$10,Mortality!$A$2:$F$104,6,FALSE)/VLOOKUP(C750,Mortality!$A$2:$F$104,6,FALSE))</f>
        <v>0.96871086700607645</v>
      </c>
      <c r="L750" s="11">
        <f>VLOOKUP(IF(B750="Pensioner",C750,Assumptions!$B$10),Mortality!$A$2:$E$104,5,FALSE)</f>
        <v>17.296790022132885</v>
      </c>
      <c r="M750" s="11">
        <f>1+Assumptions!$B$13*Assumptions!$B$14*Assumptions!$B$15</f>
        <v>1.3187500000000001</v>
      </c>
      <c r="N750" s="11">
        <f>IF(B750="Pensioner",1,1/(1+Assumptions!$B$6)^G750)</f>
        <v>0.10361296939205883</v>
      </c>
      <c r="O750" s="17">
        <f t="shared" si="11"/>
        <v>5200439.9735544724</v>
      </c>
    </row>
    <row r="751" spans="1:15">
      <c r="A751" s="13" t="str">
        <f>Members!A751</f>
        <v>P0122</v>
      </c>
      <c r="B751" s="13" t="str">
        <f>Members!B751</f>
        <v>Pensioner</v>
      </c>
      <c r="C751" s="13">
        <f>Members!C751</f>
        <v>86</v>
      </c>
      <c r="D751" s="14">
        <f>Members!D751</f>
        <v>30.9</v>
      </c>
      <c r="E751" s="16">
        <f>Members!E751</f>
        <v>0</v>
      </c>
      <c r="F751" s="16">
        <f>Members!F751</f>
        <v>400000</v>
      </c>
      <c r="G751" s="15">
        <f>MAX(0,Assumptions!$B$10-C751)</f>
        <v>0</v>
      </c>
      <c r="H751" s="17">
        <f>IF(B751="Active",E751*(1+Assumptions!$B$7)^G751,E751)</f>
        <v>0</v>
      </c>
      <c r="I751" s="17">
        <f>IF(B751="Active",MIN(Assumptions!$B$12,D751+G751),IF(B751="Deferred",MIN(Assumptions!$B$12,D751),D751))</f>
        <v>30.9</v>
      </c>
      <c r="J751" s="17">
        <f>IF(B751="Active",H751*I751*Assumptions!$B$11,IF(B751="Deferred",E751*I751*Assumptions!$B$11*(1+Assumptions!$B$9)^G751,F751))</f>
        <v>400000</v>
      </c>
      <c r="K751" s="11">
        <f>IF(B751="Pensioner",1,VLOOKUP(Assumptions!$B$10,Mortality!$A$2:$F$104,6,FALSE)/VLOOKUP(C751,Mortality!$A$2:$F$104,6,FALSE))</f>
        <v>1</v>
      </c>
      <c r="L751" s="11">
        <f>VLOOKUP(IF(B751="Pensioner",C751,Assumptions!$B$10),Mortality!$A$2:$E$104,5,FALSE)</f>
        <v>5.822832972912483</v>
      </c>
      <c r="M751" s="11">
        <f>1+Assumptions!$B$13*Assumptions!$B$14*Assumptions!$B$15</f>
        <v>1.3187500000000001</v>
      </c>
      <c r="N751" s="11">
        <f>IF(B751="Pensioner",1,1/(1+Assumptions!$B$6)^G751)</f>
        <v>1</v>
      </c>
      <c r="O751" s="17">
        <f t="shared" si="11"/>
        <v>3071544.3932113354</v>
      </c>
    </row>
    <row r="752" spans="1:15">
      <c r="A752" s="13" t="str">
        <f>Members!A752</f>
        <v>D0127</v>
      </c>
      <c r="B752" s="13" t="str">
        <f>Members!B752</f>
        <v>Deferred</v>
      </c>
      <c r="C752" s="13">
        <f>Members!C752</f>
        <v>44</v>
      </c>
      <c r="D752" s="14">
        <f>Members!D752</f>
        <v>2.2000000000000002</v>
      </c>
      <c r="E752" s="16">
        <f>Members!E752</f>
        <v>803000</v>
      </c>
      <c r="F752" s="16">
        <f>Members!F752</f>
        <v>0</v>
      </c>
      <c r="G752" s="15">
        <f>MAX(0,Assumptions!$B$10-C752)</f>
        <v>16</v>
      </c>
      <c r="H752" s="17">
        <f>IF(B752="Active",E752*(1+Assumptions!$B$7)^G752,E752)</f>
        <v>803000</v>
      </c>
      <c r="I752" s="17">
        <f>IF(B752="Active",MIN(Assumptions!$B$12,D752+G752),IF(B752="Deferred",MIN(Assumptions!$B$12,D752),D752))</f>
        <v>2.2000000000000002</v>
      </c>
      <c r="J752" s="17">
        <f>IF(B752="Active",H752*I752*Assumptions!$B$11,IF(B752="Deferred",E752*I752*Assumptions!$B$11*(1+Assumptions!$B$9)^G752,F752))</f>
        <v>55146.811145027677</v>
      </c>
      <c r="K752" s="11">
        <f>IF(B752="Pensioner",1,VLOOKUP(Assumptions!$B$10,Mortality!$A$2:$F$104,6,FALSE)/VLOOKUP(C752,Mortality!$A$2:$F$104,6,FALSE))</f>
        <v>0.97626822121787327</v>
      </c>
      <c r="L752" s="11">
        <f>VLOOKUP(IF(B752="Pensioner",C752,Assumptions!$B$10),Mortality!$A$2:$E$104,5,FALSE)</f>
        <v>17.296790022132885</v>
      </c>
      <c r="M752" s="11">
        <f>1+Assumptions!$B$13*Assumptions!$B$14*Assumptions!$B$15</f>
        <v>1.3187500000000001</v>
      </c>
      <c r="N752" s="11">
        <f>IF(B752="Pensioner",1,1/(1+Assumptions!$B$6)^G752)</f>
        <v>0.36509532811475648</v>
      </c>
      <c r="O752" s="17">
        <f t="shared" si="11"/>
        <v>448356.85968854337</v>
      </c>
    </row>
    <row r="753" spans="1:15">
      <c r="A753" s="13" t="str">
        <f>Members!A753</f>
        <v>D0096</v>
      </c>
      <c r="B753" s="13" t="str">
        <f>Members!B753</f>
        <v>Deferred</v>
      </c>
      <c r="C753" s="13">
        <f>Members!C753</f>
        <v>30</v>
      </c>
      <c r="D753" s="14">
        <f>Members!D753</f>
        <v>2</v>
      </c>
      <c r="E753" s="16">
        <f>Members!E753</f>
        <v>319000</v>
      </c>
      <c r="F753" s="16">
        <f>Members!F753</f>
        <v>0</v>
      </c>
      <c r="G753" s="15">
        <f>MAX(0,Assumptions!$B$10-C753)</f>
        <v>30</v>
      </c>
      <c r="H753" s="17">
        <f>IF(B753="Active",E753*(1+Assumptions!$B$7)^G753,E753)</f>
        <v>319000</v>
      </c>
      <c r="I753" s="17">
        <f>IF(B753="Active",MIN(Assumptions!$B$12,D753+G753),IF(B753="Deferred",MIN(Assumptions!$B$12,D753),D753))</f>
        <v>2</v>
      </c>
      <c r="J753" s="17">
        <f>IF(B753="Active",H753*I753*Assumptions!$B$11,IF(B753="Deferred",E753*I753*Assumptions!$B$11*(1+Assumptions!$B$9)^G753,F753))</f>
        <v>34488.126856626201</v>
      </c>
      <c r="K753" s="11">
        <f>IF(B753="Pensioner",1,VLOOKUP(Assumptions!$B$10,Mortality!$A$2:$F$104,6,FALSE)/VLOOKUP(C753,Mortality!$A$2:$F$104,6,FALSE))</f>
        <v>0.97034568803187526</v>
      </c>
      <c r="L753" s="11">
        <f>VLOOKUP(IF(B753="Pensioner",C753,Assumptions!$B$10),Mortality!$A$2:$E$104,5,FALSE)</f>
        <v>17.296790022132885</v>
      </c>
      <c r="M753" s="11">
        <f>1+Assumptions!$B$13*Assumptions!$B$14*Assumptions!$B$15</f>
        <v>1.3187500000000001</v>
      </c>
      <c r="N753" s="11">
        <f>IF(B753="Pensioner",1,1/(1+Assumptions!$B$6)^G753)</f>
        <v>0.15118606610981289</v>
      </c>
      <c r="O753" s="17">
        <f t="shared" si="11"/>
        <v>115407.98017705593</v>
      </c>
    </row>
    <row r="754" spans="1:15">
      <c r="A754" s="13" t="str">
        <f>Members!A754</f>
        <v>A0102</v>
      </c>
      <c r="B754" s="13" t="str">
        <f>Members!B754</f>
        <v>Active</v>
      </c>
      <c r="C754" s="13">
        <f>Members!C754</f>
        <v>51</v>
      </c>
      <c r="D754" s="14">
        <f>Members!D754</f>
        <v>4.5999999999999996</v>
      </c>
      <c r="E754" s="16">
        <f>Members!E754</f>
        <v>1273000</v>
      </c>
      <c r="F754" s="16">
        <f>Members!F754</f>
        <v>0</v>
      </c>
      <c r="G754" s="15">
        <f>MAX(0,Assumptions!$B$10-C754)</f>
        <v>9</v>
      </c>
      <c r="H754" s="17">
        <f>IF(B754="Active",E754*(1+Assumptions!$B$7)^G754,E754)</f>
        <v>2061107.0099375581</v>
      </c>
      <c r="I754" s="17">
        <f>IF(B754="Active",MIN(Assumptions!$B$12,D754+G754),IF(B754="Deferred",MIN(Assumptions!$B$12,D754),D754))</f>
        <v>13.6</v>
      </c>
      <c r="J754" s="17">
        <f>IF(B754="Active",H754*I754*Assumptions!$B$11,IF(B754="Deferred",E754*I754*Assumptions!$B$11*(1+Assumptions!$B$9)^G754,F754))</f>
        <v>467184.25558584649</v>
      </c>
      <c r="K754" s="11">
        <f>IF(B754="Pensioner",1,VLOOKUP(Assumptions!$B$10,Mortality!$A$2:$F$104,6,FALSE)/VLOOKUP(C754,Mortality!$A$2:$F$104,6,FALSE))</f>
        <v>0.98240527975061542</v>
      </c>
      <c r="L754" s="11">
        <f>VLOOKUP(IF(B754="Pensioner",C754,Assumptions!$B$10),Mortality!$A$2:$E$104,5,FALSE)</f>
        <v>17.296790022132885</v>
      </c>
      <c r="M754" s="11">
        <f>1+Assumptions!$B$13*Assumptions!$B$14*Assumptions!$B$15</f>
        <v>1.3187500000000001</v>
      </c>
      <c r="N754" s="11">
        <f>IF(B754="Pensioner",1,1/(1+Assumptions!$B$6)^G754)</f>
        <v>0.56735322782936326</v>
      </c>
      <c r="O754" s="17">
        <f t="shared" si="11"/>
        <v>5939643.8128292952</v>
      </c>
    </row>
    <row r="755" spans="1:15">
      <c r="A755" s="13" t="str">
        <f>Members!A755</f>
        <v>A0053</v>
      </c>
      <c r="B755" s="13" t="str">
        <f>Members!B755</f>
        <v>Active</v>
      </c>
      <c r="C755" s="13">
        <f>Members!C755</f>
        <v>43</v>
      </c>
      <c r="D755" s="14">
        <f>Members!D755</f>
        <v>9.8000000000000007</v>
      </c>
      <c r="E755" s="16">
        <f>Members!E755</f>
        <v>1108000</v>
      </c>
      <c r="F755" s="16">
        <f>Members!F755</f>
        <v>0</v>
      </c>
      <c r="G755" s="15">
        <f>MAX(0,Assumptions!$B$10-C755)</f>
        <v>17</v>
      </c>
      <c r="H755" s="17">
        <f>IF(B755="Active",E755*(1+Assumptions!$B$7)^G755,E755)</f>
        <v>2753160.7797326432</v>
      </c>
      <c r="I755" s="17">
        <f>IF(B755="Active",MIN(Assumptions!$B$12,D755+G755),IF(B755="Deferred",MIN(Assumptions!$B$12,D755),D755))</f>
        <v>26.8</v>
      </c>
      <c r="J755" s="17">
        <f>IF(B755="Active",H755*I755*Assumptions!$B$11,IF(B755="Deferred",E755*I755*Assumptions!$B$11*(1+Assumptions!$B$9)^G755,F755))</f>
        <v>1229745.1482805805</v>
      </c>
      <c r="K755" s="11">
        <f>IF(B755="Pensioner",1,VLOOKUP(Assumptions!$B$10,Mortality!$A$2:$F$104,6,FALSE)/VLOOKUP(C755,Mortality!$A$2:$F$104,6,FALSE))</f>
        <v>0.97565175842493801</v>
      </c>
      <c r="L755" s="11">
        <f>VLOOKUP(IF(B755="Pensioner",C755,Assumptions!$B$10),Mortality!$A$2:$E$104,5,FALSE)</f>
        <v>17.296790022132885</v>
      </c>
      <c r="M755" s="11">
        <f>1+Assumptions!$B$13*Assumptions!$B$14*Assumptions!$B$15</f>
        <v>1.3187500000000001</v>
      </c>
      <c r="N755" s="11">
        <f>IF(B755="Pensioner",1,1/(1+Assumptions!$B$6)^G755)</f>
        <v>0.34281251466174323</v>
      </c>
      <c r="O755" s="17">
        <f t="shared" si="11"/>
        <v>9381982.1675665416</v>
      </c>
    </row>
    <row r="756" spans="1:15">
      <c r="A756" s="13" t="str">
        <f>Members!A756</f>
        <v>P0217</v>
      </c>
      <c r="B756" s="13" t="str">
        <f>Members!B756</f>
        <v>Pensioner</v>
      </c>
      <c r="C756" s="13">
        <f>Members!C756</f>
        <v>61</v>
      </c>
      <c r="D756" s="14">
        <f>Members!D756</f>
        <v>17.8</v>
      </c>
      <c r="E756" s="16">
        <f>Members!E756</f>
        <v>0</v>
      </c>
      <c r="F756" s="16">
        <f>Members!F756</f>
        <v>231000</v>
      </c>
      <c r="G756" s="15">
        <f>MAX(0,Assumptions!$B$10-C756)</f>
        <v>0</v>
      </c>
      <c r="H756" s="17">
        <f>IF(B756="Active",E756*(1+Assumptions!$B$7)^G756,E756)</f>
        <v>0</v>
      </c>
      <c r="I756" s="17">
        <f>IF(B756="Active",MIN(Assumptions!$B$12,D756+G756),IF(B756="Deferred",MIN(Assumptions!$B$12,D756),D756))</f>
        <v>17.8</v>
      </c>
      <c r="J756" s="17">
        <f>IF(B756="Active",H756*I756*Assumptions!$B$11,IF(B756="Deferred",E756*I756*Assumptions!$B$11*(1+Assumptions!$B$9)^G756,F756))</f>
        <v>231000</v>
      </c>
      <c r="K756" s="11">
        <f>IF(B756="Pensioner",1,VLOOKUP(Assumptions!$B$10,Mortality!$A$2:$F$104,6,FALSE)/VLOOKUP(C756,Mortality!$A$2:$F$104,6,FALSE))</f>
        <v>1</v>
      </c>
      <c r="L756" s="11">
        <f>VLOOKUP(IF(B756="Pensioner",C756,Assumptions!$B$10),Mortality!$A$2:$E$104,5,FALSE)</f>
        <v>16.889485221588366</v>
      </c>
      <c r="M756" s="11">
        <f>1+Assumptions!$B$13*Assumptions!$B$14*Assumptions!$B$15</f>
        <v>1.3187500000000001</v>
      </c>
      <c r="N756" s="11">
        <f>IF(B756="Pensioner",1,1/(1+Assumptions!$B$6)^G756)</f>
        <v>1</v>
      </c>
      <c r="O756" s="17">
        <f t="shared" si="11"/>
        <v>5145064.9949089913</v>
      </c>
    </row>
    <row r="757" spans="1:15">
      <c r="A757" s="13" t="str">
        <f>Members!A757</f>
        <v>A0459</v>
      </c>
      <c r="B757" s="13" t="str">
        <f>Members!B757</f>
        <v>Active</v>
      </c>
      <c r="C757" s="13">
        <f>Members!C757</f>
        <v>28</v>
      </c>
      <c r="D757" s="14">
        <f>Members!D757</f>
        <v>1.1000000000000001</v>
      </c>
      <c r="E757" s="16">
        <f>Members!E757</f>
        <v>447000</v>
      </c>
      <c r="F757" s="16">
        <f>Members!F757</f>
        <v>0</v>
      </c>
      <c r="G757" s="15">
        <f>MAX(0,Assumptions!$B$10-C757)</f>
        <v>32</v>
      </c>
      <c r="H757" s="17">
        <f>IF(B757="Active",E757*(1+Assumptions!$B$7)^G757,E757)</f>
        <v>2479626.2850963622</v>
      </c>
      <c r="I757" s="17">
        <f>IF(B757="Active",MIN(Assumptions!$B$12,D757+G757),IF(B757="Deferred",MIN(Assumptions!$B$12,D757),D757))</f>
        <v>33.1</v>
      </c>
      <c r="J757" s="17">
        <f>IF(B757="Active",H757*I757*Assumptions!$B$11,IF(B757="Deferred",E757*I757*Assumptions!$B$11*(1+Assumptions!$B$9)^G757,F757))</f>
        <v>1367927.1672781599</v>
      </c>
      <c r="K757" s="11">
        <f>IF(B757="Pensioner",1,VLOOKUP(Assumptions!$B$10,Mortality!$A$2:$F$104,6,FALSE)/VLOOKUP(C757,Mortality!$A$2:$F$104,6,FALSE))</f>
        <v>0.96977196143473232</v>
      </c>
      <c r="L757" s="11">
        <f>VLOOKUP(IF(B757="Pensioner",C757,Assumptions!$B$10),Mortality!$A$2:$E$104,5,FALSE)</f>
        <v>17.296790022132885</v>
      </c>
      <c r="M757" s="11">
        <f>1+Assumptions!$B$13*Assumptions!$B$14*Assumptions!$B$15</f>
        <v>1.3187500000000001</v>
      </c>
      <c r="N757" s="11">
        <f>IF(B757="Pensioner",1,1/(1+Assumptions!$B$6)^G757)</f>
        <v>0.13329459861122173</v>
      </c>
      <c r="O757" s="17">
        <f t="shared" si="11"/>
        <v>4033417.1010477226</v>
      </c>
    </row>
    <row r="758" spans="1:15">
      <c r="A758" s="13" t="str">
        <f>Members!A758</f>
        <v>A0124</v>
      </c>
      <c r="B758" s="13" t="str">
        <f>Members!B758</f>
        <v>Active</v>
      </c>
      <c r="C758" s="13">
        <f>Members!C758</f>
        <v>49</v>
      </c>
      <c r="D758" s="14">
        <f>Members!D758</f>
        <v>10.7</v>
      </c>
      <c r="E758" s="16">
        <f>Members!E758</f>
        <v>1295000</v>
      </c>
      <c r="F758" s="16">
        <f>Members!F758</f>
        <v>0</v>
      </c>
      <c r="G758" s="15">
        <f>MAX(0,Assumptions!$B$10-C758)</f>
        <v>11</v>
      </c>
      <c r="H758" s="17">
        <f>IF(B758="Active",E758*(1+Assumptions!$B$7)^G758,E758)</f>
        <v>2333709.6626141374</v>
      </c>
      <c r="I758" s="17">
        <f>IF(B758="Active",MIN(Assumptions!$B$12,D758+G758),IF(B758="Deferred",MIN(Assumptions!$B$12,D758),D758))</f>
        <v>21.7</v>
      </c>
      <c r="J758" s="17">
        <f>IF(B758="Active",H758*I758*Assumptions!$B$11,IF(B758="Deferred",E758*I758*Assumptions!$B$11*(1+Assumptions!$B$9)^G758,F758))</f>
        <v>844024.99464544631</v>
      </c>
      <c r="K758" s="11">
        <f>IF(B758="Pensioner",1,VLOOKUP(Assumptions!$B$10,Mortality!$A$2:$F$104,6,FALSE)/VLOOKUP(C758,Mortality!$A$2:$F$104,6,FALSE))</f>
        <v>0.98024296623595764</v>
      </c>
      <c r="L758" s="11">
        <f>VLOOKUP(IF(B758="Pensioner",C758,Assumptions!$B$10),Mortality!$A$2:$E$104,5,FALSE)</f>
        <v>17.296790022132885</v>
      </c>
      <c r="M758" s="11">
        <f>1+Assumptions!$B$13*Assumptions!$B$14*Assumptions!$B$15</f>
        <v>1.3187500000000001</v>
      </c>
      <c r="N758" s="11">
        <f>IF(B758="Pensioner",1,1/(1+Assumptions!$B$6)^G758)</f>
        <v>0.50021223992537933</v>
      </c>
      <c r="O758" s="17">
        <f t="shared" si="11"/>
        <v>9439985.8410726432</v>
      </c>
    </row>
    <row r="759" spans="1:15">
      <c r="A759" s="13" t="str">
        <f>Members!A759</f>
        <v>P0062</v>
      </c>
      <c r="B759" s="13" t="str">
        <f>Members!B759</f>
        <v>Pensioner</v>
      </c>
      <c r="C759" s="13">
        <f>Members!C759</f>
        <v>78</v>
      </c>
      <c r="D759" s="14">
        <f>Members!D759</f>
        <v>31.2</v>
      </c>
      <c r="E759" s="16">
        <f>Members!E759</f>
        <v>0</v>
      </c>
      <c r="F759" s="16">
        <f>Members!F759</f>
        <v>299000</v>
      </c>
      <c r="G759" s="15">
        <f>MAX(0,Assumptions!$B$10-C759)</f>
        <v>0</v>
      </c>
      <c r="H759" s="17">
        <f>IF(B759="Active",E759*(1+Assumptions!$B$7)^G759,E759)</f>
        <v>0</v>
      </c>
      <c r="I759" s="17">
        <f>IF(B759="Active",MIN(Assumptions!$B$12,D759+G759),IF(B759="Deferred",MIN(Assumptions!$B$12,D759),D759))</f>
        <v>31.2</v>
      </c>
      <c r="J759" s="17">
        <f>IF(B759="Active",H759*I759*Assumptions!$B$11,IF(B759="Deferred",E759*I759*Assumptions!$B$11*(1+Assumptions!$B$9)^G759,F759))</f>
        <v>299000</v>
      </c>
      <c r="K759" s="11">
        <f>IF(B759="Pensioner",1,VLOOKUP(Assumptions!$B$10,Mortality!$A$2:$F$104,6,FALSE)/VLOOKUP(C759,Mortality!$A$2:$F$104,6,FALSE))</f>
        <v>1</v>
      </c>
      <c r="L759" s="11">
        <f>VLOOKUP(IF(B759="Pensioner",C759,Assumptions!$B$10),Mortality!$A$2:$E$104,5,FALSE)</f>
        <v>9.2847179241203879</v>
      </c>
      <c r="M759" s="11">
        <f>1+Assumptions!$B$13*Assumptions!$B$14*Assumptions!$B$15</f>
        <v>1.3187500000000001</v>
      </c>
      <c r="N759" s="11">
        <f>IF(B759="Pensioner",1,1/(1+Assumptions!$B$6)^G759)</f>
        <v>1</v>
      </c>
      <c r="O759" s="17">
        <f t="shared" si="11"/>
        <v>3661022.3069676948</v>
      </c>
    </row>
    <row r="760" spans="1:15">
      <c r="A760" s="13" t="str">
        <f>Members!A760</f>
        <v>P0052</v>
      </c>
      <c r="B760" s="13" t="str">
        <f>Members!B760</f>
        <v>Pensioner</v>
      </c>
      <c r="C760" s="13">
        <f>Members!C760</f>
        <v>69</v>
      </c>
      <c r="D760" s="14">
        <f>Members!D760</f>
        <v>29.5</v>
      </c>
      <c r="E760" s="16">
        <f>Members!E760</f>
        <v>0</v>
      </c>
      <c r="F760" s="16">
        <f>Members!F760</f>
        <v>334000</v>
      </c>
      <c r="G760" s="15">
        <f>MAX(0,Assumptions!$B$10-C760)</f>
        <v>0</v>
      </c>
      <c r="H760" s="17">
        <f>IF(B760="Active",E760*(1+Assumptions!$B$7)^G760,E760)</f>
        <v>0</v>
      </c>
      <c r="I760" s="17">
        <f>IF(B760="Active",MIN(Assumptions!$B$12,D760+G760),IF(B760="Deferred",MIN(Assumptions!$B$12,D760),D760))</f>
        <v>29.5</v>
      </c>
      <c r="J760" s="17">
        <f>IF(B760="Active",H760*I760*Assumptions!$B$11,IF(B760="Deferred",E760*I760*Assumptions!$B$11*(1+Assumptions!$B$9)^G760,F760))</f>
        <v>334000</v>
      </c>
      <c r="K760" s="11">
        <f>IF(B760="Pensioner",1,VLOOKUP(Assumptions!$B$10,Mortality!$A$2:$F$104,6,FALSE)/VLOOKUP(C760,Mortality!$A$2:$F$104,6,FALSE))</f>
        <v>1</v>
      </c>
      <c r="L760" s="11">
        <f>VLOOKUP(IF(B760="Pensioner",C760,Assumptions!$B$10),Mortality!$A$2:$E$104,5,FALSE)</f>
        <v>13.418448528291036</v>
      </c>
      <c r="M760" s="11">
        <f>1+Assumptions!$B$13*Assumptions!$B$14*Assumptions!$B$15</f>
        <v>1.3187500000000001</v>
      </c>
      <c r="N760" s="11">
        <f>IF(B760="Pensioner",1,1/(1+Assumptions!$B$6)^G760)</f>
        <v>1</v>
      </c>
      <c r="O760" s="17">
        <f t="shared" si="11"/>
        <v>5910323.384892391</v>
      </c>
    </row>
    <row r="761" spans="1:15">
      <c r="A761" s="13" t="str">
        <f>Members!A761</f>
        <v>A0343</v>
      </c>
      <c r="B761" s="13" t="str">
        <f>Members!B761</f>
        <v>Active</v>
      </c>
      <c r="C761" s="13">
        <f>Members!C761</f>
        <v>22</v>
      </c>
      <c r="D761" s="14">
        <f>Members!D761</f>
        <v>1</v>
      </c>
      <c r="E761" s="16">
        <f>Members!E761</f>
        <v>455000</v>
      </c>
      <c r="F761" s="16">
        <f>Members!F761</f>
        <v>0</v>
      </c>
      <c r="G761" s="15">
        <f>MAX(0,Assumptions!$B$10-C761)</f>
        <v>38</v>
      </c>
      <c r="H761" s="17">
        <f>IF(B761="Active",E761*(1+Assumptions!$B$7)^G761,E761)</f>
        <v>3480205.2893324085</v>
      </c>
      <c r="I761" s="17">
        <f>IF(B761="Active",MIN(Assumptions!$B$12,D761+G761),IF(B761="Deferred",MIN(Assumptions!$B$12,D761),D761))</f>
        <v>39</v>
      </c>
      <c r="J761" s="17">
        <f>IF(B761="Active",H761*I761*Assumptions!$B$11,IF(B761="Deferred",E761*I761*Assumptions!$B$11*(1+Assumptions!$B$9)^G761,F761))</f>
        <v>2262133.4380660653</v>
      </c>
      <c r="K761" s="11">
        <f>IF(B761="Pensioner",1,VLOOKUP(Assumptions!$B$10,Mortality!$A$2:$F$104,6,FALSE)/VLOOKUP(C761,Mortality!$A$2:$F$104,6,FALSE))</f>
        <v>0.9682119922904866</v>
      </c>
      <c r="L761" s="11">
        <f>VLOOKUP(IF(B761="Pensioner",C761,Assumptions!$B$10),Mortality!$A$2:$E$104,5,FALSE)</f>
        <v>17.296790022132885</v>
      </c>
      <c r="M761" s="11">
        <f>1+Assumptions!$B$13*Assumptions!$B$14*Assumptions!$B$15</f>
        <v>1.3187500000000001</v>
      </c>
      <c r="N761" s="11">
        <f>IF(B761="Pensioner",1,1/(1+Assumptions!$B$6)^G761)</f>
        <v>9.1351336279890546E-2</v>
      </c>
      <c r="O761" s="17">
        <f t="shared" si="11"/>
        <v>4563852.1575597432</v>
      </c>
    </row>
    <row r="762" spans="1:15">
      <c r="A762" s="13" t="str">
        <f>Members!A762</f>
        <v>A0393</v>
      </c>
      <c r="B762" s="13" t="str">
        <f>Members!B762</f>
        <v>Active</v>
      </c>
      <c r="C762" s="13">
        <f>Members!C762</f>
        <v>41</v>
      </c>
      <c r="D762" s="14">
        <f>Members!D762</f>
        <v>7.5</v>
      </c>
      <c r="E762" s="16">
        <f>Members!E762</f>
        <v>1136000</v>
      </c>
      <c r="F762" s="16">
        <f>Members!F762</f>
        <v>0</v>
      </c>
      <c r="G762" s="15">
        <f>MAX(0,Assumptions!$B$10-C762)</f>
        <v>19</v>
      </c>
      <c r="H762" s="17">
        <f>IF(B762="Active",E762*(1+Assumptions!$B$7)^G762,E762)</f>
        <v>3141774.8903566306</v>
      </c>
      <c r="I762" s="17">
        <f>IF(B762="Active",MIN(Assumptions!$B$12,D762+G762),IF(B762="Deferred",MIN(Assumptions!$B$12,D762),D762))</f>
        <v>26.5</v>
      </c>
      <c r="J762" s="17">
        <f>IF(B762="Active",H762*I762*Assumptions!$B$11,IF(B762="Deferred",E762*I762*Assumptions!$B$11*(1+Assumptions!$B$9)^G762,F762))</f>
        <v>1387617.2432408452</v>
      </c>
      <c r="K762" s="11">
        <f>IF(B762="Pensioner",1,VLOOKUP(Assumptions!$B$10,Mortality!$A$2:$F$104,6,FALSE)/VLOOKUP(C762,Mortality!$A$2:$F$104,6,FALSE))</f>
        <v>0.97454789540795339</v>
      </c>
      <c r="L762" s="11">
        <f>VLOOKUP(IF(B762="Pensioner",C762,Assumptions!$B$10),Mortality!$A$2:$E$104,5,FALSE)</f>
        <v>17.296790022132885</v>
      </c>
      <c r="M762" s="11">
        <f>1+Assumptions!$B$13*Assumptions!$B$14*Assumptions!$B$15</f>
        <v>1.3187500000000001</v>
      </c>
      <c r="N762" s="11">
        <f>IF(B762="Pensioner",1,1/(1+Assumptions!$B$6)^G762)</f>
        <v>0.30224383580131214</v>
      </c>
      <c r="O762" s="17">
        <f t="shared" si="11"/>
        <v>9323056.4551726244</v>
      </c>
    </row>
    <row r="763" spans="1:15">
      <c r="A763" s="13" t="str">
        <f>Members!A763</f>
        <v>P0096</v>
      </c>
      <c r="B763" s="13" t="str">
        <f>Members!B763</f>
        <v>Pensioner</v>
      </c>
      <c r="C763" s="13">
        <f>Members!C763</f>
        <v>87</v>
      </c>
      <c r="D763" s="14">
        <f>Members!D763</f>
        <v>17.5</v>
      </c>
      <c r="E763" s="16">
        <f>Members!E763</f>
        <v>0</v>
      </c>
      <c r="F763" s="16">
        <f>Members!F763</f>
        <v>451000</v>
      </c>
      <c r="G763" s="15">
        <f>MAX(0,Assumptions!$B$10-C763)</f>
        <v>0</v>
      </c>
      <c r="H763" s="17">
        <f>IF(B763="Active",E763*(1+Assumptions!$B$7)^G763,E763)</f>
        <v>0</v>
      </c>
      <c r="I763" s="17">
        <f>IF(B763="Active",MIN(Assumptions!$B$12,D763+G763),IF(B763="Deferred",MIN(Assumptions!$B$12,D763),D763))</f>
        <v>17.5</v>
      </c>
      <c r="J763" s="17">
        <f>IF(B763="Active",H763*I763*Assumptions!$B$11,IF(B763="Deferred",E763*I763*Assumptions!$B$11*(1+Assumptions!$B$9)^G763,F763))</f>
        <v>451000</v>
      </c>
      <c r="K763" s="11">
        <f>IF(B763="Pensioner",1,VLOOKUP(Assumptions!$B$10,Mortality!$A$2:$F$104,6,FALSE)/VLOOKUP(C763,Mortality!$A$2:$F$104,6,FALSE))</f>
        <v>1</v>
      </c>
      <c r="L763" s="11">
        <f>VLOOKUP(IF(B763="Pensioner",C763,Assumptions!$B$10),Mortality!$A$2:$E$104,5,FALSE)</f>
        <v>5.427731360162463</v>
      </c>
      <c r="M763" s="11">
        <f>1+Assumptions!$B$13*Assumptions!$B$14*Assumptions!$B$15</f>
        <v>1.3187500000000001</v>
      </c>
      <c r="N763" s="11">
        <f>IF(B763="Pensioner",1,1/(1+Assumptions!$B$6)^G763)</f>
        <v>1</v>
      </c>
      <c r="O763" s="17">
        <f t="shared" si="11"/>
        <v>3228177.1497776262</v>
      </c>
    </row>
    <row r="764" spans="1:15">
      <c r="A764" s="13" t="str">
        <f>Members!A764</f>
        <v>A0284</v>
      </c>
      <c r="B764" s="13" t="str">
        <f>Members!B764</f>
        <v>Active</v>
      </c>
      <c r="C764" s="13">
        <f>Members!C764</f>
        <v>34</v>
      </c>
      <c r="D764" s="14">
        <f>Members!D764</f>
        <v>1.8</v>
      </c>
      <c r="E764" s="16">
        <f>Members!E764</f>
        <v>666000</v>
      </c>
      <c r="F764" s="16">
        <f>Members!F764</f>
        <v>0</v>
      </c>
      <c r="G764" s="15">
        <f>MAX(0,Assumptions!$B$10-C764)</f>
        <v>26</v>
      </c>
      <c r="H764" s="17">
        <f>IF(B764="Active",E764*(1+Assumptions!$B$7)^G764,E764)</f>
        <v>2679403.8659115182</v>
      </c>
      <c r="I764" s="17">
        <f>IF(B764="Active",MIN(Assumptions!$B$12,D764+G764),IF(B764="Deferred",MIN(Assumptions!$B$12,D764),D764))</f>
        <v>27.8</v>
      </c>
      <c r="J764" s="17">
        <f>IF(B764="Active",H764*I764*Assumptions!$B$11,IF(B764="Deferred",E764*I764*Assumptions!$B$11*(1+Assumptions!$B$9)^G764,F764))</f>
        <v>1241457.1245390035</v>
      </c>
      <c r="K764" s="11">
        <f>IF(B764="Pensioner",1,VLOOKUP(Assumptions!$B$10,Mortality!$A$2:$F$104,6,FALSE)/VLOOKUP(C764,Mortality!$A$2:$F$104,6,FALSE))</f>
        <v>0.97162058192333911</v>
      </c>
      <c r="L764" s="11">
        <f>VLOOKUP(IF(B764="Pensioner",C764,Assumptions!$B$10),Mortality!$A$2:$E$104,5,FALSE)</f>
        <v>17.296790022132885</v>
      </c>
      <c r="M764" s="11">
        <f>1+Assumptions!$B$13*Assumptions!$B$14*Assumptions!$B$15</f>
        <v>1.3187500000000001</v>
      </c>
      <c r="N764" s="11">
        <f>IF(B764="Pensioner",1,1/(1+Assumptions!$B$6)^G764)</f>
        <v>0.19449578673364096</v>
      </c>
      <c r="O764" s="17">
        <f t="shared" si="11"/>
        <v>5351390.1490495056</v>
      </c>
    </row>
    <row r="765" spans="1:15">
      <c r="A765" s="13" t="str">
        <f>Members!A765</f>
        <v>P0176</v>
      </c>
      <c r="B765" s="13" t="str">
        <f>Members!B765</f>
        <v>Pensioner</v>
      </c>
      <c r="C765" s="13">
        <f>Members!C765</f>
        <v>81</v>
      </c>
      <c r="D765" s="14">
        <f>Members!D765</f>
        <v>29.6</v>
      </c>
      <c r="E765" s="16">
        <f>Members!E765</f>
        <v>0</v>
      </c>
      <c r="F765" s="16">
        <f>Members!F765</f>
        <v>310000</v>
      </c>
      <c r="G765" s="15">
        <f>MAX(0,Assumptions!$B$10-C765)</f>
        <v>0</v>
      </c>
      <c r="H765" s="17">
        <f>IF(B765="Active",E765*(1+Assumptions!$B$7)^G765,E765)</f>
        <v>0</v>
      </c>
      <c r="I765" s="17">
        <f>IF(B765="Active",MIN(Assumptions!$B$12,D765+G765),IF(B765="Deferred",MIN(Assumptions!$B$12,D765),D765))</f>
        <v>29.6</v>
      </c>
      <c r="J765" s="17">
        <f>IF(B765="Active",H765*I765*Assumptions!$B$11,IF(B765="Deferred",E765*I765*Assumptions!$B$11*(1+Assumptions!$B$9)^G765,F765))</f>
        <v>310000</v>
      </c>
      <c r="K765" s="11">
        <f>IF(B765="Pensioner",1,VLOOKUP(Assumptions!$B$10,Mortality!$A$2:$F$104,6,FALSE)/VLOOKUP(C765,Mortality!$A$2:$F$104,6,FALSE))</f>
        <v>1</v>
      </c>
      <c r="L765" s="11">
        <f>VLOOKUP(IF(B765="Pensioner",C765,Assumptions!$B$10),Mortality!$A$2:$E$104,5,FALSE)</f>
        <v>7.9368977140485031</v>
      </c>
      <c r="M765" s="11">
        <f>1+Assumptions!$B$13*Assumptions!$B$14*Assumptions!$B$15</f>
        <v>1.3187500000000001</v>
      </c>
      <c r="N765" s="11">
        <f>IF(B765="Pensioner",1,1/(1+Assumptions!$B$6)^G765)</f>
        <v>1</v>
      </c>
      <c r="O765" s="17">
        <f t="shared" si="11"/>
        <v>3244702.9967244538</v>
      </c>
    </row>
    <row r="766" spans="1:15">
      <c r="A766" s="13" t="str">
        <f>Members!A766</f>
        <v>A0017</v>
      </c>
      <c r="B766" s="13" t="str">
        <f>Members!B766</f>
        <v>Active</v>
      </c>
      <c r="C766" s="13">
        <f>Members!C766</f>
        <v>49</v>
      </c>
      <c r="D766" s="14">
        <f>Members!D766</f>
        <v>2.6</v>
      </c>
      <c r="E766" s="16">
        <f>Members!E766</f>
        <v>1428000</v>
      </c>
      <c r="F766" s="16">
        <f>Members!F766</f>
        <v>0</v>
      </c>
      <c r="G766" s="15">
        <f>MAX(0,Assumptions!$B$10-C766)</f>
        <v>11</v>
      </c>
      <c r="H766" s="17">
        <f>IF(B766="Active",E766*(1+Assumptions!$B$7)^G766,E766)</f>
        <v>2573387.9522880218</v>
      </c>
      <c r="I766" s="17">
        <f>IF(B766="Active",MIN(Assumptions!$B$12,D766+G766),IF(B766="Deferred",MIN(Assumptions!$B$12,D766),D766))</f>
        <v>13.6</v>
      </c>
      <c r="J766" s="17">
        <f>IF(B766="Active",H766*I766*Assumptions!$B$11,IF(B766="Deferred",E766*I766*Assumptions!$B$11*(1+Assumptions!$B$9)^G766,F766))</f>
        <v>583301.26918528485</v>
      </c>
      <c r="K766" s="11">
        <f>IF(B766="Pensioner",1,VLOOKUP(Assumptions!$B$10,Mortality!$A$2:$F$104,6,FALSE)/VLOOKUP(C766,Mortality!$A$2:$F$104,6,FALSE))</f>
        <v>0.98024296623595764</v>
      </c>
      <c r="L766" s="11">
        <f>VLOOKUP(IF(B766="Pensioner",C766,Assumptions!$B$10),Mortality!$A$2:$E$104,5,FALSE)</f>
        <v>17.296790022132885</v>
      </c>
      <c r="M766" s="11">
        <f>1+Assumptions!$B$13*Assumptions!$B$14*Assumptions!$B$15</f>
        <v>1.3187500000000001</v>
      </c>
      <c r="N766" s="11">
        <f>IF(B766="Pensioner",1,1/(1+Assumptions!$B$6)^G766)</f>
        <v>0.50021223992537933</v>
      </c>
      <c r="O766" s="17">
        <f t="shared" si="11"/>
        <v>6523924.9514190918</v>
      </c>
    </row>
    <row r="767" spans="1:15">
      <c r="A767" s="13" t="str">
        <f>Members!A767</f>
        <v>P0246</v>
      </c>
      <c r="B767" s="13" t="str">
        <f>Members!B767</f>
        <v>Pensioner</v>
      </c>
      <c r="C767" s="13">
        <f>Members!C767</f>
        <v>83</v>
      </c>
      <c r="D767" s="14">
        <f>Members!D767</f>
        <v>17.399999999999999</v>
      </c>
      <c r="E767" s="16">
        <f>Members!E767</f>
        <v>0</v>
      </c>
      <c r="F767" s="16">
        <f>Members!F767</f>
        <v>701000</v>
      </c>
      <c r="G767" s="15">
        <f>MAX(0,Assumptions!$B$10-C767)</f>
        <v>0</v>
      </c>
      <c r="H767" s="17">
        <f>IF(B767="Active",E767*(1+Assumptions!$B$7)^G767,E767)</f>
        <v>0</v>
      </c>
      <c r="I767" s="17">
        <f>IF(B767="Active",MIN(Assumptions!$B$12,D767+G767),IF(B767="Deferred",MIN(Assumptions!$B$12,D767),D767))</f>
        <v>17.399999999999999</v>
      </c>
      <c r="J767" s="17">
        <f>IF(B767="Active",H767*I767*Assumptions!$B$11,IF(B767="Deferred",E767*I767*Assumptions!$B$11*(1+Assumptions!$B$9)^G767,F767))</f>
        <v>701000</v>
      </c>
      <c r="K767" s="11">
        <f>IF(B767="Pensioner",1,VLOOKUP(Assumptions!$B$10,Mortality!$A$2:$F$104,6,FALSE)/VLOOKUP(C767,Mortality!$A$2:$F$104,6,FALSE))</f>
        <v>1</v>
      </c>
      <c r="L767" s="11">
        <f>VLOOKUP(IF(B767="Pensioner",C767,Assumptions!$B$10),Mortality!$A$2:$E$104,5,FALSE)</f>
        <v>7.0669562738307876</v>
      </c>
      <c r="M767" s="11">
        <f>1+Assumptions!$B$13*Assumptions!$B$14*Assumptions!$B$15</f>
        <v>1.3187500000000001</v>
      </c>
      <c r="N767" s="11">
        <f>IF(B767="Pensioner",1,1/(1+Assumptions!$B$6)^G767)</f>
        <v>1</v>
      </c>
      <c r="O767" s="17">
        <f t="shared" si="11"/>
        <v>6533003.5588661609</v>
      </c>
    </row>
    <row r="768" spans="1:15">
      <c r="A768" s="13" t="str">
        <f>Members!A768</f>
        <v>A0587</v>
      </c>
      <c r="B768" s="13" t="str">
        <f>Members!B768</f>
        <v>Active</v>
      </c>
      <c r="C768" s="13">
        <f>Members!C768</f>
        <v>44</v>
      </c>
      <c r="D768" s="14">
        <f>Members!D768</f>
        <v>21.7</v>
      </c>
      <c r="E768" s="16">
        <f>Members!E768</f>
        <v>807000</v>
      </c>
      <c r="F768" s="16">
        <f>Members!F768</f>
        <v>0</v>
      </c>
      <c r="G768" s="15">
        <f>MAX(0,Assumptions!$B$10-C768)</f>
        <v>16</v>
      </c>
      <c r="H768" s="17">
        <f>IF(B768="Active",E768*(1+Assumptions!$B$7)^G768,E768)</f>
        <v>1900696.9983440067</v>
      </c>
      <c r="I768" s="17">
        <f>IF(B768="Active",MIN(Assumptions!$B$12,D768+G768),IF(B768="Deferred",MIN(Assumptions!$B$12,D768),D768))</f>
        <v>37.700000000000003</v>
      </c>
      <c r="J768" s="17">
        <f>IF(B768="Active",H768*I768*Assumptions!$B$11,IF(B768="Deferred",E768*I768*Assumptions!$B$11*(1+Assumptions!$B$9)^G768,F768))</f>
        <v>1194271.280626151</v>
      </c>
      <c r="K768" s="11">
        <f>IF(B768="Pensioner",1,VLOOKUP(Assumptions!$B$10,Mortality!$A$2:$F$104,6,FALSE)/VLOOKUP(C768,Mortality!$A$2:$F$104,6,FALSE))</f>
        <v>0.97626822121787327</v>
      </c>
      <c r="L768" s="11">
        <f>VLOOKUP(IF(B768="Pensioner",C768,Assumptions!$B$10),Mortality!$A$2:$E$104,5,FALSE)</f>
        <v>17.296790022132885</v>
      </c>
      <c r="M768" s="11">
        <f>1+Assumptions!$B$13*Assumptions!$B$14*Assumptions!$B$15</f>
        <v>1.3187500000000001</v>
      </c>
      <c r="N768" s="11">
        <f>IF(B768="Pensioner",1,1/(1+Assumptions!$B$6)^G768)</f>
        <v>0.36509532811475648</v>
      </c>
      <c r="O768" s="17">
        <f t="shared" si="11"/>
        <v>9709713.216047598</v>
      </c>
    </row>
    <row r="769" spans="1:15">
      <c r="A769" s="13" t="str">
        <f>Members!A769</f>
        <v>A0561</v>
      </c>
      <c r="B769" s="13" t="str">
        <f>Members!B769</f>
        <v>Active</v>
      </c>
      <c r="C769" s="13">
        <f>Members!C769</f>
        <v>29</v>
      </c>
      <c r="D769" s="14">
        <f>Members!D769</f>
        <v>1.7</v>
      </c>
      <c r="E769" s="16">
        <f>Members!E769</f>
        <v>472000</v>
      </c>
      <c r="F769" s="16">
        <f>Members!F769</f>
        <v>0</v>
      </c>
      <c r="G769" s="15">
        <f>MAX(0,Assumptions!$B$10-C769)</f>
        <v>31</v>
      </c>
      <c r="H769" s="17">
        <f>IF(B769="Active",E769*(1+Assumptions!$B$7)^G769,E769)</f>
        <v>2481808.3835692038</v>
      </c>
      <c r="I769" s="17">
        <f>IF(B769="Active",MIN(Assumptions!$B$12,D769+G769),IF(B769="Deferred",MIN(Assumptions!$B$12,D769),D769))</f>
        <v>32.700000000000003</v>
      </c>
      <c r="J769" s="17">
        <f>IF(B769="Active",H769*I769*Assumptions!$B$11,IF(B769="Deferred",E769*I769*Assumptions!$B$11*(1+Assumptions!$B$9)^G769,F769))</f>
        <v>1352585.5690452161</v>
      </c>
      <c r="K769" s="11">
        <f>IF(B769="Pensioner",1,VLOOKUP(Assumptions!$B$10,Mortality!$A$2:$F$104,6,FALSE)/VLOOKUP(C769,Mortality!$A$2:$F$104,6,FALSE))</f>
        <v>0.9700544954739736</v>
      </c>
      <c r="L769" s="11">
        <f>VLOOKUP(IF(B769="Pensioner",C769,Assumptions!$B$10),Mortality!$A$2:$E$104,5,FALSE)</f>
        <v>17.296790022132885</v>
      </c>
      <c r="M769" s="11">
        <f>1+Assumptions!$B$13*Assumptions!$B$14*Assumptions!$B$15</f>
        <v>1.3187500000000001</v>
      </c>
      <c r="N769" s="11">
        <f>IF(B769="Pensioner",1,1/(1+Assumptions!$B$6)^G769)</f>
        <v>0.14195874752095111</v>
      </c>
      <c r="O769" s="17">
        <f t="shared" si="11"/>
        <v>4248650.6974069383</v>
      </c>
    </row>
    <row r="770" spans="1:15">
      <c r="A770" s="13" t="str">
        <f>Members!A770</f>
        <v>A0267</v>
      </c>
      <c r="B770" s="13" t="str">
        <f>Members!B770</f>
        <v>Active</v>
      </c>
      <c r="C770" s="13">
        <f>Members!C770</f>
        <v>57</v>
      </c>
      <c r="D770" s="14">
        <f>Members!D770</f>
        <v>31.2</v>
      </c>
      <c r="E770" s="16">
        <f>Members!E770</f>
        <v>1845000</v>
      </c>
      <c r="F770" s="16">
        <f>Members!F770</f>
        <v>0</v>
      </c>
      <c r="G770" s="15">
        <f>MAX(0,Assumptions!$B$10-C770)</f>
        <v>3</v>
      </c>
      <c r="H770" s="17">
        <f>IF(B770="Active",E770*(1+Assumptions!$B$7)^G770,E770)</f>
        <v>2166475.3368749996</v>
      </c>
      <c r="I770" s="17">
        <f>IF(B770="Active",MIN(Assumptions!$B$12,D770+G770),IF(B770="Deferred",MIN(Assumptions!$B$12,D770),D770))</f>
        <v>34.200000000000003</v>
      </c>
      <c r="J770" s="17">
        <f>IF(B770="Active",H770*I770*Assumptions!$B$11,IF(B770="Deferred",E770*I770*Assumptions!$B$11*(1+Assumptions!$B$9)^G770,F770))</f>
        <v>1234890.9420187499</v>
      </c>
      <c r="K770" s="11">
        <f>IF(B770="Pensioner",1,VLOOKUP(Assumptions!$B$10,Mortality!$A$2:$F$104,6,FALSE)/VLOOKUP(C770,Mortality!$A$2:$F$104,6,FALSE))</f>
        <v>0.99220038929214172</v>
      </c>
      <c r="L770" s="11">
        <f>VLOOKUP(IF(B770="Pensioner",C770,Assumptions!$B$10),Mortality!$A$2:$E$104,5,FALSE)</f>
        <v>17.296790022132885</v>
      </c>
      <c r="M770" s="11">
        <f>1+Assumptions!$B$13*Assumptions!$B$14*Assumptions!$B$15</f>
        <v>1.3187500000000001</v>
      </c>
      <c r="N770" s="11">
        <f>IF(B770="Pensioner",1,1/(1+Assumptions!$B$6)^G770)</f>
        <v>0.82784909180297994</v>
      </c>
      <c r="O770" s="17">
        <f t="shared" ref="O770:O833" si="12">J770*K770*L770*M770*N770</f>
        <v>23137006.081024565</v>
      </c>
    </row>
    <row r="771" spans="1:15">
      <c r="A771" s="13" t="str">
        <f>Members!A771</f>
        <v>A0483</v>
      </c>
      <c r="B771" s="13" t="str">
        <f>Members!B771</f>
        <v>Active</v>
      </c>
      <c r="C771" s="13">
        <f>Members!C771</f>
        <v>49</v>
      </c>
      <c r="D771" s="14">
        <f>Members!D771</f>
        <v>24.6</v>
      </c>
      <c r="E771" s="16">
        <f>Members!E771</f>
        <v>1164000</v>
      </c>
      <c r="F771" s="16">
        <f>Members!F771</f>
        <v>0</v>
      </c>
      <c r="G771" s="15">
        <f>MAX(0,Assumptions!$B$10-C771)</f>
        <v>11</v>
      </c>
      <c r="H771" s="17">
        <f>IF(B771="Active",E771*(1+Assumptions!$B$7)^G771,E771)</f>
        <v>2097635.5577473789</v>
      </c>
      <c r="I771" s="17">
        <f>IF(B771="Active",MIN(Assumptions!$B$12,D771+G771),IF(B771="Deferred",MIN(Assumptions!$B$12,D771),D771))</f>
        <v>35.6</v>
      </c>
      <c r="J771" s="17">
        <f>IF(B771="Active",H771*I771*Assumptions!$B$11,IF(B771="Deferred",E771*I771*Assumptions!$B$11*(1+Assumptions!$B$9)^G771,F771))</f>
        <v>1244597.0975967783</v>
      </c>
      <c r="K771" s="11">
        <f>IF(B771="Pensioner",1,VLOOKUP(Assumptions!$B$10,Mortality!$A$2:$F$104,6,FALSE)/VLOOKUP(C771,Mortality!$A$2:$F$104,6,FALSE))</f>
        <v>0.98024296623595764</v>
      </c>
      <c r="L771" s="11">
        <f>VLOOKUP(IF(B771="Pensioner",C771,Assumptions!$B$10),Mortality!$A$2:$E$104,5,FALSE)</f>
        <v>17.296790022132885</v>
      </c>
      <c r="M771" s="11">
        <f>1+Assumptions!$B$13*Assumptions!$B$14*Assumptions!$B$15</f>
        <v>1.3187500000000001</v>
      </c>
      <c r="N771" s="11">
        <f>IF(B771="Pensioner",1,1/(1+Assumptions!$B$6)^G771)</f>
        <v>0.50021223992537933</v>
      </c>
      <c r="O771" s="17">
        <f t="shared" si="12"/>
        <v>13920178.968265206</v>
      </c>
    </row>
    <row r="772" spans="1:15">
      <c r="A772" s="13" t="str">
        <f>Members!A772</f>
        <v>P0185</v>
      </c>
      <c r="B772" s="13" t="str">
        <f>Members!B772</f>
        <v>Pensioner</v>
      </c>
      <c r="C772" s="13">
        <f>Members!C772</f>
        <v>73</v>
      </c>
      <c r="D772" s="14">
        <f>Members!D772</f>
        <v>20.399999999999999</v>
      </c>
      <c r="E772" s="16">
        <f>Members!E772</f>
        <v>0</v>
      </c>
      <c r="F772" s="16">
        <f>Members!F772</f>
        <v>460000</v>
      </c>
      <c r="G772" s="15">
        <f>MAX(0,Assumptions!$B$10-C772)</f>
        <v>0</v>
      </c>
      <c r="H772" s="17">
        <f>IF(B772="Active",E772*(1+Assumptions!$B$7)^G772,E772)</f>
        <v>0</v>
      </c>
      <c r="I772" s="17">
        <f>IF(B772="Active",MIN(Assumptions!$B$12,D772+G772),IF(B772="Deferred",MIN(Assumptions!$B$12,D772),D772))</f>
        <v>20.399999999999999</v>
      </c>
      <c r="J772" s="17">
        <f>IF(B772="Active",H772*I772*Assumptions!$B$11,IF(B772="Deferred",E772*I772*Assumptions!$B$11*(1+Assumptions!$B$9)^G772,F772))</f>
        <v>460000</v>
      </c>
      <c r="K772" s="11">
        <f>IF(B772="Pensioner",1,VLOOKUP(Assumptions!$B$10,Mortality!$A$2:$F$104,6,FALSE)/VLOOKUP(C772,Mortality!$A$2:$F$104,6,FALSE))</f>
        <v>1</v>
      </c>
      <c r="L772" s="11">
        <f>VLOOKUP(IF(B772="Pensioner",C772,Assumptions!$B$10),Mortality!$A$2:$E$104,5,FALSE)</f>
        <v>11.586176267789867</v>
      </c>
      <c r="M772" s="11">
        <f>1+Assumptions!$B$13*Assumptions!$B$14*Assumptions!$B$15</f>
        <v>1.3187500000000001</v>
      </c>
      <c r="N772" s="11">
        <f>IF(B772="Pensioner",1,1/(1+Assumptions!$B$6)^G772)</f>
        <v>1</v>
      </c>
      <c r="O772" s="17">
        <f t="shared" si="12"/>
        <v>7028464.1784480289</v>
      </c>
    </row>
    <row r="773" spans="1:15">
      <c r="A773" s="13" t="str">
        <f>Members!A773</f>
        <v>A0103</v>
      </c>
      <c r="B773" s="13" t="str">
        <f>Members!B773</f>
        <v>Active</v>
      </c>
      <c r="C773" s="13">
        <f>Members!C773</f>
        <v>51</v>
      </c>
      <c r="D773" s="14">
        <f>Members!D773</f>
        <v>14.7</v>
      </c>
      <c r="E773" s="16">
        <f>Members!E773</f>
        <v>1505000</v>
      </c>
      <c r="F773" s="16">
        <f>Members!F773</f>
        <v>0</v>
      </c>
      <c r="G773" s="15">
        <f>MAX(0,Assumptions!$B$10-C773)</f>
        <v>9</v>
      </c>
      <c r="H773" s="17">
        <f>IF(B773="Active",E773*(1+Assumptions!$B$7)^G773,E773)</f>
        <v>2436736.8813480167</v>
      </c>
      <c r="I773" s="17">
        <f>IF(B773="Active",MIN(Assumptions!$B$12,D773+G773),IF(B773="Deferred",MIN(Assumptions!$B$12,D773),D773))</f>
        <v>23.7</v>
      </c>
      <c r="J773" s="17">
        <f>IF(B773="Active",H773*I773*Assumptions!$B$11,IF(B773="Deferred",E773*I773*Assumptions!$B$11*(1+Assumptions!$B$9)^G773,F773))</f>
        <v>962511.06813246652</v>
      </c>
      <c r="K773" s="11">
        <f>IF(B773="Pensioner",1,VLOOKUP(Assumptions!$B$10,Mortality!$A$2:$F$104,6,FALSE)/VLOOKUP(C773,Mortality!$A$2:$F$104,6,FALSE))</f>
        <v>0.98240527975061542</v>
      </c>
      <c r="L773" s="11">
        <f>VLOOKUP(IF(B773="Pensioner",C773,Assumptions!$B$10),Mortality!$A$2:$E$104,5,FALSE)</f>
        <v>17.296790022132885</v>
      </c>
      <c r="M773" s="11">
        <f>1+Assumptions!$B$13*Assumptions!$B$14*Assumptions!$B$15</f>
        <v>1.3187500000000001</v>
      </c>
      <c r="N773" s="11">
        <f>IF(B773="Pensioner",1,1/(1+Assumptions!$B$6)^G773)</f>
        <v>0.56735322782936326</v>
      </c>
      <c r="O773" s="17">
        <f t="shared" si="12"/>
        <v>12237083.853443792</v>
      </c>
    </row>
    <row r="774" spans="1:15">
      <c r="A774" s="13" t="str">
        <f>Members!A774</f>
        <v>A0380</v>
      </c>
      <c r="B774" s="13" t="str">
        <f>Members!B774</f>
        <v>Active</v>
      </c>
      <c r="C774" s="13">
        <f>Members!C774</f>
        <v>32</v>
      </c>
      <c r="D774" s="14">
        <f>Members!D774</f>
        <v>7.6</v>
      </c>
      <c r="E774" s="16">
        <f>Members!E774</f>
        <v>598000</v>
      </c>
      <c r="F774" s="16">
        <f>Members!F774</f>
        <v>0</v>
      </c>
      <c r="G774" s="15">
        <f>MAX(0,Assumptions!$B$10-C774)</f>
        <v>28</v>
      </c>
      <c r="H774" s="17">
        <f>IF(B774="Active",E774*(1+Assumptions!$B$7)^G774,E774)</f>
        <v>2677750.1587657477</v>
      </c>
      <c r="I774" s="17">
        <f>IF(B774="Active",MIN(Assumptions!$B$12,D774+G774),IF(B774="Deferred",MIN(Assumptions!$B$12,D774),D774))</f>
        <v>35.6</v>
      </c>
      <c r="J774" s="17">
        <f>IF(B774="Active",H774*I774*Assumptions!$B$11,IF(B774="Deferred",E774*I774*Assumptions!$B$11*(1+Assumptions!$B$9)^G774,F774))</f>
        <v>1588798.4275343437</v>
      </c>
      <c r="K774" s="11">
        <f>IF(B774="Pensioner",1,VLOOKUP(Assumptions!$B$10,Mortality!$A$2:$F$104,6,FALSE)/VLOOKUP(C774,Mortality!$A$2:$F$104,6,FALSE))</f>
        <v>0.97095846876649572</v>
      </c>
      <c r="L774" s="11">
        <f>VLOOKUP(IF(B774="Pensioner",C774,Assumptions!$B$10),Mortality!$A$2:$E$104,5,FALSE)</f>
        <v>17.296790022132885</v>
      </c>
      <c r="M774" s="11">
        <f>1+Assumptions!$B$13*Assumptions!$B$14*Assumptions!$B$15</f>
        <v>1.3187500000000001</v>
      </c>
      <c r="N774" s="11">
        <f>IF(B774="Pensioner",1,1/(1+Assumptions!$B$6)^G774)</f>
        <v>0.17147901583340255</v>
      </c>
      <c r="O774" s="17">
        <f t="shared" si="12"/>
        <v>6034043.3169983318</v>
      </c>
    </row>
    <row r="775" spans="1:15">
      <c r="A775" s="13" t="str">
        <f>Members!A775</f>
        <v>A0534</v>
      </c>
      <c r="B775" s="13" t="str">
        <f>Members!B775</f>
        <v>Active</v>
      </c>
      <c r="C775" s="13">
        <f>Members!C775</f>
        <v>29</v>
      </c>
      <c r="D775" s="14">
        <f>Members!D775</f>
        <v>1.3</v>
      </c>
      <c r="E775" s="16">
        <f>Members!E775</f>
        <v>496000</v>
      </c>
      <c r="F775" s="16">
        <f>Members!F775</f>
        <v>0</v>
      </c>
      <c r="G775" s="15">
        <f>MAX(0,Assumptions!$B$10-C775)</f>
        <v>31</v>
      </c>
      <c r="H775" s="17">
        <f>IF(B775="Active",E775*(1+Assumptions!$B$7)^G775,E775)</f>
        <v>2608002.0301913666</v>
      </c>
      <c r="I775" s="17">
        <f>IF(B775="Active",MIN(Assumptions!$B$12,D775+G775),IF(B775="Deferred",MIN(Assumptions!$B$12,D775),D775))</f>
        <v>32.299999999999997</v>
      </c>
      <c r="J775" s="17">
        <f>IF(B775="Active",H775*I775*Assumptions!$B$11,IF(B775="Deferred",E775*I775*Assumptions!$B$11*(1+Assumptions!$B$9)^G775,F775))</f>
        <v>1403974.4262530187</v>
      </c>
      <c r="K775" s="11">
        <f>IF(B775="Pensioner",1,VLOOKUP(Assumptions!$B$10,Mortality!$A$2:$F$104,6,FALSE)/VLOOKUP(C775,Mortality!$A$2:$F$104,6,FALSE))</f>
        <v>0.9700544954739736</v>
      </c>
      <c r="L775" s="11">
        <f>VLOOKUP(IF(B775="Pensioner",C775,Assumptions!$B$10),Mortality!$A$2:$E$104,5,FALSE)</f>
        <v>17.296790022132885</v>
      </c>
      <c r="M775" s="11">
        <f>1+Assumptions!$B$13*Assumptions!$B$14*Assumptions!$B$15</f>
        <v>1.3187500000000001</v>
      </c>
      <c r="N775" s="11">
        <f>IF(B775="Pensioner",1,1/(1+Assumptions!$B$6)^G775)</f>
        <v>0.14195874752095111</v>
      </c>
      <c r="O775" s="17">
        <f t="shared" si="12"/>
        <v>4410069.9148018109</v>
      </c>
    </row>
    <row r="776" spans="1:15">
      <c r="A776" s="13" t="str">
        <f>Members!A776</f>
        <v>A0199</v>
      </c>
      <c r="B776" s="13" t="str">
        <f>Members!B776</f>
        <v>Active</v>
      </c>
      <c r="C776" s="13">
        <f>Members!C776</f>
        <v>40</v>
      </c>
      <c r="D776" s="14">
        <f>Members!D776</f>
        <v>9.3000000000000007</v>
      </c>
      <c r="E776" s="16">
        <f>Members!E776</f>
        <v>986000</v>
      </c>
      <c r="F776" s="16">
        <f>Members!F776</f>
        <v>0</v>
      </c>
      <c r="G776" s="15">
        <f>MAX(0,Assumptions!$B$10-C776)</f>
        <v>20</v>
      </c>
      <c r="H776" s="17">
        <f>IF(B776="Active",E776*(1+Assumptions!$B$7)^G776,E776)</f>
        <v>2876908.8857356319</v>
      </c>
      <c r="I776" s="17">
        <f>IF(B776="Active",MIN(Assumptions!$B$12,D776+G776),IF(B776="Deferred",MIN(Assumptions!$B$12,D776),D776))</f>
        <v>29.3</v>
      </c>
      <c r="J776" s="17">
        <f>IF(B776="Active",H776*I776*Assumptions!$B$11,IF(B776="Deferred",E776*I776*Assumptions!$B$11*(1+Assumptions!$B$9)^G776,F776))</f>
        <v>1404890.5058675669</v>
      </c>
      <c r="K776" s="11">
        <f>IF(B776="Pensioner",1,VLOOKUP(Assumptions!$B$10,Mortality!$A$2:$F$104,6,FALSE)/VLOOKUP(C776,Mortality!$A$2:$F$104,6,FALSE))</f>
        <v>0.97405112431987673</v>
      </c>
      <c r="L776" s="11">
        <f>VLOOKUP(IF(B776="Pensioner",C776,Assumptions!$B$10),Mortality!$A$2:$E$104,5,FALSE)</f>
        <v>17.296790022132885</v>
      </c>
      <c r="M776" s="11">
        <f>1+Assumptions!$B$13*Assumptions!$B$14*Assumptions!$B$15</f>
        <v>1.3187500000000001</v>
      </c>
      <c r="N776" s="11">
        <f>IF(B776="Pensioner",1,1/(1+Assumptions!$B$6)^G776)</f>
        <v>0.28379702892141989</v>
      </c>
      <c r="O776" s="17">
        <f t="shared" si="12"/>
        <v>8858497.3574196696</v>
      </c>
    </row>
    <row r="777" spans="1:15">
      <c r="A777" s="13" t="str">
        <f>Members!A777</f>
        <v>P0014</v>
      </c>
      <c r="B777" s="13" t="str">
        <f>Members!B777</f>
        <v>Pensioner</v>
      </c>
      <c r="C777" s="13">
        <f>Members!C777</f>
        <v>87</v>
      </c>
      <c r="D777" s="14">
        <f>Members!D777</f>
        <v>14</v>
      </c>
      <c r="E777" s="16">
        <f>Members!E777</f>
        <v>0</v>
      </c>
      <c r="F777" s="16">
        <f>Members!F777</f>
        <v>435000</v>
      </c>
      <c r="G777" s="15">
        <f>MAX(0,Assumptions!$B$10-C777)</f>
        <v>0</v>
      </c>
      <c r="H777" s="17">
        <f>IF(B777="Active",E777*(1+Assumptions!$B$7)^G777,E777)</f>
        <v>0</v>
      </c>
      <c r="I777" s="17">
        <f>IF(B777="Active",MIN(Assumptions!$B$12,D777+G777),IF(B777="Deferred",MIN(Assumptions!$B$12,D777),D777))</f>
        <v>14</v>
      </c>
      <c r="J777" s="17">
        <f>IF(B777="Active",H777*I777*Assumptions!$B$11,IF(B777="Deferred",E777*I777*Assumptions!$B$11*(1+Assumptions!$B$9)^G777,F777))</f>
        <v>435000</v>
      </c>
      <c r="K777" s="11">
        <f>IF(B777="Pensioner",1,VLOOKUP(Assumptions!$B$10,Mortality!$A$2:$F$104,6,FALSE)/VLOOKUP(C777,Mortality!$A$2:$F$104,6,FALSE))</f>
        <v>1</v>
      </c>
      <c r="L777" s="11">
        <f>VLOOKUP(IF(B777="Pensioner",C777,Assumptions!$B$10),Mortality!$A$2:$E$104,5,FALSE)</f>
        <v>5.427731360162463</v>
      </c>
      <c r="M777" s="11">
        <f>1+Assumptions!$B$13*Assumptions!$B$14*Assumptions!$B$15</f>
        <v>1.3187500000000001</v>
      </c>
      <c r="N777" s="11">
        <f>IF(B777="Pensioner",1,1/(1+Assumptions!$B$6)^G777)</f>
        <v>1</v>
      </c>
      <c r="O777" s="17">
        <f t="shared" si="12"/>
        <v>3113652.0180781982</v>
      </c>
    </row>
    <row r="778" spans="1:15">
      <c r="A778" s="13" t="str">
        <f>Members!A778</f>
        <v>P0123</v>
      </c>
      <c r="B778" s="13" t="str">
        <f>Members!B778</f>
        <v>Pensioner</v>
      </c>
      <c r="C778" s="13">
        <f>Members!C778</f>
        <v>80</v>
      </c>
      <c r="D778" s="14">
        <f>Members!D778</f>
        <v>16.600000000000001</v>
      </c>
      <c r="E778" s="16">
        <f>Members!E778</f>
        <v>0</v>
      </c>
      <c r="F778" s="16">
        <f>Members!F778</f>
        <v>695000</v>
      </c>
      <c r="G778" s="15">
        <f>MAX(0,Assumptions!$B$10-C778)</f>
        <v>0</v>
      </c>
      <c r="H778" s="17">
        <f>IF(B778="Active",E778*(1+Assumptions!$B$7)^G778,E778)</f>
        <v>0</v>
      </c>
      <c r="I778" s="17">
        <f>IF(B778="Active",MIN(Assumptions!$B$12,D778+G778),IF(B778="Deferred",MIN(Assumptions!$B$12,D778),D778))</f>
        <v>16.600000000000001</v>
      </c>
      <c r="J778" s="17">
        <f>IF(B778="Active",H778*I778*Assumptions!$B$11,IF(B778="Deferred",E778*I778*Assumptions!$B$11*(1+Assumptions!$B$9)^G778,F778))</f>
        <v>695000</v>
      </c>
      <c r="K778" s="11">
        <f>IF(B778="Pensioner",1,VLOOKUP(Assumptions!$B$10,Mortality!$A$2:$F$104,6,FALSE)/VLOOKUP(C778,Mortality!$A$2:$F$104,6,FALSE))</f>
        <v>1</v>
      </c>
      <c r="L778" s="11">
        <f>VLOOKUP(IF(B778="Pensioner",C778,Assumptions!$B$10),Mortality!$A$2:$E$104,5,FALSE)</f>
        <v>8.3813573625622979</v>
      </c>
      <c r="M778" s="11">
        <f>1+Assumptions!$B$13*Assumptions!$B$14*Assumptions!$B$15</f>
        <v>1.3187500000000001</v>
      </c>
      <c r="N778" s="11">
        <f>IF(B778="Pensioner",1,1/(1+Assumptions!$B$6)^G778)</f>
        <v>1</v>
      </c>
      <c r="O778" s="17">
        <f t="shared" si="12"/>
        <v>7681775.9402059261</v>
      </c>
    </row>
    <row r="779" spans="1:15">
      <c r="A779" s="13" t="str">
        <f>Members!A779</f>
        <v>A0421</v>
      </c>
      <c r="B779" s="13" t="str">
        <f>Members!B779</f>
        <v>Active</v>
      </c>
      <c r="C779" s="13">
        <f>Members!C779</f>
        <v>49</v>
      </c>
      <c r="D779" s="14">
        <f>Members!D779</f>
        <v>20.3</v>
      </c>
      <c r="E779" s="16">
        <f>Members!E779</f>
        <v>1028000</v>
      </c>
      <c r="F779" s="16">
        <f>Members!F779</f>
        <v>0</v>
      </c>
      <c r="G779" s="15">
        <f>MAX(0,Assumptions!$B$10-C779)</f>
        <v>11</v>
      </c>
      <c r="H779" s="17">
        <f>IF(B779="Active",E779*(1+Assumptions!$B$7)^G779,E779)</f>
        <v>1852550.9908628054</v>
      </c>
      <c r="I779" s="17">
        <f>IF(B779="Active",MIN(Assumptions!$B$12,D779+G779),IF(B779="Deferred",MIN(Assumptions!$B$12,D779),D779))</f>
        <v>31.3</v>
      </c>
      <c r="J779" s="17">
        <f>IF(B779="Active",H779*I779*Assumptions!$B$11,IF(B779="Deferred",E779*I779*Assumptions!$B$11*(1+Assumptions!$B$9)^G779,F779))</f>
        <v>966414.10023343016</v>
      </c>
      <c r="K779" s="11">
        <f>IF(B779="Pensioner",1,VLOOKUP(Assumptions!$B$10,Mortality!$A$2:$F$104,6,FALSE)/VLOOKUP(C779,Mortality!$A$2:$F$104,6,FALSE))</f>
        <v>0.98024296623595764</v>
      </c>
      <c r="L779" s="11">
        <f>VLOOKUP(IF(B779="Pensioner",C779,Assumptions!$B$10),Mortality!$A$2:$E$104,5,FALSE)</f>
        <v>17.296790022132885</v>
      </c>
      <c r="M779" s="11">
        <f>1+Assumptions!$B$13*Assumptions!$B$14*Assumptions!$B$15</f>
        <v>1.3187500000000001</v>
      </c>
      <c r="N779" s="11">
        <f>IF(B779="Pensioner",1,1/(1+Assumptions!$B$6)^G779)</f>
        <v>0.50021223992537933</v>
      </c>
      <c r="O779" s="17">
        <f t="shared" si="12"/>
        <v>10808845.094272185</v>
      </c>
    </row>
    <row r="780" spans="1:15">
      <c r="A780" s="13" t="str">
        <f>Members!A780</f>
        <v>D0016</v>
      </c>
      <c r="B780" s="13" t="str">
        <f>Members!B780</f>
        <v>Deferred</v>
      </c>
      <c r="C780" s="13">
        <f>Members!C780</f>
        <v>30</v>
      </c>
      <c r="D780" s="14">
        <f>Members!D780</f>
        <v>2.8</v>
      </c>
      <c r="E780" s="16">
        <f>Members!E780</f>
        <v>311000</v>
      </c>
      <c r="F780" s="16">
        <f>Members!F780</f>
        <v>0</v>
      </c>
      <c r="G780" s="15">
        <f>MAX(0,Assumptions!$B$10-C780)</f>
        <v>30</v>
      </c>
      <c r="H780" s="17">
        <f>IF(B780="Active",E780*(1+Assumptions!$B$7)^G780,E780)</f>
        <v>311000</v>
      </c>
      <c r="I780" s="17">
        <f>IF(B780="Active",MIN(Assumptions!$B$12,D780+G780),IF(B780="Deferred",MIN(Assumptions!$B$12,D780),D780))</f>
        <v>2.8</v>
      </c>
      <c r="J780" s="17">
        <f>IF(B780="Active",H780*I780*Assumptions!$B$11,IF(B780="Deferred",E780*I780*Assumptions!$B$11*(1+Assumptions!$B$9)^G780,F780))</f>
        <v>47072.509195533064</v>
      </c>
      <c r="K780" s="11">
        <f>IF(B780="Pensioner",1,VLOOKUP(Assumptions!$B$10,Mortality!$A$2:$F$104,6,FALSE)/VLOOKUP(C780,Mortality!$A$2:$F$104,6,FALSE))</f>
        <v>0.97034568803187526</v>
      </c>
      <c r="L780" s="11">
        <f>VLOOKUP(IF(B780="Pensioner",C780,Assumptions!$B$10),Mortality!$A$2:$E$104,5,FALSE)</f>
        <v>17.296790022132885</v>
      </c>
      <c r="M780" s="11">
        <f>1+Assumptions!$B$13*Assumptions!$B$14*Assumptions!$B$15</f>
        <v>1.3187500000000001</v>
      </c>
      <c r="N780" s="11">
        <f>IF(B780="Pensioner",1,1/(1+Assumptions!$B$6)^G780)</f>
        <v>0.15118606610981289</v>
      </c>
      <c r="O780" s="17">
        <f t="shared" si="12"/>
        <v>157519.23062410706</v>
      </c>
    </row>
    <row r="781" spans="1:15">
      <c r="A781" s="13" t="str">
        <f>Members!A781</f>
        <v>A0098</v>
      </c>
      <c r="B781" s="13" t="str">
        <f>Members!B781</f>
        <v>Active</v>
      </c>
      <c r="C781" s="13">
        <f>Members!C781</f>
        <v>51</v>
      </c>
      <c r="D781" s="14">
        <f>Members!D781</f>
        <v>22.5</v>
      </c>
      <c r="E781" s="16">
        <f>Members!E781</f>
        <v>1308000</v>
      </c>
      <c r="F781" s="16">
        <f>Members!F781</f>
        <v>0</v>
      </c>
      <c r="G781" s="15">
        <f>MAX(0,Assumptions!$B$10-C781)</f>
        <v>9</v>
      </c>
      <c r="H781" s="17">
        <f>IF(B781="Active",E781*(1+Assumptions!$B$7)^G781,E781)</f>
        <v>2117775.3095037909</v>
      </c>
      <c r="I781" s="17">
        <f>IF(B781="Active",MIN(Assumptions!$B$12,D781+G781),IF(B781="Deferred",MIN(Assumptions!$B$12,D781),D781))</f>
        <v>31.5</v>
      </c>
      <c r="J781" s="17">
        <f>IF(B781="Active",H781*I781*Assumptions!$B$11,IF(B781="Deferred",E781*I781*Assumptions!$B$11*(1+Assumptions!$B$9)^G781,F781))</f>
        <v>1111832.0374894901</v>
      </c>
      <c r="K781" s="11">
        <f>IF(B781="Pensioner",1,VLOOKUP(Assumptions!$B$10,Mortality!$A$2:$F$104,6,FALSE)/VLOOKUP(C781,Mortality!$A$2:$F$104,6,FALSE))</f>
        <v>0.98240527975061542</v>
      </c>
      <c r="L781" s="11">
        <f>VLOOKUP(IF(B781="Pensioner",C781,Assumptions!$B$10),Mortality!$A$2:$E$104,5,FALSE)</f>
        <v>17.296790022132885</v>
      </c>
      <c r="M781" s="11">
        <f>1+Assumptions!$B$13*Assumptions!$B$14*Assumptions!$B$15</f>
        <v>1.3187500000000001</v>
      </c>
      <c r="N781" s="11">
        <f>IF(B781="Pensioner",1,1/(1+Assumptions!$B$6)^G781)</f>
        <v>0.56735322782936326</v>
      </c>
      <c r="O781" s="17">
        <f t="shared" si="12"/>
        <v>14135506.929912698</v>
      </c>
    </row>
    <row r="782" spans="1:15">
      <c r="A782" s="13" t="str">
        <f>Members!A782</f>
        <v>A0093</v>
      </c>
      <c r="B782" s="13" t="str">
        <f>Members!B782</f>
        <v>Active</v>
      </c>
      <c r="C782" s="13">
        <f>Members!C782</f>
        <v>59</v>
      </c>
      <c r="D782" s="14">
        <f>Members!D782</f>
        <v>23.1</v>
      </c>
      <c r="E782" s="16">
        <f>Members!E782</f>
        <v>2136000</v>
      </c>
      <c r="F782" s="16">
        <f>Members!F782</f>
        <v>0</v>
      </c>
      <c r="G782" s="15">
        <f>MAX(0,Assumptions!$B$10-C782)</f>
        <v>1</v>
      </c>
      <c r="H782" s="17">
        <f>IF(B782="Active",E782*(1+Assumptions!$B$7)^G782,E782)</f>
        <v>2253480</v>
      </c>
      <c r="I782" s="17">
        <f>IF(B782="Active",MIN(Assumptions!$B$12,D782+G782),IF(B782="Deferred",MIN(Assumptions!$B$12,D782),D782))</f>
        <v>24.1</v>
      </c>
      <c r="J782" s="17">
        <f>IF(B782="Active",H782*I782*Assumptions!$B$11,IF(B782="Deferred",E782*I782*Assumptions!$B$11*(1+Assumptions!$B$9)^G782,F782))</f>
        <v>905147.79999999993</v>
      </c>
      <c r="K782" s="11">
        <f>IF(B782="Pensioner",1,VLOOKUP(Assumptions!$B$10,Mortality!$A$2:$F$104,6,FALSE)/VLOOKUP(C782,Mortality!$A$2:$F$104,6,FALSE))</f>
        <v>0.99710960118319747</v>
      </c>
      <c r="L782" s="11">
        <f>VLOOKUP(IF(B782="Pensioner",C782,Assumptions!$B$10),Mortality!$A$2:$E$104,5,FALSE)</f>
        <v>17.296790022132885</v>
      </c>
      <c r="M782" s="11">
        <f>1+Assumptions!$B$13*Assumptions!$B$14*Assumptions!$B$15</f>
        <v>1.3187500000000001</v>
      </c>
      <c r="N782" s="11">
        <f>IF(B782="Pensioner",1,1/(1+Assumptions!$B$6)^G782)</f>
        <v>0.93896713615023475</v>
      </c>
      <c r="O782" s="17">
        <f t="shared" si="12"/>
        <v>19330397.129437767</v>
      </c>
    </row>
    <row r="783" spans="1:15">
      <c r="A783" s="13" t="str">
        <f>Members!A783</f>
        <v>A0414</v>
      </c>
      <c r="B783" s="13" t="str">
        <f>Members!B783</f>
        <v>Active</v>
      </c>
      <c r="C783" s="13">
        <f>Members!C783</f>
        <v>45</v>
      </c>
      <c r="D783" s="14">
        <f>Members!D783</f>
        <v>12.8</v>
      </c>
      <c r="E783" s="16">
        <f>Members!E783</f>
        <v>1277000</v>
      </c>
      <c r="F783" s="16">
        <f>Members!F783</f>
        <v>0</v>
      </c>
      <c r="G783" s="15">
        <f>MAX(0,Assumptions!$B$10-C783)</f>
        <v>15</v>
      </c>
      <c r="H783" s="17">
        <f>IF(B783="Active",E783*(1+Assumptions!$B$7)^G783,E783)</f>
        <v>2850872.4805878615</v>
      </c>
      <c r="I783" s="17">
        <f>IF(B783="Active",MIN(Assumptions!$B$12,D783+G783),IF(B783="Deferred",MIN(Assumptions!$B$12,D783),D783))</f>
        <v>27.8</v>
      </c>
      <c r="J783" s="17">
        <f>IF(B783="Active",H783*I783*Assumptions!$B$11,IF(B783="Deferred",E783*I783*Assumptions!$B$11*(1+Assumptions!$B$9)^G783,F783))</f>
        <v>1320904.2493390427</v>
      </c>
      <c r="K783" s="11">
        <f>IF(B783="Pensioner",1,VLOOKUP(Assumptions!$B$10,Mortality!$A$2:$F$104,6,FALSE)/VLOOKUP(C783,Mortality!$A$2:$F$104,6,FALSE))</f>
        <v>0.97693494781946555</v>
      </c>
      <c r="L783" s="11">
        <f>VLOOKUP(IF(B783="Pensioner",C783,Assumptions!$B$10),Mortality!$A$2:$E$104,5,FALSE)</f>
        <v>17.296790022132885</v>
      </c>
      <c r="M783" s="11">
        <f>1+Assumptions!$B$13*Assumptions!$B$14*Assumptions!$B$15</f>
        <v>1.3187500000000001</v>
      </c>
      <c r="N783" s="11">
        <f>IF(B783="Pensioner",1,1/(1+Assumptions!$B$6)^G783)</f>
        <v>0.38882652444221566</v>
      </c>
      <c r="O783" s="17">
        <f t="shared" si="12"/>
        <v>11445133.226717724</v>
      </c>
    </row>
    <row r="784" spans="1:15">
      <c r="A784" s="13" t="str">
        <f>Members!A784</f>
        <v>A0347</v>
      </c>
      <c r="B784" s="13" t="str">
        <f>Members!B784</f>
        <v>Active</v>
      </c>
      <c r="C784" s="13">
        <f>Members!C784</f>
        <v>33</v>
      </c>
      <c r="D784" s="14">
        <f>Members!D784</f>
        <v>2</v>
      </c>
      <c r="E784" s="16">
        <f>Members!E784</f>
        <v>505000</v>
      </c>
      <c r="F784" s="16">
        <f>Members!F784</f>
        <v>0</v>
      </c>
      <c r="G784" s="15">
        <f>MAX(0,Assumptions!$B$10-C784)</f>
        <v>27</v>
      </c>
      <c r="H784" s="17">
        <f>IF(B784="Active",E784*(1+Assumptions!$B$7)^G784,E784)</f>
        <v>2143422.5145060197</v>
      </c>
      <c r="I784" s="17">
        <f>IF(B784="Active",MIN(Assumptions!$B$12,D784+G784),IF(B784="Deferred",MIN(Assumptions!$B$12,D784),D784))</f>
        <v>29</v>
      </c>
      <c r="J784" s="17">
        <f>IF(B784="Active",H784*I784*Assumptions!$B$11,IF(B784="Deferred",E784*I784*Assumptions!$B$11*(1+Assumptions!$B$9)^G784,F784))</f>
        <v>1035987.5486779095</v>
      </c>
      <c r="K784" s="11">
        <f>IF(B784="Pensioner",1,VLOOKUP(Assumptions!$B$10,Mortality!$A$2:$F$104,6,FALSE)/VLOOKUP(C784,Mortality!$A$2:$F$104,6,FALSE))</f>
        <v>0.9712826176321353</v>
      </c>
      <c r="L784" s="11">
        <f>VLOOKUP(IF(B784="Pensioner",C784,Assumptions!$B$10),Mortality!$A$2:$E$104,5,FALSE)</f>
        <v>17.296790022132885</v>
      </c>
      <c r="M784" s="11">
        <f>1+Assumptions!$B$13*Assumptions!$B$14*Assumptions!$B$15</f>
        <v>1.3187500000000001</v>
      </c>
      <c r="N784" s="11">
        <f>IF(B784="Pensioner",1,1/(1+Assumptions!$B$6)^G784)</f>
        <v>0.18262515186257369</v>
      </c>
      <c r="O784" s="17">
        <f t="shared" si="12"/>
        <v>4191685.8662161105</v>
      </c>
    </row>
    <row r="785" spans="1:15">
      <c r="A785" s="13" t="str">
        <f>Members!A785</f>
        <v>P0031</v>
      </c>
      <c r="B785" s="13" t="str">
        <f>Members!B785</f>
        <v>Pensioner</v>
      </c>
      <c r="C785" s="13">
        <f>Members!C785</f>
        <v>72</v>
      </c>
      <c r="D785" s="14">
        <f>Members!D785</f>
        <v>24.4</v>
      </c>
      <c r="E785" s="16">
        <f>Members!E785</f>
        <v>0</v>
      </c>
      <c r="F785" s="16">
        <f>Members!F785</f>
        <v>400000</v>
      </c>
      <c r="G785" s="15">
        <f>MAX(0,Assumptions!$B$10-C785)</f>
        <v>0</v>
      </c>
      <c r="H785" s="17">
        <f>IF(B785="Active",E785*(1+Assumptions!$B$7)^G785,E785)</f>
        <v>0</v>
      </c>
      <c r="I785" s="17">
        <f>IF(B785="Active",MIN(Assumptions!$B$12,D785+G785),IF(B785="Deferred",MIN(Assumptions!$B$12,D785),D785))</f>
        <v>24.4</v>
      </c>
      <c r="J785" s="17">
        <f>IF(B785="Active",H785*I785*Assumptions!$B$11,IF(B785="Deferred",E785*I785*Assumptions!$B$11*(1+Assumptions!$B$9)^G785,F785))</f>
        <v>400000</v>
      </c>
      <c r="K785" s="11">
        <f>IF(B785="Pensioner",1,VLOOKUP(Assumptions!$B$10,Mortality!$A$2:$F$104,6,FALSE)/VLOOKUP(C785,Mortality!$A$2:$F$104,6,FALSE))</f>
        <v>1</v>
      </c>
      <c r="L785" s="11">
        <f>VLOOKUP(IF(B785="Pensioner",C785,Assumptions!$B$10),Mortality!$A$2:$E$104,5,FALSE)</f>
        <v>12.047202362945457</v>
      </c>
      <c r="M785" s="11">
        <f>1+Assumptions!$B$13*Assumptions!$B$14*Assumptions!$B$15</f>
        <v>1.3187500000000001</v>
      </c>
      <c r="N785" s="11">
        <f>IF(B785="Pensioner",1,1/(1+Assumptions!$B$6)^G785)</f>
        <v>1</v>
      </c>
      <c r="O785" s="17">
        <f t="shared" si="12"/>
        <v>6354899.2464537285</v>
      </c>
    </row>
    <row r="786" spans="1:15">
      <c r="A786" s="13" t="str">
        <f>Members!A786</f>
        <v>A0394</v>
      </c>
      <c r="B786" s="13" t="str">
        <f>Members!B786</f>
        <v>Active</v>
      </c>
      <c r="C786" s="13">
        <f>Members!C786</f>
        <v>41</v>
      </c>
      <c r="D786" s="14">
        <f>Members!D786</f>
        <v>19.3</v>
      </c>
      <c r="E786" s="16">
        <f>Members!E786</f>
        <v>684000</v>
      </c>
      <c r="F786" s="16">
        <f>Members!F786</f>
        <v>0</v>
      </c>
      <c r="G786" s="15">
        <f>MAX(0,Assumptions!$B$10-C786)</f>
        <v>19</v>
      </c>
      <c r="H786" s="17">
        <f>IF(B786="Active",E786*(1+Assumptions!$B$7)^G786,E786)</f>
        <v>1891702.4867992389</v>
      </c>
      <c r="I786" s="17">
        <f>IF(B786="Active",MIN(Assumptions!$B$12,D786+G786),IF(B786="Deferred",MIN(Assumptions!$B$12,D786),D786))</f>
        <v>38.299999999999997</v>
      </c>
      <c r="J786" s="17">
        <f>IF(B786="Active",H786*I786*Assumptions!$B$11,IF(B786="Deferred",E786*I786*Assumptions!$B$11*(1+Assumptions!$B$9)^G786,F786))</f>
        <v>1207536.7540735141</v>
      </c>
      <c r="K786" s="11">
        <f>IF(B786="Pensioner",1,VLOOKUP(Assumptions!$B$10,Mortality!$A$2:$F$104,6,FALSE)/VLOOKUP(C786,Mortality!$A$2:$F$104,6,FALSE))</f>
        <v>0.97454789540795339</v>
      </c>
      <c r="L786" s="11">
        <f>VLOOKUP(IF(B786="Pensioner",C786,Assumptions!$B$10),Mortality!$A$2:$E$104,5,FALSE)</f>
        <v>17.296790022132885</v>
      </c>
      <c r="M786" s="11">
        <f>1+Assumptions!$B$13*Assumptions!$B$14*Assumptions!$B$15</f>
        <v>1.3187500000000001</v>
      </c>
      <c r="N786" s="11">
        <f>IF(B786="Pensioner",1,1/(1+Assumptions!$B$6)^G786)</f>
        <v>0.30224383580131214</v>
      </c>
      <c r="O786" s="17">
        <f t="shared" si="12"/>
        <v>8113140.2659928342</v>
      </c>
    </row>
    <row r="787" spans="1:15">
      <c r="A787" s="13" t="str">
        <f>Members!A787</f>
        <v>A0599</v>
      </c>
      <c r="B787" s="13" t="str">
        <f>Members!B787</f>
        <v>Active</v>
      </c>
      <c r="C787" s="13">
        <f>Members!C787</f>
        <v>36</v>
      </c>
      <c r="D787" s="14">
        <f>Members!D787</f>
        <v>10.1</v>
      </c>
      <c r="E787" s="16">
        <f>Members!E787</f>
        <v>535000</v>
      </c>
      <c r="F787" s="16">
        <f>Members!F787</f>
        <v>0</v>
      </c>
      <c r="G787" s="15">
        <f>MAX(0,Assumptions!$B$10-C787)</f>
        <v>24</v>
      </c>
      <c r="H787" s="17">
        <f>IF(B787="Active",E787*(1+Assumptions!$B$7)^G787,E787)</f>
        <v>1933805.5985897565</v>
      </c>
      <c r="I787" s="17">
        <f>IF(B787="Active",MIN(Assumptions!$B$12,D787+G787),IF(B787="Deferred",MIN(Assumptions!$B$12,D787),D787))</f>
        <v>34.1</v>
      </c>
      <c r="J787" s="17">
        <f>IF(B787="Active",H787*I787*Assumptions!$B$11,IF(B787="Deferred",E787*I787*Assumptions!$B$11*(1+Assumptions!$B$9)^G787,F787))</f>
        <v>1099046.1818651783</v>
      </c>
      <c r="K787" s="11">
        <f>IF(B787="Pensioner",1,VLOOKUP(Assumptions!$B$10,Mortality!$A$2:$F$104,6,FALSE)/VLOOKUP(C787,Mortality!$A$2:$F$104,6,FALSE))</f>
        <v>0.97234503055413524</v>
      </c>
      <c r="L787" s="11">
        <f>VLOOKUP(IF(B787="Pensioner",C787,Assumptions!$B$10),Mortality!$A$2:$E$104,5,FALSE)</f>
        <v>17.296790022132885</v>
      </c>
      <c r="M787" s="11">
        <f>1+Assumptions!$B$13*Assumptions!$B$14*Assumptions!$B$15</f>
        <v>1.3187500000000001</v>
      </c>
      <c r="N787" s="11">
        <f>IF(B787="Pensioner",1,1/(1+Assumptions!$B$6)^G787)</f>
        <v>0.22060198370796386</v>
      </c>
      <c r="O787" s="17">
        <f t="shared" si="12"/>
        <v>5377417.3005715748</v>
      </c>
    </row>
    <row r="788" spans="1:15">
      <c r="A788" s="13" t="str">
        <f>Members!A788</f>
        <v>D0116</v>
      </c>
      <c r="B788" s="13" t="str">
        <f>Members!B788</f>
        <v>Deferred</v>
      </c>
      <c r="C788" s="13">
        <f>Members!C788</f>
        <v>42</v>
      </c>
      <c r="D788" s="14">
        <f>Members!D788</f>
        <v>17.8</v>
      </c>
      <c r="E788" s="16">
        <f>Members!E788</f>
        <v>712000</v>
      </c>
      <c r="F788" s="16">
        <f>Members!F788</f>
        <v>0</v>
      </c>
      <c r="G788" s="15">
        <f>MAX(0,Assumptions!$B$10-C788)</f>
        <v>18</v>
      </c>
      <c r="H788" s="17">
        <f>IF(B788="Active",E788*(1+Assumptions!$B$7)^G788,E788)</f>
        <v>712000</v>
      </c>
      <c r="I788" s="17">
        <f>IF(B788="Active",MIN(Assumptions!$B$12,D788+G788),IF(B788="Deferred",MIN(Assumptions!$B$12,D788),D788))</f>
        <v>17.8</v>
      </c>
      <c r="J788" s="17">
        <f>IF(B788="Active",H788*I788*Assumptions!$B$11,IF(B788="Deferred",E788*I788*Assumptions!$B$11*(1+Assumptions!$B$9)^G788,F788))</f>
        <v>427906.46982168959</v>
      </c>
      <c r="K788" s="11">
        <f>IF(B788="Pensioner",1,VLOOKUP(Assumptions!$B$10,Mortality!$A$2:$F$104,6,FALSE)/VLOOKUP(C788,Mortality!$A$2:$F$104,6,FALSE))</f>
        <v>0.97507997078383857</v>
      </c>
      <c r="L788" s="11">
        <f>VLOOKUP(IF(B788="Pensioner",C788,Assumptions!$B$10),Mortality!$A$2:$E$104,5,FALSE)</f>
        <v>17.296790022132885</v>
      </c>
      <c r="M788" s="11">
        <f>1+Assumptions!$B$13*Assumptions!$B$14*Assumptions!$B$15</f>
        <v>1.3187500000000001</v>
      </c>
      <c r="N788" s="11">
        <f>IF(B788="Pensioner",1,1/(1+Assumptions!$B$6)^G788)</f>
        <v>0.32188968512839738</v>
      </c>
      <c r="O788" s="17">
        <f t="shared" si="12"/>
        <v>3063544.086598678</v>
      </c>
    </row>
    <row r="789" spans="1:15">
      <c r="A789" s="13" t="str">
        <f>Members!A789</f>
        <v>P0088</v>
      </c>
      <c r="B789" s="13" t="str">
        <f>Members!B789</f>
        <v>Pensioner</v>
      </c>
      <c r="C789" s="13">
        <f>Members!C789</f>
        <v>86</v>
      </c>
      <c r="D789" s="14">
        <f>Members!D789</f>
        <v>37.4</v>
      </c>
      <c r="E789" s="16">
        <f>Members!E789</f>
        <v>0</v>
      </c>
      <c r="F789" s="16">
        <f>Members!F789</f>
        <v>816000</v>
      </c>
      <c r="G789" s="15">
        <f>MAX(0,Assumptions!$B$10-C789)</f>
        <v>0</v>
      </c>
      <c r="H789" s="17">
        <f>IF(B789="Active",E789*(1+Assumptions!$B$7)^G789,E789)</f>
        <v>0</v>
      </c>
      <c r="I789" s="17">
        <f>IF(B789="Active",MIN(Assumptions!$B$12,D789+G789),IF(B789="Deferred",MIN(Assumptions!$B$12,D789),D789))</f>
        <v>37.4</v>
      </c>
      <c r="J789" s="17">
        <f>IF(B789="Active",H789*I789*Assumptions!$B$11,IF(B789="Deferred",E789*I789*Assumptions!$B$11*(1+Assumptions!$B$9)^G789,F789))</f>
        <v>816000</v>
      </c>
      <c r="K789" s="11">
        <f>IF(B789="Pensioner",1,VLOOKUP(Assumptions!$B$10,Mortality!$A$2:$F$104,6,FALSE)/VLOOKUP(C789,Mortality!$A$2:$F$104,6,FALSE))</f>
        <v>1</v>
      </c>
      <c r="L789" s="11">
        <f>VLOOKUP(IF(B789="Pensioner",C789,Assumptions!$B$10),Mortality!$A$2:$E$104,5,FALSE)</f>
        <v>5.822832972912483</v>
      </c>
      <c r="M789" s="11">
        <f>1+Assumptions!$B$13*Assumptions!$B$14*Assumptions!$B$15</f>
        <v>1.3187500000000001</v>
      </c>
      <c r="N789" s="11">
        <f>IF(B789="Pensioner",1,1/(1+Assumptions!$B$6)^G789)</f>
        <v>1</v>
      </c>
      <c r="O789" s="17">
        <f t="shared" si="12"/>
        <v>6265950.5621511238</v>
      </c>
    </row>
    <row r="790" spans="1:15">
      <c r="A790" s="13" t="str">
        <f>Members!A790</f>
        <v>A0165</v>
      </c>
      <c r="B790" s="13" t="str">
        <f>Members!B790</f>
        <v>Active</v>
      </c>
      <c r="C790" s="13">
        <f>Members!C790</f>
        <v>57</v>
      </c>
      <c r="D790" s="14">
        <f>Members!D790</f>
        <v>18.899999999999999</v>
      </c>
      <c r="E790" s="16">
        <f>Members!E790</f>
        <v>1709000</v>
      </c>
      <c r="F790" s="16">
        <f>Members!F790</f>
        <v>0</v>
      </c>
      <c r="G790" s="15">
        <f>MAX(0,Assumptions!$B$10-C790)</f>
        <v>3</v>
      </c>
      <c r="H790" s="17">
        <f>IF(B790="Active",E790*(1+Assumptions!$B$7)^G790,E790)</f>
        <v>2006778.5098749998</v>
      </c>
      <c r="I790" s="17">
        <f>IF(B790="Active",MIN(Assumptions!$B$12,D790+G790),IF(B790="Deferred",MIN(Assumptions!$B$12,D790),D790))</f>
        <v>21.9</v>
      </c>
      <c r="J790" s="17">
        <f>IF(B790="Active",H790*I790*Assumptions!$B$11,IF(B790="Deferred",E790*I790*Assumptions!$B$11*(1+Assumptions!$B$9)^G790,F790))</f>
        <v>732474.15610437491</v>
      </c>
      <c r="K790" s="11">
        <f>IF(B790="Pensioner",1,VLOOKUP(Assumptions!$B$10,Mortality!$A$2:$F$104,6,FALSE)/VLOOKUP(C790,Mortality!$A$2:$F$104,6,FALSE))</f>
        <v>0.99220038929214172</v>
      </c>
      <c r="L790" s="11">
        <f>VLOOKUP(IF(B790="Pensioner",C790,Assumptions!$B$10),Mortality!$A$2:$E$104,5,FALSE)</f>
        <v>17.296790022132885</v>
      </c>
      <c r="M790" s="11">
        <f>1+Assumptions!$B$13*Assumptions!$B$14*Assumptions!$B$15</f>
        <v>1.3187500000000001</v>
      </c>
      <c r="N790" s="11">
        <f>IF(B790="Pensioner",1,1/(1+Assumptions!$B$6)^G790)</f>
        <v>0.82784909180297994</v>
      </c>
      <c r="O790" s="17">
        <f t="shared" si="12"/>
        <v>13723688.811155712</v>
      </c>
    </row>
    <row r="791" spans="1:15">
      <c r="A791" s="13" t="str">
        <f>Members!A791</f>
        <v>P0074</v>
      </c>
      <c r="B791" s="13" t="str">
        <f>Members!B791</f>
        <v>Pensioner</v>
      </c>
      <c r="C791" s="13">
        <f>Members!C791</f>
        <v>76</v>
      </c>
      <c r="D791" s="14">
        <f>Members!D791</f>
        <v>17</v>
      </c>
      <c r="E791" s="16">
        <f>Members!E791</f>
        <v>0</v>
      </c>
      <c r="F791" s="16">
        <f>Members!F791</f>
        <v>477000</v>
      </c>
      <c r="G791" s="15">
        <f>MAX(0,Assumptions!$B$10-C791)</f>
        <v>0</v>
      </c>
      <c r="H791" s="17">
        <f>IF(B791="Active",E791*(1+Assumptions!$B$7)^G791,E791)</f>
        <v>0</v>
      </c>
      <c r="I791" s="17">
        <f>IF(B791="Active",MIN(Assumptions!$B$12,D791+G791),IF(B791="Deferred",MIN(Assumptions!$B$12,D791),D791))</f>
        <v>17</v>
      </c>
      <c r="J791" s="17">
        <f>IF(B791="Active",H791*I791*Assumptions!$B$11,IF(B791="Deferred",E791*I791*Assumptions!$B$11*(1+Assumptions!$B$9)^G791,F791))</f>
        <v>477000</v>
      </c>
      <c r="K791" s="11">
        <f>IF(B791="Pensioner",1,VLOOKUP(Assumptions!$B$10,Mortality!$A$2:$F$104,6,FALSE)/VLOOKUP(C791,Mortality!$A$2:$F$104,6,FALSE))</f>
        <v>1</v>
      </c>
      <c r="L791" s="11">
        <f>VLOOKUP(IF(B791="Pensioner",C791,Assumptions!$B$10),Mortality!$A$2:$E$104,5,FALSE)</f>
        <v>10.201355966192867</v>
      </c>
      <c r="M791" s="11">
        <f>1+Assumptions!$B$13*Assumptions!$B$14*Assumptions!$B$15</f>
        <v>1.3187500000000001</v>
      </c>
      <c r="N791" s="11">
        <f>IF(B791="Pensioner",1,1/(1+Assumptions!$B$6)^G791)</f>
        <v>1</v>
      </c>
      <c r="O791" s="17">
        <f t="shared" si="12"/>
        <v>6417099.2120588347</v>
      </c>
    </row>
    <row r="792" spans="1:15">
      <c r="A792" s="13" t="str">
        <f>Members!A792</f>
        <v>P0220</v>
      </c>
      <c r="B792" s="13" t="str">
        <f>Members!B792</f>
        <v>Pensioner</v>
      </c>
      <c r="C792" s="13">
        <f>Members!C792</f>
        <v>89</v>
      </c>
      <c r="D792" s="14">
        <f>Members!D792</f>
        <v>33.200000000000003</v>
      </c>
      <c r="E792" s="16">
        <f>Members!E792</f>
        <v>0</v>
      </c>
      <c r="F792" s="16">
        <f>Members!F792</f>
        <v>704000</v>
      </c>
      <c r="G792" s="15">
        <f>MAX(0,Assumptions!$B$10-C792)</f>
        <v>0</v>
      </c>
      <c r="H792" s="17">
        <f>IF(B792="Active",E792*(1+Assumptions!$B$7)^G792,E792)</f>
        <v>0</v>
      </c>
      <c r="I792" s="17">
        <f>IF(B792="Active",MIN(Assumptions!$B$12,D792+G792),IF(B792="Deferred",MIN(Assumptions!$B$12,D792),D792))</f>
        <v>33.200000000000003</v>
      </c>
      <c r="J792" s="17">
        <f>IF(B792="Active",H792*I792*Assumptions!$B$11,IF(B792="Deferred",E792*I792*Assumptions!$B$11*(1+Assumptions!$B$9)^G792,F792))</f>
        <v>704000</v>
      </c>
      <c r="K792" s="11">
        <f>IF(B792="Pensioner",1,VLOOKUP(Assumptions!$B$10,Mortality!$A$2:$F$104,6,FALSE)/VLOOKUP(C792,Mortality!$A$2:$F$104,6,FALSE))</f>
        <v>1</v>
      </c>
      <c r="L792" s="11">
        <f>VLOOKUP(IF(B792="Pensioner",C792,Assumptions!$B$10),Mortality!$A$2:$E$104,5,FALSE)</f>
        <v>4.6715821823893648</v>
      </c>
      <c r="M792" s="11">
        <f>1+Assumptions!$B$13*Assumptions!$B$14*Assumptions!$B$15</f>
        <v>1.3187500000000001</v>
      </c>
      <c r="N792" s="11">
        <f>IF(B792="Pensioner",1,1/(1+Assumptions!$B$6)^G792)</f>
        <v>1</v>
      </c>
      <c r="O792" s="17">
        <f t="shared" si="12"/>
        <v>4337096.8981302865</v>
      </c>
    </row>
    <row r="793" spans="1:15">
      <c r="A793" s="13" t="str">
        <f>Members!A793</f>
        <v>D0117</v>
      </c>
      <c r="B793" s="13" t="str">
        <f>Members!B793</f>
        <v>Deferred</v>
      </c>
      <c r="C793" s="13">
        <f>Members!C793</f>
        <v>57</v>
      </c>
      <c r="D793" s="14">
        <f>Members!D793</f>
        <v>6.1</v>
      </c>
      <c r="E793" s="16">
        <f>Members!E793</f>
        <v>1479000</v>
      </c>
      <c r="F793" s="16">
        <f>Members!F793</f>
        <v>0</v>
      </c>
      <c r="G793" s="15">
        <f>MAX(0,Assumptions!$B$10-C793)</f>
        <v>3</v>
      </c>
      <c r="H793" s="17">
        <f>IF(B793="Active",E793*(1+Assumptions!$B$7)^G793,E793)</f>
        <v>1479000</v>
      </c>
      <c r="I793" s="17">
        <f>IF(B793="Active",MIN(Assumptions!$B$12,D793+G793),IF(B793="Deferred",MIN(Assumptions!$B$12,D793),D793))</f>
        <v>6.1</v>
      </c>
      <c r="J793" s="17">
        <f>IF(B793="Active",H793*I793*Assumptions!$B$11,IF(B793="Deferred",E793*I793*Assumptions!$B$11*(1+Assumptions!$B$9)^G793,F793))</f>
        <v>169140.17536000002</v>
      </c>
      <c r="K793" s="11">
        <f>IF(B793="Pensioner",1,VLOOKUP(Assumptions!$B$10,Mortality!$A$2:$F$104,6,FALSE)/VLOOKUP(C793,Mortality!$A$2:$F$104,6,FALSE))</f>
        <v>0.99220038929214172</v>
      </c>
      <c r="L793" s="11">
        <f>VLOOKUP(IF(B793="Pensioner",C793,Assumptions!$B$10),Mortality!$A$2:$E$104,5,FALSE)</f>
        <v>17.296790022132885</v>
      </c>
      <c r="M793" s="11">
        <f>1+Assumptions!$B$13*Assumptions!$B$14*Assumptions!$B$15</f>
        <v>1.3187500000000001</v>
      </c>
      <c r="N793" s="11">
        <f>IF(B793="Pensioner",1,1/(1+Assumptions!$B$6)^G793)</f>
        <v>0.82784909180297994</v>
      </c>
      <c r="O793" s="17">
        <f t="shared" si="12"/>
        <v>3169022.5692743496</v>
      </c>
    </row>
    <row r="794" spans="1:15">
      <c r="A794" s="13" t="str">
        <f>Members!A794</f>
        <v>A0269</v>
      </c>
      <c r="B794" s="13" t="str">
        <f>Members!B794</f>
        <v>Active</v>
      </c>
      <c r="C794" s="13">
        <f>Members!C794</f>
        <v>36</v>
      </c>
      <c r="D794" s="14">
        <f>Members!D794</f>
        <v>8.6</v>
      </c>
      <c r="E794" s="16">
        <f>Members!E794</f>
        <v>705000</v>
      </c>
      <c r="F794" s="16">
        <f>Members!F794</f>
        <v>0</v>
      </c>
      <c r="G794" s="15">
        <f>MAX(0,Assumptions!$B$10-C794)</f>
        <v>24</v>
      </c>
      <c r="H794" s="17">
        <f>IF(B794="Active",E794*(1+Assumptions!$B$7)^G794,E794)</f>
        <v>2548285.8822537912</v>
      </c>
      <c r="I794" s="17">
        <f>IF(B794="Active",MIN(Assumptions!$B$12,D794+G794),IF(B794="Deferred",MIN(Assumptions!$B$12,D794),D794))</f>
        <v>32.6</v>
      </c>
      <c r="J794" s="17">
        <f>IF(B794="Active",H794*I794*Assumptions!$B$11,IF(B794="Deferred",E794*I794*Assumptions!$B$11*(1+Assumptions!$B$9)^G794,F794))</f>
        <v>1384568.6626912267</v>
      </c>
      <c r="K794" s="11">
        <f>IF(B794="Pensioner",1,VLOOKUP(Assumptions!$B$10,Mortality!$A$2:$F$104,6,FALSE)/VLOOKUP(C794,Mortality!$A$2:$F$104,6,FALSE))</f>
        <v>0.97234503055413524</v>
      </c>
      <c r="L794" s="11">
        <f>VLOOKUP(IF(B794="Pensioner",C794,Assumptions!$B$10),Mortality!$A$2:$E$104,5,FALSE)</f>
        <v>17.296790022132885</v>
      </c>
      <c r="M794" s="11">
        <f>1+Assumptions!$B$13*Assumptions!$B$14*Assumptions!$B$15</f>
        <v>1.3187500000000001</v>
      </c>
      <c r="N794" s="11">
        <f>IF(B794="Pensioner",1,1/(1+Assumptions!$B$6)^G794)</f>
        <v>0.22060198370796386</v>
      </c>
      <c r="O794" s="17">
        <f t="shared" si="12"/>
        <v>6774422.7707970804</v>
      </c>
    </row>
    <row r="795" spans="1:15">
      <c r="A795" s="13" t="str">
        <f>Members!A795</f>
        <v>A0219</v>
      </c>
      <c r="B795" s="13" t="str">
        <f>Members!B795</f>
        <v>Active</v>
      </c>
      <c r="C795" s="13">
        <f>Members!C795</f>
        <v>28</v>
      </c>
      <c r="D795" s="14">
        <f>Members!D795</f>
        <v>3.1</v>
      </c>
      <c r="E795" s="16">
        <f>Members!E795</f>
        <v>665000</v>
      </c>
      <c r="F795" s="16">
        <f>Members!F795</f>
        <v>0</v>
      </c>
      <c r="G795" s="15">
        <f>MAX(0,Assumptions!$B$10-C795)</f>
        <v>32</v>
      </c>
      <c r="H795" s="17">
        <f>IF(B795="Active",E795*(1+Assumptions!$B$7)^G795,E795)</f>
        <v>3688929.4845393309</v>
      </c>
      <c r="I795" s="17">
        <f>IF(B795="Active",MIN(Assumptions!$B$12,D795+G795),IF(B795="Deferred",MIN(Assumptions!$B$12,D795),D795))</f>
        <v>35.1</v>
      </c>
      <c r="J795" s="17">
        <f>IF(B795="Active",H795*I795*Assumptions!$B$11,IF(B795="Deferred",E795*I795*Assumptions!$B$11*(1+Assumptions!$B$9)^G795,F795))</f>
        <v>2158023.7484555086</v>
      </c>
      <c r="K795" s="11">
        <f>IF(B795="Pensioner",1,VLOOKUP(Assumptions!$B$10,Mortality!$A$2:$F$104,6,FALSE)/VLOOKUP(C795,Mortality!$A$2:$F$104,6,FALSE))</f>
        <v>0.96977196143473232</v>
      </c>
      <c r="L795" s="11">
        <f>VLOOKUP(IF(B795="Pensioner",C795,Assumptions!$B$10),Mortality!$A$2:$E$104,5,FALSE)</f>
        <v>17.296790022132885</v>
      </c>
      <c r="M795" s="11">
        <f>1+Assumptions!$B$13*Assumptions!$B$14*Assumptions!$B$15</f>
        <v>1.3187500000000001</v>
      </c>
      <c r="N795" s="11">
        <f>IF(B795="Pensioner",1,1/(1+Assumptions!$B$6)^G795)</f>
        <v>0.13329459861122173</v>
      </c>
      <c r="O795" s="17">
        <f t="shared" si="12"/>
        <v>6363065.3003308671</v>
      </c>
    </row>
    <row r="796" spans="1:15">
      <c r="A796" s="13" t="str">
        <f>Members!A796</f>
        <v>A0472</v>
      </c>
      <c r="B796" s="13" t="str">
        <f>Members!B796</f>
        <v>Active</v>
      </c>
      <c r="C796" s="13">
        <f>Members!C796</f>
        <v>28</v>
      </c>
      <c r="D796" s="14">
        <f>Members!D796</f>
        <v>4.0999999999999996</v>
      </c>
      <c r="E796" s="16">
        <f>Members!E796</f>
        <v>560000</v>
      </c>
      <c r="F796" s="16">
        <f>Members!F796</f>
        <v>0</v>
      </c>
      <c r="G796" s="15">
        <f>MAX(0,Assumptions!$B$10-C796)</f>
        <v>32</v>
      </c>
      <c r="H796" s="17">
        <f>IF(B796="Active",E796*(1+Assumptions!$B$7)^G796,E796)</f>
        <v>3106466.9343489101</v>
      </c>
      <c r="I796" s="17">
        <f>IF(B796="Active",MIN(Assumptions!$B$12,D796+G796),IF(B796="Deferred",MIN(Assumptions!$B$12,D796),D796))</f>
        <v>36.1</v>
      </c>
      <c r="J796" s="17">
        <f>IF(B796="Active",H796*I796*Assumptions!$B$11,IF(B796="Deferred",E796*I796*Assumptions!$B$11*(1+Assumptions!$B$9)^G796,F796))</f>
        <v>1869057.6054999277</v>
      </c>
      <c r="K796" s="11">
        <f>IF(B796="Pensioner",1,VLOOKUP(Assumptions!$B$10,Mortality!$A$2:$F$104,6,FALSE)/VLOOKUP(C796,Mortality!$A$2:$F$104,6,FALSE))</f>
        <v>0.96977196143473232</v>
      </c>
      <c r="L796" s="11">
        <f>VLOOKUP(IF(B796="Pensioner",C796,Assumptions!$B$10),Mortality!$A$2:$E$104,5,FALSE)</f>
        <v>17.296790022132885</v>
      </c>
      <c r="M796" s="11">
        <f>1+Assumptions!$B$13*Assumptions!$B$14*Assumptions!$B$15</f>
        <v>1.3187500000000001</v>
      </c>
      <c r="N796" s="11">
        <f>IF(B796="Pensioner",1,1/(1+Assumptions!$B$6)^G796)</f>
        <v>0.13329459861122173</v>
      </c>
      <c r="O796" s="17">
        <f t="shared" si="12"/>
        <v>5511030.9153862782</v>
      </c>
    </row>
    <row r="797" spans="1:15">
      <c r="A797" s="13" t="str">
        <f>Members!A797</f>
        <v>A0022</v>
      </c>
      <c r="B797" s="13" t="str">
        <f>Members!B797</f>
        <v>Active</v>
      </c>
      <c r="C797" s="13">
        <f>Members!C797</f>
        <v>40</v>
      </c>
      <c r="D797" s="14">
        <f>Members!D797</f>
        <v>8.4</v>
      </c>
      <c r="E797" s="16">
        <f>Members!E797</f>
        <v>723000</v>
      </c>
      <c r="F797" s="16">
        <f>Members!F797</f>
        <v>0</v>
      </c>
      <c r="G797" s="15">
        <f>MAX(0,Assumptions!$B$10-C797)</f>
        <v>20</v>
      </c>
      <c r="H797" s="17">
        <f>IF(B797="Active",E797*(1+Assumptions!$B$7)^G797,E797)</f>
        <v>2109538.6657067565</v>
      </c>
      <c r="I797" s="17">
        <f>IF(B797="Active",MIN(Assumptions!$B$12,D797+G797),IF(B797="Deferred",MIN(Assumptions!$B$12,D797),D797))</f>
        <v>28.4</v>
      </c>
      <c r="J797" s="17">
        <f>IF(B797="Active",H797*I797*Assumptions!$B$11,IF(B797="Deferred",E797*I797*Assumptions!$B$11*(1+Assumptions!$B$9)^G797,F797))</f>
        <v>998514.96843453136</v>
      </c>
      <c r="K797" s="11">
        <f>IF(B797="Pensioner",1,VLOOKUP(Assumptions!$B$10,Mortality!$A$2:$F$104,6,FALSE)/VLOOKUP(C797,Mortality!$A$2:$F$104,6,FALSE))</f>
        <v>0.97405112431987673</v>
      </c>
      <c r="L797" s="11">
        <f>VLOOKUP(IF(B797="Pensioner",C797,Assumptions!$B$10),Mortality!$A$2:$E$104,5,FALSE)</f>
        <v>17.296790022132885</v>
      </c>
      <c r="M797" s="11">
        <f>1+Assumptions!$B$13*Assumptions!$B$14*Assumptions!$B$15</f>
        <v>1.3187500000000001</v>
      </c>
      <c r="N797" s="11">
        <f>IF(B797="Pensioner",1,1/(1+Assumptions!$B$6)^G797)</f>
        <v>0.28379702892141989</v>
      </c>
      <c r="O797" s="17">
        <f t="shared" si="12"/>
        <v>6296107.8975752546</v>
      </c>
    </row>
    <row r="798" spans="1:15">
      <c r="A798" s="13" t="str">
        <f>Members!A798</f>
        <v>A0059</v>
      </c>
      <c r="B798" s="13" t="str">
        <f>Members!B798</f>
        <v>Active</v>
      </c>
      <c r="C798" s="13">
        <f>Members!C798</f>
        <v>43</v>
      </c>
      <c r="D798" s="14">
        <f>Members!D798</f>
        <v>9</v>
      </c>
      <c r="E798" s="16">
        <f>Members!E798</f>
        <v>920000</v>
      </c>
      <c r="F798" s="16">
        <f>Members!F798</f>
        <v>0</v>
      </c>
      <c r="G798" s="15">
        <f>MAX(0,Assumptions!$B$10-C798)</f>
        <v>17</v>
      </c>
      <c r="H798" s="17">
        <f>IF(B798="Active",E798*(1+Assumptions!$B$7)^G798,E798)</f>
        <v>2286017.9759512921</v>
      </c>
      <c r="I798" s="17">
        <f>IF(B798="Active",MIN(Assumptions!$B$12,D798+G798),IF(B798="Deferred",MIN(Assumptions!$B$12,D798),D798))</f>
        <v>26</v>
      </c>
      <c r="J798" s="17">
        <f>IF(B798="Active",H798*I798*Assumptions!$B$11,IF(B798="Deferred",E798*I798*Assumptions!$B$11*(1+Assumptions!$B$9)^G798,F798))</f>
        <v>990607.78957889322</v>
      </c>
      <c r="K798" s="11">
        <f>IF(B798="Pensioner",1,VLOOKUP(Assumptions!$B$10,Mortality!$A$2:$F$104,6,FALSE)/VLOOKUP(C798,Mortality!$A$2:$F$104,6,FALSE))</f>
        <v>0.97565175842493801</v>
      </c>
      <c r="L798" s="11">
        <f>VLOOKUP(IF(B798="Pensioner",C798,Assumptions!$B$10),Mortality!$A$2:$E$104,5,FALSE)</f>
        <v>17.296790022132885</v>
      </c>
      <c r="M798" s="11">
        <f>1+Assumptions!$B$13*Assumptions!$B$14*Assumptions!$B$15</f>
        <v>1.3187500000000001</v>
      </c>
      <c r="N798" s="11">
        <f>IF(B798="Pensioner",1,1/(1+Assumptions!$B$6)^G798)</f>
        <v>0.34281251466174323</v>
      </c>
      <c r="O798" s="17">
        <f t="shared" si="12"/>
        <v>7557553.3921612054</v>
      </c>
    </row>
    <row r="799" spans="1:15">
      <c r="A799" s="13" t="str">
        <f>Members!A799</f>
        <v>A0064</v>
      </c>
      <c r="B799" s="13" t="str">
        <f>Members!B799</f>
        <v>Active</v>
      </c>
      <c r="C799" s="13">
        <f>Members!C799</f>
        <v>49</v>
      </c>
      <c r="D799" s="14">
        <f>Members!D799</f>
        <v>16.5</v>
      </c>
      <c r="E799" s="16">
        <f>Members!E799</f>
        <v>1377000</v>
      </c>
      <c r="F799" s="16">
        <f>Members!F799</f>
        <v>0</v>
      </c>
      <c r="G799" s="15">
        <f>MAX(0,Assumptions!$B$10-C799)</f>
        <v>11</v>
      </c>
      <c r="H799" s="17">
        <f>IF(B799="Active",E799*(1+Assumptions!$B$7)^G799,E799)</f>
        <v>2481481.2397063067</v>
      </c>
      <c r="I799" s="17">
        <f>IF(B799="Active",MIN(Assumptions!$B$12,D799+G799),IF(B799="Deferred",MIN(Assumptions!$B$12,D799),D799))</f>
        <v>27.5</v>
      </c>
      <c r="J799" s="17">
        <f>IF(B799="Active",H799*I799*Assumptions!$B$11,IF(B799="Deferred",E799*I799*Assumptions!$B$11*(1+Assumptions!$B$9)^G799,F799))</f>
        <v>1137345.5681987237</v>
      </c>
      <c r="K799" s="11">
        <f>IF(B799="Pensioner",1,VLOOKUP(Assumptions!$B$10,Mortality!$A$2:$F$104,6,FALSE)/VLOOKUP(C799,Mortality!$A$2:$F$104,6,FALSE))</f>
        <v>0.98024296623595764</v>
      </c>
      <c r="L799" s="11">
        <f>VLOOKUP(IF(B799="Pensioner",C799,Assumptions!$B$10),Mortality!$A$2:$E$104,5,FALSE)</f>
        <v>17.296790022132885</v>
      </c>
      <c r="M799" s="11">
        <f>1+Assumptions!$B$13*Assumptions!$B$14*Assumptions!$B$15</f>
        <v>1.3187500000000001</v>
      </c>
      <c r="N799" s="11">
        <f>IF(B799="Pensioner",1,1/(1+Assumptions!$B$6)^G799)</f>
        <v>0.50021223992537933</v>
      </c>
      <c r="O799" s="17">
        <f t="shared" si="12"/>
        <v>12720625.725915641</v>
      </c>
    </row>
    <row r="800" spans="1:15">
      <c r="A800" s="13" t="str">
        <f>Members!A800</f>
        <v>A0037</v>
      </c>
      <c r="B800" s="13" t="str">
        <f>Members!B800</f>
        <v>Active</v>
      </c>
      <c r="C800" s="13">
        <f>Members!C800</f>
        <v>43</v>
      </c>
      <c r="D800" s="14">
        <f>Members!D800</f>
        <v>3.3</v>
      </c>
      <c r="E800" s="16">
        <f>Members!E800</f>
        <v>934000</v>
      </c>
      <c r="F800" s="16">
        <f>Members!F800</f>
        <v>0</v>
      </c>
      <c r="G800" s="15">
        <f>MAX(0,Assumptions!$B$10-C800)</f>
        <v>17</v>
      </c>
      <c r="H800" s="17">
        <f>IF(B800="Active",E800*(1+Assumptions!$B$7)^G800,E800)</f>
        <v>2320805.2060201163</v>
      </c>
      <c r="I800" s="17">
        <f>IF(B800="Active",MIN(Assumptions!$B$12,D800+G800),IF(B800="Deferred",MIN(Assumptions!$B$12,D800),D800))</f>
        <v>20.3</v>
      </c>
      <c r="J800" s="17">
        <f>IF(B800="Active",H800*I800*Assumptions!$B$11,IF(B800="Deferred",E800*I800*Assumptions!$B$11*(1+Assumptions!$B$9)^G800,F800))</f>
        <v>785205.76137013943</v>
      </c>
      <c r="K800" s="11">
        <f>IF(B800="Pensioner",1,VLOOKUP(Assumptions!$B$10,Mortality!$A$2:$F$104,6,FALSE)/VLOOKUP(C800,Mortality!$A$2:$F$104,6,FALSE))</f>
        <v>0.97565175842493801</v>
      </c>
      <c r="L800" s="11">
        <f>VLOOKUP(IF(B800="Pensioner",C800,Assumptions!$B$10),Mortality!$A$2:$E$104,5,FALSE)</f>
        <v>17.296790022132885</v>
      </c>
      <c r="M800" s="11">
        <f>1+Assumptions!$B$13*Assumptions!$B$14*Assumptions!$B$15</f>
        <v>1.3187500000000001</v>
      </c>
      <c r="N800" s="11">
        <f>IF(B800="Pensioner",1,1/(1+Assumptions!$B$6)^G800)</f>
        <v>0.34281251466174323</v>
      </c>
      <c r="O800" s="17">
        <f t="shared" si="12"/>
        <v>5990498.4877113253</v>
      </c>
    </row>
    <row r="801" spans="1:15">
      <c r="A801" s="13" t="str">
        <f>Members!A801</f>
        <v>A0001</v>
      </c>
      <c r="B801" s="13" t="str">
        <f>Members!B801</f>
        <v>Active</v>
      </c>
      <c r="C801" s="13">
        <f>Members!C801</f>
        <v>32</v>
      </c>
      <c r="D801" s="14">
        <f>Members!D801</f>
        <v>1.8</v>
      </c>
      <c r="E801" s="16">
        <f>Members!E801</f>
        <v>776000</v>
      </c>
      <c r="F801" s="16">
        <f>Members!F801</f>
        <v>0</v>
      </c>
      <c r="G801" s="15">
        <f>MAX(0,Assumptions!$B$10-C801)</f>
        <v>28</v>
      </c>
      <c r="H801" s="17">
        <f>IF(B801="Active",E801*(1+Assumptions!$B$7)^G801,E801)</f>
        <v>3474806.2260906692</v>
      </c>
      <c r="I801" s="17">
        <f>IF(B801="Active",MIN(Assumptions!$B$12,D801+G801),IF(B801="Deferred",MIN(Assumptions!$B$12,D801),D801))</f>
        <v>29.8</v>
      </c>
      <c r="J801" s="17">
        <f>IF(B801="Active",H801*I801*Assumptions!$B$11,IF(B801="Deferred",E801*I801*Assumptions!$B$11*(1+Assumptions!$B$9)^G801,F801))</f>
        <v>1725820.4256250325</v>
      </c>
      <c r="K801" s="11">
        <f>IF(B801="Pensioner",1,VLOOKUP(Assumptions!$B$10,Mortality!$A$2:$F$104,6,FALSE)/VLOOKUP(C801,Mortality!$A$2:$F$104,6,FALSE))</f>
        <v>0.97095846876649572</v>
      </c>
      <c r="L801" s="11">
        <f>VLOOKUP(IF(B801="Pensioner",C801,Assumptions!$B$10),Mortality!$A$2:$E$104,5,FALSE)</f>
        <v>17.296790022132885</v>
      </c>
      <c r="M801" s="11">
        <f>1+Assumptions!$B$13*Assumptions!$B$14*Assumptions!$B$15</f>
        <v>1.3187500000000001</v>
      </c>
      <c r="N801" s="11">
        <f>IF(B801="Pensioner",1,1/(1+Assumptions!$B$6)^G801)</f>
        <v>0.17147901583340255</v>
      </c>
      <c r="O801" s="17">
        <f t="shared" si="12"/>
        <v>6554434.4865339063</v>
      </c>
    </row>
    <row r="802" spans="1:15">
      <c r="A802" s="13" t="str">
        <f>Members!A802</f>
        <v>P0141</v>
      </c>
      <c r="B802" s="13" t="str">
        <f>Members!B802</f>
        <v>Pensioner</v>
      </c>
      <c r="C802" s="13">
        <f>Members!C802</f>
        <v>73</v>
      </c>
      <c r="D802" s="14">
        <f>Members!D802</f>
        <v>26.4</v>
      </c>
      <c r="E802" s="16">
        <f>Members!E802</f>
        <v>0</v>
      </c>
      <c r="F802" s="16">
        <f>Members!F802</f>
        <v>298000</v>
      </c>
      <c r="G802" s="15">
        <f>MAX(0,Assumptions!$B$10-C802)</f>
        <v>0</v>
      </c>
      <c r="H802" s="17">
        <f>IF(B802="Active",E802*(1+Assumptions!$B$7)^G802,E802)</f>
        <v>0</v>
      </c>
      <c r="I802" s="17">
        <f>IF(B802="Active",MIN(Assumptions!$B$12,D802+G802),IF(B802="Deferred",MIN(Assumptions!$B$12,D802),D802))</f>
        <v>26.4</v>
      </c>
      <c r="J802" s="17">
        <f>IF(B802="Active",H802*I802*Assumptions!$B$11,IF(B802="Deferred",E802*I802*Assumptions!$B$11*(1+Assumptions!$B$9)^G802,F802))</f>
        <v>298000</v>
      </c>
      <c r="K802" s="11">
        <f>IF(B802="Pensioner",1,VLOOKUP(Assumptions!$B$10,Mortality!$A$2:$F$104,6,FALSE)/VLOOKUP(C802,Mortality!$A$2:$F$104,6,FALSE))</f>
        <v>1</v>
      </c>
      <c r="L802" s="11">
        <f>VLOOKUP(IF(B802="Pensioner",C802,Assumptions!$B$10),Mortality!$A$2:$E$104,5,FALSE)</f>
        <v>11.586176267789867</v>
      </c>
      <c r="M802" s="11">
        <f>1+Assumptions!$B$13*Assumptions!$B$14*Assumptions!$B$15</f>
        <v>1.3187500000000001</v>
      </c>
      <c r="N802" s="11">
        <f>IF(B802="Pensioner",1,1/(1+Assumptions!$B$6)^G802)</f>
        <v>1</v>
      </c>
      <c r="O802" s="17">
        <f t="shared" si="12"/>
        <v>4553222.4460380711</v>
      </c>
    </row>
    <row r="803" spans="1:15">
      <c r="A803" s="13" t="str">
        <f>Members!A803</f>
        <v>D0060</v>
      </c>
      <c r="B803" s="13" t="str">
        <f>Members!B803</f>
        <v>Deferred</v>
      </c>
      <c r="C803" s="13">
        <f>Members!C803</f>
        <v>45</v>
      </c>
      <c r="D803" s="14">
        <f>Members!D803</f>
        <v>17</v>
      </c>
      <c r="E803" s="16">
        <f>Members!E803</f>
        <v>623000</v>
      </c>
      <c r="F803" s="16">
        <f>Members!F803</f>
        <v>0</v>
      </c>
      <c r="G803" s="15">
        <f>MAX(0,Assumptions!$B$10-C803)</f>
        <v>15</v>
      </c>
      <c r="H803" s="17">
        <f>IF(B803="Active",E803*(1+Assumptions!$B$7)^G803,E803)</f>
        <v>623000</v>
      </c>
      <c r="I803" s="17">
        <f>IF(B803="Active",MIN(Assumptions!$B$12,D803+G803),IF(B803="Deferred",MIN(Assumptions!$B$12,D803),D803))</f>
        <v>17</v>
      </c>
      <c r="J803" s="17">
        <f>IF(B803="Active",H803*I803*Assumptions!$B$11,IF(B803="Deferred",E803*I803*Assumptions!$B$11*(1+Assumptions!$B$9)^G803,F803))</f>
        <v>317896.5444470626</v>
      </c>
      <c r="K803" s="11">
        <f>IF(B803="Pensioner",1,VLOOKUP(Assumptions!$B$10,Mortality!$A$2:$F$104,6,FALSE)/VLOOKUP(C803,Mortality!$A$2:$F$104,6,FALSE))</f>
        <v>0.97693494781946555</v>
      </c>
      <c r="L803" s="11">
        <f>VLOOKUP(IF(B803="Pensioner",C803,Assumptions!$B$10),Mortality!$A$2:$E$104,5,FALSE)</f>
        <v>17.296790022132885</v>
      </c>
      <c r="M803" s="11">
        <f>1+Assumptions!$B$13*Assumptions!$B$14*Assumptions!$B$15</f>
        <v>1.3187500000000001</v>
      </c>
      <c r="N803" s="11">
        <f>IF(B803="Pensioner",1,1/(1+Assumptions!$B$6)^G803)</f>
        <v>0.38882652444221566</v>
      </c>
      <c r="O803" s="17">
        <f t="shared" si="12"/>
        <v>2754452.7208012231</v>
      </c>
    </row>
    <row r="804" spans="1:15">
      <c r="A804" s="13" t="str">
        <f>Members!A804</f>
        <v>P0001</v>
      </c>
      <c r="B804" s="13" t="str">
        <f>Members!B804</f>
        <v>Pensioner</v>
      </c>
      <c r="C804" s="13">
        <f>Members!C804</f>
        <v>76</v>
      </c>
      <c r="D804" s="14">
        <f>Members!D804</f>
        <v>23.1</v>
      </c>
      <c r="E804" s="16">
        <f>Members!E804</f>
        <v>0</v>
      </c>
      <c r="F804" s="16">
        <f>Members!F804</f>
        <v>407000</v>
      </c>
      <c r="G804" s="15">
        <f>MAX(0,Assumptions!$B$10-C804)</f>
        <v>0</v>
      </c>
      <c r="H804" s="17">
        <f>IF(B804="Active",E804*(1+Assumptions!$B$7)^G804,E804)</f>
        <v>0</v>
      </c>
      <c r="I804" s="17">
        <f>IF(B804="Active",MIN(Assumptions!$B$12,D804+G804),IF(B804="Deferred",MIN(Assumptions!$B$12,D804),D804))</f>
        <v>23.1</v>
      </c>
      <c r="J804" s="17">
        <f>IF(B804="Active",H804*I804*Assumptions!$B$11,IF(B804="Deferred",E804*I804*Assumptions!$B$11*(1+Assumptions!$B$9)^G804,F804))</f>
        <v>407000</v>
      </c>
      <c r="K804" s="11">
        <f>IF(B804="Pensioner",1,VLOOKUP(Assumptions!$B$10,Mortality!$A$2:$F$104,6,FALSE)/VLOOKUP(C804,Mortality!$A$2:$F$104,6,FALSE))</f>
        <v>1</v>
      </c>
      <c r="L804" s="11">
        <f>VLOOKUP(IF(B804="Pensioner",C804,Assumptions!$B$10),Mortality!$A$2:$E$104,5,FALSE)</f>
        <v>10.201355966192867</v>
      </c>
      <c r="M804" s="11">
        <f>1+Assumptions!$B$13*Assumptions!$B$14*Assumptions!$B$15</f>
        <v>1.3187500000000001</v>
      </c>
      <c r="N804" s="11">
        <f>IF(B804="Pensioner",1,1/(1+Assumptions!$B$6)^G804)</f>
        <v>1</v>
      </c>
      <c r="O804" s="17">
        <f t="shared" si="12"/>
        <v>5475386.5394296553</v>
      </c>
    </row>
    <row r="805" spans="1:15">
      <c r="A805" s="13" t="str">
        <f>Members!A805</f>
        <v>A0243</v>
      </c>
      <c r="B805" s="13" t="str">
        <f>Members!B805</f>
        <v>Active</v>
      </c>
      <c r="C805" s="13">
        <f>Members!C805</f>
        <v>37</v>
      </c>
      <c r="D805" s="14">
        <f>Members!D805</f>
        <v>4.8</v>
      </c>
      <c r="E805" s="16">
        <f>Members!E805</f>
        <v>584000</v>
      </c>
      <c r="F805" s="16">
        <f>Members!F805</f>
        <v>0</v>
      </c>
      <c r="G805" s="15">
        <f>MAX(0,Assumptions!$B$10-C805)</f>
        <v>23</v>
      </c>
      <c r="H805" s="17">
        <f>IF(B805="Active",E805*(1+Assumptions!$B$7)^G805,E805)</f>
        <v>2000872.5155271611</v>
      </c>
      <c r="I805" s="17">
        <f>IF(B805="Active",MIN(Assumptions!$B$12,D805+G805),IF(B805="Deferred",MIN(Assumptions!$B$12,D805),D805))</f>
        <v>27.8</v>
      </c>
      <c r="J805" s="17">
        <f>IF(B805="Active",H805*I805*Assumptions!$B$11,IF(B805="Deferred",E805*I805*Assumptions!$B$11*(1+Assumptions!$B$9)^G805,F805))</f>
        <v>927070.93219425133</v>
      </c>
      <c r="K805" s="11">
        <f>IF(B805="Pensioner",1,VLOOKUP(Assumptions!$B$10,Mortality!$A$2:$F$104,6,FALSE)/VLOOKUP(C805,Mortality!$A$2:$F$104,6,FALSE))</f>
        <v>0.97273561412651877</v>
      </c>
      <c r="L805" s="11">
        <f>VLOOKUP(IF(B805="Pensioner",C805,Assumptions!$B$10),Mortality!$A$2:$E$104,5,FALSE)</f>
        <v>17.296790022132885</v>
      </c>
      <c r="M805" s="11">
        <f>1+Assumptions!$B$13*Assumptions!$B$14*Assumptions!$B$15</f>
        <v>1.3187500000000001</v>
      </c>
      <c r="N805" s="11">
        <f>IF(B805="Pensioner",1,1/(1+Assumptions!$B$6)^G805)</f>
        <v>0.23494111264898151</v>
      </c>
      <c r="O805" s="17">
        <f t="shared" si="12"/>
        <v>4832755.101999185</v>
      </c>
    </row>
    <row r="806" spans="1:15">
      <c r="A806" s="13" t="str">
        <f>Members!A806</f>
        <v>A0612</v>
      </c>
      <c r="B806" s="13" t="str">
        <f>Members!B806</f>
        <v>Active</v>
      </c>
      <c r="C806" s="13">
        <f>Members!C806</f>
        <v>24</v>
      </c>
      <c r="D806" s="14">
        <f>Members!D806</f>
        <v>1.8</v>
      </c>
      <c r="E806" s="16">
        <f>Members!E806</f>
        <v>487000</v>
      </c>
      <c r="F806" s="16">
        <f>Members!F806</f>
        <v>0</v>
      </c>
      <c r="G806" s="15">
        <f>MAX(0,Assumptions!$B$10-C806)</f>
        <v>36</v>
      </c>
      <c r="H806" s="17">
        <f>IF(B806="Active",E806*(1+Assumptions!$B$7)^G806,E806)</f>
        <v>3346705.5816452745</v>
      </c>
      <c r="I806" s="17">
        <f>IF(B806="Active",MIN(Assumptions!$B$12,D806+G806),IF(B806="Deferred",MIN(Assumptions!$B$12,D806),D806))</f>
        <v>37.799999999999997</v>
      </c>
      <c r="J806" s="17">
        <f>IF(B806="Active",H806*I806*Assumptions!$B$11,IF(B806="Deferred",E806*I806*Assumptions!$B$11*(1+Assumptions!$B$9)^G806,F806))</f>
        <v>2108424.5164365228</v>
      </c>
      <c r="K806" s="11">
        <f>IF(B806="Pensioner",1,VLOOKUP(Assumptions!$B$10,Mortality!$A$2:$F$104,6,FALSE)/VLOOKUP(C806,Mortality!$A$2:$F$104,6,FALSE))</f>
        <v>0.96871086700607645</v>
      </c>
      <c r="L806" s="11">
        <f>VLOOKUP(IF(B806="Pensioner",C806,Assumptions!$B$10),Mortality!$A$2:$E$104,5,FALSE)</f>
        <v>17.296790022132885</v>
      </c>
      <c r="M806" s="11">
        <f>1+Assumptions!$B$13*Assumptions!$B$14*Assumptions!$B$15</f>
        <v>1.3187500000000001</v>
      </c>
      <c r="N806" s="11">
        <f>IF(B806="Pensioner",1,1/(1+Assumptions!$B$6)^G806)</f>
        <v>0.10361296939205883</v>
      </c>
      <c r="O806" s="17">
        <f t="shared" si="12"/>
        <v>4827189.355444476</v>
      </c>
    </row>
    <row r="807" spans="1:15">
      <c r="A807" s="13" t="str">
        <f>Members!A807</f>
        <v>A0557</v>
      </c>
      <c r="B807" s="13" t="str">
        <f>Members!B807</f>
        <v>Active</v>
      </c>
      <c r="C807" s="13">
        <f>Members!C807</f>
        <v>35</v>
      </c>
      <c r="D807" s="14">
        <f>Members!D807</f>
        <v>11.3</v>
      </c>
      <c r="E807" s="16">
        <f>Members!E807</f>
        <v>828000</v>
      </c>
      <c r="F807" s="16">
        <f>Members!F807</f>
        <v>0</v>
      </c>
      <c r="G807" s="15">
        <f>MAX(0,Assumptions!$B$10-C807)</f>
        <v>25</v>
      </c>
      <c r="H807" s="17">
        <f>IF(B807="Active",E807*(1+Assumptions!$B$7)^G807,E807)</f>
        <v>3157488.8646581233</v>
      </c>
      <c r="I807" s="17">
        <f>IF(B807="Active",MIN(Assumptions!$B$12,D807+G807),IF(B807="Deferred",MIN(Assumptions!$B$12,D807),D807))</f>
        <v>36.299999999999997</v>
      </c>
      <c r="J807" s="17">
        <f>IF(B807="Active",H807*I807*Assumptions!$B$11,IF(B807="Deferred",E807*I807*Assumptions!$B$11*(1+Assumptions!$B$9)^G807,F807))</f>
        <v>1910280.7631181644</v>
      </c>
      <c r="K807" s="11">
        <f>IF(B807="Pensioner",1,VLOOKUP(Assumptions!$B$10,Mortality!$A$2:$F$104,6,FALSE)/VLOOKUP(C807,Mortality!$A$2:$F$104,6,FALSE))</f>
        <v>0.97197407653867529</v>
      </c>
      <c r="L807" s="11">
        <f>VLOOKUP(IF(B807="Pensioner",C807,Assumptions!$B$10),Mortality!$A$2:$E$104,5,FALSE)</f>
        <v>17.296790022132885</v>
      </c>
      <c r="M807" s="11">
        <f>1+Assumptions!$B$13*Assumptions!$B$14*Assumptions!$B$15</f>
        <v>1.3187500000000001</v>
      </c>
      <c r="N807" s="11">
        <f>IF(B807="Pensioner",1,1/(1+Assumptions!$B$6)^G807)</f>
        <v>0.20713801287132758</v>
      </c>
      <c r="O807" s="17">
        <f t="shared" si="12"/>
        <v>8772829.2355925422</v>
      </c>
    </row>
    <row r="808" spans="1:15">
      <c r="A808" s="13" t="str">
        <f>Members!A808</f>
        <v>P0099</v>
      </c>
      <c r="B808" s="13" t="str">
        <f>Members!B808</f>
        <v>Pensioner</v>
      </c>
      <c r="C808" s="13">
        <f>Members!C808</f>
        <v>66</v>
      </c>
      <c r="D808" s="14">
        <f>Members!D808</f>
        <v>39.200000000000003</v>
      </c>
      <c r="E808" s="16">
        <f>Members!E808</f>
        <v>0</v>
      </c>
      <c r="F808" s="16">
        <f>Members!F808</f>
        <v>181000</v>
      </c>
      <c r="G808" s="15">
        <f>MAX(0,Assumptions!$B$10-C808)</f>
        <v>0</v>
      </c>
      <c r="H808" s="17">
        <f>IF(B808="Active",E808*(1+Assumptions!$B$7)^G808,E808)</f>
        <v>0</v>
      </c>
      <c r="I808" s="17">
        <f>IF(B808="Active",MIN(Assumptions!$B$12,D808+G808),IF(B808="Deferred",MIN(Assumptions!$B$12,D808),D808))</f>
        <v>39.200000000000003</v>
      </c>
      <c r="J808" s="17">
        <f>IF(B808="Active",H808*I808*Assumptions!$B$11,IF(B808="Deferred",E808*I808*Assumptions!$B$11*(1+Assumptions!$B$9)^G808,F808))</f>
        <v>181000</v>
      </c>
      <c r="K808" s="11">
        <f>IF(B808="Pensioner",1,VLOOKUP(Assumptions!$B$10,Mortality!$A$2:$F$104,6,FALSE)/VLOOKUP(C808,Mortality!$A$2:$F$104,6,FALSE))</f>
        <v>1</v>
      </c>
      <c r="L808" s="11">
        <f>VLOOKUP(IF(B808="Pensioner",C808,Assumptions!$B$10),Mortality!$A$2:$E$104,5,FALSE)</f>
        <v>14.759005103694845</v>
      </c>
      <c r="M808" s="11">
        <f>1+Assumptions!$B$13*Assumptions!$B$14*Assumptions!$B$15</f>
        <v>1.3187500000000001</v>
      </c>
      <c r="N808" s="11">
        <f>IF(B808="Pensioner",1,1/(1+Assumptions!$B$6)^G808)</f>
        <v>1</v>
      </c>
      <c r="O808" s="17">
        <f t="shared" si="12"/>
        <v>3522882.2744700615</v>
      </c>
    </row>
    <row r="809" spans="1:15">
      <c r="A809" s="13" t="str">
        <f>Members!A809</f>
        <v>D0074</v>
      </c>
      <c r="B809" s="13" t="str">
        <f>Members!B809</f>
        <v>Deferred</v>
      </c>
      <c r="C809" s="13">
        <f>Members!C809</f>
        <v>53</v>
      </c>
      <c r="D809" s="14">
        <f>Members!D809</f>
        <v>21.4</v>
      </c>
      <c r="E809" s="16">
        <f>Members!E809</f>
        <v>1038000</v>
      </c>
      <c r="F809" s="16">
        <f>Members!F809</f>
        <v>0</v>
      </c>
      <c r="G809" s="15">
        <f>MAX(0,Assumptions!$B$10-C809)</f>
        <v>7</v>
      </c>
      <c r="H809" s="17">
        <f>IF(B809="Active",E809*(1+Assumptions!$B$7)^G809,E809)</f>
        <v>1038000</v>
      </c>
      <c r="I809" s="17">
        <f>IF(B809="Active",MIN(Assumptions!$B$12,D809+G809),IF(B809="Deferred",MIN(Assumptions!$B$12,D809),D809))</f>
        <v>21.4</v>
      </c>
      <c r="J809" s="17">
        <f>IF(B809="Active",H809*I809*Assumptions!$B$11,IF(B809="Deferred",E809*I809*Assumptions!$B$11*(1+Assumptions!$B$9)^G809,F809))</f>
        <v>487184.26330869278</v>
      </c>
      <c r="K809" s="11">
        <f>IF(B809="Pensioner",1,VLOOKUP(Assumptions!$B$10,Mortality!$A$2:$F$104,6,FALSE)/VLOOKUP(C809,Mortality!$A$2:$F$104,6,FALSE))</f>
        <v>0.98503000174313171</v>
      </c>
      <c r="L809" s="11">
        <f>VLOOKUP(IF(B809="Pensioner",C809,Assumptions!$B$10),Mortality!$A$2:$E$104,5,FALSE)</f>
        <v>17.296790022132885</v>
      </c>
      <c r="M809" s="11">
        <f>1+Assumptions!$B$13*Assumptions!$B$14*Assumptions!$B$15</f>
        <v>1.3187500000000001</v>
      </c>
      <c r="N809" s="11">
        <f>IF(B809="Pensioner",1,1/(1+Assumptions!$B$6)^G809)</f>
        <v>0.64350621483475945</v>
      </c>
      <c r="O809" s="17">
        <f t="shared" si="12"/>
        <v>7044066.4032804267</v>
      </c>
    </row>
    <row r="810" spans="1:15">
      <c r="A810" s="13" t="str">
        <f>Members!A810</f>
        <v>A0043</v>
      </c>
      <c r="B810" s="13" t="str">
        <f>Members!B810</f>
        <v>Active</v>
      </c>
      <c r="C810" s="13">
        <f>Members!C810</f>
        <v>33</v>
      </c>
      <c r="D810" s="14">
        <f>Members!D810</f>
        <v>11.3</v>
      </c>
      <c r="E810" s="16">
        <f>Members!E810</f>
        <v>641000</v>
      </c>
      <c r="F810" s="16">
        <f>Members!F810</f>
        <v>0</v>
      </c>
      <c r="G810" s="15">
        <f>MAX(0,Assumptions!$B$10-C810)</f>
        <v>27</v>
      </c>
      <c r="H810" s="17">
        <f>IF(B810="Active",E810*(1+Assumptions!$B$7)^G810,E810)</f>
        <v>2720661.0530660567</v>
      </c>
      <c r="I810" s="17">
        <f>IF(B810="Active",MIN(Assumptions!$B$12,D810+G810),IF(B810="Deferred",MIN(Assumptions!$B$12,D810),D810))</f>
        <v>38.299999999999997</v>
      </c>
      <c r="J810" s="17">
        <f>IF(B810="Active",H810*I810*Assumptions!$B$11,IF(B810="Deferred",E810*I810*Assumptions!$B$11*(1+Assumptions!$B$9)^G810,F810))</f>
        <v>1736688.6388738325</v>
      </c>
      <c r="K810" s="11">
        <f>IF(B810="Pensioner",1,VLOOKUP(Assumptions!$B$10,Mortality!$A$2:$F$104,6,FALSE)/VLOOKUP(C810,Mortality!$A$2:$F$104,6,FALSE))</f>
        <v>0.9712826176321353</v>
      </c>
      <c r="L810" s="11">
        <f>VLOOKUP(IF(B810="Pensioner",C810,Assumptions!$B$10),Mortality!$A$2:$E$104,5,FALSE)</f>
        <v>17.296790022132885</v>
      </c>
      <c r="M810" s="11">
        <f>1+Assumptions!$B$13*Assumptions!$B$14*Assumptions!$B$15</f>
        <v>1.3187500000000001</v>
      </c>
      <c r="N810" s="11">
        <f>IF(B810="Pensioner",1,1/(1+Assumptions!$B$6)^G810)</f>
        <v>0.18262515186257369</v>
      </c>
      <c r="O810" s="17">
        <f t="shared" si="12"/>
        <v>7026776.7512028245</v>
      </c>
    </row>
    <row r="811" spans="1:15">
      <c r="A811" s="13" t="str">
        <f>Members!A811</f>
        <v>A0105</v>
      </c>
      <c r="B811" s="13" t="str">
        <f>Members!B811</f>
        <v>Active</v>
      </c>
      <c r="C811" s="13">
        <f>Members!C811</f>
        <v>52</v>
      </c>
      <c r="D811" s="14">
        <f>Members!D811</f>
        <v>16.899999999999999</v>
      </c>
      <c r="E811" s="16">
        <f>Members!E811</f>
        <v>1875000</v>
      </c>
      <c r="F811" s="16">
        <f>Members!F811</f>
        <v>0</v>
      </c>
      <c r="G811" s="15">
        <f>MAX(0,Assumptions!$B$10-C811)</f>
        <v>8</v>
      </c>
      <c r="H811" s="17">
        <f>IF(B811="Active",E811*(1+Assumptions!$B$7)^G811,E811)</f>
        <v>2877537.2156177866</v>
      </c>
      <c r="I811" s="17">
        <f>IF(B811="Active",MIN(Assumptions!$B$12,D811+G811),IF(B811="Deferred",MIN(Assumptions!$B$12,D811),D811))</f>
        <v>24.9</v>
      </c>
      <c r="J811" s="17">
        <f>IF(B811="Active",H811*I811*Assumptions!$B$11,IF(B811="Deferred",E811*I811*Assumptions!$B$11*(1+Assumptions!$B$9)^G811,F811))</f>
        <v>1194177.9444813812</v>
      </c>
      <c r="K811" s="11">
        <f>IF(B811="Pensioner",1,VLOOKUP(Assumptions!$B$10,Mortality!$A$2:$F$104,6,FALSE)/VLOOKUP(C811,Mortality!$A$2:$F$104,6,FALSE))</f>
        <v>0.98365275168798427</v>
      </c>
      <c r="L811" s="11">
        <f>VLOOKUP(IF(B811="Pensioner",C811,Assumptions!$B$10),Mortality!$A$2:$E$104,5,FALSE)</f>
        <v>17.296790022132885</v>
      </c>
      <c r="M811" s="11">
        <f>1+Assumptions!$B$13*Assumptions!$B$14*Assumptions!$B$15</f>
        <v>1.3187500000000001</v>
      </c>
      <c r="N811" s="11">
        <f>IF(B811="Pensioner",1,1/(1+Assumptions!$B$6)^G811)</f>
        <v>0.60423118763827188</v>
      </c>
      <c r="O811" s="17">
        <f t="shared" si="12"/>
        <v>16189818.526544448</v>
      </c>
    </row>
    <row r="812" spans="1:15">
      <c r="A812" s="13" t="str">
        <f>Members!A812</f>
        <v>A0132</v>
      </c>
      <c r="B812" s="13" t="str">
        <f>Members!B812</f>
        <v>Active</v>
      </c>
      <c r="C812" s="13">
        <f>Members!C812</f>
        <v>45</v>
      </c>
      <c r="D812" s="14">
        <f>Members!D812</f>
        <v>8.5</v>
      </c>
      <c r="E812" s="16">
        <f>Members!E812</f>
        <v>813000</v>
      </c>
      <c r="F812" s="16">
        <f>Members!F812</f>
        <v>0</v>
      </c>
      <c r="G812" s="15">
        <f>MAX(0,Assumptions!$B$10-C812)</f>
        <v>15</v>
      </c>
      <c r="H812" s="17">
        <f>IF(B812="Active",E812*(1+Assumptions!$B$7)^G812,E812)</f>
        <v>1815003.3881894532</v>
      </c>
      <c r="I812" s="17">
        <f>IF(B812="Active",MIN(Assumptions!$B$12,D812+G812),IF(B812="Deferred",MIN(Assumptions!$B$12,D812),D812))</f>
        <v>23.5</v>
      </c>
      <c r="J812" s="17">
        <f>IF(B812="Active",H812*I812*Assumptions!$B$11,IF(B812="Deferred",E812*I812*Assumptions!$B$11*(1+Assumptions!$B$9)^G812,F812))</f>
        <v>710876.32704086916</v>
      </c>
      <c r="K812" s="11">
        <f>IF(B812="Pensioner",1,VLOOKUP(Assumptions!$B$10,Mortality!$A$2:$F$104,6,FALSE)/VLOOKUP(C812,Mortality!$A$2:$F$104,6,FALSE))</f>
        <v>0.97693494781946555</v>
      </c>
      <c r="L812" s="11">
        <f>VLOOKUP(IF(B812="Pensioner",C812,Assumptions!$B$10),Mortality!$A$2:$E$104,5,FALSE)</f>
        <v>17.296790022132885</v>
      </c>
      <c r="M812" s="11">
        <f>1+Assumptions!$B$13*Assumptions!$B$14*Assumptions!$B$15</f>
        <v>1.3187500000000001</v>
      </c>
      <c r="N812" s="11">
        <f>IF(B812="Pensioner",1,1/(1+Assumptions!$B$6)^G812)</f>
        <v>0.38882652444221566</v>
      </c>
      <c r="O812" s="17">
        <f t="shared" si="12"/>
        <v>6159473.1599763222</v>
      </c>
    </row>
    <row r="813" spans="1:15">
      <c r="A813" s="13" t="str">
        <f>Members!A813</f>
        <v>A0550</v>
      </c>
      <c r="B813" s="13" t="str">
        <f>Members!B813</f>
        <v>Active</v>
      </c>
      <c r="C813" s="13">
        <f>Members!C813</f>
        <v>26</v>
      </c>
      <c r="D813" s="14">
        <f>Members!D813</f>
        <v>2.8</v>
      </c>
      <c r="E813" s="16">
        <f>Members!E813</f>
        <v>383000</v>
      </c>
      <c r="F813" s="16">
        <f>Members!F813</f>
        <v>0</v>
      </c>
      <c r="G813" s="15">
        <f>MAX(0,Assumptions!$B$10-C813)</f>
        <v>34</v>
      </c>
      <c r="H813" s="17">
        <f>IF(B813="Active",E813*(1+Assumptions!$B$7)^G813,E813)</f>
        <v>2364734.5763003849</v>
      </c>
      <c r="I813" s="17">
        <f>IF(B813="Active",MIN(Assumptions!$B$12,D813+G813),IF(B813="Deferred",MIN(Assumptions!$B$12,D813),D813))</f>
        <v>36.799999999999997</v>
      </c>
      <c r="J813" s="17">
        <f>IF(B813="Active",H813*I813*Assumptions!$B$11,IF(B813="Deferred",E813*I813*Assumptions!$B$11*(1+Assumptions!$B$9)^G813,F813))</f>
        <v>1450370.5401309025</v>
      </c>
      <c r="K813" s="11">
        <f>IF(B813="Pensioner",1,VLOOKUP(Assumptions!$B$10,Mortality!$A$2:$F$104,6,FALSE)/VLOOKUP(C813,Mortality!$A$2:$F$104,6,FALSE))</f>
        <v>0.96922916291892547</v>
      </c>
      <c r="L813" s="11">
        <f>VLOOKUP(IF(B813="Pensioner",C813,Assumptions!$B$10),Mortality!$A$2:$E$104,5,FALSE)</f>
        <v>17.296790022132885</v>
      </c>
      <c r="M813" s="11">
        <f>1+Assumptions!$B$13*Assumptions!$B$14*Assumptions!$B$15</f>
        <v>1.3187500000000001</v>
      </c>
      <c r="N813" s="11">
        <f>IF(B813="Pensioner",1,1/(1+Assumptions!$B$6)^G813)</f>
        <v>0.11752042020870793</v>
      </c>
      <c r="O813" s="17">
        <f t="shared" si="12"/>
        <v>3768311.2284308788</v>
      </c>
    </row>
    <row r="814" spans="1:15">
      <c r="A814" s="13" t="str">
        <f>Members!A814</f>
        <v>A0167</v>
      </c>
      <c r="B814" s="13" t="str">
        <f>Members!B814</f>
        <v>Active</v>
      </c>
      <c r="C814" s="13">
        <f>Members!C814</f>
        <v>58</v>
      </c>
      <c r="D814" s="14">
        <f>Members!D814</f>
        <v>25.9</v>
      </c>
      <c r="E814" s="16">
        <f>Members!E814</f>
        <v>1841000</v>
      </c>
      <c r="F814" s="16">
        <f>Members!F814</f>
        <v>0</v>
      </c>
      <c r="G814" s="15">
        <f>MAX(0,Assumptions!$B$10-C814)</f>
        <v>2</v>
      </c>
      <c r="H814" s="17">
        <f>IF(B814="Active",E814*(1+Assumptions!$B$7)^G814,E814)</f>
        <v>2049079.0249999999</v>
      </c>
      <c r="I814" s="17">
        <f>IF(B814="Active",MIN(Assumptions!$B$12,D814+G814),IF(B814="Deferred",MIN(Assumptions!$B$12,D814),D814))</f>
        <v>27.9</v>
      </c>
      <c r="J814" s="17">
        <f>IF(B814="Active",H814*I814*Assumptions!$B$11,IF(B814="Deferred",E814*I814*Assumptions!$B$11*(1+Assumptions!$B$9)^G814,F814))</f>
        <v>952821.7466249998</v>
      </c>
      <c r="K814" s="11">
        <f>IF(B814="Pensioner",1,VLOOKUP(Assumptions!$B$10,Mortality!$A$2:$F$104,6,FALSE)/VLOOKUP(C814,Mortality!$A$2:$F$104,6,FALSE))</f>
        <v>0.99452130442038367</v>
      </c>
      <c r="L814" s="11">
        <f>VLOOKUP(IF(B814="Pensioner",C814,Assumptions!$B$10),Mortality!$A$2:$E$104,5,FALSE)</f>
        <v>17.296790022132885</v>
      </c>
      <c r="M814" s="11">
        <f>1+Assumptions!$B$13*Assumptions!$B$14*Assumptions!$B$15</f>
        <v>1.3187500000000001</v>
      </c>
      <c r="N814" s="11">
        <f>IF(B814="Pensioner",1,1/(1+Assumptions!$B$6)^G814)</f>
        <v>0.88165928277017358</v>
      </c>
      <c r="O814" s="17">
        <f t="shared" si="12"/>
        <v>19056999.471065521</v>
      </c>
    </row>
    <row r="815" spans="1:15">
      <c r="A815" s="13" t="str">
        <f>Members!A815</f>
        <v>A0193</v>
      </c>
      <c r="B815" s="13" t="str">
        <f>Members!B815</f>
        <v>Active</v>
      </c>
      <c r="C815" s="13">
        <f>Members!C815</f>
        <v>48</v>
      </c>
      <c r="D815" s="14">
        <f>Members!D815</f>
        <v>14.5</v>
      </c>
      <c r="E815" s="16">
        <f>Members!E815</f>
        <v>1453000</v>
      </c>
      <c r="F815" s="16">
        <f>Members!F815</f>
        <v>0</v>
      </c>
      <c r="G815" s="15">
        <f>MAX(0,Assumptions!$B$10-C815)</f>
        <v>12</v>
      </c>
      <c r="H815" s="17">
        <f>IF(B815="Active",E815*(1+Assumptions!$B$7)^G815,E815)</f>
        <v>2762454.4768078378</v>
      </c>
      <c r="I815" s="17">
        <f>IF(B815="Active",MIN(Assumptions!$B$12,D815+G815),IF(B815="Deferred",MIN(Assumptions!$B$12,D815),D815))</f>
        <v>26.5</v>
      </c>
      <c r="J815" s="17">
        <f>IF(B815="Active",H815*I815*Assumptions!$B$11,IF(B815="Deferred",E815*I815*Assumptions!$B$11*(1+Assumptions!$B$9)^G815,F815))</f>
        <v>1220084.0605901284</v>
      </c>
      <c r="K815" s="11">
        <f>IF(B815="Pensioner",1,VLOOKUP(Assumptions!$B$10,Mortality!$A$2:$F$104,6,FALSE)/VLOOKUP(C815,Mortality!$A$2:$F$104,6,FALSE))</f>
        <v>0.97930374297365907</v>
      </c>
      <c r="L815" s="11">
        <f>VLOOKUP(IF(B815="Pensioner",C815,Assumptions!$B$10),Mortality!$A$2:$E$104,5,FALSE)</f>
        <v>17.296790022132885</v>
      </c>
      <c r="M815" s="11">
        <f>1+Assumptions!$B$13*Assumptions!$B$14*Assumptions!$B$15</f>
        <v>1.3187500000000001</v>
      </c>
      <c r="N815" s="11">
        <f>IF(B815="Pensioner",1,1/(1+Assumptions!$B$6)^G815)</f>
        <v>0.4696828543900276</v>
      </c>
      <c r="O815" s="17">
        <f t="shared" si="12"/>
        <v>12800881.004869364</v>
      </c>
    </row>
    <row r="816" spans="1:15">
      <c r="A816" s="13" t="str">
        <f>Members!A816</f>
        <v>P0130</v>
      </c>
      <c r="B816" s="13" t="str">
        <f>Members!B816</f>
        <v>Pensioner</v>
      </c>
      <c r="C816" s="13">
        <f>Members!C816</f>
        <v>74</v>
      </c>
      <c r="D816" s="14">
        <f>Members!D816</f>
        <v>36.5</v>
      </c>
      <c r="E816" s="16">
        <f>Members!E816</f>
        <v>0</v>
      </c>
      <c r="F816" s="16">
        <f>Members!F816</f>
        <v>389000</v>
      </c>
      <c r="G816" s="15">
        <f>MAX(0,Assumptions!$B$10-C816)</f>
        <v>0</v>
      </c>
      <c r="H816" s="17">
        <f>IF(B816="Active",E816*(1+Assumptions!$B$7)^G816,E816)</f>
        <v>0</v>
      </c>
      <c r="I816" s="17">
        <f>IF(B816="Active",MIN(Assumptions!$B$12,D816+G816),IF(B816="Deferred",MIN(Assumptions!$B$12,D816),D816))</f>
        <v>36.5</v>
      </c>
      <c r="J816" s="17">
        <f>IF(B816="Active",H816*I816*Assumptions!$B$11,IF(B816="Deferred",E816*I816*Assumptions!$B$11*(1+Assumptions!$B$9)^G816,F816))</f>
        <v>389000</v>
      </c>
      <c r="K816" s="11">
        <f>IF(B816="Pensioner",1,VLOOKUP(Assumptions!$B$10,Mortality!$A$2:$F$104,6,FALSE)/VLOOKUP(C816,Mortality!$A$2:$F$104,6,FALSE))</f>
        <v>1</v>
      </c>
      <c r="L816" s="11">
        <f>VLOOKUP(IF(B816="Pensioner",C816,Assumptions!$B$10),Mortality!$A$2:$E$104,5,FALSE)</f>
        <v>11.124346929912107</v>
      </c>
      <c r="M816" s="11">
        <f>1+Assumptions!$B$13*Assumptions!$B$14*Assumptions!$B$15</f>
        <v>1.3187500000000001</v>
      </c>
      <c r="N816" s="11">
        <f>IF(B816="Pensioner",1,1/(1+Assumptions!$B$6)^G816)</f>
        <v>1</v>
      </c>
      <c r="O816" s="17">
        <f t="shared" si="12"/>
        <v>5706720.4478765996</v>
      </c>
    </row>
    <row r="817" spans="1:15">
      <c r="A817" s="13" t="str">
        <f>Members!A817</f>
        <v>A0010</v>
      </c>
      <c r="B817" s="13" t="str">
        <f>Members!B817</f>
        <v>Active</v>
      </c>
      <c r="C817" s="13">
        <f>Members!C817</f>
        <v>47</v>
      </c>
      <c r="D817" s="14">
        <f>Members!D817</f>
        <v>5.3</v>
      </c>
      <c r="E817" s="16">
        <f>Members!E817</f>
        <v>1471000</v>
      </c>
      <c r="F817" s="16">
        <f>Members!F817</f>
        <v>0</v>
      </c>
      <c r="G817" s="15">
        <f>MAX(0,Assumptions!$B$10-C817)</f>
        <v>13</v>
      </c>
      <c r="H817" s="17">
        <f>IF(B817="Active",E817*(1+Assumptions!$B$7)^G817,E817)</f>
        <v>2950493.4031868326</v>
      </c>
      <c r="I817" s="17">
        <f>IF(B817="Active",MIN(Assumptions!$B$12,D817+G817),IF(B817="Deferred",MIN(Assumptions!$B$12,D817),D817))</f>
        <v>18.3</v>
      </c>
      <c r="J817" s="17">
        <f>IF(B817="Active",H817*I817*Assumptions!$B$11,IF(B817="Deferred",E817*I817*Assumptions!$B$11*(1+Assumptions!$B$9)^G817,F817))</f>
        <v>899900.48797198397</v>
      </c>
      <c r="K817" s="11">
        <f>IF(B817="Pensioner",1,VLOOKUP(Assumptions!$B$10,Mortality!$A$2:$F$104,6,FALSE)/VLOOKUP(C817,Mortality!$A$2:$F$104,6,FALSE))</f>
        <v>0.97844516757479894</v>
      </c>
      <c r="L817" s="11">
        <f>VLOOKUP(IF(B817="Pensioner",C817,Assumptions!$B$10),Mortality!$A$2:$E$104,5,FALSE)</f>
        <v>17.296790022132885</v>
      </c>
      <c r="M817" s="11">
        <f>1+Assumptions!$B$13*Assumptions!$B$14*Assumptions!$B$15</f>
        <v>1.3187500000000001</v>
      </c>
      <c r="N817" s="11">
        <f>IF(B817="Pensioner",1,1/(1+Assumptions!$B$6)^G817)</f>
        <v>0.44101676468547191</v>
      </c>
      <c r="O817" s="17">
        <f t="shared" si="12"/>
        <v>8857559.2231079582</v>
      </c>
    </row>
    <row r="818" spans="1:15">
      <c r="A818" s="13" t="str">
        <f>Members!A818</f>
        <v>A0419</v>
      </c>
      <c r="B818" s="13" t="str">
        <f>Members!B818</f>
        <v>Active</v>
      </c>
      <c r="C818" s="13">
        <f>Members!C818</f>
        <v>26</v>
      </c>
      <c r="D818" s="14">
        <f>Members!D818</f>
        <v>2</v>
      </c>
      <c r="E818" s="16">
        <f>Members!E818</f>
        <v>348000</v>
      </c>
      <c r="F818" s="16">
        <f>Members!F818</f>
        <v>0</v>
      </c>
      <c r="G818" s="15">
        <f>MAX(0,Assumptions!$B$10-C818)</f>
        <v>34</v>
      </c>
      <c r="H818" s="17">
        <f>IF(B818="Active",E818*(1+Assumptions!$B$7)^G818,E818)</f>
        <v>2148636.116325154</v>
      </c>
      <c r="I818" s="17">
        <f>IF(B818="Active",MIN(Assumptions!$B$12,D818+G818),IF(B818="Deferred",MIN(Assumptions!$B$12,D818),D818))</f>
        <v>36</v>
      </c>
      <c r="J818" s="17">
        <f>IF(B818="Active",H818*I818*Assumptions!$B$11,IF(B818="Deferred",E818*I818*Assumptions!$B$11*(1+Assumptions!$B$9)^G818,F818))</f>
        <v>1289181.6697950924</v>
      </c>
      <c r="K818" s="11">
        <f>IF(B818="Pensioner",1,VLOOKUP(Assumptions!$B$10,Mortality!$A$2:$F$104,6,FALSE)/VLOOKUP(C818,Mortality!$A$2:$F$104,6,FALSE))</f>
        <v>0.96922916291892547</v>
      </c>
      <c r="L818" s="11">
        <f>VLOOKUP(IF(B818="Pensioner",C818,Assumptions!$B$10),Mortality!$A$2:$E$104,5,FALSE)</f>
        <v>17.296790022132885</v>
      </c>
      <c r="M818" s="11">
        <f>1+Assumptions!$B$13*Assumptions!$B$14*Assumptions!$B$15</f>
        <v>1.3187500000000001</v>
      </c>
      <c r="N818" s="11">
        <f>IF(B818="Pensioner",1,1/(1+Assumptions!$B$6)^G818)</f>
        <v>0.11752042020870793</v>
      </c>
      <c r="O818" s="17">
        <f t="shared" si="12"/>
        <v>3349514.9186756485</v>
      </c>
    </row>
    <row r="819" spans="1:15">
      <c r="A819" s="13" t="str">
        <f>Members!A819</f>
        <v>A0448</v>
      </c>
      <c r="B819" s="13" t="str">
        <f>Members!B819</f>
        <v>Active</v>
      </c>
      <c r="C819" s="13">
        <f>Members!C819</f>
        <v>40</v>
      </c>
      <c r="D819" s="14">
        <f>Members!D819</f>
        <v>2.5</v>
      </c>
      <c r="E819" s="16">
        <f>Members!E819</f>
        <v>1107000</v>
      </c>
      <c r="F819" s="16">
        <f>Members!F819</f>
        <v>0</v>
      </c>
      <c r="G819" s="15">
        <f>MAX(0,Assumptions!$B$10-C819)</f>
        <v>20</v>
      </c>
      <c r="H819" s="17">
        <f>IF(B819="Active",E819*(1+Assumptions!$B$7)^G819,E819)</f>
        <v>3229957.5420987266</v>
      </c>
      <c r="I819" s="17">
        <f>IF(B819="Active",MIN(Assumptions!$B$12,D819+G819),IF(B819="Deferred",MIN(Assumptions!$B$12,D819),D819))</f>
        <v>22.5</v>
      </c>
      <c r="J819" s="17">
        <f>IF(B819="Active",H819*I819*Assumptions!$B$11,IF(B819="Deferred",E819*I819*Assumptions!$B$11*(1+Assumptions!$B$9)^G819,F819))</f>
        <v>1211234.0782870227</v>
      </c>
      <c r="K819" s="11">
        <f>IF(B819="Pensioner",1,VLOOKUP(Assumptions!$B$10,Mortality!$A$2:$F$104,6,FALSE)/VLOOKUP(C819,Mortality!$A$2:$F$104,6,FALSE))</f>
        <v>0.97405112431987673</v>
      </c>
      <c r="L819" s="11">
        <f>VLOOKUP(IF(B819="Pensioner",C819,Assumptions!$B$10),Mortality!$A$2:$E$104,5,FALSE)</f>
        <v>17.296790022132885</v>
      </c>
      <c r="M819" s="11">
        <f>1+Assumptions!$B$13*Assumptions!$B$14*Assumptions!$B$15</f>
        <v>1.3187500000000001</v>
      </c>
      <c r="N819" s="11">
        <f>IF(B819="Pensioner",1,1/(1+Assumptions!$B$6)^G819)</f>
        <v>0.28379702892141989</v>
      </c>
      <c r="O819" s="17">
        <f t="shared" si="12"/>
        <v>7637402.2295042006</v>
      </c>
    </row>
    <row r="820" spans="1:15">
      <c r="A820" s="13" t="str">
        <f>Members!A820</f>
        <v>A0503</v>
      </c>
      <c r="B820" s="13" t="str">
        <f>Members!B820</f>
        <v>Active</v>
      </c>
      <c r="C820" s="13">
        <f>Members!C820</f>
        <v>57</v>
      </c>
      <c r="D820" s="14">
        <f>Members!D820</f>
        <v>11.3</v>
      </c>
      <c r="E820" s="16">
        <f>Members!E820</f>
        <v>2416000</v>
      </c>
      <c r="F820" s="16">
        <f>Members!F820</f>
        <v>0</v>
      </c>
      <c r="G820" s="15">
        <f>MAX(0,Assumptions!$B$10-C820)</f>
        <v>3</v>
      </c>
      <c r="H820" s="17">
        <f>IF(B820="Active",E820*(1+Assumptions!$B$7)^G820,E820)</f>
        <v>2836967.1619999995</v>
      </c>
      <c r="I820" s="17">
        <f>IF(B820="Active",MIN(Assumptions!$B$12,D820+G820),IF(B820="Deferred",MIN(Assumptions!$B$12,D820),D820))</f>
        <v>14.3</v>
      </c>
      <c r="J820" s="17">
        <f>IF(B820="Active",H820*I820*Assumptions!$B$11,IF(B820="Deferred",E820*I820*Assumptions!$B$11*(1+Assumptions!$B$9)^G820,F820))</f>
        <v>676143.84027666657</v>
      </c>
      <c r="K820" s="11">
        <f>IF(B820="Pensioner",1,VLOOKUP(Assumptions!$B$10,Mortality!$A$2:$F$104,6,FALSE)/VLOOKUP(C820,Mortality!$A$2:$F$104,6,FALSE))</f>
        <v>0.99220038929214172</v>
      </c>
      <c r="L820" s="11">
        <f>VLOOKUP(IF(B820="Pensioner",C820,Assumptions!$B$10),Mortality!$A$2:$E$104,5,FALSE)</f>
        <v>17.296790022132885</v>
      </c>
      <c r="M820" s="11">
        <f>1+Assumptions!$B$13*Assumptions!$B$14*Assumptions!$B$15</f>
        <v>1.3187500000000001</v>
      </c>
      <c r="N820" s="11">
        <f>IF(B820="Pensioner",1,1/(1+Assumptions!$B$6)^G820)</f>
        <v>0.82784909180297994</v>
      </c>
      <c r="O820" s="17">
        <f t="shared" si="12"/>
        <v>12668279.936165411</v>
      </c>
    </row>
    <row r="821" spans="1:15">
      <c r="A821" s="13" t="str">
        <f>Members!A821</f>
        <v>P0121</v>
      </c>
      <c r="B821" s="13" t="str">
        <f>Members!B821</f>
        <v>Pensioner</v>
      </c>
      <c r="C821" s="13">
        <f>Members!C821</f>
        <v>75</v>
      </c>
      <c r="D821" s="14">
        <f>Members!D821</f>
        <v>24.3</v>
      </c>
      <c r="E821" s="16">
        <f>Members!E821</f>
        <v>0</v>
      </c>
      <c r="F821" s="16">
        <f>Members!F821</f>
        <v>311000</v>
      </c>
      <c r="G821" s="15">
        <f>MAX(0,Assumptions!$B$10-C821)</f>
        <v>0</v>
      </c>
      <c r="H821" s="17">
        <f>IF(B821="Active",E821*(1+Assumptions!$B$7)^G821,E821)</f>
        <v>0</v>
      </c>
      <c r="I821" s="17">
        <f>IF(B821="Active",MIN(Assumptions!$B$12,D821+G821),IF(B821="Deferred",MIN(Assumptions!$B$12,D821),D821))</f>
        <v>24.3</v>
      </c>
      <c r="J821" s="17">
        <f>IF(B821="Active",H821*I821*Assumptions!$B$11,IF(B821="Deferred",E821*I821*Assumptions!$B$11*(1+Assumptions!$B$9)^G821,F821))</f>
        <v>311000</v>
      </c>
      <c r="K821" s="11">
        <f>IF(B821="Pensioner",1,VLOOKUP(Assumptions!$B$10,Mortality!$A$2:$F$104,6,FALSE)/VLOOKUP(C821,Mortality!$A$2:$F$104,6,FALSE))</f>
        <v>1</v>
      </c>
      <c r="L821" s="11">
        <f>VLOOKUP(IF(B821="Pensioner",C821,Assumptions!$B$10),Mortality!$A$2:$E$104,5,FALSE)</f>
        <v>10.662474804432929</v>
      </c>
      <c r="M821" s="11">
        <f>1+Assumptions!$B$13*Assumptions!$B$14*Assumptions!$B$15</f>
        <v>1.3187500000000001</v>
      </c>
      <c r="N821" s="11">
        <f>IF(B821="Pensioner",1,1/(1+Assumptions!$B$6)^G821)</f>
        <v>1</v>
      </c>
      <c r="O821" s="17">
        <f t="shared" si="12"/>
        <v>4373014.1196355829</v>
      </c>
    </row>
    <row r="822" spans="1:15">
      <c r="A822" s="13" t="str">
        <f>Members!A822</f>
        <v>D0077</v>
      </c>
      <c r="B822" s="13" t="str">
        <f>Members!B822</f>
        <v>Deferred</v>
      </c>
      <c r="C822" s="13">
        <f>Members!C822</f>
        <v>37</v>
      </c>
      <c r="D822" s="14">
        <f>Members!D822</f>
        <v>5.6</v>
      </c>
      <c r="E822" s="16">
        <f>Members!E822</f>
        <v>435000</v>
      </c>
      <c r="F822" s="16">
        <f>Members!F822</f>
        <v>0</v>
      </c>
      <c r="G822" s="15">
        <f>MAX(0,Assumptions!$B$10-C822)</f>
        <v>23</v>
      </c>
      <c r="H822" s="17">
        <f>IF(B822="Active",E822*(1+Assumptions!$B$7)^G822,E822)</f>
        <v>435000</v>
      </c>
      <c r="I822" s="17">
        <f>IF(B822="Active",MIN(Assumptions!$B$12,D822+G822),IF(B822="Deferred",MIN(Assumptions!$B$12,D822),D822))</f>
        <v>5.6</v>
      </c>
      <c r="J822" s="17">
        <f>IF(B822="Active",H822*I822*Assumptions!$B$11,IF(B822="Deferred",E822*I822*Assumptions!$B$11*(1+Assumptions!$B$9)^G822,F822))</f>
        <v>100067.45105250496</v>
      </c>
      <c r="K822" s="11">
        <f>IF(B822="Pensioner",1,VLOOKUP(Assumptions!$B$10,Mortality!$A$2:$F$104,6,FALSE)/VLOOKUP(C822,Mortality!$A$2:$F$104,6,FALSE))</f>
        <v>0.97273561412651877</v>
      </c>
      <c r="L822" s="11">
        <f>VLOOKUP(IF(B822="Pensioner",C822,Assumptions!$B$10),Mortality!$A$2:$E$104,5,FALSE)</f>
        <v>17.296790022132885</v>
      </c>
      <c r="M822" s="11">
        <f>1+Assumptions!$B$13*Assumptions!$B$14*Assumptions!$B$15</f>
        <v>1.3187500000000001</v>
      </c>
      <c r="N822" s="11">
        <f>IF(B822="Pensioner",1,1/(1+Assumptions!$B$6)^G822)</f>
        <v>0.23494111264898151</v>
      </c>
      <c r="O822" s="17">
        <f t="shared" si="12"/>
        <v>521644.53422504349</v>
      </c>
    </row>
    <row r="823" spans="1:15">
      <c r="A823" s="13" t="str">
        <f>Members!A823</f>
        <v>A0260</v>
      </c>
      <c r="B823" s="13" t="str">
        <f>Members!B823</f>
        <v>Active</v>
      </c>
      <c r="C823" s="13">
        <f>Members!C823</f>
        <v>53</v>
      </c>
      <c r="D823" s="14">
        <f>Members!D823</f>
        <v>1</v>
      </c>
      <c r="E823" s="16">
        <f>Members!E823</f>
        <v>1435000</v>
      </c>
      <c r="F823" s="16">
        <f>Members!F823</f>
        <v>0</v>
      </c>
      <c r="G823" s="15">
        <f>MAX(0,Assumptions!$B$10-C823)</f>
        <v>7</v>
      </c>
      <c r="H823" s="17">
        <f>IF(B823="Active",E823*(1+Assumptions!$B$7)^G823,E823)</f>
        <v>2087464.5962269946</v>
      </c>
      <c r="I823" s="17">
        <f>IF(B823="Active",MIN(Assumptions!$B$12,D823+G823),IF(B823="Deferred",MIN(Assumptions!$B$12,D823),D823))</f>
        <v>8</v>
      </c>
      <c r="J823" s="17">
        <f>IF(B823="Active",H823*I823*Assumptions!$B$11,IF(B823="Deferred",E823*I823*Assumptions!$B$11*(1+Assumptions!$B$9)^G823,F823))</f>
        <v>278328.61283026595</v>
      </c>
      <c r="K823" s="11">
        <f>IF(B823="Pensioner",1,VLOOKUP(Assumptions!$B$10,Mortality!$A$2:$F$104,6,FALSE)/VLOOKUP(C823,Mortality!$A$2:$F$104,6,FALSE))</f>
        <v>0.98503000174313171</v>
      </c>
      <c r="L823" s="11">
        <f>VLOOKUP(IF(B823="Pensioner",C823,Assumptions!$B$10),Mortality!$A$2:$E$104,5,FALSE)</f>
        <v>17.296790022132885</v>
      </c>
      <c r="M823" s="11">
        <f>1+Assumptions!$B$13*Assumptions!$B$14*Assumptions!$B$15</f>
        <v>1.3187500000000001</v>
      </c>
      <c r="N823" s="11">
        <f>IF(B823="Pensioner",1,1/(1+Assumptions!$B$6)^G823)</f>
        <v>0.64350621483475945</v>
      </c>
      <c r="O823" s="17">
        <f t="shared" si="12"/>
        <v>4024278.6525866408</v>
      </c>
    </row>
    <row r="824" spans="1:15">
      <c r="A824" s="13" t="str">
        <f>Members!A824</f>
        <v>P0025</v>
      </c>
      <c r="B824" s="13" t="str">
        <f>Members!B824</f>
        <v>Pensioner</v>
      </c>
      <c r="C824" s="13">
        <f>Members!C824</f>
        <v>86</v>
      </c>
      <c r="D824" s="14">
        <f>Members!D824</f>
        <v>26</v>
      </c>
      <c r="E824" s="16">
        <f>Members!E824</f>
        <v>0</v>
      </c>
      <c r="F824" s="16">
        <f>Members!F824</f>
        <v>387000</v>
      </c>
      <c r="G824" s="15">
        <f>MAX(0,Assumptions!$B$10-C824)</f>
        <v>0</v>
      </c>
      <c r="H824" s="17">
        <f>IF(B824="Active",E824*(1+Assumptions!$B$7)^G824,E824)</f>
        <v>0</v>
      </c>
      <c r="I824" s="17">
        <f>IF(B824="Active",MIN(Assumptions!$B$12,D824+G824),IF(B824="Deferred",MIN(Assumptions!$B$12,D824),D824))</f>
        <v>26</v>
      </c>
      <c r="J824" s="17">
        <f>IF(B824="Active",H824*I824*Assumptions!$B$11,IF(B824="Deferred",E824*I824*Assumptions!$B$11*(1+Assumptions!$B$9)^G824,F824))</f>
        <v>387000</v>
      </c>
      <c r="K824" s="11">
        <f>IF(B824="Pensioner",1,VLOOKUP(Assumptions!$B$10,Mortality!$A$2:$F$104,6,FALSE)/VLOOKUP(C824,Mortality!$A$2:$F$104,6,FALSE))</f>
        <v>1</v>
      </c>
      <c r="L824" s="11">
        <f>VLOOKUP(IF(B824="Pensioner",C824,Assumptions!$B$10),Mortality!$A$2:$E$104,5,FALSE)</f>
        <v>5.822832972912483</v>
      </c>
      <c r="M824" s="11">
        <f>1+Assumptions!$B$13*Assumptions!$B$14*Assumptions!$B$15</f>
        <v>1.3187500000000001</v>
      </c>
      <c r="N824" s="11">
        <f>IF(B824="Pensioner",1,1/(1+Assumptions!$B$6)^G824)</f>
        <v>1</v>
      </c>
      <c r="O824" s="17">
        <f t="shared" si="12"/>
        <v>2971719.2004319672</v>
      </c>
    </row>
    <row r="825" spans="1:15">
      <c r="A825" s="13" t="str">
        <f>Members!A825</f>
        <v>A0476</v>
      </c>
      <c r="B825" s="13" t="str">
        <f>Members!B825</f>
        <v>Active</v>
      </c>
      <c r="C825" s="13">
        <f>Members!C825</f>
        <v>49</v>
      </c>
      <c r="D825" s="14">
        <f>Members!D825</f>
        <v>3.8</v>
      </c>
      <c r="E825" s="16">
        <f>Members!E825</f>
        <v>1466000</v>
      </c>
      <c r="F825" s="16">
        <f>Members!F825</f>
        <v>0</v>
      </c>
      <c r="G825" s="15">
        <f>MAX(0,Assumptions!$B$10-C825)</f>
        <v>11</v>
      </c>
      <c r="H825" s="17">
        <f>IF(B825="Active",E825*(1+Assumptions!$B$7)^G825,E825)</f>
        <v>2641867.4636234171</v>
      </c>
      <c r="I825" s="17">
        <f>IF(B825="Active",MIN(Assumptions!$B$12,D825+G825),IF(B825="Deferred",MIN(Assumptions!$B$12,D825),D825))</f>
        <v>14.8</v>
      </c>
      <c r="J825" s="17">
        <f>IF(B825="Active",H825*I825*Assumptions!$B$11,IF(B825="Deferred",E825*I825*Assumptions!$B$11*(1+Assumptions!$B$9)^G825,F825))</f>
        <v>651660.64102710958</v>
      </c>
      <c r="K825" s="11">
        <f>IF(B825="Pensioner",1,VLOOKUP(Assumptions!$B$10,Mortality!$A$2:$F$104,6,FALSE)/VLOOKUP(C825,Mortality!$A$2:$F$104,6,FALSE))</f>
        <v>0.98024296623595764</v>
      </c>
      <c r="L825" s="11">
        <f>VLOOKUP(IF(B825="Pensioner",C825,Assumptions!$B$10),Mortality!$A$2:$E$104,5,FALSE)</f>
        <v>17.296790022132885</v>
      </c>
      <c r="M825" s="11">
        <f>1+Assumptions!$B$13*Assumptions!$B$14*Assumptions!$B$15</f>
        <v>1.3187500000000001</v>
      </c>
      <c r="N825" s="11">
        <f>IF(B825="Pensioner",1,1/(1+Assumptions!$B$6)^G825)</f>
        <v>0.50021223992537933</v>
      </c>
      <c r="O825" s="17">
        <f t="shared" si="12"/>
        <v>7288489.3972416036</v>
      </c>
    </row>
    <row r="826" spans="1:15">
      <c r="A826" s="13" t="str">
        <f>Members!A826</f>
        <v>A0055</v>
      </c>
      <c r="B826" s="13" t="str">
        <f>Members!B826</f>
        <v>Active</v>
      </c>
      <c r="C826" s="13">
        <f>Members!C826</f>
        <v>44</v>
      </c>
      <c r="D826" s="14">
        <f>Members!D826</f>
        <v>3.2</v>
      </c>
      <c r="E826" s="16">
        <f>Members!E826</f>
        <v>1105000</v>
      </c>
      <c r="F826" s="16">
        <f>Members!F826</f>
        <v>0</v>
      </c>
      <c r="G826" s="15">
        <f>MAX(0,Assumptions!$B$10-C826)</f>
        <v>16</v>
      </c>
      <c r="H826" s="17">
        <f>IF(B826="Active",E826*(1+Assumptions!$B$7)^G826,E826)</f>
        <v>2602565.2827386959</v>
      </c>
      <c r="I826" s="17">
        <f>IF(B826="Active",MIN(Assumptions!$B$12,D826+G826),IF(B826="Deferred",MIN(Assumptions!$B$12,D826),D826))</f>
        <v>19.2</v>
      </c>
      <c r="J826" s="17">
        <f>IF(B826="Active",H826*I826*Assumptions!$B$11,IF(B826="Deferred",E826*I826*Assumptions!$B$11*(1+Assumptions!$B$9)^G826,F826))</f>
        <v>832820.89047638269</v>
      </c>
      <c r="K826" s="11">
        <f>IF(B826="Pensioner",1,VLOOKUP(Assumptions!$B$10,Mortality!$A$2:$F$104,6,FALSE)/VLOOKUP(C826,Mortality!$A$2:$F$104,6,FALSE))</f>
        <v>0.97626822121787327</v>
      </c>
      <c r="L826" s="11">
        <f>VLOOKUP(IF(B826="Pensioner",C826,Assumptions!$B$10),Mortality!$A$2:$E$104,5,FALSE)</f>
        <v>17.296790022132885</v>
      </c>
      <c r="M826" s="11">
        <f>1+Assumptions!$B$13*Assumptions!$B$14*Assumptions!$B$15</f>
        <v>1.3187500000000001</v>
      </c>
      <c r="N826" s="11">
        <f>IF(B826="Pensioner",1,1/(1+Assumptions!$B$6)^G826)</f>
        <v>0.36509532811475648</v>
      </c>
      <c r="O826" s="17">
        <f t="shared" si="12"/>
        <v>6771034.4693371272</v>
      </c>
    </row>
    <row r="827" spans="1:15">
      <c r="A827" s="13" t="str">
        <f>Members!A827</f>
        <v>A0187</v>
      </c>
      <c r="B827" s="13" t="str">
        <f>Members!B827</f>
        <v>Active</v>
      </c>
      <c r="C827" s="13">
        <f>Members!C827</f>
        <v>42</v>
      </c>
      <c r="D827" s="14">
        <f>Members!D827</f>
        <v>17.100000000000001</v>
      </c>
      <c r="E827" s="16">
        <f>Members!E827</f>
        <v>1079000</v>
      </c>
      <c r="F827" s="16">
        <f>Members!F827</f>
        <v>0</v>
      </c>
      <c r="G827" s="15">
        <f>MAX(0,Assumptions!$B$10-C827)</f>
        <v>18</v>
      </c>
      <c r="H827" s="17">
        <f>IF(B827="Active",E827*(1+Assumptions!$B$7)^G827,E827)</f>
        <v>2828562.1009068191</v>
      </c>
      <c r="I827" s="17">
        <f>IF(B827="Active",MIN(Assumptions!$B$12,D827+G827),IF(B827="Deferred",MIN(Assumptions!$B$12,D827),D827))</f>
        <v>35.1</v>
      </c>
      <c r="J827" s="17">
        <f>IF(B827="Active",H827*I827*Assumptions!$B$11,IF(B827="Deferred",E827*I827*Assumptions!$B$11*(1+Assumptions!$B$9)^G827,F827))</f>
        <v>1654708.8290304891</v>
      </c>
      <c r="K827" s="11">
        <f>IF(B827="Pensioner",1,VLOOKUP(Assumptions!$B$10,Mortality!$A$2:$F$104,6,FALSE)/VLOOKUP(C827,Mortality!$A$2:$F$104,6,FALSE))</f>
        <v>0.97507997078383857</v>
      </c>
      <c r="L827" s="11">
        <f>VLOOKUP(IF(B827="Pensioner",C827,Assumptions!$B$10),Mortality!$A$2:$E$104,5,FALSE)</f>
        <v>17.296790022132885</v>
      </c>
      <c r="M827" s="11">
        <f>1+Assumptions!$B$13*Assumptions!$B$14*Assumptions!$B$15</f>
        <v>1.3187500000000001</v>
      </c>
      <c r="N827" s="11">
        <f>IF(B827="Pensioner",1,1/(1+Assumptions!$B$6)^G827)</f>
        <v>0.32188968512839738</v>
      </c>
      <c r="O827" s="17">
        <f t="shared" si="12"/>
        <v>11846685.679539656</v>
      </c>
    </row>
    <row r="828" spans="1:15">
      <c r="A828" s="13" t="str">
        <f>Members!A828</f>
        <v>A0467</v>
      </c>
      <c r="B828" s="13" t="str">
        <f>Members!B828</f>
        <v>Active</v>
      </c>
      <c r="C828" s="13">
        <f>Members!C828</f>
        <v>34</v>
      </c>
      <c r="D828" s="14">
        <f>Members!D828</f>
        <v>7.9</v>
      </c>
      <c r="E828" s="16">
        <f>Members!E828</f>
        <v>505000</v>
      </c>
      <c r="F828" s="16">
        <f>Members!F828</f>
        <v>0</v>
      </c>
      <c r="G828" s="15">
        <f>MAX(0,Assumptions!$B$10-C828)</f>
        <v>26</v>
      </c>
      <c r="H828" s="17">
        <f>IF(B828="Active",E828*(1+Assumptions!$B$7)^G828,E828)</f>
        <v>2031680.1085365117</v>
      </c>
      <c r="I828" s="17">
        <f>IF(B828="Active",MIN(Assumptions!$B$12,D828+G828),IF(B828="Deferred",MIN(Assumptions!$B$12,D828),D828))</f>
        <v>33.9</v>
      </c>
      <c r="J828" s="17">
        <f>IF(B828="Active",H828*I828*Assumptions!$B$11,IF(B828="Deferred",E828*I828*Assumptions!$B$11*(1+Assumptions!$B$9)^G828,F828))</f>
        <v>1147899.2613231291</v>
      </c>
      <c r="K828" s="11">
        <f>IF(B828="Pensioner",1,VLOOKUP(Assumptions!$B$10,Mortality!$A$2:$F$104,6,FALSE)/VLOOKUP(C828,Mortality!$A$2:$F$104,6,FALSE))</f>
        <v>0.97162058192333911</v>
      </c>
      <c r="L828" s="11">
        <f>VLOOKUP(IF(B828="Pensioner",C828,Assumptions!$B$10),Mortality!$A$2:$E$104,5,FALSE)</f>
        <v>17.296790022132885</v>
      </c>
      <c r="M828" s="11">
        <f>1+Assumptions!$B$13*Assumptions!$B$14*Assumptions!$B$15</f>
        <v>1.3187500000000001</v>
      </c>
      <c r="N828" s="11">
        <f>IF(B828="Pensioner",1,1/(1+Assumptions!$B$6)^G828)</f>
        <v>0.19449578673364096</v>
      </c>
      <c r="O828" s="17">
        <f t="shared" si="12"/>
        <v>4948102.2563923467</v>
      </c>
    </row>
    <row r="829" spans="1:15">
      <c r="A829" s="13" t="str">
        <f>Members!A829</f>
        <v>P0140</v>
      </c>
      <c r="B829" s="13" t="str">
        <f>Members!B829</f>
        <v>Pensioner</v>
      </c>
      <c r="C829" s="13">
        <f>Members!C829</f>
        <v>60</v>
      </c>
      <c r="D829" s="14">
        <f>Members!D829</f>
        <v>25.1</v>
      </c>
      <c r="E829" s="16">
        <f>Members!E829</f>
        <v>0</v>
      </c>
      <c r="F829" s="16">
        <f>Members!F829</f>
        <v>200000</v>
      </c>
      <c r="G829" s="15">
        <f>MAX(0,Assumptions!$B$10-C829)</f>
        <v>0</v>
      </c>
      <c r="H829" s="17">
        <f>IF(B829="Active",E829*(1+Assumptions!$B$7)^G829,E829)</f>
        <v>0</v>
      </c>
      <c r="I829" s="17">
        <f>IF(B829="Active",MIN(Assumptions!$B$12,D829+G829),IF(B829="Deferred",MIN(Assumptions!$B$12,D829),D829))</f>
        <v>25.1</v>
      </c>
      <c r="J829" s="17">
        <f>IF(B829="Active",H829*I829*Assumptions!$B$11,IF(B829="Deferred",E829*I829*Assumptions!$B$11*(1+Assumptions!$B$9)^G829,F829))</f>
        <v>200000</v>
      </c>
      <c r="K829" s="11">
        <f>IF(B829="Pensioner",1,VLOOKUP(Assumptions!$B$10,Mortality!$A$2:$F$104,6,FALSE)/VLOOKUP(C829,Mortality!$A$2:$F$104,6,FALSE))</f>
        <v>1</v>
      </c>
      <c r="L829" s="11">
        <f>VLOOKUP(IF(B829="Pensioner",C829,Assumptions!$B$10),Mortality!$A$2:$E$104,5,FALSE)</f>
        <v>17.296790022132885</v>
      </c>
      <c r="M829" s="11">
        <f>1+Assumptions!$B$13*Assumptions!$B$14*Assumptions!$B$15</f>
        <v>1.3187500000000001</v>
      </c>
      <c r="N829" s="11">
        <f>IF(B829="Pensioner",1,1/(1+Assumptions!$B$6)^G829)</f>
        <v>1</v>
      </c>
      <c r="O829" s="17">
        <f t="shared" si="12"/>
        <v>4562028.3683375493</v>
      </c>
    </row>
    <row r="830" spans="1:15">
      <c r="A830" s="13" t="str">
        <f>Members!A830</f>
        <v>A0069</v>
      </c>
      <c r="B830" s="13" t="str">
        <f>Members!B830</f>
        <v>Active</v>
      </c>
      <c r="C830" s="13">
        <f>Members!C830</f>
        <v>53</v>
      </c>
      <c r="D830" s="14">
        <f>Members!D830</f>
        <v>11.7</v>
      </c>
      <c r="E830" s="16">
        <f>Members!E830</f>
        <v>1129000</v>
      </c>
      <c r="F830" s="16">
        <f>Members!F830</f>
        <v>0</v>
      </c>
      <c r="G830" s="15">
        <f>MAX(0,Assumptions!$B$10-C830)</f>
        <v>7</v>
      </c>
      <c r="H830" s="17">
        <f>IF(B830="Active",E830*(1+Assumptions!$B$7)^G830,E830)</f>
        <v>1642332.7729200537</v>
      </c>
      <c r="I830" s="17">
        <f>IF(B830="Active",MIN(Assumptions!$B$12,D830+G830),IF(B830="Deferred",MIN(Assumptions!$B$12,D830),D830))</f>
        <v>18.7</v>
      </c>
      <c r="J830" s="17">
        <f>IF(B830="Active",H830*I830*Assumptions!$B$11,IF(B830="Deferred",E830*I830*Assumptions!$B$11*(1+Assumptions!$B$9)^G830,F830))</f>
        <v>511860.3808934167</v>
      </c>
      <c r="K830" s="11">
        <f>IF(B830="Pensioner",1,VLOOKUP(Assumptions!$B$10,Mortality!$A$2:$F$104,6,FALSE)/VLOOKUP(C830,Mortality!$A$2:$F$104,6,FALSE))</f>
        <v>0.98503000174313171</v>
      </c>
      <c r="L830" s="11">
        <f>VLOOKUP(IF(B830="Pensioner",C830,Assumptions!$B$10),Mortality!$A$2:$E$104,5,FALSE)</f>
        <v>17.296790022132885</v>
      </c>
      <c r="M830" s="11">
        <f>1+Assumptions!$B$13*Assumptions!$B$14*Assumptions!$B$15</f>
        <v>1.3187500000000001</v>
      </c>
      <c r="N830" s="11">
        <f>IF(B830="Pensioner",1,1/(1+Assumptions!$B$6)^G830)</f>
        <v>0.64350621483475945</v>
      </c>
      <c r="O830" s="17">
        <f t="shared" si="12"/>
        <v>7400851.7593209874</v>
      </c>
    </row>
    <row r="831" spans="1:15">
      <c r="A831" s="13" t="str">
        <f>Members!A831</f>
        <v>A0489</v>
      </c>
      <c r="B831" s="13" t="str">
        <f>Members!B831</f>
        <v>Active</v>
      </c>
      <c r="C831" s="13">
        <f>Members!C831</f>
        <v>40</v>
      </c>
      <c r="D831" s="14">
        <f>Members!D831</f>
        <v>9.6999999999999993</v>
      </c>
      <c r="E831" s="16">
        <f>Members!E831</f>
        <v>863000</v>
      </c>
      <c r="F831" s="16">
        <f>Members!F831</f>
        <v>0</v>
      </c>
      <c r="G831" s="15">
        <f>MAX(0,Assumptions!$B$10-C831)</f>
        <v>20</v>
      </c>
      <c r="H831" s="17">
        <f>IF(B831="Active",E831*(1+Assumptions!$B$7)^G831,E831)</f>
        <v>2518024.7143913289</v>
      </c>
      <c r="I831" s="17">
        <f>IF(B831="Active",MIN(Assumptions!$B$12,D831+G831),IF(B831="Deferred",MIN(Assumptions!$B$12,D831),D831))</f>
        <v>29.7</v>
      </c>
      <c r="J831" s="17">
        <f>IF(B831="Active",H831*I831*Assumptions!$B$11,IF(B831="Deferred",E831*I831*Assumptions!$B$11*(1+Assumptions!$B$9)^G831,F831))</f>
        <v>1246422.2336237077</v>
      </c>
      <c r="K831" s="11">
        <f>IF(B831="Pensioner",1,VLOOKUP(Assumptions!$B$10,Mortality!$A$2:$F$104,6,FALSE)/VLOOKUP(C831,Mortality!$A$2:$F$104,6,FALSE))</f>
        <v>0.97405112431987673</v>
      </c>
      <c r="L831" s="11">
        <f>VLOOKUP(IF(B831="Pensioner",C831,Assumptions!$B$10),Mortality!$A$2:$E$104,5,FALSE)</f>
        <v>17.296790022132885</v>
      </c>
      <c r="M831" s="11">
        <f>1+Assumptions!$B$13*Assumptions!$B$14*Assumptions!$B$15</f>
        <v>1.3187500000000001</v>
      </c>
      <c r="N831" s="11">
        <f>IF(B831="Pensioner",1,1/(1+Assumptions!$B$6)^G831)</f>
        <v>0.28379702892141989</v>
      </c>
      <c r="O831" s="17">
        <f t="shared" si="12"/>
        <v>7859280.1479331553</v>
      </c>
    </row>
    <row r="832" spans="1:15">
      <c r="A832" s="13" t="str">
        <f>Members!A832</f>
        <v>P0229</v>
      </c>
      <c r="B832" s="13" t="str">
        <f>Members!B832</f>
        <v>Pensioner</v>
      </c>
      <c r="C832" s="13">
        <f>Members!C832</f>
        <v>82</v>
      </c>
      <c r="D832" s="14">
        <f>Members!D832</f>
        <v>39.200000000000003</v>
      </c>
      <c r="E832" s="16">
        <f>Members!E832</f>
        <v>0</v>
      </c>
      <c r="F832" s="16">
        <f>Members!F832</f>
        <v>749000</v>
      </c>
      <c r="G832" s="15">
        <f>MAX(0,Assumptions!$B$10-C832)</f>
        <v>0</v>
      </c>
      <c r="H832" s="17">
        <f>IF(B832="Active",E832*(1+Assumptions!$B$7)^G832,E832)</f>
        <v>0</v>
      </c>
      <c r="I832" s="17">
        <f>IF(B832="Active",MIN(Assumptions!$B$12,D832+G832),IF(B832="Deferred",MIN(Assumptions!$B$12,D832),D832))</f>
        <v>39.200000000000003</v>
      </c>
      <c r="J832" s="17">
        <f>IF(B832="Active",H832*I832*Assumptions!$B$11,IF(B832="Deferred",E832*I832*Assumptions!$B$11*(1+Assumptions!$B$9)^G832,F832))</f>
        <v>749000</v>
      </c>
      <c r="K832" s="11">
        <f>IF(B832="Pensioner",1,VLOOKUP(Assumptions!$B$10,Mortality!$A$2:$F$104,6,FALSE)/VLOOKUP(C832,Mortality!$A$2:$F$104,6,FALSE))</f>
        <v>1</v>
      </c>
      <c r="L832" s="11">
        <f>VLOOKUP(IF(B832="Pensioner",C832,Assumptions!$B$10),Mortality!$A$2:$E$104,5,FALSE)</f>
        <v>7.4984624308085976</v>
      </c>
      <c r="M832" s="11">
        <f>1+Assumptions!$B$13*Assumptions!$B$14*Assumptions!$B$15</f>
        <v>1.3187500000000001</v>
      </c>
      <c r="N832" s="11">
        <f>IF(B832="Pensioner",1,1/(1+Assumptions!$B$6)^G832)</f>
        <v>1</v>
      </c>
      <c r="O832" s="17">
        <f t="shared" si="12"/>
        <v>7406559.4006409999</v>
      </c>
    </row>
    <row r="833" spans="1:15">
      <c r="A833" s="13" t="str">
        <f>Members!A833</f>
        <v>A0573</v>
      </c>
      <c r="B833" s="13" t="str">
        <f>Members!B833</f>
        <v>Active</v>
      </c>
      <c r="C833" s="13">
        <f>Members!C833</f>
        <v>23</v>
      </c>
      <c r="D833" s="14">
        <f>Members!D833</f>
        <v>1</v>
      </c>
      <c r="E833" s="16">
        <f>Members!E833</f>
        <v>498000</v>
      </c>
      <c r="F833" s="16">
        <f>Members!F833</f>
        <v>0</v>
      </c>
      <c r="G833" s="15">
        <f>MAX(0,Assumptions!$B$10-C833)</f>
        <v>37</v>
      </c>
      <c r="H833" s="17">
        <f>IF(B833="Active",E833*(1+Assumptions!$B$7)^G833,E833)</f>
        <v>3610524.9395084409</v>
      </c>
      <c r="I833" s="17">
        <f>IF(B833="Active",MIN(Assumptions!$B$12,D833+G833),IF(B833="Deferred",MIN(Assumptions!$B$12,D833),D833))</f>
        <v>38</v>
      </c>
      <c r="J833" s="17">
        <f>IF(B833="Active",H833*I833*Assumptions!$B$11,IF(B833="Deferred",E833*I833*Assumptions!$B$11*(1+Assumptions!$B$9)^G833,F833))</f>
        <v>2286665.7950220127</v>
      </c>
      <c r="K833" s="11">
        <f>IF(B833="Pensioner",1,VLOOKUP(Assumptions!$B$10,Mortality!$A$2:$F$104,6,FALSE)/VLOOKUP(C833,Mortality!$A$2:$F$104,6,FALSE))</f>
        <v>0.96845927521970809</v>
      </c>
      <c r="L833" s="11">
        <f>VLOOKUP(IF(B833="Pensioner",C833,Assumptions!$B$10),Mortality!$A$2:$E$104,5,FALSE)</f>
        <v>17.296790022132885</v>
      </c>
      <c r="M833" s="11">
        <f>1+Assumptions!$B$13*Assumptions!$B$14*Assumptions!$B$15</f>
        <v>1.3187500000000001</v>
      </c>
      <c r="N833" s="11">
        <f>IF(B833="Pensioner",1,1/(1+Assumptions!$B$6)^G833)</f>
        <v>9.7289173138083412E-2</v>
      </c>
      <c r="O833" s="17">
        <f t="shared" si="12"/>
        <v>4914468.5090205213</v>
      </c>
    </row>
    <row r="834" spans="1:15">
      <c r="A834" s="13" t="str">
        <f>Members!A834</f>
        <v>P0086</v>
      </c>
      <c r="B834" s="13" t="str">
        <f>Members!B834</f>
        <v>Pensioner</v>
      </c>
      <c r="C834" s="13">
        <f>Members!C834</f>
        <v>69</v>
      </c>
      <c r="D834" s="14">
        <f>Members!D834</f>
        <v>28</v>
      </c>
      <c r="E834" s="16">
        <f>Members!E834</f>
        <v>0</v>
      </c>
      <c r="F834" s="16">
        <f>Members!F834</f>
        <v>419000</v>
      </c>
      <c r="G834" s="15">
        <f>MAX(0,Assumptions!$B$10-C834)</f>
        <v>0</v>
      </c>
      <c r="H834" s="17">
        <f>IF(B834="Active",E834*(1+Assumptions!$B$7)^G834,E834)</f>
        <v>0</v>
      </c>
      <c r="I834" s="17">
        <f>IF(B834="Active",MIN(Assumptions!$B$12,D834+G834),IF(B834="Deferred",MIN(Assumptions!$B$12,D834),D834))</f>
        <v>28</v>
      </c>
      <c r="J834" s="17">
        <f>IF(B834="Active",H834*I834*Assumptions!$B$11,IF(B834="Deferred",E834*I834*Assumptions!$B$11*(1+Assumptions!$B$9)^G834,F834))</f>
        <v>419000</v>
      </c>
      <c r="K834" s="11">
        <f>IF(B834="Pensioner",1,VLOOKUP(Assumptions!$B$10,Mortality!$A$2:$F$104,6,FALSE)/VLOOKUP(C834,Mortality!$A$2:$F$104,6,FALSE))</f>
        <v>1</v>
      </c>
      <c r="L834" s="11">
        <f>VLOOKUP(IF(B834="Pensioner",C834,Assumptions!$B$10),Mortality!$A$2:$E$104,5,FALSE)</f>
        <v>13.418448528291036</v>
      </c>
      <c r="M834" s="11">
        <f>1+Assumptions!$B$13*Assumptions!$B$14*Assumptions!$B$15</f>
        <v>1.3187500000000001</v>
      </c>
      <c r="N834" s="11">
        <f>IF(B834="Pensioner",1,1/(1+Assumptions!$B$6)^G834)</f>
        <v>1</v>
      </c>
      <c r="O834" s="17">
        <f t="shared" ref="O834:O897" si="13">J834*K834*L834*M834*N834</f>
        <v>7414447.599610514</v>
      </c>
    </row>
    <row r="835" spans="1:15">
      <c r="A835" s="13" t="str">
        <f>Members!A835</f>
        <v>A0227</v>
      </c>
      <c r="B835" s="13" t="str">
        <f>Members!B835</f>
        <v>Active</v>
      </c>
      <c r="C835" s="13">
        <f>Members!C835</f>
        <v>46</v>
      </c>
      <c r="D835" s="14">
        <f>Members!D835</f>
        <v>16.899999999999999</v>
      </c>
      <c r="E835" s="16">
        <f>Members!E835</f>
        <v>1092000</v>
      </c>
      <c r="F835" s="16">
        <f>Members!F835</f>
        <v>0</v>
      </c>
      <c r="G835" s="15">
        <f>MAX(0,Assumptions!$B$10-C835)</f>
        <v>14</v>
      </c>
      <c r="H835" s="17">
        <f>IF(B835="Active",E835*(1+Assumptions!$B$7)^G835,E835)</f>
        <v>2310771.876325916</v>
      </c>
      <c r="I835" s="17">
        <f>IF(B835="Active",MIN(Assumptions!$B$12,D835+G835),IF(B835="Deferred",MIN(Assumptions!$B$12,D835),D835))</f>
        <v>30.9</v>
      </c>
      <c r="J835" s="17">
        <f>IF(B835="Active",H835*I835*Assumptions!$B$11,IF(B835="Deferred",E835*I835*Assumptions!$B$11*(1+Assumptions!$B$9)^G835,F835))</f>
        <v>1190047.5163078466</v>
      </c>
      <c r="K835" s="11">
        <f>IF(B835="Pensioner",1,VLOOKUP(Assumptions!$B$10,Mortality!$A$2:$F$104,6,FALSE)/VLOOKUP(C835,Mortality!$A$2:$F$104,6,FALSE))</f>
        <v>0.97765823283048059</v>
      </c>
      <c r="L835" s="11">
        <f>VLOOKUP(IF(B835="Pensioner",C835,Assumptions!$B$10),Mortality!$A$2:$E$104,5,FALSE)</f>
        <v>17.296790022132885</v>
      </c>
      <c r="M835" s="11">
        <f>1+Assumptions!$B$13*Assumptions!$B$14*Assumptions!$B$15</f>
        <v>1.3187500000000001</v>
      </c>
      <c r="N835" s="11">
        <f>IF(B835="Pensioner",1,1/(1+Assumptions!$B$6)^G835)</f>
        <v>0.41410024853095956</v>
      </c>
      <c r="O835" s="17">
        <f t="shared" si="13"/>
        <v>10989674.797451533</v>
      </c>
    </row>
    <row r="836" spans="1:15">
      <c r="A836" s="13" t="str">
        <f>Members!A836</f>
        <v>A0065</v>
      </c>
      <c r="B836" s="13" t="str">
        <f>Members!B836</f>
        <v>Active</v>
      </c>
      <c r="C836" s="13">
        <f>Members!C836</f>
        <v>38</v>
      </c>
      <c r="D836" s="14">
        <f>Members!D836</f>
        <v>6.1</v>
      </c>
      <c r="E836" s="16">
        <f>Members!E836</f>
        <v>737000</v>
      </c>
      <c r="F836" s="16">
        <f>Members!F836</f>
        <v>0</v>
      </c>
      <c r="G836" s="15">
        <f>MAX(0,Assumptions!$B$10-C836)</f>
        <v>22</v>
      </c>
      <c r="H836" s="17">
        <f>IF(B836="Active",E836*(1+Assumptions!$B$7)^G836,E836)</f>
        <v>2393434.7918319772</v>
      </c>
      <c r="I836" s="17">
        <f>IF(B836="Active",MIN(Assumptions!$B$12,D836+G836),IF(B836="Deferred",MIN(Assumptions!$B$12,D836),D836))</f>
        <v>28.1</v>
      </c>
      <c r="J836" s="17">
        <f>IF(B836="Active",H836*I836*Assumptions!$B$11,IF(B836="Deferred",E836*I836*Assumptions!$B$11*(1+Assumptions!$B$9)^G836,F836))</f>
        <v>1120925.2941746425</v>
      </c>
      <c r="K836" s="11">
        <f>IF(B836="Pensioner",1,VLOOKUP(Assumptions!$B$10,Mortality!$A$2:$F$104,6,FALSE)/VLOOKUP(C836,Mortality!$A$2:$F$104,6,FALSE))</f>
        <v>0.97314826881680017</v>
      </c>
      <c r="L836" s="11">
        <f>VLOOKUP(IF(B836="Pensioner",C836,Assumptions!$B$10),Mortality!$A$2:$E$104,5,FALSE)</f>
        <v>17.296790022132885</v>
      </c>
      <c r="M836" s="11">
        <f>1+Assumptions!$B$13*Assumptions!$B$14*Assumptions!$B$15</f>
        <v>1.3187500000000001</v>
      </c>
      <c r="N836" s="11">
        <f>IF(B836="Pensioner",1,1/(1+Assumptions!$B$6)^G836)</f>
        <v>0.25021228497116527</v>
      </c>
      <c r="O836" s="17">
        <f t="shared" si="13"/>
        <v>6225758.9065827159</v>
      </c>
    </row>
    <row r="837" spans="1:15">
      <c r="A837" s="13" t="str">
        <f>Members!A837</f>
        <v>A0196</v>
      </c>
      <c r="B837" s="13" t="str">
        <f>Members!B837</f>
        <v>Active</v>
      </c>
      <c r="C837" s="13">
        <f>Members!C837</f>
        <v>49</v>
      </c>
      <c r="D837" s="14">
        <f>Members!D837</f>
        <v>19.600000000000001</v>
      </c>
      <c r="E837" s="16">
        <f>Members!E837</f>
        <v>1697000</v>
      </c>
      <c r="F837" s="16">
        <f>Members!F837</f>
        <v>0</v>
      </c>
      <c r="G837" s="15">
        <f>MAX(0,Assumptions!$B$10-C837)</f>
        <v>11</v>
      </c>
      <c r="H837" s="17">
        <f>IF(B837="Active",E837*(1+Assumptions!$B$7)^G837,E837)</f>
        <v>3058150.8088464793</v>
      </c>
      <c r="I837" s="17">
        <f>IF(B837="Active",MIN(Assumptions!$B$12,D837+G837),IF(B837="Deferred",MIN(Assumptions!$B$12,D837),D837))</f>
        <v>30.6</v>
      </c>
      <c r="J837" s="17">
        <f>IF(B837="Active",H837*I837*Assumptions!$B$11,IF(B837="Deferred",E837*I837*Assumptions!$B$11*(1+Assumptions!$B$9)^G837,F837))</f>
        <v>1559656.9125117045</v>
      </c>
      <c r="K837" s="11">
        <f>IF(B837="Pensioner",1,VLOOKUP(Assumptions!$B$10,Mortality!$A$2:$F$104,6,FALSE)/VLOOKUP(C837,Mortality!$A$2:$F$104,6,FALSE))</f>
        <v>0.98024296623595764</v>
      </c>
      <c r="L837" s="11">
        <f>VLOOKUP(IF(B837="Pensioner",C837,Assumptions!$B$10),Mortality!$A$2:$E$104,5,FALSE)</f>
        <v>17.296790022132885</v>
      </c>
      <c r="M837" s="11">
        <f>1+Assumptions!$B$13*Assumptions!$B$14*Assumptions!$B$15</f>
        <v>1.3187500000000001</v>
      </c>
      <c r="N837" s="11">
        <f>IF(B837="Pensioner",1,1/(1+Assumptions!$B$6)^G837)</f>
        <v>0.50021223992537933</v>
      </c>
      <c r="O837" s="17">
        <f t="shared" si="13"/>
        <v>17443961.096467748</v>
      </c>
    </row>
    <row r="838" spans="1:15">
      <c r="A838" s="13" t="str">
        <f>Members!A838</f>
        <v>A0454</v>
      </c>
      <c r="B838" s="13" t="str">
        <f>Members!B838</f>
        <v>Active</v>
      </c>
      <c r="C838" s="13">
        <f>Members!C838</f>
        <v>24</v>
      </c>
      <c r="D838" s="14">
        <f>Members!D838</f>
        <v>1</v>
      </c>
      <c r="E838" s="16">
        <f>Members!E838</f>
        <v>496000</v>
      </c>
      <c r="F838" s="16">
        <f>Members!F838</f>
        <v>0</v>
      </c>
      <c r="G838" s="15">
        <f>MAX(0,Assumptions!$B$10-C838)</f>
        <v>36</v>
      </c>
      <c r="H838" s="17">
        <f>IF(B838="Active",E838*(1+Assumptions!$B$7)^G838,E838)</f>
        <v>3408554.3500945712</v>
      </c>
      <c r="I838" s="17">
        <f>IF(B838="Active",MIN(Assumptions!$B$12,D838+G838),IF(B838="Deferred",MIN(Assumptions!$B$12,D838),D838))</f>
        <v>37</v>
      </c>
      <c r="J838" s="17">
        <f>IF(B838="Active",H838*I838*Assumptions!$B$11,IF(B838="Deferred",E838*I838*Assumptions!$B$11*(1+Assumptions!$B$9)^G838,F838))</f>
        <v>2101941.8492249856</v>
      </c>
      <c r="K838" s="11">
        <f>IF(B838="Pensioner",1,VLOOKUP(Assumptions!$B$10,Mortality!$A$2:$F$104,6,FALSE)/VLOOKUP(C838,Mortality!$A$2:$F$104,6,FALSE))</f>
        <v>0.96871086700607645</v>
      </c>
      <c r="L838" s="11">
        <f>VLOOKUP(IF(B838="Pensioner",C838,Assumptions!$B$10),Mortality!$A$2:$E$104,5,FALSE)</f>
        <v>17.296790022132885</v>
      </c>
      <c r="M838" s="11">
        <f>1+Assumptions!$B$13*Assumptions!$B$14*Assumptions!$B$15</f>
        <v>1.3187500000000001</v>
      </c>
      <c r="N838" s="11">
        <f>IF(B838="Pensioner",1,1/(1+Assumptions!$B$6)^G838)</f>
        <v>0.10361296939205883</v>
      </c>
      <c r="O838" s="17">
        <f t="shared" si="13"/>
        <v>4812347.4382145861</v>
      </c>
    </row>
    <row r="839" spans="1:15">
      <c r="A839" s="13" t="str">
        <f>Members!A839</f>
        <v>D0119</v>
      </c>
      <c r="B839" s="13" t="str">
        <f>Members!B839</f>
        <v>Deferred</v>
      </c>
      <c r="C839" s="13">
        <f>Members!C839</f>
        <v>48</v>
      </c>
      <c r="D839" s="14">
        <f>Members!D839</f>
        <v>16.600000000000001</v>
      </c>
      <c r="E839" s="16">
        <f>Members!E839</f>
        <v>808000</v>
      </c>
      <c r="F839" s="16">
        <f>Members!F839</f>
        <v>0</v>
      </c>
      <c r="G839" s="15">
        <f>MAX(0,Assumptions!$B$10-C839)</f>
        <v>12</v>
      </c>
      <c r="H839" s="17">
        <f>IF(B839="Active",E839*(1+Assumptions!$B$7)^G839,E839)</f>
        <v>808000</v>
      </c>
      <c r="I839" s="17">
        <f>IF(B839="Active",MIN(Assumptions!$B$12,D839+G839),IF(B839="Deferred",MIN(Assumptions!$B$12,D839),D839))</f>
        <v>16.600000000000001</v>
      </c>
      <c r="J839" s="17">
        <f>IF(B839="Active",H839*I839*Assumptions!$B$11,IF(B839="Deferred",E839*I839*Assumptions!$B$11*(1+Assumptions!$B$9)^G839,F839))</f>
        <v>357905.41568674339</v>
      </c>
      <c r="K839" s="11">
        <f>IF(B839="Pensioner",1,VLOOKUP(Assumptions!$B$10,Mortality!$A$2:$F$104,6,FALSE)/VLOOKUP(C839,Mortality!$A$2:$F$104,6,FALSE))</f>
        <v>0.97930374297365907</v>
      </c>
      <c r="L839" s="11">
        <f>VLOOKUP(IF(B839="Pensioner",C839,Assumptions!$B$10),Mortality!$A$2:$E$104,5,FALSE)</f>
        <v>17.296790022132885</v>
      </c>
      <c r="M839" s="11">
        <f>1+Assumptions!$B$13*Assumptions!$B$14*Assumptions!$B$15</f>
        <v>1.3187500000000001</v>
      </c>
      <c r="N839" s="11">
        <f>IF(B839="Pensioner",1,1/(1+Assumptions!$B$6)^G839)</f>
        <v>0.4696828543900276</v>
      </c>
      <c r="O839" s="17">
        <f t="shared" si="13"/>
        <v>3755072.9373419834</v>
      </c>
    </row>
    <row r="840" spans="1:15">
      <c r="A840" s="13" t="str">
        <f>Members!A840</f>
        <v>P0117</v>
      </c>
      <c r="B840" s="13" t="str">
        <f>Members!B840</f>
        <v>Pensioner</v>
      </c>
      <c r="C840" s="13">
        <f>Members!C840</f>
        <v>81</v>
      </c>
      <c r="D840" s="14">
        <f>Members!D840</f>
        <v>27.6</v>
      </c>
      <c r="E840" s="16">
        <f>Members!E840</f>
        <v>0</v>
      </c>
      <c r="F840" s="16">
        <f>Members!F840</f>
        <v>613000</v>
      </c>
      <c r="G840" s="15">
        <f>MAX(0,Assumptions!$B$10-C840)</f>
        <v>0</v>
      </c>
      <c r="H840" s="17">
        <f>IF(B840="Active",E840*(1+Assumptions!$B$7)^G840,E840)</f>
        <v>0</v>
      </c>
      <c r="I840" s="17">
        <f>IF(B840="Active",MIN(Assumptions!$B$12,D840+G840),IF(B840="Deferred",MIN(Assumptions!$B$12,D840),D840))</f>
        <v>27.6</v>
      </c>
      <c r="J840" s="17">
        <f>IF(B840="Active",H840*I840*Assumptions!$B$11,IF(B840="Deferred",E840*I840*Assumptions!$B$11*(1+Assumptions!$B$9)^G840,F840))</f>
        <v>613000</v>
      </c>
      <c r="K840" s="11">
        <f>IF(B840="Pensioner",1,VLOOKUP(Assumptions!$B$10,Mortality!$A$2:$F$104,6,FALSE)/VLOOKUP(C840,Mortality!$A$2:$F$104,6,FALSE))</f>
        <v>1</v>
      </c>
      <c r="L840" s="11">
        <f>VLOOKUP(IF(B840="Pensioner",C840,Assumptions!$B$10),Mortality!$A$2:$E$104,5,FALSE)</f>
        <v>7.9368977140485031</v>
      </c>
      <c r="M840" s="11">
        <f>1+Assumptions!$B$13*Assumptions!$B$14*Assumptions!$B$15</f>
        <v>1.3187500000000001</v>
      </c>
      <c r="N840" s="11">
        <f>IF(B840="Pensioner",1,1/(1+Assumptions!$B$6)^G840)</f>
        <v>1</v>
      </c>
      <c r="O840" s="17">
        <f t="shared" si="13"/>
        <v>6416138.5064260969</v>
      </c>
    </row>
    <row r="841" spans="1:15">
      <c r="A841" s="13" t="str">
        <f>Members!A841</f>
        <v>P0011</v>
      </c>
      <c r="B841" s="13" t="str">
        <f>Members!B841</f>
        <v>Pensioner</v>
      </c>
      <c r="C841" s="13">
        <f>Members!C841</f>
        <v>61</v>
      </c>
      <c r="D841" s="14">
        <f>Members!D841</f>
        <v>34.1</v>
      </c>
      <c r="E841" s="16">
        <f>Members!E841</f>
        <v>0</v>
      </c>
      <c r="F841" s="16">
        <f>Members!F841</f>
        <v>226000</v>
      </c>
      <c r="G841" s="15">
        <f>MAX(0,Assumptions!$B$10-C841)</f>
        <v>0</v>
      </c>
      <c r="H841" s="17">
        <f>IF(B841="Active",E841*(1+Assumptions!$B$7)^G841,E841)</f>
        <v>0</v>
      </c>
      <c r="I841" s="17">
        <f>IF(B841="Active",MIN(Assumptions!$B$12,D841+G841),IF(B841="Deferred",MIN(Assumptions!$B$12,D841),D841))</f>
        <v>34.1</v>
      </c>
      <c r="J841" s="17">
        <f>IF(B841="Active",H841*I841*Assumptions!$B$11,IF(B841="Deferred",E841*I841*Assumptions!$B$11*(1+Assumptions!$B$9)^G841,F841))</f>
        <v>226000</v>
      </c>
      <c r="K841" s="11">
        <f>IF(B841="Pensioner",1,VLOOKUP(Assumptions!$B$10,Mortality!$A$2:$F$104,6,FALSE)/VLOOKUP(C841,Mortality!$A$2:$F$104,6,FALSE))</f>
        <v>1</v>
      </c>
      <c r="L841" s="11">
        <f>VLOOKUP(IF(B841="Pensioner",C841,Assumptions!$B$10),Mortality!$A$2:$E$104,5,FALSE)</f>
        <v>16.889485221588366</v>
      </c>
      <c r="M841" s="11">
        <f>1+Assumptions!$B$13*Assumptions!$B$14*Assumptions!$B$15</f>
        <v>1.3187500000000001</v>
      </c>
      <c r="N841" s="11">
        <f>IF(B841="Pensioner",1,1/(1+Assumptions!$B$6)^G841)</f>
        <v>1</v>
      </c>
      <c r="O841" s="17">
        <f t="shared" si="13"/>
        <v>5033699.951729143</v>
      </c>
    </row>
    <row r="842" spans="1:15">
      <c r="A842" s="13" t="str">
        <f>Members!A842</f>
        <v>A0144</v>
      </c>
      <c r="B842" s="13" t="str">
        <f>Members!B842</f>
        <v>Active</v>
      </c>
      <c r="C842" s="13">
        <f>Members!C842</f>
        <v>44</v>
      </c>
      <c r="D842" s="14">
        <f>Members!D842</f>
        <v>8.1</v>
      </c>
      <c r="E842" s="16">
        <f>Members!E842</f>
        <v>1178000</v>
      </c>
      <c r="F842" s="16">
        <f>Members!F842</f>
        <v>0</v>
      </c>
      <c r="G842" s="15">
        <f>MAX(0,Assumptions!$B$10-C842)</f>
        <v>16</v>
      </c>
      <c r="H842" s="17">
        <f>IF(B842="Active",E842*(1+Assumptions!$B$7)^G842,E842)</f>
        <v>2774499.4597884011</v>
      </c>
      <c r="I842" s="17">
        <f>IF(B842="Active",MIN(Assumptions!$B$12,D842+G842),IF(B842="Deferred",MIN(Assumptions!$B$12,D842),D842))</f>
        <v>24.1</v>
      </c>
      <c r="J842" s="17">
        <f>IF(B842="Active",H842*I842*Assumptions!$B$11,IF(B842="Deferred",E842*I842*Assumptions!$B$11*(1+Assumptions!$B$9)^G842,F842))</f>
        <v>1114423.9496816746</v>
      </c>
      <c r="K842" s="11">
        <f>IF(B842="Pensioner",1,VLOOKUP(Assumptions!$B$10,Mortality!$A$2:$F$104,6,FALSE)/VLOOKUP(C842,Mortality!$A$2:$F$104,6,FALSE))</f>
        <v>0.97626822121787327</v>
      </c>
      <c r="L842" s="11">
        <f>VLOOKUP(IF(B842="Pensioner",C842,Assumptions!$B$10),Mortality!$A$2:$E$104,5,FALSE)</f>
        <v>17.296790022132885</v>
      </c>
      <c r="M842" s="11">
        <f>1+Assumptions!$B$13*Assumptions!$B$14*Assumptions!$B$15</f>
        <v>1.3187500000000001</v>
      </c>
      <c r="N842" s="11">
        <f>IF(B842="Pensioner",1,1/(1+Assumptions!$B$6)^G842)</f>
        <v>0.36509532811475648</v>
      </c>
      <c r="O842" s="17">
        <f t="shared" si="13"/>
        <v>9060535.1799390651</v>
      </c>
    </row>
    <row r="843" spans="1:15">
      <c r="A843" s="13" t="str">
        <f>Members!A843</f>
        <v>P0147</v>
      </c>
      <c r="B843" s="13" t="str">
        <f>Members!B843</f>
        <v>Pensioner</v>
      </c>
      <c r="C843" s="13">
        <f>Members!C843</f>
        <v>85</v>
      </c>
      <c r="D843" s="14">
        <f>Members!D843</f>
        <v>32.299999999999997</v>
      </c>
      <c r="E843" s="16">
        <f>Members!E843</f>
        <v>0</v>
      </c>
      <c r="F843" s="16">
        <f>Members!F843</f>
        <v>431000</v>
      </c>
      <c r="G843" s="15">
        <f>MAX(0,Assumptions!$B$10-C843)</f>
        <v>0</v>
      </c>
      <c r="H843" s="17">
        <f>IF(B843="Active",E843*(1+Assumptions!$B$7)^G843,E843)</f>
        <v>0</v>
      </c>
      <c r="I843" s="17">
        <f>IF(B843="Active",MIN(Assumptions!$B$12,D843+G843),IF(B843="Deferred",MIN(Assumptions!$B$12,D843),D843))</f>
        <v>32.299999999999997</v>
      </c>
      <c r="J843" s="17">
        <f>IF(B843="Active",H843*I843*Assumptions!$B$11,IF(B843="Deferred",E843*I843*Assumptions!$B$11*(1+Assumptions!$B$9)^G843,F843))</f>
        <v>431000</v>
      </c>
      <c r="K843" s="11">
        <f>IF(B843="Pensioner",1,VLOOKUP(Assumptions!$B$10,Mortality!$A$2:$F$104,6,FALSE)/VLOOKUP(C843,Mortality!$A$2:$F$104,6,FALSE))</f>
        <v>1</v>
      </c>
      <c r="L843" s="11">
        <f>VLOOKUP(IF(B843="Pensioner",C843,Assumptions!$B$10),Mortality!$A$2:$E$104,5,FALSE)</f>
        <v>6.2282827560748935</v>
      </c>
      <c r="M843" s="11">
        <f>1+Assumptions!$B$13*Assumptions!$B$14*Assumptions!$B$15</f>
        <v>1.3187500000000001</v>
      </c>
      <c r="N843" s="11">
        <f>IF(B843="Pensioner",1,1/(1+Assumptions!$B$6)^G843)</f>
        <v>1</v>
      </c>
      <c r="O843" s="17">
        <f t="shared" si="13"/>
        <v>3540039.1382512935</v>
      </c>
    </row>
    <row r="844" spans="1:15">
      <c r="A844" s="13" t="str">
        <f>Members!A844</f>
        <v>A0220</v>
      </c>
      <c r="B844" s="13" t="str">
        <f>Members!B844</f>
        <v>Active</v>
      </c>
      <c r="C844" s="13">
        <f>Members!C844</f>
        <v>32</v>
      </c>
      <c r="D844" s="14">
        <f>Members!D844</f>
        <v>2.1</v>
      </c>
      <c r="E844" s="16">
        <f>Members!E844</f>
        <v>538000</v>
      </c>
      <c r="F844" s="16">
        <f>Members!F844</f>
        <v>0</v>
      </c>
      <c r="G844" s="15">
        <f>MAX(0,Assumptions!$B$10-C844)</f>
        <v>28</v>
      </c>
      <c r="H844" s="17">
        <f>IF(B844="Active",E844*(1+Assumptions!$B$7)^G844,E844)</f>
        <v>2409079.5742742014</v>
      </c>
      <c r="I844" s="17">
        <f>IF(B844="Active",MIN(Assumptions!$B$12,D844+G844),IF(B844="Deferred",MIN(Assumptions!$B$12,D844),D844))</f>
        <v>30.1</v>
      </c>
      <c r="J844" s="17">
        <f>IF(B844="Active",H844*I844*Assumptions!$B$11,IF(B844="Deferred",E844*I844*Assumptions!$B$11*(1+Assumptions!$B$9)^G844,F844))</f>
        <v>1208554.919760891</v>
      </c>
      <c r="K844" s="11">
        <f>IF(B844="Pensioner",1,VLOOKUP(Assumptions!$B$10,Mortality!$A$2:$F$104,6,FALSE)/VLOOKUP(C844,Mortality!$A$2:$F$104,6,FALSE))</f>
        <v>0.97095846876649572</v>
      </c>
      <c r="L844" s="11">
        <f>VLOOKUP(IF(B844="Pensioner",C844,Assumptions!$B$10),Mortality!$A$2:$E$104,5,FALSE)</f>
        <v>17.296790022132885</v>
      </c>
      <c r="M844" s="11">
        <f>1+Assumptions!$B$13*Assumptions!$B$14*Assumptions!$B$15</f>
        <v>1.3187500000000001</v>
      </c>
      <c r="N844" s="11">
        <f>IF(B844="Pensioner",1,1/(1+Assumptions!$B$6)^G844)</f>
        <v>0.17147901583340255</v>
      </c>
      <c r="O844" s="17">
        <f t="shared" si="13"/>
        <v>4589929.4777914947</v>
      </c>
    </row>
    <row r="845" spans="1:15">
      <c r="A845" s="13" t="str">
        <f>Members!A845</f>
        <v>P0225</v>
      </c>
      <c r="B845" s="13" t="str">
        <f>Members!B845</f>
        <v>Pensioner</v>
      </c>
      <c r="C845" s="13">
        <f>Members!C845</f>
        <v>86</v>
      </c>
      <c r="D845" s="14">
        <f>Members!D845</f>
        <v>17</v>
      </c>
      <c r="E845" s="16">
        <f>Members!E845</f>
        <v>0</v>
      </c>
      <c r="F845" s="16">
        <f>Members!F845</f>
        <v>744000</v>
      </c>
      <c r="G845" s="15">
        <f>MAX(0,Assumptions!$B$10-C845)</f>
        <v>0</v>
      </c>
      <c r="H845" s="17">
        <f>IF(B845="Active",E845*(1+Assumptions!$B$7)^G845,E845)</f>
        <v>0</v>
      </c>
      <c r="I845" s="17">
        <f>IF(B845="Active",MIN(Assumptions!$B$12,D845+G845),IF(B845="Deferred",MIN(Assumptions!$B$12,D845),D845))</f>
        <v>17</v>
      </c>
      <c r="J845" s="17">
        <f>IF(B845="Active",H845*I845*Assumptions!$B$11,IF(B845="Deferred",E845*I845*Assumptions!$B$11*(1+Assumptions!$B$9)^G845,F845))</f>
        <v>744000</v>
      </c>
      <c r="K845" s="11">
        <f>IF(B845="Pensioner",1,VLOOKUP(Assumptions!$B$10,Mortality!$A$2:$F$104,6,FALSE)/VLOOKUP(C845,Mortality!$A$2:$F$104,6,FALSE))</f>
        <v>1</v>
      </c>
      <c r="L845" s="11">
        <f>VLOOKUP(IF(B845="Pensioner",C845,Assumptions!$B$10),Mortality!$A$2:$E$104,5,FALSE)</f>
        <v>5.822832972912483</v>
      </c>
      <c r="M845" s="11">
        <f>1+Assumptions!$B$13*Assumptions!$B$14*Assumptions!$B$15</f>
        <v>1.3187500000000001</v>
      </c>
      <c r="N845" s="11">
        <f>IF(B845="Pensioner",1,1/(1+Assumptions!$B$6)^G845)</f>
        <v>1</v>
      </c>
      <c r="O845" s="17">
        <f t="shared" si="13"/>
        <v>5713072.5713730836</v>
      </c>
    </row>
    <row r="846" spans="1:15">
      <c r="A846" s="13" t="str">
        <f>Members!A846</f>
        <v>A0433</v>
      </c>
      <c r="B846" s="13" t="str">
        <f>Members!B846</f>
        <v>Active</v>
      </c>
      <c r="C846" s="13">
        <f>Members!C846</f>
        <v>28</v>
      </c>
      <c r="D846" s="14">
        <f>Members!D846</f>
        <v>4.3</v>
      </c>
      <c r="E846" s="16">
        <f>Members!E846</f>
        <v>521000</v>
      </c>
      <c r="F846" s="16">
        <f>Members!F846</f>
        <v>0</v>
      </c>
      <c r="G846" s="15">
        <f>MAX(0,Assumptions!$B$10-C846)</f>
        <v>32</v>
      </c>
      <c r="H846" s="17">
        <f>IF(B846="Active",E846*(1+Assumptions!$B$7)^G846,E846)</f>
        <v>2890123.7014210396</v>
      </c>
      <c r="I846" s="17">
        <f>IF(B846="Active",MIN(Assumptions!$B$12,D846+G846),IF(B846="Deferred",MIN(Assumptions!$B$12,D846),D846))</f>
        <v>36.299999999999997</v>
      </c>
      <c r="J846" s="17">
        <f>IF(B846="Active",H846*I846*Assumptions!$B$11,IF(B846="Deferred",E846*I846*Assumptions!$B$11*(1+Assumptions!$B$9)^G846,F846))</f>
        <v>1748524.8393597286</v>
      </c>
      <c r="K846" s="11">
        <f>IF(B846="Pensioner",1,VLOOKUP(Assumptions!$B$10,Mortality!$A$2:$F$104,6,FALSE)/VLOOKUP(C846,Mortality!$A$2:$F$104,6,FALSE))</f>
        <v>0.96977196143473232</v>
      </c>
      <c r="L846" s="11">
        <f>VLOOKUP(IF(B846="Pensioner",C846,Assumptions!$B$10),Mortality!$A$2:$E$104,5,FALSE)</f>
        <v>17.296790022132885</v>
      </c>
      <c r="M846" s="11">
        <f>1+Assumptions!$B$13*Assumptions!$B$14*Assumptions!$B$15</f>
        <v>1.3187500000000001</v>
      </c>
      <c r="N846" s="11">
        <f>IF(B846="Pensioner",1,1/(1+Assumptions!$B$6)^G846)</f>
        <v>0.13329459861122173</v>
      </c>
      <c r="O846" s="17">
        <f t="shared" si="13"/>
        <v>5155632.666257414</v>
      </c>
    </row>
    <row r="847" spans="1:15">
      <c r="A847" s="13" t="str">
        <f>Members!A847</f>
        <v>P0113</v>
      </c>
      <c r="B847" s="13" t="str">
        <f>Members!B847</f>
        <v>Pensioner</v>
      </c>
      <c r="C847" s="13">
        <f>Members!C847</f>
        <v>79</v>
      </c>
      <c r="D847" s="14">
        <f>Members!D847</f>
        <v>15.8</v>
      </c>
      <c r="E847" s="16">
        <f>Members!E847</f>
        <v>0</v>
      </c>
      <c r="F847" s="16">
        <f>Members!F847</f>
        <v>331000</v>
      </c>
      <c r="G847" s="15">
        <f>MAX(0,Assumptions!$B$10-C847)</f>
        <v>0</v>
      </c>
      <c r="H847" s="17">
        <f>IF(B847="Active",E847*(1+Assumptions!$B$7)^G847,E847)</f>
        <v>0</v>
      </c>
      <c r="I847" s="17">
        <f>IF(B847="Active",MIN(Assumptions!$B$12,D847+G847),IF(B847="Deferred",MIN(Assumptions!$B$12,D847),D847))</f>
        <v>15.8</v>
      </c>
      <c r="J847" s="17">
        <f>IF(B847="Active",H847*I847*Assumptions!$B$11,IF(B847="Deferred",E847*I847*Assumptions!$B$11*(1+Assumptions!$B$9)^G847,F847))</f>
        <v>331000</v>
      </c>
      <c r="K847" s="11">
        <f>IF(B847="Pensioner",1,VLOOKUP(Assumptions!$B$10,Mortality!$A$2:$F$104,6,FALSE)/VLOOKUP(C847,Mortality!$A$2:$F$104,6,FALSE))</f>
        <v>1</v>
      </c>
      <c r="L847" s="11">
        <f>VLOOKUP(IF(B847="Pensioner",C847,Assumptions!$B$10),Mortality!$A$2:$E$104,5,FALSE)</f>
        <v>8.8309325629147608</v>
      </c>
      <c r="M847" s="11">
        <f>1+Assumptions!$B$13*Assumptions!$B$14*Assumptions!$B$15</f>
        <v>1.3187500000000001</v>
      </c>
      <c r="N847" s="11">
        <f>IF(B847="Pensioner",1,1/(1+Assumptions!$B$6)^G847)</f>
        <v>1</v>
      </c>
      <c r="O847" s="17">
        <f t="shared" si="13"/>
        <v>3854757.2570408117</v>
      </c>
    </row>
    <row r="848" spans="1:15">
      <c r="A848" s="13" t="str">
        <f>Members!A848</f>
        <v>A0210</v>
      </c>
      <c r="B848" s="13" t="str">
        <f>Members!B848</f>
        <v>Active</v>
      </c>
      <c r="C848" s="13">
        <f>Members!C848</f>
        <v>23</v>
      </c>
      <c r="D848" s="14">
        <f>Members!D848</f>
        <v>1</v>
      </c>
      <c r="E848" s="16">
        <f>Members!E848</f>
        <v>440000</v>
      </c>
      <c r="F848" s="16">
        <f>Members!F848</f>
        <v>0</v>
      </c>
      <c r="G848" s="15">
        <f>MAX(0,Assumptions!$B$10-C848)</f>
        <v>37</v>
      </c>
      <c r="H848" s="17">
        <f>IF(B848="Active",E848*(1+Assumptions!$B$7)^G848,E848)</f>
        <v>3190022.0349070565</v>
      </c>
      <c r="I848" s="17">
        <f>IF(B848="Active",MIN(Assumptions!$B$12,D848+G848),IF(B848="Deferred",MIN(Assumptions!$B$12,D848),D848))</f>
        <v>38</v>
      </c>
      <c r="J848" s="17">
        <f>IF(B848="Active",H848*I848*Assumptions!$B$11,IF(B848="Deferred",E848*I848*Assumptions!$B$11*(1+Assumptions!$B$9)^G848,F848))</f>
        <v>2020347.2887744689</v>
      </c>
      <c r="K848" s="11">
        <f>IF(B848="Pensioner",1,VLOOKUP(Assumptions!$B$10,Mortality!$A$2:$F$104,6,FALSE)/VLOOKUP(C848,Mortality!$A$2:$F$104,6,FALSE))</f>
        <v>0.96845927521970809</v>
      </c>
      <c r="L848" s="11">
        <f>VLOOKUP(IF(B848="Pensioner",C848,Assumptions!$B$10),Mortality!$A$2:$E$104,5,FALSE)</f>
        <v>17.296790022132885</v>
      </c>
      <c r="M848" s="11">
        <f>1+Assumptions!$B$13*Assumptions!$B$14*Assumptions!$B$15</f>
        <v>1.3187500000000001</v>
      </c>
      <c r="N848" s="11">
        <f>IF(B848="Pensioner",1,1/(1+Assumptions!$B$6)^G848)</f>
        <v>9.7289173138083412E-2</v>
      </c>
      <c r="O848" s="17">
        <f t="shared" si="13"/>
        <v>4342100.6907008616</v>
      </c>
    </row>
    <row r="849" spans="1:15">
      <c r="A849" s="13" t="str">
        <f>Members!A849</f>
        <v>A0346</v>
      </c>
      <c r="B849" s="13" t="str">
        <f>Members!B849</f>
        <v>Active</v>
      </c>
      <c r="C849" s="13">
        <f>Members!C849</f>
        <v>36</v>
      </c>
      <c r="D849" s="14">
        <f>Members!D849</f>
        <v>14.8</v>
      </c>
      <c r="E849" s="16">
        <f>Members!E849</f>
        <v>578000</v>
      </c>
      <c r="F849" s="16">
        <f>Members!F849</f>
        <v>0</v>
      </c>
      <c r="G849" s="15">
        <f>MAX(0,Assumptions!$B$10-C849)</f>
        <v>24</v>
      </c>
      <c r="H849" s="17">
        <f>IF(B849="Active",E849*(1+Assumptions!$B$7)^G849,E849)</f>
        <v>2089232.9644577182</v>
      </c>
      <c r="I849" s="17">
        <f>IF(B849="Active",MIN(Assumptions!$B$12,D849+G849),IF(B849="Deferred",MIN(Assumptions!$B$12,D849),D849))</f>
        <v>38.799999999999997</v>
      </c>
      <c r="J849" s="17">
        <f>IF(B849="Active",H849*I849*Assumptions!$B$11,IF(B849="Deferred",E849*I849*Assumptions!$B$11*(1+Assumptions!$B$9)^G849,F849))</f>
        <v>1351037.3170159911</v>
      </c>
      <c r="K849" s="11">
        <f>IF(B849="Pensioner",1,VLOOKUP(Assumptions!$B$10,Mortality!$A$2:$F$104,6,FALSE)/VLOOKUP(C849,Mortality!$A$2:$F$104,6,FALSE))</f>
        <v>0.97234503055413524</v>
      </c>
      <c r="L849" s="11">
        <f>VLOOKUP(IF(B849="Pensioner",C849,Assumptions!$B$10),Mortality!$A$2:$E$104,5,FALSE)</f>
        <v>17.296790022132885</v>
      </c>
      <c r="M849" s="11">
        <f>1+Assumptions!$B$13*Assumptions!$B$14*Assumptions!$B$15</f>
        <v>1.3187500000000001</v>
      </c>
      <c r="N849" s="11">
        <f>IF(B849="Pensioner",1,1/(1+Assumptions!$B$6)^G849)</f>
        <v>0.22060198370796386</v>
      </c>
      <c r="O849" s="17">
        <f t="shared" si="13"/>
        <v>6610360.4763087332</v>
      </c>
    </row>
    <row r="850" spans="1:15">
      <c r="A850" s="13" t="str">
        <f>Members!A850</f>
        <v>A0348</v>
      </c>
      <c r="B850" s="13" t="str">
        <f>Members!B850</f>
        <v>Active</v>
      </c>
      <c r="C850" s="13">
        <f>Members!C850</f>
        <v>27</v>
      </c>
      <c r="D850" s="14">
        <f>Members!D850</f>
        <v>3.1</v>
      </c>
      <c r="E850" s="16">
        <f>Members!E850</f>
        <v>544000</v>
      </c>
      <c r="F850" s="16">
        <f>Members!F850</f>
        <v>0</v>
      </c>
      <c r="G850" s="15">
        <f>MAX(0,Assumptions!$B$10-C850)</f>
        <v>33</v>
      </c>
      <c r="H850" s="17">
        <f>IF(B850="Active",E850*(1+Assumptions!$B$7)^G850,E850)</f>
        <v>3183684.8267170116</v>
      </c>
      <c r="I850" s="17">
        <f>IF(B850="Active",MIN(Assumptions!$B$12,D850+G850),IF(B850="Deferred",MIN(Assumptions!$B$12,D850),D850))</f>
        <v>36.1</v>
      </c>
      <c r="J850" s="17">
        <f>IF(B850="Active",H850*I850*Assumptions!$B$11,IF(B850="Deferred",E850*I850*Assumptions!$B$11*(1+Assumptions!$B$9)^G850,F850))</f>
        <v>1915517.0374080688</v>
      </c>
      <c r="K850" s="11">
        <f>IF(B850="Pensioner",1,VLOOKUP(Assumptions!$B$10,Mortality!$A$2:$F$104,6,FALSE)/VLOOKUP(C850,Mortality!$A$2:$F$104,6,FALSE))</f>
        <v>0.96949713302845153</v>
      </c>
      <c r="L850" s="11">
        <f>VLOOKUP(IF(B850="Pensioner",C850,Assumptions!$B$10),Mortality!$A$2:$E$104,5,FALSE)</f>
        <v>17.296790022132885</v>
      </c>
      <c r="M850" s="11">
        <f>1+Assumptions!$B$13*Assumptions!$B$14*Assumptions!$B$15</f>
        <v>1.3187500000000001</v>
      </c>
      <c r="N850" s="11">
        <f>IF(B850="Pensioner",1,1/(1+Assumptions!$B$6)^G850)</f>
        <v>0.12515924752227392</v>
      </c>
      <c r="O850" s="17">
        <f t="shared" si="13"/>
        <v>5301801.6698350431</v>
      </c>
    </row>
    <row r="851" spans="1:15">
      <c r="A851" s="13" t="str">
        <f>Members!A851</f>
        <v>A0392</v>
      </c>
      <c r="B851" s="13" t="str">
        <f>Members!B851</f>
        <v>Active</v>
      </c>
      <c r="C851" s="13">
        <f>Members!C851</f>
        <v>52</v>
      </c>
      <c r="D851" s="14">
        <f>Members!D851</f>
        <v>12.4</v>
      </c>
      <c r="E851" s="16">
        <f>Members!E851</f>
        <v>1322000</v>
      </c>
      <c r="F851" s="16">
        <f>Members!F851</f>
        <v>0</v>
      </c>
      <c r="G851" s="15">
        <f>MAX(0,Assumptions!$B$10-C851)</f>
        <v>8</v>
      </c>
      <c r="H851" s="17">
        <f>IF(B851="Active",E851*(1+Assumptions!$B$7)^G851,E851)</f>
        <v>2028855.572824914</v>
      </c>
      <c r="I851" s="17">
        <f>IF(B851="Active",MIN(Assumptions!$B$12,D851+G851),IF(B851="Deferred",MIN(Assumptions!$B$12,D851),D851))</f>
        <v>20.399999999999999</v>
      </c>
      <c r="J851" s="17">
        <f>IF(B851="Active",H851*I851*Assumptions!$B$11,IF(B851="Deferred",E851*I851*Assumptions!$B$11*(1+Assumptions!$B$9)^G851,F851))</f>
        <v>689810.89476047072</v>
      </c>
      <c r="K851" s="11">
        <f>IF(B851="Pensioner",1,VLOOKUP(Assumptions!$B$10,Mortality!$A$2:$F$104,6,FALSE)/VLOOKUP(C851,Mortality!$A$2:$F$104,6,FALSE))</f>
        <v>0.98365275168798427</v>
      </c>
      <c r="L851" s="11">
        <f>VLOOKUP(IF(B851="Pensioner",C851,Assumptions!$B$10),Mortality!$A$2:$E$104,5,FALSE)</f>
        <v>17.296790022132885</v>
      </c>
      <c r="M851" s="11">
        <f>1+Assumptions!$B$13*Assumptions!$B$14*Assumptions!$B$15</f>
        <v>1.3187500000000001</v>
      </c>
      <c r="N851" s="11">
        <f>IF(B851="Pensioner",1,1/(1+Assumptions!$B$6)^G851)</f>
        <v>0.60423118763827188</v>
      </c>
      <c r="O851" s="17">
        <f t="shared" si="13"/>
        <v>9351967.3976690117</v>
      </c>
    </row>
    <row r="852" spans="1:15">
      <c r="A852" s="13" t="str">
        <f>Members!A852</f>
        <v>A0176</v>
      </c>
      <c r="B852" s="13" t="str">
        <f>Members!B852</f>
        <v>Active</v>
      </c>
      <c r="C852" s="13">
        <f>Members!C852</f>
        <v>39</v>
      </c>
      <c r="D852" s="14">
        <f>Members!D852</f>
        <v>2.2999999999999998</v>
      </c>
      <c r="E852" s="16">
        <f>Members!E852</f>
        <v>812000</v>
      </c>
      <c r="F852" s="16">
        <f>Members!F852</f>
        <v>0</v>
      </c>
      <c r="G852" s="15">
        <f>MAX(0,Assumptions!$B$10-C852)</f>
        <v>21</v>
      </c>
      <c r="H852" s="17">
        <f>IF(B852="Active",E852*(1+Assumptions!$B$7)^G852,E852)</f>
        <v>2499526.1319008991</v>
      </c>
      <c r="I852" s="17">
        <f>IF(B852="Active",MIN(Assumptions!$B$12,D852+G852),IF(B852="Deferred",MIN(Assumptions!$B$12,D852),D852))</f>
        <v>23.3</v>
      </c>
      <c r="J852" s="17">
        <f>IF(B852="Active",H852*I852*Assumptions!$B$11,IF(B852="Deferred",E852*I852*Assumptions!$B$11*(1+Assumptions!$B$9)^G852,F852))</f>
        <v>970649.31455484917</v>
      </c>
      <c r="K852" s="11">
        <f>IF(B852="Pensioner",1,VLOOKUP(Assumptions!$B$10,Mortality!$A$2:$F$104,6,FALSE)/VLOOKUP(C852,Mortality!$A$2:$F$104,6,FALSE))</f>
        <v>0.97358574177887802</v>
      </c>
      <c r="L852" s="11">
        <f>VLOOKUP(IF(B852="Pensioner",C852,Assumptions!$B$10),Mortality!$A$2:$E$104,5,FALSE)</f>
        <v>17.296790022132885</v>
      </c>
      <c r="M852" s="11">
        <f>1+Assumptions!$B$13*Assumptions!$B$14*Assumptions!$B$15</f>
        <v>1.3187500000000001</v>
      </c>
      <c r="N852" s="11">
        <f>IF(B852="Pensioner",1,1/(1+Assumptions!$B$6)^G852)</f>
        <v>0.26647608349429097</v>
      </c>
      <c r="O852" s="17">
        <f t="shared" si="13"/>
        <v>5744110.4196839016</v>
      </c>
    </row>
    <row r="853" spans="1:15">
      <c r="A853" s="13" t="str">
        <f>Members!A853</f>
        <v>A0005</v>
      </c>
      <c r="B853" s="13" t="str">
        <f>Members!B853</f>
        <v>Active</v>
      </c>
      <c r="C853" s="13">
        <f>Members!C853</f>
        <v>35</v>
      </c>
      <c r="D853" s="14">
        <f>Members!D853</f>
        <v>5.5</v>
      </c>
      <c r="E853" s="16">
        <f>Members!E853</f>
        <v>545000</v>
      </c>
      <c r="F853" s="16">
        <f>Members!F853</f>
        <v>0</v>
      </c>
      <c r="G853" s="15">
        <f>MAX(0,Assumptions!$B$10-C853)</f>
        <v>25</v>
      </c>
      <c r="H853" s="17">
        <f>IF(B853="Active",E853*(1+Assumptions!$B$7)^G853,E853)</f>
        <v>2078298.8299984024</v>
      </c>
      <c r="I853" s="17">
        <f>IF(B853="Active",MIN(Assumptions!$B$12,D853+G853),IF(B853="Deferred",MIN(Assumptions!$B$12,D853),D853))</f>
        <v>30.5</v>
      </c>
      <c r="J853" s="17">
        <f>IF(B853="Active",H853*I853*Assumptions!$B$11,IF(B853="Deferred",E853*I853*Assumptions!$B$11*(1+Assumptions!$B$9)^G853,F853))</f>
        <v>1056468.5719158545</v>
      </c>
      <c r="K853" s="11">
        <f>IF(B853="Pensioner",1,VLOOKUP(Assumptions!$B$10,Mortality!$A$2:$F$104,6,FALSE)/VLOOKUP(C853,Mortality!$A$2:$F$104,6,FALSE))</f>
        <v>0.97197407653867529</v>
      </c>
      <c r="L853" s="11">
        <f>VLOOKUP(IF(B853="Pensioner",C853,Assumptions!$B$10),Mortality!$A$2:$E$104,5,FALSE)</f>
        <v>17.296790022132885</v>
      </c>
      <c r="M853" s="11">
        <f>1+Assumptions!$B$13*Assumptions!$B$14*Assumptions!$B$15</f>
        <v>1.3187500000000001</v>
      </c>
      <c r="N853" s="11">
        <f>IF(B853="Pensioner",1,1/(1+Assumptions!$B$6)^G853)</f>
        <v>0.20713801287132758</v>
      </c>
      <c r="O853" s="17">
        <f t="shared" si="13"/>
        <v>4851757.1621563816</v>
      </c>
    </row>
    <row r="854" spans="1:15">
      <c r="A854" s="13" t="str">
        <f>Members!A854</f>
        <v>A0333</v>
      </c>
      <c r="B854" s="13" t="str">
        <f>Members!B854</f>
        <v>Active</v>
      </c>
      <c r="C854" s="13">
        <f>Members!C854</f>
        <v>27</v>
      </c>
      <c r="D854" s="14">
        <f>Members!D854</f>
        <v>2.2999999999999998</v>
      </c>
      <c r="E854" s="16">
        <f>Members!E854</f>
        <v>537000</v>
      </c>
      <c r="F854" s="16">
        <f>Members!F854</f>
        <v>0</v>
      </c>
      <c r="G854" s="15">
        <f>MAX(0,Assumptions!$B$10-C854)</f>
        <v>33</v>
      </c>
      <c r="H854" s="17">
        <f>IF(B854="Active",E854*(1+Assumptions!$B$7)^G854,E854)</f>
        <v>3142718.2940202854</v>
      </c>
      <c r="I854" s="17">
        <f>IF(B854="Active",MIN(Assumptions!$B$12,D854+G854),IF(B854="Deferred",MIN(Assumptions!$B$12,D854),D854))</f>
        <v>35.299999999999997</v>
      </c>
      <c r="J854" s="17">
        <f>IF(B854="Active",H854*I854*Assumptions!$B$11,IF(B854="Deferred",E854*I854*Assumptions!$B$11*(1+Assumptions!$B$9)^G854,F854))</f>
        <v>1848965.929648601</v>
      </c>
      <c r="K854" s="11">
        <f>IF(B854="Pensioner",1,VLOOKUP(Assumptions!$B$10,Mortality!$A$2:$F$104,6,FALSE)/VLOOKUP(C854,Mortality!$A$2:$F$104,6,FALSE))</f>
        <v>0.96949713302845153</v>
      </c>
      <c r="L854" s="11">
        <f>VLOOKUP(IF(B854="Pensioner",C854,Assumptions!$B$10),Mortality!$A$2:$E$104,5,FALSE)</f>
        <v>17.296790022132885</v>
      </c>
      <c r="M854" s="11">
        <f>1+Assumptions!$B$13*Assumptions!$B$14*Assumptions!$B$15</f>
        <v>1.3187500000000001</v>
      </c>
      <c r="N854" s="11">
        <f>IF(B854="Pensioner",1,1/(1+Assumptions!$B$6)^G854)</f>
        <v>0.12515924752227392</v>
      </c>
      <c r="O854" s="17">
        <f t="shared" si="13"/>
        <v>5117600.3459324623</v>
      </c>
    </row>
    <row r="855" spans="1:15">
      <c r="A855" s="13" t="str">
        <f>Members!A855</f>
        <v>P0131</v>
      </c>
      <c r="B855" s="13" t="str">
        <f>Members!B855</f>
        <v>Pensioner</v>
      </c>
      <c r="C855" s="13">
        <f>Members!C855</f>
        <v>63</v>
      </c>
      <c r="D855" s="14">
        <f>Members!D855</f>
        <v>27.9</v>
      </c>
      <c r="E855" s="16">
        <f>Members!E855</f>
        <v>0</v>
      </c>
      <c r="F855" s="16">
        <f>Members!F855</f>
        <v>393000</v>
      </c>
      <c r="G855" s="15">
        <f>MAX(0,Assumptions!$B$10-C855)</f>
        <v>0</v>
      </c>
      <c r="H855" s="17">
        <f>IF(B855="Active",E855*(1+Assumptions!$B$7)^G855,E855)</f>
        <v>0</v>
      </c>
      <c r="I855" s="17">
        <f>IF(B855="Active",MIN(Assumptions!$B$12,D855+G855),IF(B855="Deferred",MIN(Assumptions!$B$12,D855),D855))</f>
        <v>27.9</v>
      </c>
      <c r="J855" s="17">
        <f>IF(B855="Active",H855*I855*Assumptions!$B$11,IF(B855="Deferred",E855*I855*Assumptions!$B$11*(1+Assumptions!$B$9)^G855,F855))</f>
        <v>393000</v>
      </c>
      <c r="K855" s="11">
        <f>IF(B855="Pensioner",1,VLOOKUP(Assumptions!$B$10,Mortality!$A$2:$F$104,6,FALSE)/VLOOKUP(C855,Mortality!$A$2:$F$104,6,FALSE))</f>
        <v>1</v>
      </c>
      <c r="L855" s="11">
        <f>VLOOKUP(IF(B855="Pensioner",C855,Assumptions!$B$10),Mortality!$A$2:$E$104,5,FALSE)</f>
        <v>16.055191398346196</v>
      </c>
      <c r="M855" s="11">
        <f>1+Assumptions!$B$13*Assumptions!$B$14*Assumptions!$B$15</f>
        <v>1.3187500000000001</v>
      </c>
      <c r="N855" s="11">
        <f>IF(B855="Pensioner",1,1/(1+Assumptions!$B$6)^G855)</f>
        <v>1</v>
      </c>
      <c r="O855" s="17">
        <f t="shared" si="13"/>
        <v>8320903.9770316351</v>
      </c>
    </row>
    <row r="856" spans="1:15">
      <c r="A856" s="13" t="str">
        <f>Members!A856</f>
        <v>P0042</v>
      </c>
      <c r="B856" s="13" t="str">
        <f>Members!B856</f>
        <v>Pensioner</v>
      </c>
      <c r="C856" s="13">
        <f>Members!C856</f>
        <v>85</v>
      </c>
      <c r="D856" s="14">
        <f>Members!D856</f>
        <v>35.299999999999997</v>
      </c>
      <c r="E856" s="16">
        <f>Members!E856</f>
        <v>0</v>
      </c>
      <c r="F856" s="16">
        <f>Members!F856</f>
        <v>500000</v>
      </c>
      <c r="G856" s="15">
        <f>MAX(0,Assumptions!$B$10-C856)</f>
        <v>0</v>
      </c>
      <c r="H856" s="17">
        <f>IF(B856="Active",E856*(1+Assumptions!$B$7)^G856,E856)</f>
        <v>0</v>
      </c>
      <c r="I856" s="17">
        <f>IF(B856="Active",MIN(Assumptions!$B$12,D856+G856),IF(B856="Deferred",MIN(Assumptions!$B$12,D856),D856))</f>
        <v>35.299999999999997</v>
      </c>
      <c r="J856" s="17">
        <f>IF(B856="Active",H856*I856*Assumptions!$B$11,IF(B856="Deferred",E856*I856*Assumptions!$B$11*(1+Assumptions!$B$9)^G856,F856))</f>
        <v>500000</v>
      </c>
      <c r="K856" s="11">
        <f>IF(B856="Pensioner",1,VLOOKUP(Assumptions!$B$10,Mortality!$A$2:$F$104,6,FALSE)/VLOOKUP(C856,Mortality!$A$2:$F$104,6,FALSE))</f>
        <v>1</v>
      </c>
      <c r="L856" s="11">
        <f>VLOOKUP(IF(B856="Pensioner",C856,Assumptions!$B$10),Mortality!$A$2:$E$104,5,FALSE)</f>
        <v>6.2282827560748935</v>
      </c>
      <c r="M856" s="11">
        <f>1+Assumptions!$B$13*Assumptions!$B$14*Assumptions!$B$15</f>
        <v>1.3187500000000001</v>
      </c>
      <c r="N856" s="11">
        <f>IF(B856="Pensioner",1,1/(1+Assumptions!$B$6)^G856)</f>
        <v>1</v>
      </c>
      <c r="O856" s="17">
        <f t="shared" si="13"/>
        <v>4106773.942286883</v>
      </c>
    </row>
    <row r="857" spans="1:15">
      <c r="A857" s="13" t="str">
        <f>Members!A857</f>
        <v>A0372</v>
      </c>
      <c r="B857" s="13" t="str">
        <f>Members!B857</f>
        <v>Active</v>
      </c>
      <c r="C857" s="13">
        <f>Members!C857</f>
        <v>37</v>
      </c>
      <c r="D857" s="14">
        <f>Members!D857</f>
        <v>10.3</v>
      </c>
      <c r="E857" s="16">
        <f>Members!E857</f>
        <v>791000</v>
      </c>
      <c r="F857" s="16">
        <f>Members!F857</f>
        <v>0</v>
      </c>
      <c r="G857" s="15">
        <f>MAX(0,Assumptions!$B$10-C857)</f>
        <v>23</v>
      </c>
      <c r="H857" s="17">
        <f>IF(B857="Active",E857*(1+Assumptions!$B$7)^G857,E857)</f>
        <v>2710085.8900376442</v>
      </c>
      <c r="I857" s="17">
        <f>IF(B857="Active",MIN(Assumptions!$B$12,D857+G857),IF(B857="Deferred",MIN(Assumptions!$B$12,D857),D857))</f>
        <v>33.299999999999997</v>
      </c>
      <c r="J857" s="17">
        <f>IF(B857="Active",H857*I857*Assumptions!$B$11,IF(B857="Deferred",E857*I857*Assumptions!$B$11*(1+Assumptions!$B$9)^G857,F857))</f>
        <v>1504097.6689708922</v>
      </c>
      <c r="K857" s="11">
        <f>IF(B857="Pensioner",1,VLOOKUP(Assumptions!$B$10,Mortality!$A$2:$F$104,6,FALSE)/VLOOKUP(C857,Mortality!$A$2:$F$104,6,FALSE))</f>
        <v>0.97273561412651877</v>
      </c>
      <c r="L857" s="11">
        <f>VLOOKUP(IF(B857="Pensioner",C857,Assumptions!$B$10),Mortality!$A$2:$E$104,5,FALSE)</f>
        <v>17.296790022132885</v>
      </c>
      <c r="M857" s="11">
        <f>1+Assumptions!$B$13*Assumptions!$B$14*Assumptions!$B$15</f>
        <v>1.3187500000000001</v>
      </c>
      <c r="N857" s="11">
        <f>IF(B857="Pensioner",1,1/(1+Assumptions!$B$6)^G857)</f>
        <v>0.23494111264898151</v>
      </c>
      <c r="O857" s="17">
        <f t="shared" si="13"/>
        <v>7840754.6080854619</v>
      </c>
    </row>
    <row r="858" spans="1:15">
      <c r="A858" s="13" t="str">
        <f>Members!A858</f>
        <v>A0056</v>
      </c>
      <c r="B858" s="13" t="str">
        <f>Members!B858</f>
        <v>Active</v>
      </c>
      <c r="C858" s="13">
        <f>Members!C858</f>
        <v>55</v>
      </c>
      <c r="D858" s="14">
        <f>Members!D858</f>
        <v>23.5</v>
      </c>
      <c r="E858" s="16">
        <f>Members!E858</f>
        <v>1764000</v>
      </c>
      <c r="F858" s="16">
        <f>Members!F858</f>
        <v>0</v>
      </c>
      <c r="G858" s="15">
        <f>MAX(0,Assumptions!$B$10-C858)</f>
        <v>5</v>
      </c>
      <c r="H858" s="17">
        <f>IF(B858="Active",E858*(1+Assumptions!$B$7)^G858,E858)</f>
        <v>2305477.4513061368</v>
      </c>
      <c r="I858" s="17">
        <f>IF(B858="Active",MIN(Assumptions!$B$12,D858+G858),IF(B858="Deferred",MIN(Assumptions!$B$12,D858),D858))</f>
        <v>28.5</v>
      </c>
      <c r="J858" s="17">
        <f>IF(B858="Active",H858*I858*Assumptions!$B$11,IF(B858="Deferred",E858*I858*Assumptions!$B$11*(1+Assumptions!$B$9)^G858,F858))</f>
        <v>1095101.789370415</v>
      </c>
      <c r="K858" s="11">
        <f>IF(B858="Pensioner",1,VLOOKUP(Assumptions!$B$10,Mortality!$A$2:$F$104,6,FALSE)/VLOOKUP(C858,Mortality!$A$2:$F$104,6,FALSE))</f>
        <v>0.98824190874991746</v>
      </c>
      <c r="L858" s="11">
        <f>VLOOKUP(IF(B858="Pensioner",C858,Assumptions!$B$10),Mortality!$A$2:$E$104,5,FALSE)</f>
        <v>17.296790022132885</v>
      </c>
      <c r="M858" s="11">
        <f>1+Assumptions!$B$13*Assumptions!$B$14*Assumptions!$B$15</f>
        <v>1.3187500000000001</v>
      </c>
      <c r="N858" s="11">
        <f>IF(B858="Pensioner",1,1/(1+Assumptions!$B$6)^G858)</f>
        <v>0.72988083652095492</v>
      </c>
      <c r="O858" s="17">
        <f t="shared" si="13"/>
        <v>18017631.600995917</v>
      </c>
    </row>
    <row r="859" spans="1:15">
      <c r="A859" s="13" t="str">
        <f>Members!A859</f>
        <v>D0015</v>
      </c>
      <c r="B859" s="13" t="str">
        <f>Members!B859</f>
        <v>Deferred</v>
      </c>
      <c r="C859" s="13">
        <f>Members!C859</f>
        <v>31</v>
      </c>
      <c r="D859" s="14">
        <f>Members!D859</f>
        <v>2.4</v>
      </c>
      <c r="E859" s="16">
        <f>Members!E859</f>
        <v>467000</v>
      </c>
      <c r="F859" s="16">
        <f>Members!F859</f>
        <v>0</v>
      </c>
      <c r="G859" s="15">
        <f>MAX(0,Assumptions!$B$10-C859)</f>
        <v>29</v>
      </c>
      <c r="H859" s="17">
        <f>IF(B859="Active",E859*(1+Assumptions!$B$7)^G859,E859)</f>
        <v>467000</v>
      </c>
      <c r="I859" s="17">
        <f>IF(B859="Active",MIN(Assumptions!$B$12,D859+G859),IF(B859="Deferred",MIN(Assumptions!$B$12,D859),D859))</f>
        <v>2.4</v>
      </c>
      <c r="J859" s="17">
        <f>IF(B859="Active",H859*I859*Assumptions!$B$11,IF(B859="Deferred",E859*I859*Assumptions!$B$11*(1+Assumptions!$B$9)^G859,F859))</f>
        <v>58256.409122417783</v>
      </c>
      <c r="K859" s="11">
        <f>IF(B859="Pensioner",1,VLOOKUP(Assumptions!$B$10,Mortality!$A$2:$F$104,6,FALSE)/VLOOKUP(C859,Mortality!$A$2:$F$104,6,FALSE))</f>
        <v>0.97064661072952085</v>
      </c>
      <c r="L859" s="11">
        <f>VLOOKUP(IF(B859="Pensioner",C859,Assumptions!$B$10),Mortality!$A$2:$E$104,5,FALSE)</f>
        <v>17.296790022132885</v>
      </c>
      <c r="M859" s="11">
        <f>1+Assumptions!$B$13*Assumptions!$B$14*Assumptions!$B$15</f>
        <v>1.3187500000000001</v>
      </c>
      <c r="N859" s="11">
        <f>IF(B859="Pensioner",1,1/(1+Assumptions!$B$6)^G859)</f>
        <v>0.16101316040695074</v>
      </c>
      <c r="O859" s="17">
        <f t="shared" si="13"/>
        <v>207679.77968399896</v>
      </c>
    </row>
    <row r="860" spans="1:15">
      <c r="A860" s="13" t="str">
        <f>Members!A860</f>
        <v>A0616</v>
      </c>
      <c r="B860" s="13" t="str">
        <f>Members!B860</f>
        <v>Active</v>
      </c>
      <c r="C860" s="13">
        <f>Members!C860</f>
        <v>36</v>
      </c>
      <c r="D860" s="14">
        <f>Members!D860</f>
        <v>12.8</v>
      </c>
      <c r="E860" s="16">
        <f>Members!E860</f>
        <v>704000</v>
      </c>
      <c r="F860" s="16">
        <f>Members!F860</f>
        <v>0</v>
      </c>
      <c r="G860" s="15">
        <f>MAX(0,Assumptions!$B$10-C860)</f>
        <v>24</v>
      </c>
      <c r="H860" s="17">
        <f>IF(B860="Active",E860*(1+Assumptions!$B$7)^G860,E860)</f>
        <v>2544671.2923498852</v>
      </c>
      <c r="I860" s="17">
        <f>IF(B860="Active",MIN(Assumptions!$B$12,D860+G860),IF(B860="Deferred",MIN(Assumptions!$B$12,D860),D860))</f>
        <v>36.799999999999997</v>
      </c>
      <c r="J860" s="17">
        <f>IF(B860="Active",H860*I860*Assumptions!$B$11,IF(B860="Deferred",E860*I860*Assumptions!$B$11*(1+Assumptions!$B$9)^G860,F860))</f>
        <v>1560731.7259745961</v>
      </c>
      <c r="K860" s="11">
        <f>IF(B860="Pensioner",1,VLOOKUP(Assumptions!$B$10,Mortality!$A$2:$F$104,6,FALSE)/VLOOKUP(C860,Mortality!$A$2:$F$104,6,FALSE))</f>
        <v>0.97234503055413524</v>
      </c>
      <c r="L860" s="11">
        <f>VLOOKUP(IF(B860="Pensioner",C860,Assumptions!$B$10),Mortality!$A$2:$E$104,5,FALSE)</f>
        <v>17.296790022132885</v>
      </c>
      <c r="M860" s="11">
        <f>1+Assumptions!$B$13*Assumptions!$B$14*Assumptions!$B$15</f>
        <v>1.3187500000000001</v>
      </c>
      <c r="N860" s="11">
        <f>IF(B860="Pensioner",1,1/(1+Assumptions!$B$6)^G860)</f>
        <v>0.22060198370796386</v>
      </c>
      <c r="O860" s="17">
        <f t="shared" si="13"/>
        <v>7636354.0707302811</v>
      </c>
    </row>
    <row r="861" spans="1:15">
      <c r="A861" s="13" t="str">
        <f>Members!A861</f>
        <v>A0504</v>
      </c>
      <c r="B861" s="13" t="str">
        <f>Members!B861</f>
        <v>Active</v>
      </c>
      <c r="C861" s="13">
        <f>Members!C861</f>
        <v>46</v>
      </c>
      <c r="D861" s="14">
        <f>Members!D861</f>
        <v>13.9</v>
      </c>
      <c r="E861" s="16">
        <f>Members!E861</f>
        <v>1429000</v>
      </c>
      <c r="F861" s="16">
        <f>Members!F861</f>
        <v>0</v>
      </c>
      <c r="G861" s="15">
        <f>MAX(0,Assumptions!$B$10-C861)</f>
        <v>14</v>
      </c>
      <c r="H861" s="17">
        <f>IF(B861="Active",E861*(1+Assumptions!$B$7)^G861,E861)</f>
        <v>3023894.6989649576</v>
      </c>
      <c r="I861" s="17">
        <f>IF(B861="Active",MIN(Assumptions!$B$12,D861+G861),IF(B861="Deferred",MIN(Assumptions!$B$12,D861),D861))</f>
        <v>27.9</v>
      </c>
      <c r="J861" s="17">
        <f>IF(B861="Active",H861*I861*Assumptions!$B$11,IF(B861="Deferred",E861*I861*Assumptions!$B$11*(1+Assumptions!$B$9)^G861,F861))</f>
        <v>1406111.0350187053</v>
      </c>
      <c r="K861" s="11">
        <f>IF(B861="Pensioner",1,VLOOKUP(Assumptions!$B$10,Mortality!$A$2:$F$104,6,FALSE)/VLOOKUP(C861,Mortality!$A$2:$F$104,6,FALSE))</f>
        <v>0.97765823283048059</v>
      </c>
      <c r="L861" s="11">
        <f>VLOOKUP(IF(B861="Pensioner",C861,Assumptions!$B$10),Mortality!$A$2:$E$104,5,FALSE)</f>
        <v>17.296790022132885</v>
      </c>
      <c r="M861" s="11">
        <f>1+Assumptions!$B$13*Assumptions!$B$14*Assumptions!$B$15</f>
        <v>1.3187500000000001</v>
      </c>
      <c r="N861" s="11">
        <f>IF(B861="Pensioner",1,1/(1+Assumptions!$B$6)^G861)</f>
        <v>0.41410024853095956</v>
      </c>
      <c r="O861" s="17">
        <f t="shared" si="13"/>
        <v>12984946.224589391</v>
      </c>
    </row>
    <row r="862" spans="1:15">
      <c r="A862" s="13" t="str">
        <f>Members!A862</f>
        <v>A0213</v>
      </c>
      <c r="B862" s="13" t="str">
        <f>Members!B862</f>
        <v>Active</v>
      </c>
      <c r="C862" s="13">
        <f>Members!C862</f>
        <v>32</v>
      </c>
      <c r="D862" s="14">
        <f>Members!D862</f>
        <v>7.6</v>
      </c>
      <c r="E862" s="16">
        <f>Members!E862</f>
        <v>716000</v>
      </c>
      <c r="F862" s="16">
        <f>Members!F862</f>
        <v>0</v>
      </c>
      <c r="G862" s="15">
        <f>MAX(0,Assumptions!$B$10-C862)</f>
        <v>28</v>
      </c>
      <c r="H862" s="17">
        <f>IF(B862="Active",E862*(1+Assumptions!$B$7)^G862,E862)</f>
        <v>3206135.6415991229</v>
      </c>
      <c r="I862" s="17">
        <f>IF(B862="Active",MIN(Assumptions!$B$12,D862+G862),IF(B862="Deferred",MIN(Assumptions!$B$12,D862),D862))</f>
        <v>35.6</v>
      </c>
      <c r="J862" s="17">
        <f>IF(B862="Active",H862*I862*Assumptions!$B$11,IF(B862="Deferred",E862*I862*Assumptions!$B$11*(1+Assumptions!$B$9)^G862,F862))</f>
        <v>1902307.147348813</v>
      </c>
      <c r="K862" s="11">
        <f>IF(B862="Pensioner",1,VLOOKUP(Assumptions!$B$10,Mortality!$A$2:$F$104,6,FALSE)/VLOOKUP(C862,Mortality!$A$2:$F$104,6,FALSE))</f>
        <v>0.97095846876649572</v>
      </c>
      <c r="L862" s="11">
        <f>VLOOKUP(IF(B862="Pensioner",C862,Assumptions!$B$10),Mortality!$A$2:$E$104,5,FALSE)</f>
        <v>17.296790022132885</v>
      </c>
      <c r="M862" s="11">
        <f>1+Assumptions!$B$13*Assumptions!$B$14*Assumptions!$B$15</f>
        <v>1.3187500000000001</v>
      </c>
      <c r="N862" s="11">
        <f>IF(B862="Pensioner",1,1/(1+Assumptions!$B$6)^G862)</f>
        <v>0.17147901583340255</v>
      </c>
      <c r="O862" s="17">
        <f t="shared" si="13"/>
        <v>7224707.3828943251</v>
      </c>
    </row>
    <row r="863" spans="1:15">
      <c r="A863" s="13" t="str">
        <f>Members!A863</f>
        <v>A0487</v>
      </c>
      <c r="B863" s="13" t="str">
        <f>Members!B863</f>
        <v>Active</v>
      </c>
      <c r="C863" s="13">
        <f>Members!C863</f>
        <v>42</v>
      </c>
      <c r="D863" s="14">
        <f>Members!D863</f>
        <v>2.2999999999999998</v>
      </c>
      <c r="E863" s="16">
        <f>Members!E863</f>
        <v>952000</v>
      </c>
      <c r="F863" s="16">
        <f>Members!F863</f>
        <v>0</v>
      </c>
      <c r="G863" s="15">
        <f>MAX(0,Assumptions!$B$10-C863)</f>
        <v>18</v>
      </c>
      <c r="H863" s="17">
        <f>IF(B863="Active",E863*(1+Assumptions!$B$7)^G863,E863)</f>
        <v>2495635.8851374346</v>
      </c>
      <c r="I863" s="17">
        <f>IF(B863="Active",MIN(Assumptions!$B$12,D863+G863),IF(B863="Deferred",MIN(Assumptions!$B$12,D863),D863))</f>
        <v>20.3</v>
      </c>
      <c r="J863" s="17">
        <f>IF(B863="Active",H863*I863*Assumptions!$B$11,IF(B863="Deferred",E863*I863*Assumptions!$B$11*(1+Assumptions!$B$9)^G863,F863))</f>
        <v>844356.80780483212</v>
      </c>
      <c r="K863" s="11">
        <f>IF(B863="Pensioner",1,VLOOKUP(Assumptions!$B$10,Mortality!$A$2:$F$104,6,FALSE)/VLOOKUP(C863,Mortality!$A$2:$F$104,6,FALSE))</f>
        <v>0.97507997078383857</v>
      </c>
      <c r="L863" s="11">
        <f>VLOOKUP(IF(B863="Pensioner",C863,Assumptions!$B$10),Mortality!$A$2:$E$104,5,FALSE)</f>
        <v>17.296790022132885</v>
      </c>
      <c r="M863" s="11">
        <f>1+Assumptions!$B$13*Assumptions!$B$14*Assumptions!$B$15</f>
        <v>1.3187500000000001</v>
      </c>
      <c r="N863" s="11">
        <f>IF(B863="Pensioner",1,1/(1+Assumptions!$B$6)^G863)</f>
        <v>0.32188968512839738</v>
      </c>
      <c r="O863" s="17">
        <f t="shared" si="13"/>
        <v>6045069.3970757881</v>
      </c>
    </row>
    <row r="864" spans="1:15">
      <c r="A864" s="13" t="str">
        <f>Members!A864</f>
        <v>A0249</v>
      </c>
      <c r="B864" s="13" t="str">
        <f>Members!B864</f>
        <v>Active</v>
      </c>
      <c r="C864" s="13">
        <f>Members!C864</f>
        <v>34</v>
      </c>
      <c r="D864" s="14">
        <f>Members!D864</f>
        <v>2.7</v>
      </c>
      <c r="E864" s="16">
        <f>Members!E864</f>
        <v>807000</v>
      </c>
      <c r="F864" s="16">
        <f>Members!F864</f>
        <v>0</v>
      </c>
      <c r="G864" s="15">
        <f>MAX(0,Assumptions!$B$10-C864)</f>
        <v>26</v>
      </c>
      <c r="H864" s="17">
        <f>IF(B864="Active",E864*(1+Assumptions!$B$7)^G864,E864)</f>
        <v>3246665.0447306237</v>
      </c>
      <c r="I864" s="17">
        <f>IF(B864="Active",MIN(Assumptions!$B$12,D864+G864),IF(B864="Deferred",MIN(Assumptions!$B$12,D864),D864))</f>
        <v>28.7</v>
      </c>
      <c r="J864" s="17">
        <f>IF(B864="Active",H864*I864*Assumptions!$B$11,IF(B864="Deferred",E864*I864*Assumptions!$B$11*(1+Assumptions!$B$9)^G864,F864))</f>
        <v>1552988.1130628148</v>
      </c>
      <c r="K864" s="11">
        <f>IF(B864="Pensioner",1,VLOOKUP(Assumptions!$B$10,Mortality!$A$2:$F$104,6,FALSE)/VLOOKUP(C864,Mortality!$A$2:$F$104,6,FALSE))</f>
        <v>0.97162058192333911</v>
      </c>
      <c r="L864" s="11">
        <f>VLOOKUP(IF(B864="Pensioner",C864,Assumptions!$B$10),Mortality!$A$2:$E$104,5,FALSE)</f>
        <v>17.296790022132885</v>
      </c>
      <c r="M864" s="11">
        <f>1+Assumptions!$B$13*Assumptions!$B$14*Assumptions!$B$15</f>
        <v>1.3187500000000001</v>
      </c>
      <c r="N864" s="11">
        <f>IF(B864="Pensioner",1,1/(1+Assumptions!$B$6)^G864)</f>
        <v>0.19449578673364096</v>
      </c>
      <c r="O864" s="17">
        <f t="shared" si="13"/>
        <v>6694266.8623544779</v>
      </c>
    </row>
    <row r="865" spans="1:15">
      <c r="A865" s="13" t="str">
        <f>Members!A865</f>
        <v>A0241</v>
      </c>
      <c r="B865" s="13" t="str">
        <f>Members!B865</f>
        <v>Active</v>
      </c>
      <c r="C865" s="13">
        <f>Members!C865</f>
        <v>43</v>
      </c>
      <c r="D865" s="14">
        <f>Members!D865</f>
        <v>19.8</v>
      </c>
      <c r="E865" s="16">
        <f>Members!E865</f>
        <v>1250000</v>
      </c>
      <c r="F865" s="16">
        <f>Members!F865</f>
        <v>0</v>
      </c>
      <c r="G865" s="15">
        <f>MAX(0,Assumptions!$B$10-C865)</f>
        <v>17</v>
      </c>
      <c r="H865" s="17">
        <f>IF(B865="Active",E865*(1+Assumptions!$B$7)^G865,E865)</f>
        <v>3106002.6847164296</v>
      </c>
      <c r="I865" s="17">
        <f>IF(B865="Active",MIN(Assumptions!$B$12,D865+G865),IF(B865="Deferred",MIN(Assumptions!$B$12,D865),D865))</f>
        <v>36.799999999999997</v>
      </c>
      <c r="J865" s="17">
        <f>IF(B865="Active",H865*I865*Assumptions!$B$11,IF(B865="Deferred",E865*I865*Assumptions!$B$11*(1+Assumptions!$B$9)^G865,F865))</f>
        <v>1905014.9799594099</v>
      </c>
      <c r="K865" s="11">
        <f>IF(B865="Pensioner",1,VLOOKUP(Assumptions!$B$10,Mortality!$A$2:$F$104,6,FALSE)/VLOOKUP(C865,Mortality!$A$2:$F$104,6,FALSE))</f>
        <v>0.97565175842493801</v>
      </c>
      <c r="L865" s="11">
        <f>VLOOKUP(IF(B865="Pensioner",C865,Assumptions!$B$10),Mortality!$A$2:$E$104,5,FALSE)</f>
        <v>17.296790022132885</v>
      </c>
      <c r="M865" s="11">
        <f>1+Assumptions!$B$13*Assumptions!$B$14*Assumptions!$B$15</f>
        <v>1.3187500000000001</v>
      </c>
      <c r="N865" s="11">
        <f>IF(B865="Pensioner",1,1/(1+Assumptions!$B$6)^G865)</f>
        <v>0.34281251466174323</v>
      </c>
      <c r="O865" s="17">
        <f t="shared" si="13"/>
        <v>14533756.523386933</v>
      </c>
    </row>
    <row r="866" spans="1:15">
      <c r="A866" s="13" t="str">
        <f>Members!A866</f>
        <v>A0174</v>
      </c>
      <c r="B866" s="13" t="str">
        <f>Members!B866</f>
        <v>Active</v>
      </c>
      <c r="C866" s="13">
        <f>Members!C866</f>
        <v>56</v>
      </c>
      <c r="D866" s="14">
        <f>Members!D866</f>
        <v>8.3000000000000007</v>
      </c>
      <c r="E866" s="16">
        <f>Members!E866</f>
        <v>1558000</v>
      </c>
      <c r="F866" s="16">
        <f>Members!F866</f>
        <v>0</v>
      </c>
      <c r="G866" s="15">
        <f>MAX(0,Assumptions!$B$10-C866)</f>
        <v>4</v>
      </c>
      <c r="H866" s="17">
        <f>IF(B866="Active",E866*(1+Assumptions!$B$7)^G866,E866)</f>
        <v>1930088.8056737497</v>
      </c>
      <c r="I866" s="17">
        <f>IF(B866="Active",MIN(Assumptions!$B$12,D866+G866),IF(B866="Deferred",MIN(Assumptions!$B$12,D866),D866))</f>
        <v>12.3</v>
      </c>
      <c r="J866" s="17">
        <f>IF(B866="Active",H866*I866*Assumptions!$B$11,IF(B866="Deferred",E866*I866*Assumptions!$B$11*(1+Assumptions!$B$9)^G866,F866))</f>
        <v>395668.20516311866</v>
      </c>
      <c r="K866" s="11">
        <f>IF(B866="Pensioner",1,VLOOKUP(Assumptions!$B$10,Mortality!$A$2:$F$104,6,FALSE)/VLOOKUP(C866,Mortality!$A$2:$F$104,6,FALSE))</f>
        <v>0.99011625581042195</v>
      </c>
      <c r="L866" s="11">
        <f>VLOOKUP(IF(B866="Pensioner",C866,Assumptions!$B$10),Mortality!$A$2:$E$104,5,FALSE)</f>
        <v>17.296790022132885</v>
      </c>
      <c r="M866" s="11">
        <f>1+Assumptions!$B$13*Assumptions!$B$14*Assumptions!$B$15</f>
        <v>1.3187500000000001</v>
      </c>
      <c r="N866" s="11">
        <f>IF(B866="Pensioner",1,1/(1+Assumptions!$B$6)^G866)</f>
        <v>0.77732309089481699</v>
      </c>
      <c r="O866" s="17">
        <f t="shared" si="13"/>
        <v>6946193.840485598</v>
      </c>
    </row>
    <row r="867" spans="1:15">
      <c r="A867" s="13" t="str">
        <f>Members!A867</f>
        <v>A0493</v>
      </c>
      <c r="B867" s="13" t="str">
        <f>Members!B867</f>
        <v>Active</v>
      </c>
      <c r="C867" s="13">
        <f>Members!C867</f>
        <v>39</v>
      </c>
      <c r="D867" s="14">
        <f>Members!D867</f>
        <v>8.5</v>
      </c>
      <c r="E867" s="16">
        <f>Members!E867</f>
        <v>950000</v>
      </c>
      <c r="F867" s="16">
        <f>Members!F867</f>
        <v>0</v>
      </c>
      <c r="G867" s="15">
        <f>MAX(0,Assumptions!$B$10-C867)</f>
        <v>21</v>
      </c>
      <c r="H867" s="17">
        <f>IF(B867="Active",E867*(1+Assumptions!$B$7)^G867,E867)</f>
        <v>2924322.4449579483</v>
      </c>
      <c r="I867" s="17">
        <f>IF(B867="Active",MIN(Assumptions!$B$12,D867+G867),IF(B867="Deferred",MIN(Assumptions!$B$12,D867),D867))</f>
        <v>29.5</v>
      </c>
      <c r="J867" s="17">
        <f>IF(B867="Active",H867*I867*Assumptions!$B$11,IF(B867="Deferred",E867*I867*Assumptions!$B$11*(1+Assumptions!$B$9)^G867,F867))</f>
        <v>1437791.8687709912</v>
      </c>
      <c r="K867" s="11">
        <f>IF(B867="Pensioner",1,VLOOKUP(Assumptions!$B$10,Mortality!$A$2:$F$104,6,FALSE)/VLOOKUP(C867,Mortality!$A$2:$F$104,6,FALSE))</f>
        <v>0.97358574177887802</v>
      </c>
      <c r="L867" s="11">
        <f>VLOOKUP(IF(B867="Pensioner",C867,Assumptions!$B$10),Mortality!$A$2:$E$104,5,FALSE)</f>
        <v>17.296790022132885</v>
      </c>
      <c r="M867" s="11">
        <f>1+Assumptions!$B$13*Assumptions!$B$14*Assumptions!$B$15</f>
        <v>1.3187500000000001</v>
      </c>
      <c r="N867" s="11">
        <f>IF(B867="Pensioner",1,1/(1+Assumptions!$B$6)^G867)</f>
        <v>0.26647608349429097</v>
      </c>
      <c r="O867" s="17">
        <f t="shared" si="13"/>
        <v>8508567.5443265885</v>
      </c>
    </row>
    <row r="868" spans="1:15">
      <c r="A868" s="13" t="str">
        <f>Members!A868</f>
        <v>P0238</v>
      </c>
      <c r="B868" s="13" t="str">
        <f>Members!B868</f>
        <v>Pensioner</v>
      </c>
      <c r="C868" s="13">
        <f>Members!C868</f>
        <v>75</v>
      </c>
      <c r="D868" s="14">
        <f>Members!D868</f>
        <v>29.1</v>
      </c>
      <c r="E868" s="16">
        <f>Members!E868</f>
        <v>0</v>
      </c>
      <c r="F868" s="16">
        <f>Members!F868</f>
        <v>497000</v>
      </c>
      <c r="G868" s="15">
        <f>MAX(0,Assumptions!$B$10-C868)</f>
        <v>0</v>
      </c>
      <c r="H868" s="17">
        <f>IF(B868="Active",E868*(1+Assumptions!$B$7)^G868,E868)</f>
        <v>0</v>
      </c>
      <c r="I868" s="17">
        <f>IF(B868="Active",MIN(Assumptions!$B$12,D868+G868),IF(B868="Deferred",MIN(Assumptions!$B$12,D868),D868))</f>
        <v>29.1</v>
      </c>
      <c r="J868" s="17">
        <f>IF(B868="Active",H868*I868*Assumptions!$B$11,IF(B868="Deferred",E868*I868*Assumptions!$B$11*(1+Assumptions!$B$9)^G868,F868))</f>
        <v>497000</v>
      </c>
      <c r="K868" s="11">
        <f>IF(B868="Pensioner",1,VLOOKUP(Assumptions!$B$10,Mortality!$A$2:$F$104,6,FALSE)/VLOOKUP(C868,Mortality!$A$2:$F$104,6,FALSE))</f>
        <v>1</v>
      </c>
      <c r="L868" s="11">
        <f>VLOOKUP(IF(B868="Pensioner",C868,Assumptions!$B$10),Mortality!$A$2:$E$104,5,FALSE)</f>
        <v>10.662474804432929</v>
      </c>
      <c r="M868" s="11">
        <f>1+Assumptions!$B$13*Assumptions!$B$14*Assumptions!$B$15</f>
        <v>1.3187500000000001</v>
      </c>
      <c r="N868" s="11">
        <f>IF(B868="Pensioner",1,1/(1+Assumptions!$B$6)^G868)</f>
        <v>1</v>
      </c>
      <c r="O868" s="17">
        <f t="shared" si="13"/>
        <v>6988385.9082279261</v>
      </c>
    </row>
    <row r="869" spans="1:15">
      <c r="A869" s="13" t="str">
        <f>Members!A869</f>
        <v>P0243</v>
      </c>
      <c r="B869" s="13" t="str">
        <f>Members!B869</f>
        <v>Pensioner</v>
      </c>
      <c r="C869" s="13">
        <f>Members!C869</f>
        <v>72</v>
      </c>
      <c r="D869" s="14">
        <f>Members!D869</f>
        <v>31.9</v>
      </c>
      <c r="E869" s="16">
        <f>Members!E869</f>
        <v>0</v>
      </c>
      <c r="F869" s="16">
        <f>Members!F869</f>
        <v>211000</v>
      </c>
      <c r="G869" s="15">
        <f>MAX(0,Assumptions!$B$10-C869)</f>
        <v>0</v>
      </c>
      <c r="H869" s="17">
        <f>IF(B869="Active",E869*(1+Assumptions!$B$7)^G869,E869)</f>
        <v>0</v>
      </c>
      <c r="I869" s="17">
        <f>IF(B869="Active",MIN(Assumptions!$B$12,D869+G869),IF(B869="Deferred",MIN(Assumptions!$B$12,D869),D869))</f>
        <v>31.9</v>
      </c>
      <c r="J869" s="17">
        <f>IF(B869="Active",H869*I869*Assumptions!$B$11,IF(B869="Deferred",E869*I869*Assumptions!$B$11*(1+Assumptions!$B$9)^G869,F869))</f>
        <v>211000</v>
      </c>
      <c r="K869" s="11">
        <f>IF(B869="Pensioner",1,VLOOKUP(Assumptions!$B$10,Mortality!$A$2:$F$104,6,FALSE)/VLOOKUP(C869,Mortality!$A$2:$F$104,6,FALSE))</f>
        <v>1</v>
      </c>
      <c r="L869" s="11">
        <f>VLOOKUP(IF(B869="Pensioner",C869,Assumptions!$B$10),Mortality!$A$2:$E$104,5,FALSE)</f>
        <v>12.047202362945457</v>
      </c>
      <c r="M869" s="11">
        <f>1+Assumptions!$B$13*Assumptions!$B$14*Assumptions!$B$15</f>
        <v>1.3187500000000001</v>
      </c>
      <c r="N869" s="11">
        <f>IF(B869="Pensioner",1,1/(1+Assumptions!$B$6)^G869)</f>
        <v>1</v>
      </c>
      <c r="O869" s="17">
        <f t="shared" si="13"/>
        <v>3352209.3525043423</v>
      </c>
    </row>
    <row r="870" spans="1:15">
      <c r="A870" s="13" t="str">
        <f>Members!A870</f>
        <v>A0535</v>
      </c>
      <c r="B870" s="13" t="str">
        <f>Members!B870</f>
        <v>Active</v>
      </c>
      <c r="C870" s="13">
        <f>Members!C870</f>
        <v>26</v>
      </c>
      <c r="D870" s="14">
        <f>Members!D870</f>
        <v>1</v>
      </c>
      <c r="E870" s="16">
        <f>Members!E870</f>
        <v>465000</v>
      </c>
      <c r="F870" s="16">
        <f>Members!F870</f>
        <v>0</v>
      </c>
      <c r="G870" s="15">
        <f>MAX(0,Assumptions!$B$10-C870)</f>
        <v>34</v>
      </c>
      <c r="H870" s="17">
        <f>IF(B870="Active",E870*(1+Assumptions!$B$7)^G870,E870)</f>
        <v>2871022.3968137829</v>
      </c>
      <c r="I870" s="17">
        <f>IF(B870="Active",MIN(Assumptions!$B$12,D870+G870),IF(B870="Deferred",MIN(Assumptions!$B$12,D870),D870))</f>
        <v>35</v>
      </c>
      <c r="J870" s="17">
        <f>IF(B870="Active",H870*I870*Assumptions!$B$11,IF(B870="Deferred",E870*I870*Assumptions!$B$11*(1+Assumptions!$B$9)^G870,F870))</f>
        <v>1674763.0648080402</v>
      </c>
      <c r="K870" s="11">
        <f>IF(B870="Pensioner",1,VLOOKUP(Assumptions!$B$10,Mortality!$A$2:$F$104,6,FALSE)/VLOOKUP(C870,Mortality!$A$2:$F$104,6,FALSE))</f>
        <v>0.96922916291892547</v>
      </c>
      <c r="L870" s="11">
        <f>VLOOKUP(IF(B870="Pensioner",C870,Assumptions!$B$10),Mortality!$A$2:$E$104,5,FALSE)</f>
        <v>17.296790022132885</v>
      </c>
      <c r="M870" s="11">
        <f>1+Assumptions!$B$13*Assumptions!$B$14*Assumptions!$B$15</f>
        <v>1.3187500000000001</v>
      </c>
      <c r="N870" s="11">
        <f>IF(B870="Pensioner",1,1/(1+Assumptions!$B$6)^G870)</f>
        <v>0.11752042020870793</v>
      </c>
      <c r="O870" s="17">
        <f t="shared" si="13"/>
        <v>4351321.4640362533</v>
      </c>
    </row>
    <row r="871" spans="1:15">
      <c r="A871" s="13" t="str">
        <f>Members!A871</f>
        <v>A0469</v>
      </c>
      <c r="B871" s="13" t="str">
        <f>Members!B871</f>
        <v>Active</v>
      </c>
      <c r="C871" s="13">
        <f>Members!C871</f>
        <v>57</v>
      </c>
      <c r="D871" s="14">
        <f>Members!D871</f>
        <v>23.7</v>
      </c>
      <c r="E871" s="16">
        <f>Members!E871</f>
        <v>1416000</v>
      </c>
      <c r="F871" s="16">
        <f>Members!F871</f>
        <v>0</v>
      </c>
      <c r="G871" s="15">
        <f>MAX(0,Assumptions!$B$10-C871)</f>
        <v>3</v>
      </c>
      <c r="H871" s="17">
        <f>IF(B871="Active",E871*(1+Assumptions!$B$7)^G871,E871)</f>
        <v>1662725.7869999998</v>
      </c>
      <c r="I871" s="17">
        <f>IF(B871="Active",MIN(Assumptions!$B$12,D871+G871),IF(B871="Deferred",MIN(Assumptions!$B$12,D871),D871))</f>
        <v>26.7</v>
      </c>
      <c r="J871" s="17">
        <f>IF(B871="Active",H871*I871*Assumptions!$B$11,IF(B871="Deferred",E871*I871*Assumptions!$B$11*(1+Assumptions!$B$9)^G871,F871))</f>
        <v>739912.97521499987</v>
      </c>
      <c r="K871" s="11">
        <f>IF(B871="Pensioner",1,VLOOKUP(Assumptions!$B$10,Mortality!$A$2:$F$104,6,FALSE)/VLOOKUP(C871,Mortality!$A$2:$F$104,6,FALSE))</f>
        <v>0.99220038929214172</v>
      </c>
      <c r="L871" s="11">
        <f>VLOOKUP(IF(B871="Pensioner",C871,Assumptions!$B$10),Mortality!$A$2:$E$104,5,FALSE)</f>
        <v>17.296790022132885</v>
      </c>
      <c r="M871" s="11">
        <f>1+Assumptions!$B$13*Assumptions!$B$14*Assumptions!$B$15</f>
        <v>1.3187500000000001</v>
      </c>
      <c r="N871" s="11">
        <f>IF(B871="Pensioner",1,1/(1+Assumptions!$B$6)^G871)</f>
        <v>0.82784909180297994</v>
      </c>
      <c r="O871" s="17">
        <f t="shared" si="13"/>
        <v>13863063.064494075</v>
      </c>
    </row>
    <row r="872" spans="1:15">
      <c r="A872" s="13" t="str">
        <f>Members!A872</f>
        <v>P0043</v>
      </c>
      <c r="B872" s="13" t="str">
        <f>Members!B872</f>
        <v>Pensioner</v>
      </c>
      <c r="C872" s="13">
        <f>Members!C872</f>
        <v>84</v>
      </c>
      <c r="D872" s="14">
        <f>Members!D872</f>
        <v>12.6</v>
      </c>
      <c r="E872" s="16">
        <f>Members!E872</f>
        <v>0</v>
      </c>
      <c r="F872" s="16">
        <f>Members!F872</f>
        <v>673000</v>
      </c>
      <c r="G872" s="15">
        <f>MAX(0,Assumptions!$B$10-C872)</f>
        <v>0</v>
      </c>
      <c r="H872" s="17">
        <f>IF(B872="Active",E872*(1+Assumptions!$B$7)^G872,E872)</f>
        <v>0</v>
      </c>
      <c r="I872" s="17">
        <f>IF(B872="Active",MIN(Assumptions!$B$12,D872+G872),IF(B872="Deferred",MIN(Assumptions!$B$12,D872),D872))</f>
        <v>12.6</v>
      </c>
      <c r="J872" s="17">
        <f>IF(B872="Active",H872*I872*Assumptions!$B$11,IF(B872="Deferred",E872*I872*Assumptions!$B$11*(1+Assumptions!$B$9)^G872,F872))</f>
        <v>673000</v>
      </c>
      <c r="K872" s="11">
        <f>IF(B872="Pensioner",1,VLOOKUP(Assumptions!$B$10,Mortality!$A$2:$F$104,6,FALSE)/VLOOKUP(C872,Mortality!$A$2:$F$104,6,FALSE))</f>
        <v>1</v>
      </c>
      <c r="L872" s="11">
        <f>VLOOKUP(IF(B872="Pensioner",C872,Assumptions!$B$10),Mortality!$A$2:$E$104,5,FALSE)</f>
        <v>6.6432720965175314</v>
      </c>
      <c r="M872" s="11">
        <f>1+Assumptions!$B$13*Assumptions!$B$14*Assumptions!$B$15</f>
        <v>1.3187500000000001</v>
      </c>
      <c r="N872" s="11">
        <f>IF(B872="Pensioner",1,1/(1+Assumptions!$B$6)^G872)</f>
        <v>1</v>
      </c>
      <c r="O872" s="17">
        <f t="shared" si="13"/>
        <v>5896028.5470111193</v>
      </c>
    </row>
    <row r="873" spans="1:15">
      <c r="A873" s="13" t="str">
        <f>Members!A873</f>
        <v>A0576</v>
      </c>
      <c r="B873" s="13" t="str">
        <f>Members!B873</f>
        <v>Active</v>
      </c>
      <c r="C873" s="13">
        <f>Members!C873</f>
        <v>35</v>
      </c>
      <c r="D873" s="14">
        <f>Members!D873</f>
        <v>3</v>
      </c>
      <c r="E873" s="16">
        <f>Members!E873</f>
        <v>526000</v>
      </c>
      <c r="F873" s="16">
        <f>Members!F873</f>
        <v>0</v>
      </c>
      <c r="G873" s="15">
        <f>MAX(0,Assumptions!$B$10-C873)</f>
        <v>25</v>
      </c>
      <c r="H873" s="17">
        <f>IF(B873="Active",E873*(1+Assumptions!$B$7)^G873,E873)</f>
        <v>2005844.3753746049</v>
      </c>
      <c r="I873" s="17">
        <f>IF(B873="Active",MIN(Assumptions!$B$12,D873+G873),IF(B873="Deferred",MIN(Assumptions!$B$12,D873),D873))</f>
        <v>28</v>
      </c>
      <c r="J873" s="17">
        <f>IF(B873="Active",H873*I873*Assumptions!$B$11,IF(B873="Deferred",E873*I873*Assumptions!$B$11*(1+Assumptions!$B$9)^G873,F873))</f>
        <v>936060.70850814902</v>
      </c>
      <c r="K873" s="11">
        <f>IF(B873="Pensioner",1,VLOOKUP(Assumptions!$B$10,Mortality!$A$2:$F$104,6,FALSE)/VLOOKUP(C873,Mortality!$A$2:$F$104,6,FALSE))</f>
        <v>0.97197407653867529</v>
      </c>
      <c r="L873" s="11">
        <f>VLOOKUP(IF(B873="Pensioner",C873,Assumptions!$B$10),Mortality!$A$2:$E$104,5,FALSE)</f>
        <v>17.296790022132885</v>
      </c>
      <c r="M873" s="11">
        <f>1+Assumptions!$B$13*Assumptions!$B$14*Assumptions!$B$15</f>
        <v>1.3187500000000001</v>
      </c>
      <c r="N873" s="11">
        <f>IF(B873="Pensioner",1,1/(1+Assumptions!$B$6)^G873)</f>
        <v>0.20713801287132758</v>
      </c>
      <c r="O873" s="17">
        <f t="shared" si="13"/>
        <v>4298792.5693631638</v>
      </c>
    </row>
    <row r="874" spans="1:15">
      <c r="A874" s="13" t="str">
        <f>Members!A874</f>
        <v>P0028</v>
      </c>
      <c r="B874" s="13" t="str">
        <f>Members!B874</f>
        <v>Pensioner</v>
      </c>
      <c r="C874" s="13">
        <f>Members!C874</f>
        <v>86</v>
      </c>
      <c r="D874" s="14">
        <f>Members!D874</f>
        <v>20.399999999999999</v>
      </c>
      <c r="E874" s="16">
        <f>Members!E874</f>
        <v>0</v>
      </c>
      <c r="F874" s="16">
        <f>Members!F874</f>
        <v>659000</v>
      </c>
      <c r="G874" s="15">
        <f>MAX(0,Assumptions!$B$10-C874)</f>
        <v>0</v>
      </c>
      <c r="H874" s="17">
        <f>IF(B874="Active",E874*(1+Assumptions!$B$7)^G874,E874)</f>
        <v>0</v>
      </c>
      <c r="I874" s="17">
        <f>IF(B874="Active",MIN(Assumptions!$B$12,D874+G874),IF(B874="Deferred",MIN(Assumptions!$B$12,D874),D874))</f>
        <v>20.399999999999999</v>
      </c>
      <c r="J874" s="17">
        <f>IF(B874="Active",H874*I874*Assumptions!$B$11,IF(B874="Deferred",E874*I874*Assumptions!$B$11*(1+Assumptions!$B$9)^G874,F874))</f>
        <v>659000</v>
      </c>
      <c r="K874" s="11">
        <f>IF(B874="Pensioner",1,VLOOKUP(Assumptions!$B$10,Mortality!$A$2:$F$104,6,FALSE)/VLOOKUP(C874,Mortality!$A$2:$F$104,6,FALSE))</f>
        <v>1</v>
      </c>
      <c r="L874" s="11">
        <f>VLOOKUP(IF(B874="Pensioner",C874,Assumptions!$B$10),Mortality!$A$2:$E$104,5,FALSE)</f>
        <v>5.822832972912483</v>
      </c>
      <c r="M874" s="11">
        <f>1+Assumptions!$B$13*Assumptions!$B$14*Assumptions!$B$15</f>
        <v>1.3187500000000001</v>
      </c>
      <c r="N874" s="11">
        <f>IF(B874="Pensioner",1,1/(1+Assumptions!$B$6)^G874)</f>
        <v>1</v>
      </c>
      <c r="O874" s="17">
        <f t="shared" si="13"/>
        <v>5060369.3878156748</v>
      </c>
    </row>
    <row r="875" spans="1:15">
      <c r="A875" s="13" t="str">
        <f>Members!A875</f>
        <v>D0067</v>
      </c>
      <c r="B875" s="13" t="str">
        <f>Members!B875</f>
        <v>Deferred</v>
      </c>
      <c r="C875" s="13">
        <f>Members!C875</f>
        <v>31</v>
      </c>
      <c r="D875" s="14">
        <f>Members!D875</f>
        <v>5</v>
      </c>
      <c r="E875" s="16">
        <f>Members!E875</f>
        <v>536000</v>
      </c>
      <c r="F875" s="16">
        <f>Members!F875</f>
        <v>0</v>
      </c>
      <c r="G875" s="15">
        <f>MAX(0,Assumptions!$B$10-C875)</f>
        <v>29</v>
      </c>
      <c r="H875" s="17">
        <f>IF(B875="Active",E875*(1+Assumptions!$B$7)^G875,E875)</f>
        <v>536000</v>
      </c>
      <c r="I875" s="17">
        <f>IF(B875="Active",MIN(Assumptions!$B$12,D875+G875),IF(B875="Deferred",MIN(Assumptions!$B$12,D875),D875))</f>
        <v>5</v>
      </c>
      <c r="J875" s="17">
        <f>IF(B875="Active",H875*I875*Assumptions!$B$11,IF(B875="Deferred",E875*I875*Assumptions!$B$11*(1+Assumptions!$B$9)^G875,F875))</f>
        <v>139299.76485374701</v>
      </c>
      <c r="K875" s="11">
        <f>IF(B875="Pensioner",1,VLOOKUP(Assumptions!$B$10,Mortality!$A$2:$F$104,6,FALSE)/VLOOKUP(C875,Mortality!$A$2:$F$104,6,FALSE))</f>
        <v>0.97064661072952085</v>
      </c>
      <c r="L875" s="11">
        <f>VLOOKUP(IF(B875="Pensioner",C875,Assumptions!$B$10),Mortality!$A$2:$E$104,5,FALSE)</f>
        <v>17.296790022132885</v>
      </c>
      <c r="M875" s="11">
        <f>1+Assumptions!$B$13*Assumptions!$B$14*Assumptions!$B$15</f>
        <v>1.3187500000000001</v>
      </c>
      <c r="N875" s="11">
        <f>IF(B875="Pensioner",1,1/(1+Assumptions!$B$6)^G875)</f>
        <v>0.16101316040695074</v>
      </c>
      <c r="O875" s="17">
        <f t="shared" si="13"/>
        <v>496593.33471905539</v>
      </c>
    </row>
    <row r="876" spans="1:15">
      <c r="A876" s="13" t="str">
        <f>Members!A876</f>
        <v>P0039</v>
      </c>
      <c r="B876" s="13" t="str">
        <f>Members!B876</f>
        <v>Pensioner</v>
      </c>
      <c r="C876" s="13">
        <f>Members!C876</f>
        <v>63</v>
      </c>
      <c r="D876" s="14">
        <f>Members!D876</f>
        <v>30.2</v>
      </c>
      <c r="E876" s="16">
        <f>Members!E876</f>
        <v>0</v>
      </c>
      <c r="F876" s="16">
        <f>Members!F876</f>
        <v>144000</v>
      </c>
      <c r="G876" s="15">
        <f>MAX(0,Assumptions!$B$10-C876)</f>
        <v>0</v>
      </c>
      <c r="H876" s="17">
        <f>IF(B876="Active",E876*(1+Assumptions!$B$7)^G876,E876)</f>
        <v>0</v>
      </c>
      <c r="I876" s="17">
        <f>IF(B876="Active",MIN(Assumptions!$B$12,D876+G876),IF(B876="Deferred",MIN(Assumptions!$B$12,D876),D876))</f>
        <v>30.2</v>
      </c>
      <c r="J876" s="17">
        <f>IF(B876="Active",H876*I876*Assumptions!$B$11,IF(B876="Deferred",E876*I876*Assumptions!$B$11*(1+Assumptions!$B$9)^G876,F876))</f>
        <v>144000</v>
      </c>
      <c r="K876" s="11">
        <f>IF(B876="Pensioner",1,VLOOKUP(Assumptions!$B$10,Mortality!$A$2:$F$104,6,FALSE)/VLOOKUP(C876,Mortality!$A$2:$F$104,6,FALSE))</f>
        <v>1</v>
      </c>
      <c r="L876" s="11">
        <f>VLOOKUP(IF(B876="Pensioner",C876,Assumptions!$B$10),Mortality!$A$2:$E$104,5,FALSE)</f>
        <v>16.055191398346196</v>
      </c>
      <c r="M876" s="11">
        <f>1+Assumptions!$B$13*Assumptions!$B$14*Assumptions!$B$15</f>
        <v>1.3187500000000001</v>
      </c>
      <c r="N876" s="11">
        <f>IF(B876="Pensioner",1,1/(1+Assumptions!$B$6)^G876)</f>
        <v>1</v>
      </c>
      <c r="O876" s="17">
        <f t="shared" si="13"/>
        <v>3048880.8465459426</v>
      </c>
    </row>
    <row r="877" spans="1:15">
      <c r="A877" s="13" t="str">
        <f>Members!A877</f>
        <v>A0027</v>
      </c>
      <c r="B877" s="13" t="str">
        <f>Members!B877</f>
        <v>Active</v>
      </c>
      <c r="C877" s="13">
        <f>Members!C877</f>
        <v>53</v>
      </c>
      <c r="D877" s="14">
        <f>Members!D877</f>
        <v>28.1</v>
      </c>
      <c r="E877" s="16">
        <f>Members!E877</f>
        <v>1154000</v>
      </c>
      <c r="F877" s="16">
        <f>Members!F877</f>
        <v>0</v>
      </c>
      <c r="G877" s="15">
        <f>MAX(0,Assumptions!$B$10-C877)</f>
        <v>7</v>
      </c>
      <c r="H877" s="17">
        <f>IF(B877="Active",E877*(1+Assumptions!$B$7)^G877,E877)</f>
        <v>1678699.7519483985</v>
      </c>
      <c r="I877" s="17">
        <f>IF(B877="Active",MIN(Assumptions!$B$12,D877+G877),IF(B877="Deferred",MIN(Assumptions!$B$12,D877),D877))</f>
        <v>35.1</v>
      </c>
      <c r="J877" s="17">
        <f>IF(B877="Active",H877*I877*Assumptions!$B$11,IF(B877="Deferred",E877*I877*Assumptions!$B$11*(1+Assumptions!$B$9)^G877,F877))</f>
        <v>982039.35488981323</v>
      </c>
      <c r="K877" s="11">
        <f>IF(B877="Pensioner",1,VLOOKUP(Assumptions!$B$10,Mortality!$A$2:$F$104,6,FALSE)/VLOOKUP(C877,Mortality!$A$2:$F$104,6,FALSE))</f>
        <v>0.98503000174313171</v>
      </c>
      <c r="L877" s="11">
        <f>VLOOKUP(IF(B877="Pensioner",C877,Assumptions!$B$10),Mortality!$A$2:$E$104,5,FALSE)</f>
        <v>17.296790022132885</v>
      </c>
      <c r="M877" s="11">
        <f>1+Assumptions!$B$13*Assumptions!$B$14*Assumptions!$B$15</f>
        <v>1.3187500000000001</v>
      </c>
      <c r="N877" s="11">
        <f>IF(B877="Pensioner",1,1/(1+Assumptions!$B$6)^G877)</f>
        <v>0.64350621483475945</v>
      </c>
      <c r="O877" s="17">
        <f t="shared" si="13"/>
        <v>14199043.25213266</v>
      </c>
    </row>
    <row r="878" spans="1:15">
      <c r="A878" s="13" t="str">
        <f>Members!A878</f>
        <v>A0608</v>
      </c>
      <c r="B878" s="13" t="str">
        <f>Members!B878</f>
        <v>Active</v>
      </c>
      <c r="C878" s="13">
        <f>Members!C878</f>
        <v>50</v>
      </c>
      <c r="D878" s="14">
        <f>Members!D878</f>
        <v>15.1</v>
      </c>
      <c r="E878" s="16">
        <f>Members!E878</f>
        <v>1424000</v>
      </c>
      <c r="F878" s="16">
        <f>Members!F878</f>
        <v>0</v>
      </c>
      <c r="G878" s="15">
        <f>MAX(0,Assumptions!$B$10-C878)</f>
        <v>10</v>
      </c>
      <c r="H878" s="17">
        <f>IF(B878="Active",E878*(1+Assumptions!$B$7)^G878,E878)</f>
        <v>2432397.7086955165</v>
      </c>
      <c r="I878" s="17">
        <f>IF(B878="Active",MIN(Assumptions!$B$12,D878+G878),IF(B878="Deferred",MIN(Assumptions!$B$12,D878),D878))</f>
        <v>25.1</v>
      </c>
      <c r="J878" s="17">
        <f>IF(B878="Active",H878*I878*Assumptions!$B$11,IF(B878="Deferred",E878*I878*Assumptions!$B$11*(1+Assumptions!$B$9)^G878,F878))</f>
        <v>1017553.0414709578</v>
      </c>
      <c r="K878" s="11">
        <f>IF(B878="Pensioner",1,VLOOKUP(Assumptions!$B$10,Mortality!$A$2:$F$104,6,FALSE)/VLOOKUP(C878,Mortality!$A$2:$F$104,6,FALSE))</f>
        <v>0.98127299335824147</v>
      </c>
      <c r="L878" s="11">
        <f>VLOOKUP(IF(B878="Pensioner",C878,Assumptions!$B$10),Mortality!$A$2:$E$104,5,FALSE)</f>
        <v>17.296790022132885</v>
      </c>
      <c r="M878" s="11">
        <f>1+Assumptions!$B$13*Assumptions!$B$14*Assumptions!$B$15</f>
        <v>1.3187500000000001</v>
      </c>
      <c r="N878" s="11">
        <f>IF(B878="Pensioner",1,1/(1+Assumptions!$B$6)^G878)</f>
        <v>0.53272603552052888</v>
      </c>
      <c r="O878" s="17">
        <f t="shared" si="13"/>
        <v>12133296.518856453</v>
      </c>
    </row>
    <row r="879" spans="1:15">
      <c r="A879" s="13" t="str">
        <f>Members!A879</f>
        <v>D0099</v>
      </c>
      <c r="B879" s="13" t="str">
        <f>Members!B879</f>
        <v>Deferred</v>
      </c>
      <c r="C879" s="13">
        <f>Members!C879</f>
        <v>53</v>
      </c>
      <c r="D879" s="14">
        <f>Members!D879</f>
        <v>8.1999999999999993</v>
      </c>
      <c r="E879" s="16">
        <f>Members!E879</f>
        <v>1093000</v>
      </c>
      <c r="F879" s="16">
        <f>Members!F879</f>
        <v>0</v>
      </c>
      <c r="G879" s="15">
        <f>MAX(0,Assumptions!$B$10-C879)</f>
        <v>7</v>
      </c>
      <c r="H879" s="17">
        <f>IF(B879="Active",E879*(1+Assumptions!$B$7)^G879,E879)</f>
        <v>1093000</v>
      </c>
      <c r="I879" s="17">
        <f>IF(B879="Active",MIN(Assumptions!$B$12,D879+G879),IF(B879="Deferred",MIN(Assumptions!$B$12,D879),D879))</f>
        <v>8.1999999999999993</v>
      </c>
      <c r="J879" s="17">
        <f>IF(B879="Active",H879*I879*Assumptions!$B$11,IF(B879="Deferred",E879*I879*Assumptions!$B$11*(1+Assumptions!$B$9)^G879,F879))</f>
        <v>196569.5027429857</v>
      </c>
      <c r="K879" s="11">
        <f>IF(B879="Pensioner",1,VLOOKUP(Assumptions!$B$10,Mortality!$A$2:$F$104,6,FALSE)/VLOOKUP(C879,Mortality!$A$2:$F$104,6,FALSE))</f>
        <v>0.98503000174313171</v>
      </c>
      <c r="L879" s="11">
        <f>VLOOKUP(IF(B879="Pensioner",C879,Assumptions!$B$10),Mortality!$A$2:$E$104,5,FALSE)</f>
        <v>17.296790022132885</v>
      </c>
      <c r="M879" s="11">
        <f>1+Assumptions!$B$13*Assumptions!$B$14*Assumptions!$B$15</f>
        <v>1.3187500000000001</v>
      </c>
      <c r="N879" s="11">
        <f>IF(B879="Pensioner",1,1/(1+Assumptions!$B$6)^G879)</f>
        <v>0.64350621483475945</v>
      </c>
      <c r="O879" s="17">
        <f t="shared" si="13"/>
        <v>2842145.6407019761</v>
      </c>
    </row>
    <row r="880" spans="1:15">
      <c r="A880" s="13" t="str">
        <f>Members!A880</f>
        <v>A0474</v>
      </c>
      <c r="B880" s="13" t="str">
        <f>Members!B880</f>
        <v>Active</v>
      </c>
      <c r="C880" s="13">
        <f>Members!C880</f>
        <v>28</v>
      </c>
      <c r="D880" s="14">
        <f>Members!D880</f>
        <v>4.2</v>
      </c>
      <c r="E880" s="16">
        <f>Members!E880</f>
        <v>623000</v>
      </c>
      <c r="F880" s="16">
        <f>Members!F880</f>
        <v>0</v>
      </c>
      <c r="G880" s="15">
        <f>MAX(0,Assumptions!$B$10-C880)</f>
        <v>32</v>
      </c>
      <c r="H880" s="17">
        <f>IF(B880="Active",E880*(1+Assumptions!$B$7)^G880,E880)</f>
        <v>3455944.4644631627</v>
      </c>
      <c r="I880" s="17">
        <f>IF(B880="Active",MIN(Assumptions!$B$12,D880+G880),IF(B880="Deferred",MIN(Assumptions!$B$12,D880),D880))</f>
        <v>36.200000000000003</v>
      </c>
      <c r="J880" s="17">
        <f>IF(B880="Active",H880*I880*Assumptions!$B$11,IF(B880="Deferred",E880*I880*Assumptions!$B$11*(1+Assumptions!$B$9)^G880,F880))</f>
        <v>2085086.4935594418</v>
      </c>
      <c r="K880" s="11">
        <f>IF(B880="Pensioner",1,VLOOKUP(Assumptions!$B$10,Mortality!$A$2:$F$104,6,FALSE)/VLOOKUP(C880,Mortality!$A$2:$F$104,6,FALSE))</f>
        <v>0.96977196143473232</v>
      </c>
      <c r="L880" s="11">
        <f>VLOOKUP(IF(B880="Pensioner",C880,Assumptions!$B$10),Mortality!$A$2:$E$104,5,FALSE)</f>
        <v>17.296790022132885</v>
      </c>
      <c r="M880" s="11">
        <f>1+Assumptions!$B$13*Assumptions!$B$14*Assumptions!$B$15</f>
        <v>1.3187500000000001</v>
      </c>
      <c r="N880" s="11">
        <f>IF(B880="Pensioner",1,1/(1+Assumptions!$B$6)^G880)</f>
        <v>0.13329459861122173</v>
      </c>
      <c r="O880" s="17">
        <f t="shared" si="13"/>
        <v>6148005.3335150667</v>
      </c>
    </row>
    <row r="881" spans="1:15">
      <c r="A881" s="13" t="str">
        <f>Members!A881</f>
        <v>A0302</v>
      </c>
      <c r="B881" s="13" t="str">
        <f>Members!B881</f>
        <v>Active</v>
      </c>
      <c r="C881" s="13">
        <f>Members!C881</f>
        <v>45</v>
      </c>
      <c r="D881" s="14">
        <f>Members!D881</f>
        <v>5.8</v>
      </c>
      <c r="E881" s="16">
        <f>Members!E881</f>
        <v>855000</v>
      </c>
      <c r="F881" s="16">
        <f>Members!F881</f>
        <v>0</v>
      </c>
      <c r="G881" s="15">
        <f>MAX(0,Assumptions!$B$10-C881)</f>
        <v>15</v>
      </c>
      <c r="H881" s="17">
        <f>IF(B881="Active",E881*(1+Assumptions!$B$7)^G881,E881)</f>
        <v>1908767.400863447</v>
      </c>
      <c r="I881" s="17">
        <f>IF(B881="Active",MIN(Assumptions!$B$12,D881+G881),IF(B881="Deferred",MIN(Assumptions!$B$12,D881),D881))</f>
        <v>20.8</v>
      </c>
      <c r="J881" s="17">
        <f>IF(B881="Active",H881*I881*Assumptions!$B$11,IF(B881="Deferred",E881*I881*Assumptions!$B$11*(1+Assumptions!$B$9)^G881,F881))</f>
        <v>661706.03229932836</v>
      </c>
      <c r="K881" s="11">
        <f>IF(B881="Pensioner",1,VLOOKUP(Assumptions!$B$10,Mortality!$A$2:$F$104,6,FALSE)/VLOOKUP(C881,Mortality!$A$2:$F$104,6,FALSE))</f>
        <v>0.97693494781946555</v>
      </c>
      <c r="L881" s="11">
        <f>VLOOKUP(IF(B881="Pensioner",C881,Assumptions!$B$10),Mortality!$A$2:$E$104,5,FALSE)</f>
        <v>17.296790022132885</v>
      </c>
      <c r="M881" s="11">
        <f>1+Assumptions!$B$13*Assumptions!$B$14*Assumptions!$B$15</f>
        <v>1.3187500000000001</v>
      </c>
      <c r="N881" s="11">
        <f>IF(B881="Pensioner",1,1/(1+Assumptions!$B$6)^G881)</f>
        <v>0.38882652444221566</v>
      </c>
      <c r="O881" s="17">
        <f t="shared" si="13"/>
        <v>5733431.2463436676</v>
      </c>
    </row>
    <row r="882" spans="1:15">
      <c r="A882" s="13" t="str">
        <f>Members!A882</f>
        <v>P0041</v>
      </c>
      <c r="B882" s="13" t="str">
        <f>Members!B882</f>
        <v>Pensioner</v>
      </c>
      <c r="C882" s="13">
        <f>Members!C882</f>
        <v>84</v>
      </c>
      <c r="D882" s="14">
        <f>Members!D882</f>
        <v>12.4</v>
      </c>
      <c r="E882" s="16">
        <f>Members!E882</f>
        <v>0</v>
      </c>
      <c r="F882" s="16">
        <f>Members!F882</f>
        <v>658000</v>
      </c>
      <c r="G882" s="15">
        <f>MAX(0,Assumptions!$B$10-C882)</f>
        <v>0</v>
      </c>
      <c r="H882" s="17">
        <f>IF(B882="Active",E882*(1+Assumptions!$B$7)^G882,E882)</f>
        <v>0</v>
      </c>
      <c r="I882" s="17">
        <f>IF(B882="Active",MIN(Assumptions!$B$12,D882+G882),IF(B882="Deferred",MIN(Assumptions!$B$12,D882),D882))</f>
        <v>12.4</v>
      </c>
      <c r="J882" s="17">
        <f>IF(B882="Active",H882*I882*Assumptions!$B$11,IF(B882="Deferred",E882*I882*Assumptions!$B$11*(1+Assumptions!$B$9)^G882,F882))</f>
        <v>658000</v>
      </c>
      <c r="K882" s="11">
        <f>IF(B882="Pensioner",1,VLOOKUP(Assumptions!$B$10,Mortality!$A$2:$F$104,6,FALSE)/VLOOKUP(C882,Mortality!$A$2:$F$104,6,FALSE))</f>
        <v>1</v>
      </c>
      <c r="L882" s="11">
        <f>VLOOKUP(IF(B882="Pensioner",C882,Assumptions!$B$10),Mortality!$A$2:$E$104,5,FALSE)</f>
        <v>6.6432720965175314</v>
      </c>
      <c r="M882" s="11">
        <f>1+Assumptions!$B$13*Assumptions!$B$14*Assumptions!$B$15</f>
        <v>1.3187500000000001</v>
      </c>
      <c r="N882" s="11">
        <f>IF(B882="Pensioner",1,1/(1+Assumptions!$B$6)^G882)</f>
        <v>1</v>
      </c>
      <c r="O882" s="17">
        <f t="shared" si="13"/>
        <v>5764616.320851882</v>
      </c>
    </row>
    <row r="883" spans="1:15">
      <c r="A883" s="13" t="str">
        <f>Members!A883</f>
        <v>A0461</v>
      </c>
      <c r="B883" s="13" t="str">
        <f>Members!B883</f>
        <v>Active</v>
      </c>
      <c r="C883" s="13">
        <f>Members!C883</f>
        <v>36</v>
      </c>
      <c r="D883" s="14">
        <f>Members!D883</f>
        <v>10.5</v>
      </c>
      <c r="E883" s="16">
        <f>Members!E883</f>
        <v>619000</v>
      </c>
      <c r="F883" s="16">
        <f>Members!F883</f>
        <v>0</v>
      </c>
      <c r="G883" s="15">
        <f>MAX(0,Assumptions!$B$10-C883)</f>
        <v>24</v>
      </c>
      <c r="H883" s="17">
        <f>IF(B883="Active",E883*(1+Assumptions!$B$7)^G883,E883)</f>
        <v>2237431.1505178679</v>
      </c>
      <c r="I883" s="17">
        <f>IF(B883="Active",MIN(Assumptions!$B$12,D883+G883),IF(B883="Deferred",MIN(Assumptions!$B$12,D883),D883))</f>
        <v>34.5</v>
      </c>
      <c r="J883" s="17">
        <f>IF(B883="Active",H883*I883*Assumptions!$B$11,IF(B883="Deferred",E883*I883*Assumptions!$B$11*(1+Assumptions!$B$9)^G883,F883))</f>
        <v>1286522.911547774</v>
      </c>
      <c r="K883" s="11">
        <f>IF(B883="Pensioner",1,VLOOKUP(Assumptions!$B$10,Mortality!$A$2:$F$104,6,FALSE)/VLOOKUP(C883,Mortality!$A$2:$F$104,6,FALSE))</f>
        <v>0.97234503055413524</v>
      </c>
      <c r="L883" s="11">
        <f>VLOOKUP(IF(B883="Pensioner",C883,Assumptions!$B$10),Mortality!$A$2:$E$104,5,FALSE)</f>
        <v>17.296790022132885</v>
      </c>
      <c r="M883" s="11">
        <f>1+Assumptions!$B$13*Assumptions!$B$14*Assumptions!$B$15</f>
        <v>1.3187500000000001</v>
      </c>
      <c r="N883" s="11">
        <f>IF(B883="Pensioner",1,1/(1+Assumptions!$B$6)^G883)</f>
        <v>0.22060198370796386</v>
      </c>
      <c r="O883" s="17">
        <f t="shared" si="13"/>
        <v>6294704.1501003793</v>
      </c>
    </row>
    <row r="884" spans="1:15">
      <c r="A884" s="13" t="str">
        <f>Members!A884</f>
        <v>A0291</v>
      </c>
      <c r="B884" s="13" t="str">
        <f>Members!B884</f>
        <v>Active</v>
      </c>
      <c r="C884" s="13">
        <f>Members!C884</f>
        <v>50</v>
      </c>
      <c r="D884" s="14">
        <f>Members!D884</f>
        <v>21.2</v>
      </c>
      <c r="E884" s="16">
        <f>Members!E884</f>
        <v>1345000</v>
      </c>
      <c r="F884" s="16">
        <f>Members!F884</f>
        <v>0</v>
      </c>
      <c r="G884" s="15">
        <f>MAX(0,Assumptions!$B$10-C884)</f>
        <v>10</v>
      </c>
      <c r="H884" s="17">
        <f>IF(B884="Active",E884*(1+Assumptions!$B$7)^G884,E884)</f>
        <v>2297454.2964855824</v>
      </c>
      <c r="I884" s="17">
        <f>IF(B884="Active",MIN(Assumptions!$B$12,D884+G884),IF(B884="Deferred",MIN(Assumptions!$B$12,D884),D884))</f>
        <v>31.2</v>
      </c>
      <c r="J884" s="17">
        <f>IF(B884="Active",H884*I884*Assumptions!$B$11,IF(B884="Deferred",E884*I884*Assumptions!$B$11*(1+Assumptions!$B$9)^G884,F884))</f>
        <v>1194676.234172503</v>
      </c>
      <c r="K884" s="11">
        <f>IF(B884="Pensioner",1,VLOOKUP(Assumptions!$B$10,Mortality!$A$2:$F$104,6,FALSE)/VLOOKUP(C884,Mortality!$A$2:$F$104,6,FALSE))</f>
        <v>0.98127299335824147</v>
      </c>
      <c r="L884" s="11">
        <f>VLOOKUP(IF(B884="Pensioner",C884,Assumptions!$B$10),Mortality!$A$2:$E$104,5,FALSE)</f>
        <v>17.296790022132885</v>
      </c>
      <c r="M884" s="11">
        <f>1+Assumptions!$B$13*Assumptions!$B$14*Assumptions!$B$15</f>
        <v>1.3187500000000001</v>
      </c>
      <c r="N884" s="11">
        <f>IF(B884="Pensioner",1,1/(1+Assumptions!$B$6)^G884)</f>
        <v>0.53272603552052888</v>
      </c>
      <c r="O884" s="17">
        <f t="shared" si="13"/>
        <v>14245312.433336657</v>
      </c>
    </row>
    <row r="885" spans="1:15">
      <c r="A885" s="13" t="str">
        <f>Members!A885</f>
        <v>A0491</v>
      </c>
      <c r="B885" s="13" t="str">
        <f>Members!B885</f>
        <v>Active</v>
      </c>
      <c r="C885" s="13">
        <f>Members!C885</f>
        <v>34</v>
      </c>
      <c r="D885" s="14">
        <f>Members!D885</f>
        <v>5.7</v>
      </c>
      <c r="E885" s="16">
        <f>Members!E885</f>
        <v>546000</v>
      </c>
      <c r="F885" s="16">
        <f>Members!F885</f>
        <v>0</v>
      </c>
      <c r="G885" s="15">
        <f>MAX(0,Assumptions!$B$10-C885)</f>
        <v>26</v>
      </c>
      <c r="H885" s="17">
        <f>IF(B885="Active",E885*(1+Assumptions!$B$7)^G885,E885)</f>
        <v>2196628.3945761095</v>
      </c>
      <c r="I885" s="17">
        <f>IF(B885="Active",MIN(Assumptions!$B$12,D885+G885),IF(B885="Deferred",MIN(Assumptions!$B$12,D885),D885))</f>
        <v>31.7</v>
      </c>
      <c r="J885" s="17">
        <f>IF(B885="Active",H885*I885*Assumptions!$B$11,IF(B885="Deferred",E885*I885*Assumptions!$B$11*(1+Assumptions!$B$9)^G885,F885))</f>
        <v>1160552.0018010444</v>
      </c>
      <c r="K885" s="11">
        <f>IF(B885="Pensioner",1,VLOOKUP(Assumptions!$B$10,Mortality!$A$2:$F$104,6,FALSE)/VLOOKUP(C885,Mortality!$A$2:$F$104,6,FALSE))</f>
        <v>0.97162058192333911</v>
      </c>
      <c r="L885" s="11">
        <f>VLOOKUP(IF(B885="Pensioner",C885,Assumptions!$B$10),Mortality!$A$2:$E$104,5,FALSE)</f>
        <v>17.296790022132885</v>
      </c>
      <c r="M885" s="11">
        <f>1+Assumptions!$B$13*Assumptions!$B$14*Assumptions!$B$15</f>
        <v>1.3187500000000001</v>
      </c>
      <c r="N885" s="11">
        <f>IF(B885="Pensioner",1,1/(1+Assumptions!$B$6)^G885)</f>
        <v>0.19449578673364096</v>
      </c>
      <c r="O885" s="17">
        <f t="shared" si="13"/>
        <v>5002642.8034749851</v>
      </c>
    </row>
    <row r="886" spans="1:15">
      <c r="A886" s="13" t="str">
        <f>Members!A886</f>
        <v>D0088</v>
      </c>
      <c r="B886" s="13" t="str">
        <f>Members!B886</f>
        <v>Deferred</v>
      </c>
      <c r="C886" s="13">
        <f>Members!C886</f>
        <v>34</v>
      </c>
      <c r="D886" s="14">
        <f>Members!D886</f>
        <v>3</v>
      </c>
      <c r="E886" s="16">
        <f>Members!E886</f>
        <v>425000</v>
      </c>
      <c r="F886" s="16">
        <f>Members!F886</f>
        <v>0</v>
      </c>
      <c r="G886" s="15">
        <f>MAX(0,Assumptions!$B$10-C886)</f>
        <v>26</v>
      </c>
      <c r="H886" s="17">
        <f>IF(B886="Active",E886*(1+Assumptions!$B$7)^G886,E886)</f>
        <v>425000</v>
      </c>
      <c r="I886" s="17">
        <f>IF(B886="Active",MIN(Assumptions!$B$12,D886+G886),IF(B886="Deferred",MIN(Assumptions!$B$12,D886),D886))</f>
        <v>3</v>
      </c>
      <c r="J886" s="17">
        <f>IF(B886="Active",H886*I886*Assumptions!$B$11,IF(B886="Deferred",E886*I886*Assumptions!$B$11*(1+Assumptions!$B$9)^G886,F886))</f>
        <v>58914.982925872049</v>
      </c>
      <c r="K886" s="11">
        <f>IF(B886="Pensioner",1,VLOOKUP(Assumptions!$B$10,Mortality!$A$2:$F$104,6,FALSE)/VLOOKUP(C886,Mortality!$A$2:$F$104,6,FALSE))</f>
        <v>0.97162058192333911</v>
      </c>
      <c r="L886" s="11">
        <f>VLOOKUP(IF(B886="Pensioner",C886,Assumptions!$B$10),Mortality!$A$2:$E$104,5,FALSE)</f>
        <v>17.296790022132885</v>
      </c>
      <c r="M886" s="11">
        <f>1+Assumptions!$B$13*Assumptions!$B$14*Assumptions!$B$15</f>
        <v>1.3187500000000001</v>
      </c>
      <c r="N886" s="11">
        <f>IF(B886="Pensioner",1,1/(1+Assumptions!$B$6)^G886)</f>
        <v>0.19449578673364096</v>
      </c>
      <c r="O886" s="17">
        <f t="shared" si="13"/>
        <v>253957.26765675051</v>
      </c>
    </row>
    <row r="887" spans="1:15">
      <c r="A887" s="13" t="str">
        <f>Members!A887</f>
        <v>A0356</v>
      </c>
      <c r="B887" s="13" t="str">
        <f>Members!B887</f>
        <v>Active</v>
      </c>
      <c r="C887" s="13">
        <f>Members!C887</f>
        <v>45</v>
      </c>
      <c r="D887" s="14">
        <f>Members!D887</f>
        <v>18.100000000000001</v>
      </c>
      <c r="E887" s="16">
        <f>Members!E887</f>
        <v>1353000</v>
      </c>
      <c r="F887" s="16">
        <f>Members!F887</f>
        <v>0</v>
      </c>
      <c r="G887" s="15">
        <f>MAX(0,Assumptions!$B$10-C887)</f>
        <v>15</v>
      </c>
      <c r="H887" s="17">
        <f>IF(B887="Active",E887*(1+Assumptions!$B$7)^G887,E887)</f>
        <v>3020540.6939979456</v>
      </c>
      <c r="I887" s="17">
        <f>IF(B887="Active",MIN(Assumptions!$B$12,D887+G887),IF(B887="Deferred",MIN(Assumptions!$B$12,D887),D887))</f>
        <v>33.1</v>
      </c>
      <c r="J887" s="17">
        <f>IF(B887="Active",H887*I887*Assumptions!$B$11,IF(B887="Deferred",E887*I887*Assumptions!$B$11*(1+Assumptions!$B$9)^G887,F887))</f>
        <v>1666331.6161888666</v>
      </c>
      <c r="K887" s="11">
        <f>IF(B887="Pensioner",1,VLOOKUP(Assumptions!$B$10,Mortality!$A$2:$F$104,6,FALSE)/VLOOKUP(C887,Mortality!$A$2:$F$104,6,FALSE))</f>
        <v>0.97693494781946555</v>
      </c>
      <c r="L887" s="11">
        <f>VLOOKUP(IF(B887="Pensioner",C887,Assumptions!$B$10),Mortality!$A$2:$E$104,5,FALSE)</f>
        <v>17.296790022132885</v>
      </c>
      <c r="M887" s="11">
        <f>1+Assumptions!$B$13*Assumptions!$B$14*Assumptions!$B$15</f>
        <v>1.3187500000000001</v>
      </c>
      <c r="N887" s="11">
        <f>IF(B887="Pensioner",1,1/(1+Assumptions!$B$6)^G887)</f>
        <v>0.38882652444221566</v>
      </c>
      <c r="O887" s="17">
        <f t="shared" si="13"/>
        <v>14438130.058796033</v>
      </c>
    </row>
    <row r="888" spans="1:15">
      <c r="A888" s="13" t="str">
        <f>Members!A888</f>
        <v>D0058</v>
      </c>
      <c r="B888" s="13" t="str">
        <f>Members!B888</f>
        <v>Deferred</v>
      </c>
      <c r="C888" s="13">
        <f>Members!C888</f>
        <v>59</v>
      </c>
      <c r="D888" s="14">
        <f>Members!D888</f>
        <v>20.8</v>
      </c>
      <c r="E888" s="16">
        <f>Members!E888</f>
        <v>1560000</v>
      </c>
      <c r="F888" s="16">
        <f>Members!F888</f>
        <v>0</v>
      </c>
      <c r="G888" s="15">
        <f>MAX(0,Assumptions!$B$10-C888)</f>
        <v>1</v>
      </c>
      <c r="H888" s="17">
        <f>IF(B888="Active",E888*(1+Assumptions!$B$7)^G888,E888)</f>
        <v>1560000</v>
      </c>
      <c r="I888" s="17">
        <f>IF(B888="Active",MIN(Assumptions!$B$12,D888+G888),IF(B888="Deferred",MIN(Assumptions!$B$12,D888),D888))</f>
        <v>20.8</v>
      </c>
      <c r="J888" s="17">
        <f>IF(B888="Active",H888*I888*Assumptions!$B$11,IF(B888="Deferred",E888*I888*Assumptions!$B$11*(1+Assumptions!$B$9)^G888,F888))</f>
        <v>562432</v>
      </c>
      <c r="K888" s="11">
        <f>IF(B888="Pensioner",1,VLOOKUP(Assumptions!$B$10,Mortality!$A$2:$F$104,6,FALSE)/VLOOKUP(C888,Mortality!$A$2:$F$104,6,FALSE))</f>
        <v>0.99710960118319747</v>
      </c>
      <c r="L888" s="11">
        <f>VLOOKUP(IF(B888="Pensioner",C888,Assumptions!$B$10),Mortality!$A$2:$E$104,5,FALSE)</f>
        <v>17.296790022132885</v>
      </c>
      <c r="M888" s="11">
        <f>1+Assumptions!$B$13*Assumptions!$B$14*Assumptions!$B$15</f>
        <v>1.3187500000000001</v>
      </c>
      <c r="N888" s="11">
        <f>IF(B888="Pensioner",1,1/(1+Assumptions!$B$6)^G888)</f>
        <v>0.93896713615023475</v>
      </c>
      <c r="O888" s="17">
        <f t="shared" si="13"/>
        <v>12011335.517032627</v>
      </c>
    </row>
    <row r="889" spans="1:15">
      <c r="A889" s="13" t="str">
        <f>Members!A889</f>
        <v>A0423</v>
      </c>
      <c r="B889" s="13" t="str">
        <f>Members!B889</f>
        <v>Active</v>
      </c>
      <c r="C889" s="13">
        <f>Members!C889</f>
        <v>50</v>
      </c>
      <c r="D889" s="14">
        <f>Members!D889</f>
        <v>16.100000000000001</v>
      </c>
      <c r="E889" s="16">
        <f>Members!E889</f>
        <v>1407000</v>
      </c>
      <c r="F889" s="16">
        <f>Members!F889</f>
        <v>0</v>
      </c>
      <c r="G889" s="15">
        <f>MAX(0,Assumptions!$B$10-C889)</f>
        <v>10</v>
      </c>
      <c r="H889" s="17">
        <f>IF(B889="Active",E889*(1+Assumptions!$B$7)^G889,E889)</f>
        <v>2403359.2529035052</v>
      </c>
      <c r="I889" s="17">
        <f>IF(B889="Active",MIN(Assumptions!$B$12,D889+G889),IF(B889="Deferred",MIN(Assumptions!$B$12,D889),D889))</f>
        <v>26.1</v>
      </c>
      <c r="J889" s="17">
        <f>IF(B889="Active",H889*I889*Assumptions!$B$11,IF(B889="Deferred",E889*I889*Assumptions!$B$11*(1+Assumptions!$B$9)^G889,F889))</f>
        <v>1045461.2750130248</v>
      </c>
      <c r="K889" s="11">
        <f>IF(B889="Pensioner",1,VLOOKUP(Assumptions!$B$10,Mortality!$A$2:$F$104,6,FALSE)/VLOOKUP(C889,Mortality!$A$2:$F$104,6,FALSE))</f>
        <v>0.98127299335824147</v>
      </c>
      <c r="L889" s="11">
        <f>VLOOKUP(IF(B889="Pensioner",C889,Assumptions!$B$10),Mortality!$A$2:$E$104,5,FALSE)</f>
        <v>17.296790022132885</v>
      </c>
      <c r="M889" s="11">
        <f>1+Assumptions!$B$13*Assumptions!$B$14*Assumptions!$B$15</f>
        <v>1.3187500000000001</v>
      </c>
      <c r="N889" s="11">
        <f>IF(B889="Pensioner",1,1/(1+Assumptions!$B$6)^G889)</f>
        <v>0.53272603552052888</v>
      </c>
      <c r="O889" s="17">
        <f t="shared" si="13"/>
        <v>12466074.13248718</v>
      </c>
    </row>
    <row r="890" spans="1:15">
      <c r="A890" s="13" t="str">
        <f>Members!A890</f>
        <v>A0602</v>
      </c>
      <c r="B890" s="13" t="str">
        <f>Members!B890</f>
        <v>Active</v>
      </c>
      <c r="C890" s="13">
        <f>Members!C890</f>
        <v>57</v>
      </c>
      <c r="D890" s="14">
        <f>Members!D890</f>
        <v>15.2</v>
      </c>
      <c r="E890" s="16">
        <f>Members!E890</f>
        <v>2266000</v>
      </c>
      <c r="F890" s="16">
        <f>Members!F890</f>
        <v>0</v>
      </c>
      <c r="G890" s="15">
        <f>MAX(0,Assumptions!$B$10-C890)</f>
        <v>3</v>
      </c>
      <c r="H890" s="17">
        <f>IF(B890="Active",E890*(1+Assumptions!$B$7)^G890,E890)</f>
        <v>2660830.9557499997</v>
      </c>
      <c r="I890" s="17">
        <f>IF(B890="Active",MIN(Assumptions!$B$12,D890+G890),IF(B890="Deferred",MIN(Assumptions!$B$12,D890),D890))</f>
        <v>18.2</v>
      </c>
      <c r="J890" s="17">
        <f>IF(B890="Active",H890*I890*Assumptions!$B$11,IF(B890="Deferred",E890*I890*Assumptions!$B$11*(1+Assumptions!$B$9)^G890,F890))</f>
        <v>807118.72324416647</v>
      </c>
      <c r="K890" s="11">
        <f>IF(B890="Pensioner",1,VLOOKUP(Assumptions!$B$10,Mortality!$A$2:$F$104,6,FALSE)/VLOOKUP(C890,Mortality!$A$2:$F$104,6,FALSE))</f>
        <v>0.99220038929214172</v>
      </c>
      <c r="L890" s="11">
        <f>VLOOKUP(IF(B890="Pensioner",C890,Assumptions!$B$10),Mortality!$A$2:$E$104,5,FALSE)</f>
        <v>17.296790022132885</v>
      </c>
      <c r="M890" s="11">
        <f>1+Assumptions!$B$13*Assumptions!$B$14*Assumptions!$B$15</f>
        <v>1.3187500000000001</v>
      </c>
      <c r="N890" s="11">
        <f>IF(B890="Pensioner",1,1/(1+Assumptions!$B$6)^G890)</f>
        <v>0.82784909180297994</v>
      </c>
      <c r="O890" s="17">
        <f t="shared" si="13"/>
        <v>15122234.82446235</v>
      </c>
    </row>
    <row r="891" spans="1:15">
      <c r="A891" s="13" t="str">
        <f>Members!A891</f>
        <v>P0198</v>
      </c>
      <c r="B891" s="13" t="str">
        <f>Members!B891</f>
        <v>Pensioner</v>
      </c>
      <c r="C891" s="13">
        <f>Members!C891</f>
        <v>86</v>
      </c>
      <c r="D891" s="14">
        <f>Members!D891</f>
        <v>34.799999999999997</v>
      </c>
      <c r="E891" s="16">
        <f>Members!E891</f>
        <v>0</v>
      </c>
      <c r="F891" s="16">
        <f>Members!F891</f>
        <v>482000</v>
      </c>
      <c r="G891" s="15">
        <f>MAX(0,Assumptions!$B$10-C891)</f>
        <v>0</v>
      </c>
      <c r="H891" s="17">
        <f>IF(B891="Active",E891*(1+Assumptions!$B$7)^G891,E891)</f>
        <v>0</v>
      </c>
      <c r="I891" s="17">
        <f>IF(B891="Active",MIN(Assumptions!$B$12,D891+G891),IF(B891="Deferred",MIN(Assumptions!$B$12,D891),D891))</f>
        <v>34.799999999999997</v>
      </c>
      <c r="J891" s="17">
        <f>IF(B891="Active",H891*I891*Assumptions!$B$11,IF(B891="Deferred",E891*I891*Assumptions!$B$11*(1+Assumptions!$B$9)^G891,F891))</f>
        <v>482000</v>
      </c>
      <c r="K891" s="11">
        <f>IF(B891="Pensioner",1,VLOOKUP(Assumptions!$B$10,Mortality!$A$2:$F$104,6,FALSE)/VLOOKUP(C891,Mortality!$A$2:$F$104,6,FALSE))</f>
        <v>1</v>
      </c>
      <c r="L891" s="11">
        <f>VLOOKUP(IF(B891="Pensioner",C891,Assumptions!$B$10),Mortality!$A$2:$E$104,5,FALSE)</f>
        <v>5.822832972912483</v>
      </c>
      <c r="M891" s="11">
        <f>1+Assumptions!$B$13*Assumptions!$B$14*Assumptions!$B$15</f>
        <v>1.3187500000000001</v>
      </c>
      <c r="N891" s="11">
        <f>IF(B891="Pensioner",1,1/(1+Assumptions!$B$6)^G891)</f>
        <v>1</v>
      </c>
      <c r="O891" s="17">
        <f t="shared" si="13"/>
        <v>3701210.9938196586</v>
      </c>
    </row>
    <row r="892" spans="1:15">
      <c r="A892" s="13" t="str">
        <f>Members!A892</f>
        <v>P0079</v>
      </c>
      <c r="B892" s="13" t="str">
        <f>Members!B892</f>
        <v>Pensioner</v>
      </c>
      <c r="C892" s="13">
        <f>Members!C892</f>
        <v>77</v>
      </c>
      <c r="D892" s="14">
        <f>Members!D892</f>
        <v>23.7</v>
      </c>
      <c r="E892" s="16">
        <f>Members!E892</f>
        <v>0</v>
      </c>
      <c r="F892" s="16">
        <f>Members!F892</f>
        <v>312000</v>
      </c>
      <c r="G892" s="15">
        <f>MAX(0,Assumptions!$B$10-C892)</f>
        <v>0</v>
      </c>
      <c r="H892" s="17">
        <f>IF(B892="Active",E892*(1+Assumptions!$B$7)^G892,E892)</f>
        <v>0</v>
      </c>
      <c r="I892" s="17">
        <f>IF(B892="Active",MIN(Assumptions!$B$12,D892+G892),IF(B892="Deferred",MIN(Assumptions!$B$12,D892),D892))</f>
        <v>23.7</v>
      </c>
      <c r="J892" s="17">
        <f>IF(B892="Active",H892*I892*Assumptions!$B$11,IF(B892="Deferred",E892*I892*Assumptions!$B$11*(1+Assumptions!$B$9)^G892,F892))</f>
        <v>312000</v>
      </c>
      <c r="K892" s="11">
        <f>IF(B892="Pensioner",1,VLOOKUP(Assumptions!$B$10,Mortality!$A$2:$F$104,6,FALSE)/VLOOKUP(C892,Mortality!$A$2:$F$104,6,FALSE))</f>
        <v>1</v>
      </c>
      <c r="L892" s="11">
        <f>VLOOKUP(IF(B892="Pensioner",C892,Assumptions!$B$10),Mortality!$A$2:$E$104,5,FALSE)</f>
        <v>9.7418184564319716</v>
      </c>
      <c r="M892" s="11">
        <f>1+Assumptions!$B$13*Assumptions!$B$14*Assumptions!$B$15</f>
        <v>1.3187500000000001</v>
      </c>
      <c r="N892" s="11">
        <f>IF(B892="Pensioner",1,1/(1+Assumptions!$B$6)^G892)</f>
        <v>1</v>
      </c>
      <c r="O892" s="17">
        <f t="shared" si="13"/>
        <v>4008271.2038989351</v>
      </c>
    </row>
    <row r="893" spans="1:15">
      <c r="A893" s="13" t="str">
        <f>Members!A893</f>
        <v>A0431</v>
      </c>
      <c r="B893" s="13" t="str">
        <f>Members!B893</f>
        <v>Active</v>
      </c>
      <c r="C893" s="13">
        <f>Members!C893</f>
        <v>42</v>
      </c>
      <c r="D893" s="14">
        <f>Members!D893</f>
        <v>4.5999999999999996</v>
      </c>
      <c r="E893" s="16">
        <f>Members!E893</f>
        <v>1033000</v>
      </c>
      <c r="F893" s="16">
        <f>Members!F893</f>
        <v>0</v>
      </c>
      <c r="G893" s="15">
        <f>MAX(0,Assumptions!$B$10-C893)</f>
        <v>18</v>
      </c>
      <c r="H893" s="17">
        <f>IF(B893="Active",E893*(1+Assumptions!$B$7)^G893,E893)</f>
        <v>2707974.6526753888</v>
      </c>
      <c r="I893" s="17">
        <f>IF(B893="Active",MIN(Assumptions!$B$12,D893+G893),IF(B893="Deferred",MIN(Assumptions!$B$12,D893),D893))</f>
        <v>22.6</v>
      </c>
      <c r="J893" s="17">
        <f>IF(B893="Active",H893*I893*Assumptions!$B$11,IF(B893="Deferred",E893*I893*Assumptions!$B$11*(1+Assumptions!$B$9)^G893,F893))</f>
        <v>1020003.7858410631</v>
      </c>
      <c r="K893" s="11">
        <f>IF(B893="Pensioner",1,VLOOKUP(Assumptions!$B$10,Mortality!$A$2:$F$104,6,FALSE)/VLOOKUP(C893,Mortality!$A$2:$F$104,6,FALSE))</f>
        <v>0.97507997078383857</v>
      </c>
      <c r="L893" s="11">
        <f>VLOOKUP(IF(B893="Pensioner",C893,Assumptions!$B$10),Mortality!$A$2:$E$104,5,FALSE)</f>
        <v>17.296790022132885</v>
      </c>
      <c r="M893" s="11">
        <f>1+Assumptions!$B$13*Assumptions!$B$14*Assumptions!$B$15</f>
        <v>1.3187500000000001</v>
      </c>
      <c r="N893" s="11">
        <f>IF(B893="Pensioner",1,1/(1+Assumptions!$B$6)^G893)</f>
        <v>0.32188968512839738</v>
      </c>
      <c r="O893" s="17">
        <f t="shared" si="13"/>
        <v>7302592.4747615568</v>
      </c>
    </row>
    <row r="894" spans="1:15">
      <c r="A894" s="13" t="str">
        <f>Members!A894</f>
        <v>A0041</v>
      </c>
      <c r="B894" s="13" t="str">
        <f>Members!B894</f>
        <v>Active</v>
      </c>
      <c r="C894" s="13">
        <f>Members!C894</f>
        <v>54</v>
      </c>
      <c r="D894" s="14">
        <f>Members!D894</f>
        <v>19.5</v>
      </c>
      <c r="E894" s="16">
        <f>Members!E894</f>
        <v>1260000</v>
      </c>
      <c r="F894" s="16">
        <f>Members!F894</f>
        <v>0</v>
      </c>
      <c r="G894" s="15">
        <f>MAX(0,Assumptions!$B$10-C894)</f>
        <v>6</v>
      </c>
      <c r="H894" s="17">
        <f>IF(B894="Active",E894*(1+Assumptions!$B$7)^G894,E894)</f>
        <v>1737341.9365199818</v>
      </c>
      <c r="I894" s="17">
        <f>IF(B894="Active",MIN(Assumptions!$B$12,D894+G894),IF(B894="Deferred",MIN(Assumptions!$B$12,D894),D894))</f>
        <v>25.5</v>
      </c>
      <c r="J894" s="17">
        <f>IF(B894="Active",H894*I894*Assumptions!$B$11,IF(B894="Deferred",E894*I894*Assumptions!$B$11*(1+Assumptions!$B$9)^G894,F894))</f>
        <v>738370.32302099233</v>
      </c>
      <c r="K894" s="11">
        <f>IF(B894="Pensioner",1,VLOOKUP(Assumptions!$B$10,Mortality!$A$2:$F$104,6,FALSE)/VLOOKUP(C894,Mortality!$A$2:$F$104,6,FALSE))</f>
        <v>0.98655351190569374</v>
      </c>
      <c r="L894" s="11">
        <f>VLOOKUP(IF(B894="Pensioner",C894,Assumptions!$B$10),Mortality!$A$2:$E$104,5,FALSE)</f>
        <v>17.296790022132885</v>
      </c>
      <c r="M894" s="11">
        <f>1+Assumptions!$B$13*Assumptions!$B$14*Assumptions!$B$15</f>
        <v>1.3187500000000001</v>
      </c>
      <c r="N894" s="11">
        <f>IF(B894="Pensioner",1,1/(1+Assumptions!$B$6)^G894)</f>
        <v>0.68533411879901873</v>
      </c>
      <c r="O894" s="17">
        <f t="shared" si="13"/>
        <v>11387416.857973743</v>
      </c>
    </row>
    <row r="895" spans="1:15">
      <c r="A895" s="13" t="str">
        <f>Members!A895</f>
        <v>D0049</v>
      </c>
      <c r="B895" s="13" t="str">
        <f>Members!B895</f>
        <v>Deferred</v>
      </c>
      <c r="C895" s="13">
        <f>Members!C895</f>
        <v>37</v>
      </c>
      <c r="D895" s="14">
        <f>Members!D895</f>
        <v>8</v>
      </c>
      <c r="E895" s="16">
        <f>Members!E895</f>
        <v>595000</v>
      </c>
      <c r="F895" s="16">
        <f>Members!F895</f>
        <v>0</v>
      </c>
      <c r="G895" s="15">
        <f>MAX(0,Assumptions!$B$10-C895)</f>
        <v>23</v>
      </c>
      <c r="H895" s="17">
        <f>IF(B895="Active",E895*(1+Assumptions!$B$7)^G895,E895)</f>
        <v>595000</v>
      </c>
      <c r="I895" s="17">
        <f>IF(B895="Active",MIN(Assumptions!$B$12,D895+G895),IF(B895="Deferred",MIN(Assumptions!$B$12,D895),D895))</f>
        <v>8</v>
      </c>
      <c r="J895" s="17">
        <f>IF(B895="Active",H895*I895*Assumptions!$B$11,IF(B895="Deferred",E895*I895*Assumptions!$B$11*(1+Assumptions!$B$9)^G895,F895))</f>
        <v>195534.0997577683</v>
      </c>
      <c r="K895" s="11">
        <f>IF(B895="Pensioner",1,VLOOKUP(Assumptions!$B$10,Mortality!$A$2:$F$104,6,FALSE)/VLOOKUP(C895,Mortality!$A$2:$F$104,6,FALSE))</f>
        <v>0.97273561412651877</v>
      </c>
      <c r="L895" s="11">
        <f>VLOOKUP(IF(B895="Pensioner",C895,Assumptions!$B$10),Mortality!$A$2:$E$104,5,FALSE)</f>
        <v>17.296790022132885</v>
      </c>
      <c r="M895" s="11">
        <f>1+Assumptions!$B$13*Assumptions!$B$14*Assumptions!$B$15</f>
        <v>1.3187500000000001</v>
      </c>
      <c r="N895" s="11">
        <f>IF(B895="Pensioner",1,1/(1+Assumptions!$B$6)^G895)</f>
        <v>0.23494111264898151</v>
      </c>
      <c r="O895" s="17">
        <f t="shared" si="13"/>
        <v>1019305.4117041079</v>
      </c>
    </row>
    <row r="896" spans="1:15">
      <c r="A896" s="13" t="str">
        <f>Members!A896</f>
        <v>A0094</v>
      </c>
      <c r="B896" s="13" t="str">
        <f>Members!B896</f>
        <v>Active</v>
      </c>
      <c r="C896" s="13">
        <f>Members!C896</f>
        <v>47</v>
      </c>
      <c r="D896" s="14">
        <f>Members!D896</f>
        <v>12.2</v>
      </c>
      <c r="E896" s="16">
        <f>Members!E896</f>
        <v>1116000</v>
      </c>
      <c r="F896" s="16">
        <f>Members!F896</f>
        <v>0</v>
      </c>
      <c r="G896" s="15">
        <f>MAX(0,Assumptions!$B$10-C896)</f>
        <v>13</v>
      </c>
      <c r="H896" s="17">
        <f>IF(B896="Active",E896*(1+Assumptions!$B$7)^G896,E896)</f>
        <v>2238443.6695829402</v>
      </c>
      <c r="I896" s="17">
        <f>IF(B896="Active",MIN(Assumptions!$B$12,D896+G896),IF(B896="Deferred",MIN(Assumptions!$B$12,D896),D896))</f>
        <v>25.2</v>
      </c>
      <c r="J896" s="17">
        <f>IF(B896="Active",H896*I896*Assumptions!$B$11,IF(B896="Deferred",E896*I896*Assumptions!$B$11*(1+Assumptions!$B$9)^G896,F896))</f>
        <v>940146.34122483479</v>
      </c>
      <c r="K896" s="11">
        <f>IF(B896="Pensioner",1,VLOOKUP(Assumptions!$B$10,Mortality!$A$2:$F$104,6,FALSE)/VLOOKUP(C896,Mortality!$A$2:$F$104,6,FALSE))</f>
        <v>0.97844516757479894</v>
      </c>
      <c r="L896" s="11">
        <f>VLOOKUP(IF(B896="Pensioner",C896,Assumptions!$B$10),Mortality!$A$2:$E$104,5,FALSE)</f>
        <v>17.296790022132885</v>
      </c>
      <c r="M896" s="11">
        <f>1+Assumptions!$B$13*Assumptions!$B$14*Assumptions!$B$15</f>
        <v>1.3187500000000001</v>
      </c>
      <c r="N896" s="11">
        <f>IF(B896="Pensioner",1,1/(1+Assumptions!$B$6)^G896)</f>
        <v>0.44101676468547191</v>
      </c>
      <c r="O896" s="17">
        <f t="shared" si="13"/>
        <v>9253691.9438213371</v>
      </c>
    </row>
    <row r="897" spans="1:15">
      <c r="A897" s="13" t="str">
        <f>Members!A897</f>
        <v>A0355</v>
      </c>
      <c r="B897" s="13" t="str">
        <f>Members!B897</f>
        <v>Active</v>
      </c>
      <c r="C897" s="13">
        <f>Members!C897</f>
        <v>28</v>
      </c>
      <c r="D897" s="14">
        <f>Members!D897</f>
        <v>1.5</v>
      </c>
      <c r="E897" s="16">
        <f>Members!E897</f>
        <v>586000</v>
      </c>
      <c r="F897" s="16">
        <f>Members!F897</f>
        <v>0</v>
      </c>
      <c r="G897" s="15">
        <f>MAX(0,Assumptions!$B$10-C897)</f>
        <v>32</v>
      </c>
      <c r="H897" s="17">
        <f>IF(B897="Active",E897*(1+Assumptions!$B$7)^G897,E897)</f>
        <v>3250695.7563008242</v>
      </c>
      <c r="I897" s="17">
        <f>IF(B897="Active",MIN(Assumptions!$B$12,D897+G897),IF(B897="Deferred",MIN(Assumptions!$B$12,D897),D897))</f>
        <v>33.5</v>
      </c>
      <c r="J897" s="17">
        <f>IF(B897="Active",H897*I897*Assumptions!$B$11,IF(B897="Deferred",E897*I897*Assumptions!$B$11*(1+Assumptions!$B$9)^G897,F897))</f>
        <v>1814971.7972679602</v>
      </c>
      <c r="K897" s="11">
        <f>IF(B897="Pensioner",1,VLOOKUP(Assumptions!$B$10,Mortality!$A$2:$F$104,6,FALSE)/VLOOKUP(C897,Mortality!$A$2:$F$104,6,FALSE))</f>
        <v>0.96977196143473232</v>
      </c>
      <c r="L897" s="11">
        <f>VLOOKUP(IF(B897="Pensioner",C897,Assumptions!$B$10),Mortality!$A$2:$E$104,5,FALSE)</f>
        <v>17.296790022132885</v>
      </c>
      <c r="M897" s="11">
        <f>1+Assumptions!$B$13*Assumptions!$B$14*Assumptions!$B$15</f>
        <v>1.3187500000000001</v>
      </c>
      <c r="N897" s="11">
        <f>IF(B897="Pensioner",1,1/(1+Assumptions!$B$6)^G897)</f>
        <v>0.13329459861122173</v>
      </c>
      <c r="O897" s="17">
        <f t="shared" si="13"/>
        <v>5351555.5945759807</v>
      </c>
    </row>
    <row r="898" spans="1:15">
      <c r="A898" s="13" t="str">
        <f>Members!A898</f>
        <v>A0138</v>
      </c>
      <c r="B898" s="13" t="str">
        <f>Members!B898</f>
        <v>Active</v>
      </c>
      <c r="C898" s="13">
        <f>Members!C898</f>
        <v>44</v>
      </c>
      <c r="D898" s="14">
        <f>Members!D898</f>
        <v>7.3</v>
      </c>
      <c r="E898" s="16">
        <f>Members!E898</f>
        <v>1187000</v>
      </c>
      <c r="F898" s="16">
        <f>Members!F898</f>
        <v>0</v>
      </c>
      <c r="G898" s="15">
        <f>MAX(0,Assumptions!$B$10-C898)</f>
        <v>16</v>
      </c>
      <c r="H898" s="17">
        <f>IF(B898="Active",E898*(1+Assumptions!$B$7)^G898,E898)</f>
        <v>2795696.8240822009</v>
      </c>
      <c r="I898" s="17">
        <f>IF(B898="Active",MIN(Assumptions!$B$12,D898+G898),IF(B898="Deferred",MIN(Assumptions!$B$12,D898),D898))</f>
        <v>23.3</v>
      </c>
      <c r="J898" s="17">
        <f>IF(B898="Active",H898*I898*Assumptions!$B$11,IF(B898="Deferred",E898*I898*Assumptions!$B$11*(1+Assumptions!$B$9)^G898,F898))</f>
        <v>1085662.2666852546</v>
      </c>
      <c r="K898" s="11">
        <f>IF(B898="Pensioner",1,VLOOKUP(Assumptions!$B$10,Mortality!$A$2:$F$104,6,FALSE)/VLOOKUP(C898,Mortality!$A$2:$F$104,6,FALSE))</f>
        <v>0.97626822121787327</v>
      </c>
      <c r="L898" s="11">
        <f>VLOOKUP(IF(B898="Pensioner",C898,Assumptions!$B$10),Mortality!$A$2:$E$104,5,FALSE)</f>
        <v>17.296790022132885</v>
      </c>
      <c r="M898" s="11">
        <f>1+Assumptions!$B$13*Assumptions!$B$14*Assumptions!$B$15</f>
        <v>1.3187500000000001</v>
      </c>
      <c r="N898" s="11">
        <f>IF(B898="Pensioner",1,1/(1+Assumptions!$B$6)^G898)</f>
        <v>0.36509532811475648</v>
      </c>
      <c r="O898" s="17">
        <f t="shared" ref="O898:O961" si="14">J898*K898*L898*M898*N898</f>
        <v>8826695.7683778219</v>
      </c>
    </row>
    <row r="899" spans="1:15">
      <c r="A899" s="13" t="str">
        <f>Members!A899</f>
        <v>A0329</v>
      </c>
      <c r="B899" s="13" t="str">
        <f>Members!B899</f>
        <v>Active</v>
      </c>
      <c r="C899" s="13">
        <f>Members!C899</f>
        <v>29</v>
      </c>
      <c r="D899" s="14">
        <f>Members!D899</f>
        <v>2.9</v>
      </c>
      <c r="E899" s="16">
        <f>Members!E899</f>
        <v>482000</v>
      </c>
      <c r="F899" s="16">
        <f>Members!F899</f>
        <v>0</v>
      </c>
      <c r="G899" s="15">
        <f>MAX(0,Assumptions!$B$10-C899)</f>
        <v>31</v>
      </c>
      <c r="H899" s="17">
        <f>IF(B899="Active",E899*(1+Assumptions!$B$7)^G899,E899)</f>
        <v>2534389.0696617719</v>
      </c>
      <c r="I899" s="17">
        <f>IF(B899="Active",MIN(Assumptions!$B$12,D899+G899),IF(B899="Deferred",MIN(Assumptions!$B$12,D899),D899))</f>
        <v>33.9</v>
      </c>
      <c r="J899" s="17">
        <f>IF(B899="Active",H899*I899*Assumptions!$B$11,IF(B899="Deferred",E899*I899*Assumptions!$B$11*(1+Assumptions!$B$9)^G899,F899))</f>
        <v>1431929.824358901</v>
      </c>
      <c r="K899" s="11">
        <f>IF(B899="Pensioner",1,VLOOKUP(Assumptions!$B$10,Mortality!$A$2:$F$104,6,FALSE)/VLOOKUP(C899,Mortality!$A$2:$F$104,6,FALSE))</f>
        <v>0.9700544954739736</v>
      </c>
      <c r="L899" s="11">
        <f>VLOOKUP(IF(B899="Pensioner",C899,Assumptions!$B$10),Mortality!$A$2:$E$104,5,FALSE)</f>
        <v>17.296790022132885</v>
      </c>
      <c r="M899" s="11">
        <f>1+Assumptions!$B$13*Assumptions!$B$14*Assumptions!$B$15</f>
        <v>1.3187500000000001</v>
      </c>
      <c r="N899" s="11">
        <f>IF(B899="Pensioner",1,1/(1+Assumptions!$B$6)^G899)</f>
        <v>0.14195874752095111</v>
      </c>
      <c r="O899" s="17">
        <f t="shared" si="14"/>
        <v>4497881.5286301961</v>
      </c>
    </row>
    <row r="900" spans="1:15">
      <c r="A900" s="13" t="str">
        <f>Members!A900</f>
        <v>A0601</v>
      </c>
      <c r="B900" s="13" t="str">
        <f>Members!B900</f>
        <v>Active</v>
      </c>
      <c r="C900" s="13">
        <f>Members!C900</f>
        <v>59</v>
      </c>
      <c r="D900" s="14">
        <f>Members!D900</f>
        <v>11.1</v>
      </c>
      <c r="E900" s="16">
        <f>Members!E900</f>
        <v>2092000</v>
      </c>
      <c r="F900" s="16">
        <f>Members!F900</f>
        <v>0</v>
      </c>
      <c r="G900" s="15">
        <f>MAX(0,Assumptions!$B$10-C900)</f>
        <v>1</v>
      </c>
      <c r="H900" s="17">
        <f>IF(B900="Active",E900*(1+Assumptions!$B$7)^G900,E900)</f>
        <v>2207060</v>
      </c>
      <c r="I900" s="17">
        <f>IF(B900="Active",MIN(Assumptions!$B$12,D900+G900),IF(B900="Deferred",MIN(Assumptions!$B$12,D900),D900))</f>
        <v>12.1</v>
      </c>
      <c r="J900" s="17">
        <f>IF(B900="Active",H900*I900*Assumptions!$B$11,IF(B900="Deferred",E900*I900*Assumptions!$B$11*(1+Assumptions!$B$9)^G900,F900))</f>
        <v>445090.43333333335</v>
      </c>
      <c r="K900" s="11">
        <f>IF(B900="Pensioner",1,VLOOKUP(Assumptions!$B$10,Mortality!$A$2:$F$104,6,FALSE)/VLOOKUP(C900,Mortality!$A$2:$F$104,6,FALSE))</f>
        <v>0.99710960118319747</v>
      </c>
      <c r="L900" s="11">
        <f>VLOOKUP(IF(B900="Pensioner",C900,Assumptions!$B$10),Mortality!$A$2:$E$104,5,FALSE)</f>
        <v>17.296790022132885</v>
      </c>
      <c r="M900" s="11">
        <f>1+Assumptions!$B$13*Assumptions!$B$14*Assumptions!$B$15</f>
        <v>1.3187500000000001</v>
      </c>
      <c r="N900" s="11">
        <f>IF(B900="Pensioner",1,1/(1+Assumptions!$B$6)^G900)</f>
        <v>0.93896713615023475</v>
      </c>
      <c r="O900" s="17">
        <f t="shared" si="14"/>
        <v>9505381.1486332733</v>
      </c>
    </row>
    <row r="901" spans="1:15">
      <c r="A901" s="13" t="str">
        <f>Members!A901</f>
        <v>A0375</v>
      </c>
      <c r="B901" s="13" t="str">
        <f>Members!B901</f>
        <v>Active</v>
      </c>
      <c r="C901" s="13">
        <f>Members!C901</f>
        <v>40</v>
      </c>
      <c r="D901" s="14">
        <f>Members!D901</f>
        <v>12.5</v>
      </c>
      <c r="E901" s="16">
        <f>Members!E901</f>
        <v>939000</v>
      </c>
      <c r="F901" s="16">
        <f>Members!F901</f>
        <v>0</v>
      </c>
      <c r="G901" s="15">
        <f>MAX(0,Assumptions!$B$10-C901)</f>
        <v>20</v>
      </c>
      <c r="H901" s="17">
        <f>IF(B901="Active",E901*(1+Assumptions!$B$7)^G901,E901)</f>
        <v>2739774.2836772399</v>
      </c>
      <c r="I901" s="17">
        <f>IF(B901="Active",MIN(Assumptions!$B$12,D901+G901),IF(B901="Deferred",MIN(Assumptions!$B$12,D901),D901))</f>
        <v>32.5</v>
      </c>
      <c r="J901" s="17">
        <f>IF(B901="Active",H901*I901*Assumptions!$B$11,IF(B901="Deferred",E901*I901*Assumptions!$B$11*(1+Assumptions!$B$9)^G901,F901))</f>
        <v>1484044.4036585051</v>
      </c>
      <c r="K901" s="11">
        <f>IF(B901="Pensioner",1,VLOOKUP(Assumptions!$B$10,Mortality!$A$2:$F$104,6,FALSE)/VLOOKUP(C901,Mortality!$A$2:$F$104,6,FALSE))</f>
        <v>0.97405112431987673</v>
      </c>
      <c r="L901" s="11">
        <f>VLOOKUP(IF(B901="Pensioner",C901,Assumptions!$B$10),Mortality!$A$2:$E$104,5,FALSE)</f>
        <v>17.296790022132885</v>
      </c>
      <c r="M901" s="11">
        <f>1+Assumptions!$B$13*Assumptions!$B$14*Assumptions!$B$15</f>
        <v>1.3187500000000001</v>
      </c>
      <c r="N901" s="11">
        <f>IF(B901="Pensioner",1,1/(1+Assumptions!$B$6)^G901)</f>
        <v>0.28379702892141989</v>
      </c>
      <c r="O901" s="17">
        <f t="shared" si="14"/>
        <v>9357600.0216358304</v>
      </c>
    </row>
    <row r="902" spans="1:15">
      <c r="A902" s="13" t="str">
        <f>Members!A902</f>
        <v>A0292</v>
      </c>
      <c r="B902" s="13" t="str">
        <f>Members!B902</f>
        <v>Active</v>
      </c>
      <c r="C902" s="13">
        <f>Members!C902</f>
        <v>32</v>
      </c>
      <c r="D902" s="14">
        <f>Members!D902</f>
        <v>4.9000000000000004</v>
      </c>
      <c r="E902" s="16">
        <f>Members!E902</f>
        <v>636000</v>
      </c>
      <c r="F902" s="16">
        <f>Members!F902</f>
        <v>0</v>
      </c>
      <c r="G902" s="15">
        <f>MAX(0,Assumptions!$B$10-C902)</f>
        <v>28</v>
      </c>
      <c r="H902" s="17">
        <f>IF(B902="Active",E902*(1+Assumptions!$B$7)^G902,E902)</f>
        <v>2847908.1956103938</v>
      </c>
      <c r="I902" s="17">
        <f>IF(B902="Active",MIN(Assumptions!$B$12,D902+G902),IF(B902="Deferred",MIN(Assumptions!$B$12,D902),D902))</f>
        <v>32.9</v>
      </c>
      <c r="J902" s="17">
        <f>IF(B902="Active",H902*I902*Assumptions!$B$11,IF(B902="Deferred",E902*I902*Assumptions!$B$11*(1+Assumptions!$B$9)^G902,F902))</f>
        <v>1561602.9939263659</v>
      </c>
      <c r="K902" s="11">
        <f>IF(B902="Pensioner",1,VLOOKUP(Assumptions!$B$10,Mortality!$A$2:$F$104,6,FALSE)/VLOOKUP(C902,Mortality!$A$2:$F$104,6,FALSE))</f>
        <v>0.97095846876649572</v>
      </c>
      <c r="L902" s="11">
        <f>VLOOKUP(IF(B902="Pensioner",C902,Assumptions!$B$10),Mortality!$A$2:$E$104,5,FALSE)</f>
        <v>17.296790022132885</v>
      </c>
      <c r="M902" s="11">
        <f>1+Assumptions!$B$13*Assumptions!$B$14*Assumptions!$B$15</f>
        <v>1.3187500000000001</v>
      </c>
      <c r="N902" s="11">
        <f>IF(B902="Pensioner",1,1/(1+Assumptions!$B$6)^G902)</f>
        <v>0.17147901583340255</v>
      </c>
      <c r="O902" s="17">
        <f t="shared" si="14"/>
        <v>5930758.7079685042</v>
      </c>
    </row>
    <row r="903" spans="1:15">
      <c r="A903" s="13" t="str">
        <f>Members!A903</f>
        <v>A0175</v>
      </c>
      <c r="B903" s="13" t="str">
        <f>Members!B903</f>
        <v>Active</v>
      </c>
      <c r="C903" s="13">
        <f>Members!C903</f>
        <v>29</v>
      </c>
      <c r="D903" s="14">
        <f>Members!D903</f>
        <v>2.9</v>
      </c>
      <c r="E903" s="16">
        <f>Members!E903</f>
        <v>495000</v>
      </c>
      <c r="F903" s="16">
        <f>Members!F903</f>
        <v>0</v>
      </c>
      <c r="G903" s="15">
        <f>MAX(0,Assumptions!$B$10-C903)</f>
        <v>31</v>
      </c>
      <c r="H903" s="17">
        <f>IF(B903="Active",E903*(1+Assumptions!$B$7)^G903,E903)</f>
        <v>2602743.9615821098</v>
      </c>
      <c r="I903" s="17">
        <f>IF(B903="Active",MIN(Assumptions!$B$12,D903+G903),IF(B903="Deferred",MIN(Assumptions!$B$12,D903),D903))</f>
        <v>33.9</v>
      </c>
      <c r="J903" s="17">
        <f>IF(B903="Active",H903*I903*Assumptions!$B$11,IF(B903="Deferred",E903*I903*Assumptions!$B$11*(1+Assumptions!$B$9)^G903,F903))</f>
        <v>1470550.3382938919</v>
      </c>
      <c r="K903" s="11">
        <f>IF(B903="Pensioner",1,VLOOKUP(Assumptions!$B$10,Mortality!$A$2:$F$104,6,FALSE)/VLOOKUP(C903,Mortality!$A$2:$F$104,6,FALSE))</f>
        <v>0.9700544954739736</v>
      </c>
      <c r="L903" s="11">
        <f>VLOOKUP(IF(B903="Pensioner",C903,Assumptions!$B$10),Mortality!$A$2:$E$104,5,FALSE)</f>
        <v>17.296790022132885</v>
      </c>
      <c r="M903" s="11">
        <f>1+Assumptions!$B$13*Assumptions!$B$14*Assumptions!$B$15</f>
        <v>1.3187500000000001</v>
      </c>
      <c r="N903" s="11">
        <f>IF(B903="Pensioner",1,1/(1+Assumptions!$B$6)^G903)</f>
        <v>0.14195874752095111</v>
      </c>
      <c r="O903" s="17">
        <f t="shared" si="14"/>
        <v>4619193.6860413831</v>
      </c>
    </row>
    <row r="904" spans="1:15">
      <c r="A904" s="13" t="str">
        <f>Members!A904</f>
        <v>A0217</v>
      </c>
      <c r="B904" s="13" t="str">
        <f>Members!B904</f>
        <v>Active</v>
      </c>
      <c r="C904" s="13">
        <f>Members!C904</f>
        <v>46</v>
      </c>
      <c r="D904" s="14">
        <f>Members!D904</f>
        <v>12.4</v>
      </c>
      <c r="E904" s="16">
        <f>Members!E904</f>
        <v>964000</v>
      </c>
      <c r="F904" s="16">
        <f>Members!F904</f>
        <v>0</v>
      </c>
      <c r="G904" s="15">
        <f>MAX(0,Assumptions!$B$10-C904)</f>
        <v>14</v>
      </c>
      <c r="H904" s="17">
        <f>IF(B904="Active",E904*(1+Assumptions!$B$7)^G904,E904)</f>
        <v>2039912.1692107902</v>
      </c>
      <c r="I904" s="17">
        <f>IF(B904="Active",MIN(Assumptions!$B$12,D904+G904),IF(B904="Deferred",MIN(Assumptions!$B$12,D904),D904))</f>
        <v>26.4</v>
      </c>
      <c r="J904" s="17">
        <f>IF(B904="Active",H904*I904*Assumptions!$B$11,IF(B904="Deferred",E904*I904*Assumptions!$B$11*(1+Assumptions!$B$9)^G904,F904))</f>
        <v>897561.35445274762</v>
      </c>
      <c r="K904" s="11">
        <f>IF(B904="Pensioner",1,VLOOKUP(Assumptions!$B$10,Mortality!$A$2:$F$104,6,FALSE)/VLOOKUP(C904,Mortality!$A$2:$F$104,6,FALSE))</f>
        <v>0.97765823283048059</v>
      </c>
      <c r="L904" s="11">
        <f>VLOOKUP(IF(B904="Pensioner",C904,Assumptions!$B$10),Mortality!$A$2:$E$104,5,FALSE)</f>
        <v>17.296790022132885</v>
      </c>
      <c r="M904" s="11">
        <f>1+Assumptions!$B$13*Assumptions!$B$14*Assumptions!$B$15</f>
        <v>1.3187500000000001</v>
      </c>
      <c r="N904" s="11">
        <f>IF(B904="Pensioner",1,1/(1+Assumptions!$B$6)^G904)</f>
        <v>0.41410024853095956</v>
      </c>
      <c r="O904" s="17">
        <f t="shared" si="14"/>
        <v>8288666.8481934676</v>
      </c>
    </row>
    <row r="905" spans="1:15">
      <c r="A905" s="13" t="str">
        <f>Members!A905</f>
        <v>A0568</v>
      </c>
      <c r="B905" s="13" t="str">
        <f>Members!B905</f>
        <v>Active</v>
      </c>
      <c r="C905" s="13">
        <f>Members!C905</f>
        <v>24</v>
      </c>
      <c r="D905" s="14">
        <f>Members!D905</f>
        <v>1</v>
      </c>
      <c r="E905" s="16">
        <f>Members!E905</f>
        <v>506000</v>
      </c>
      <c r="F905" s="16">
        <f>Members!F905</f>
        <v>0</v>
      </c>
      <c r="G905" s="15">
        <f>MAX(0,Assumptions!$B$10-C905)</f>
        <v>36</v>
      </c>
      <c r="H905" s="17">
        <f>IF(B905="Active",E905*(1+Assumptions!$B$7)^G905,E905)</f>
        <v>3477275.2039271235</v>
      </c>
      <c r="I905" s="17">
        <f>IF(B905="Active",MIN(Assumptions!$B$12,D905+G905),IF(B905="Deferred",MIN(Assumptions!$B$12,D905),D905))</f>
        <v>37</v>
      </c>
      <c r="J905" s="17">
        <f>IF(B905="Active",H905*I905*Assumptions!$B$11,IF(B905="Deferred",E905*I905*Assumptions!$B$11*(1+Assumptions!$B$9)^G905,F905))</f>
        <v>2144319.7090883926</v>
      </c>
      <c r="K905" s="11">
        <f>IF(B905="Pensioner",1,VLOOKUP(Assumptions!$B$10,Mortality!$A$2:$F$104,6,FALSE)/VLOOKUP(C905,Mortality!$A$2:$F$104,6,FALSE))</f>
        <v>0.96871086700607645</v>
      </c>
      <c r="L905" s="11">
        <f>VLOOKUP(IF(B905="Pensioner",C905,Assumptions!$B$10),Mortality!$A$2:$E$104,5,FALSE)</f>
        <v>17.296790022132885</v>
      </c>
      <c r="M905" s="11">
        <f>1+Assumptions!$B$13*Assumptions!$B$14*Assumptions!$B$15</f>
        <v>1.3187500000000001</v>
      </c>
      <c r="N905" s="11">
        <f>IF(B905="Pensioner",1,1/(1+Assumptions!$B$6)^G905)</f>
        <v>0.10361296939205883</v>
      </c>
      <c r="O905" s="17">
        <f t="shared" si="14"/>
        <v>4909370.5720495582</v>
      </c>
    </row>
    <row r="906" spans="1:15">
      <c r="A906" s="13" t="str">
        <f>Members!A906</f>
        <v>A0034</v>
      </c>
      <c r="B906" s="13" t="str">
        <f>Members!B906</f>
        <v>Active</v>
      </c>
      <c r="C906" s="13">
        <f>Members!C906</f>
        <v>42</v>
      </c>
      <c r="D906" s="14">
        <f>Members!D906</f>
        <v>15.7</v>
      </c>
      <c r="E906" s="16">
        <f>Members!E906</f>
        <v>1050000</v>
      </c>
      <c r="F906" s="16">
        <f>Members!F906</f>
        <v>0</v>
      </c>
      <c r="G906" s="15">
        <f>MAX(0,Assumptions!$B$10-C906)</f>
        <v>18</v>
      </c>
      <c r="H906" s="17">
        <f>IF(B906="Active",E906*(1+Assumptions!$B$7)^G906,E906)</f>
        <v>2752539.5791957001</v>
      </c>
      <c r="I906" s="17">
        <f>IF(B906="Active",MIN(Assumptions!$B$12,D906+G906),IF(B906="Deferred",MIN(Assumptions!$B$12,D906),D906))</f>
        <v>33.700000000000003</v>
      </c>
      <c r="J906" s="17">
        <f>IF(B906="Active",H906*I906*Assumptions!$B$11,IF(B906="Deferred",E906*I906*Assumptions!$B$11*(1+Assumptions!$B$9)^G906,F906))</f>
        <v>1546009.7303149183</v>
      </c>
      <c r="K906" s="11">
        <f>IF(B906="Pensioner",1,VLOOKUP(Assumptions!$B$10,Mortality!$A$2:$F$104,6,FALSE)/VLOOKUP(C906,Mortality!$A$2:$F$104,6,FALSE))</f>
        <v>0.97507997078383857</v>
      </c>
      <c r="L906" s="11">
        <f>VLOOKUP(IF(B906="Pensioner",C906,Assumptions!$B$10),Mortality!$A$2:$E$104,5,FALSE)</f>
        <v>17.296790022132885</v>
      </c>
      <c r="M906" s="11">
        <f>1+Assumptions!$B$13*Assumptions!$B$14*Assumptions!$B$15</f>
        <v>1.3187500000000001</v>
      </c>
      <c r="N906" s="11">
        <f>IF(B906="Pensioner",1,1/(1+Assumptions!$B$6)^G906)</f>
        <v>0.32188968512839738</v>
      </c>
      <c r="O906" s="17">
        <f t="shared" si="14"/>
        <v>11068467.763770686</v>
      </c>
    </row>
    <row r="907" spans="1:15">
      <c r="A907" s="13" t="str">
        <f>Members!A907</f>
        <v>A0321</v>
      </c>
      <c r="B907" s="13" t="str">
        <f>Members!B907</f>
        <v>Active</v>
      </c>
      <c r="C907" s="13">
        <f>Members!C907</f>
        <v>54</v>
      </c>
      <c r="D907" s="14">
        <f>Members!D907</f>
        <v>16.8</v>
      </c>
      <c r="E907" s="16">
        <f>Members!E907</f>
        <v>1851000</v>
      </c>
      <c r="F907" s="16">
        <f>Members!F907</f>
        <v>0</v>
      </c>
      <c r="G907" s="15">
        <f>MAX(0,Assumptions!$B$10-C907)</f>
        <v>6</v>
      </c>
      <c r="H907" s="17">
        <f>IF(B907="Active",E907*(1+Assumptions!$B$7)^G907,E907)</f>
        <v>2552238.0353162591</v>
      </c>
      <c r="I907" s="17">
        <f>IF(B907="Active",MIN(Assumptions!$B$12,D907+G907),IF(B907="Deferred",MIN(Assumptions!$B$12,D907),D907))</f>
        <v>22.8</v>
      </c>
      <c r="J907" s="17">
        <f>IF(B907="Active",H907*I907*Assumptions!$B$11,IF(B907="Deferred",E907*I907*Assumptions!$B$11*(1+Assumptions!$B$9)^G907,F907))</f>
        <v>969850.4534201785</v>
      </c>
      <c r="K907" s="11">
        <f>IF(B907="Pensioner",1,VLOOKUP(Assumptions!$B$10,Mortality!$A$2:$F$104,6,FALSE)/VLOOKUP(C907,Mortality!$A$2:$F$104,6,FALSE))</f>
        <v>0.98655351190569374</v>
      </c>
      <c r="L907" s="11">
        <f>VLOOKUP(IF(B907="Pensioner",C907,Assumptions!$B$10),Mortality!$A$2:$E$104,5,FALSE)</f>
        <v>17.296790022132885</v>
      </c>
      <c r="M907" s="11">
        <f>1+Assumptions!$B$13*Assumptions!$B$14*Assumptions!$B$15</f>
        <v>1.3187500000000001</v>
      </c>
      <c r="N907" s="11">
        <f>IF(B907="Pensioner",1,1/(1+Assumptions!$B$6)^G907)</f>
        <v>0.68533411879901873</v>
      </c>
      <c r="O907" s="17">
        <f t="shared" si="14"/>
        <v>14957387.991711617</v>
      </c>
    </row>
    <row r="908" spans="1:15">
      <c r="A908" s="13" t="str">
        <f>Members!A908</f>
        <v>A0239</v>
      </c>
      <c r="B908" s="13" t="str">
        <f>Members!B908</f>
        <v>Active</v>
      </c>
      <c r="C908" s="13">
        <f>Members!C908</f>
        <v>50</v>
      </c>
      <c r="D908" s="14">
        <f>Members!D908</f>
        <v>15.7</v>
      </c>
      <c r="E908" s="16">
        <f>Members!E908</f>
        <v>1332000</v>
      </c>
      <c r="F908" s="16">
        <f>Members!F908</f>
        <v>0</v>
      </c>
      <c r="G908" s="15">
        <f>MAX(0,Assumptions!$B$10-C908)</f>
        <v>10</v>
      </c>
      <c r="H908" s="17">
        <f>IF(B908="Active",E908*(1+Assumptions!$B$7)^G908,E908)</f>
        <v>2275248.4185269857</v>
      </c>
      <c r="I908" s="17">
        <f>IF(B908="Active",MIN(Assumptions!$B$12,D908+G908),IF(B908="Deferred",MIN(Assumptions!$B$12,D908),D908))</f>
        <v>25.7</v>
      </c>
      <c r="J908" s="17">
        <f>IF(B908="Active",H908*I908*Assumptions!$B$11,IF(B908="Deferred",E908*I908*Assumptions!$B$11*(1+Assumptions!$B$9)^G908,F908))</f>
        <v>974564.7392690588</v>
      </c>
      <c r="K908" s="11">
        <f>IF(B908="Pensioner",1,VLOOKUP(Assumptions!$B$10,Mortality!$A$2:$F$104,6,FALSE)/VLOOKUP(C908,Mortality!$A$2:$F$104,6,FALSE))</f>
        <v>0.98127299335824147</v>
      </c>
      <c r="L908" s="11">
        <f>VLOOKUP(IF(B908="Pensioner",C908,Assumptions!$B$10),Mortality!$A$2:$E$104,5,FALSE)</f>
        <v>17.296790022132885</v>
      </c>
      <c r="M908" s="11">
        <f>1+Assumptions!$B$13*Assumptions!$B$14*Assumptions!$B$15</f>
        <v>1.3187500000000001</v>
      </c>
      <c r="N908" s="11">
        <f>IF(B908="Pensioner",1,1/(1+Assumptions!$B$6)^G908)</f>
        <v>0.53272603552052888</v>
      </c>
      <c r="O908" s="17">
        <f t="shared" si="14"/>
        <v>11620704.254669564</v>
      </c>
    </row>
    <row r="909" spans="1:15">
      <c r="A909" s="13" t="str">
        <f>Members!A909</f>
        <v>A0354</v>
      </c>
      <c r="B909" s="13" t="str">
        <f>Members!B909</f>
        <v>Active</v>
      </c>
      <c r="C909" s="13">
        <f>Members!C909</f>
        <v>43</v>
      </c>
      <c r="D909" s="14">
        <f>Members!D909</f>
        <v>21.4</v>
      </c>
      <c r="E909" s="16">
        <f>Members!E909</f>
        <v>989000</v>
      </c>
      <c r="F909" s="16">
        <f>Members!F909</f>
        <v>0</v>
      </c>
      <c r="G909" s="15">
        <f>MAX(0,Assumptions!$B$10-C909)</f>
        <v>17</v>
      </c>
      <c r="H909" s="17">
        <f>IF(B909="Active",E909*(1+Assumptions!$B$7)^G909,E909)</f>
        <v>2457469.3241476389</v>
      </c>
      <c r="I909" s="17">
        <f>IF(B909="Active",MIN(Assumptions!$B$12,D909+G909),IF(B909="Deferred",MIN(Assumptions!$B$12,D909),D909))</f>
        <v>38.4</v>
      </c>
      <c r="J909" s="17">
        <f>IF(B909="Active",H909*I909*Assumptions!$B$11,IF(B909="Deferred",E909*I909*Assumptions!$B$11*(1+Assumptions!$B$9)^G909,F909))</f>
        <v>1572780.3674544888</v>
      </c>
      <c r="K909" s="11">
        <f>IF(B909="Pensioner",1,VLOOKUP(Assumptions!$B$10,Mortality!$A$2:$F$104,6,FALSE)/VLOOKUP(C909,Mortality!$A$2:$F$104,6,FALSE))</f>
        <v>0.97565175842493801</v>
      </c>
      <c r="L909" s="11">
        <f>VLOOKUP(IF(B909="Pensioner",C909,Assumptions!$B$10),Mortality!$A$2:$E$104,5,FALSE)</f>
        <v>17.296790022132885</v>
      </c>
      <c r="M909" s="11">
        <f>1+Assumptions!$B$13*Assumptions!$B$14*Assumptions!$B$15</f>
        <v>1.3187500000000001</v>
      </c>
      <c r="N909" s="11">
        <f>IF(B909="Pensioner",1,1/(1+Assumptions!$B$6)^G909)</f>
        <v>0.34281251466174323</v>
      </c>
      <c r="O909" s="17">
        <f t="shared" si="14"/>
        <v>11999069.38570825</v>
      </c>
    </row>
    <row r="910" spans="1:15">
      <c r="A910" s="13" t="str">
        <f>Members!A910</f>
        <v>D0081</v>
      </c>
      <c r="B910" s="13" t="str">
        <f>Members!B910</f>
        <v>Deferred</v>
      </c>
      <c r="C910" s="13">
        <f>Members!C910</f>
        <v>50</v>
      </c>
      <c r="D910" s="14">
        <f>Members!D910</f>
        <v>15.2</v>
      </c>
      <c r="E910" s="16">
        <f>Members!E910</f>
        <v>833000</v>
      </c>
      <c r="F910" s="16">
        <f>Members!F910</f>
        <v>0</v>
      </c>
      <c r="G910" s="15">
        <f>MAX(0,Assumptions!$B$10-C910)</f>
        <v>10</v>
      </c>
      <c r="H910" s="17">
        <f>IF(B910="Active",E910*(1+Assumptions!$B$7)^G910,E910)</f>
        <v>833000</v>
      </c>
      <c r="I910" s="17">
        <f>IF(B910="Active",MIN(Assumptions!$B$12,D910+G910),IF(B910="Deferred",MIN(Assumptions!$B$12,D910),D910))</f>
        <v>15.2</v>
      </c>
      <c r="J910" s="17">
        <f>IF(B910="Active",H910*I910*Assumptions!$B$11,IF(B910="Deferred",E910*I910*Assumptions!$B$11*(1+Assumptions!$B$9)^G910,F910))</f>
        <v>312371.01729870186</v>
      </c>
      <c r="K910" s="11">
        <f>IF(B910="Pensioner",1,VLOOKUP(Assumptions!$B$10,Mortality!$A$2:$F$104,6,FALSE)/VLOOKUP(C910,Mortality!$A$2:$F$104,6,FALSE))</f>
        <v>0.98127299335824147</v>
      </c>
      <c r="L910" s="11">
        <f>VLOOKUP(IF(B910="Pensioner",C910,Assumptions!$B$10),Mortality!$A$2:$E$104,5,FALSE)</f>
        <v>17.296790022132885</v>
      </c>
      <c r="M910" s="11">
        <f>1+Assumptions!$B$13*Assumptions!$B$14*Assumptions!$B$15</f>
        <v>1.3187500000000001</v>
      </c>
      <c r="N910" s="11">
        <f>IF(B910="Pensioner",1,1/(1+Assumptions!$B$6)^G910)</f>
        <v>0.53272603552052888</v>
      </c>
      <c r="O910" s="17">
        <f t="shared" si="14"/>
        <v>3724710.1844470887</v>
      </c>
    </row>
    <row r="911" spans="1:15">
      <c r="A911" s="13" t="str">
        <f>Members!A911</f>
        <v>P0179</v>
      </c>
      <c r="B911" s="13" t="str">
        <f>Members!B911</f>
        <v>Pensioner</v>
      </c>
      <c r="C911" s="13">
        <f>Members!C911</f>
        <v>84</v>
      </c>
      <c r="D911" s="14">
        <f>Members!D911</f>
        <v>27.8</v>
      </c>
      <c r="E911" s="16">
        <f>Members!E911</f>
        <v>0</v>
      </c>
      <c r="F911" s="16">
        <f>Members!F911</f>
        <v>363000</v>
      </c>
      <c r="G911" s="15">
        <f>MAX(0,Assumptions!$B$10-C911)</f>
        <v>0</v>
      </c>
      <c r="H911" s="17">
        <f>IF(B911="Active",E911*(1+Assumptions!$B$7)^G911,E911)</f>
        <v>0</v>
      </c>
      <c r="I911" s="17">
        <f>IF(B911="Active",MIN(Assumptions!$B$12,D911+G911),IF(B911="Deferred",MIN(Assumptions!$B$12,D911),D911))</f>
        <v>27.8</v>
      </c>
      <c r="J911" s="17">
        <f>IF(B911="Active",H911*I911*Assumptions!$B$11,IF(B911="Deferred",E911*I911*Assumptions!$B$11*(1+Assumptions!$B$9)^G911,F911))</f>
        <v>363000</v>
      </c>
      <c r="K911" s="11">
        <f>IF(B911="Pensioner",1,VLOOKUP(Assumptions!$B$10,Mortality!$A$2:$F$104,6,FALSE)/VLOOKUP(C911,Mortality!$A$2:$F$104,6,FALSE))</f>
        <v>1</v>
      </c>
      <c r="L911" s="11">
        <f>VLOOKUP(IF(B911="Pensioner",C911,Assumptions!$B$10),Mortality!$A$2:$E$104,5,FALSE)</f>
        <v>6.6432720965175314</v>
      </c>
      <c r="M911" s="11">
        <f>1+Assumptions!$B$13*Assumptions!$B$14*Assumptions!$B$15</f>
        <v>1.3187500000000001</v>
      </c>
      <c r="N911" s="11">
        <f>IF(B911="Pensioner",1,1/(1+Assumptions!$B$6)^G911)</f>
        <v>1</v>
      </c>
      <c r="O911" s="17">
        <f t="shared" si="14"/>
        <v>3180175.8730535461</v>
      </c>
    </row>
    <row r="912" spans="1:15">
      <c r="A912" s="13" t="str">
        <f>Members!A912</f>
        <v>A0496</v>
      </c>
      <c r="B912" s="13" t="str">
        <f>Members!B912</f>
        <v>Active</v>
      </c>
      <c r="C912" s="13">
        <f>Members!C912</f>
        <v>30</v>
      </c>
      <c r="D912" s="14">
        <f>Members!D912</f>
        <v>1.5</v>
      </c>
      <c r="E912" s="16">
        <f>Members!E912</f>
        <v>659000</v>
      </c>
      <c r="F912" s="16">
        <f>Members!F912</f>
        <v>0</v>
      </c>
      <c r="G912" s="15">
        <f>MAX(0,Assumptions!$B$10-C912)</f>
        <v>30</v>
      </c>
      <c r="H912" s="17">
        <f>IF(B912="Active",E912*(1+Assumptions!$B$7)^G912,E912)</f>
        <v>3284423.8990523447</v>
      </c>
      <c r="I912" s="17">
        <f>IF(B912="Active",MIN(Assumptions!$B$12,D912+G912),IF(B912="Deferred",MIN(Assumptions!$B$12,D912),D912))</f>
        <v>31.5</v>
      </c>
      <c r="J912" s="17">
        <f>IF(B912="Active",H912*I912*Assumptions!$B$11,IF(B912="Deferred",E912*I912*Assumptions!$B$11*(1+Assumptions!$B$9)^G912,F912))</f>
        <v>1724322.5470024808</v>
      </c>
      <c r="K912" s="11">
        <f>IF(B912="Pensioner",1,VLOOKUP(Assumptions!$B$10,Mortality!$A$2:$F$104,6,FALSE)/VLOOKUP(C912,Mortality!$A$2:$F$104,6,FALSE))</f>
        <v>0.97034568803187526</v>
      </c>
      <c r="L912" s="11">
        <f>VLOOKUP(IF(B912="Pensioner",C912,Assumptions!$B$10),Mortality!$A$2:$E$104,5,FALSE)</f>
        <v>17.296790022132885</v>
      </c>
      <c r="M912" s="11">
        <f>1+Assumptions!$B$13*Assumptions!$B$14*Assumptions!$B$15</f>
        <v>1.3187500000000001</v>
      </c>
      <c r="N912" s="11">
        <f>IF(B912="Pensioner",1,1/(1+Assumptions!$B$6)^G912)</f>
        <v>0.15118606610981289</v>
      </c>
      <c r="O912" s="17">
        <f t="shared" si="14"/>
        <v>5770118.6019929918</v>
      </c>
    </row>
    <row r="913" spans="1:15">
      <c r="A913" s="13" t="str">
        <f>Members!A913</f>
        <v>A0617</v>
      </c>
      <c r="B913" s="13" t="str">
        <f>Members!B913</f>
        <v>Active</v>
      </c>
      <c r="C913" s="13">
        <f>Members!C913</f>
        <v>44</v>
      </c>
      <c r="D913" s="14">
        <f>Members!D913</f>
        <v>17.899999999999999</v>
      </c>
      <c r="E913" s="16">
        <f>Members!E913</f>
        <v>978000</v>
      </c>
      <c r="F913" s="16">
        <f>Members!F913</f>
        <v>0</v>
      </c>
      <c r="G913" s="15">
        <f>MAX(0,Assumptions!$B$10-C913)</f>
        <v>16</v>
      </c>
      <c r="H913" s="17">
        <f>IF(B913="Active",E913*(1+Assumptions!$B$7)^G913,E913)</f>
        <v>2303446.919926194</v>
      </c>
      <c r="I913" s="17">
        <f>IF(B913="Active",MIN(Assumptions!$B$12,D913+G913),IF(B913="Deferred",MIN(Assumptions!$B$12,D913),D913))</f>
        <v>33.9</v>
      </c>
      <c r="J913" s="17">
        <f>IF(B913="Active",H913*I913*Assumptions!$B$11,IF(B913="Deferred",E913*I913*Assumptions!$B$11*(1+Assumptions!$B$9)^G913,F913))</f>
        <v>1301447.5097582997</v>
      </c>
      <c r="K913" s="11">
        <f>IF(B913="Pensioner",1,VLOOKUP(Assumptions!$B$10,Mortality!$A$2:$F$104,6,FALSE)/VLOOKUP(C913,Mortality!$A$2:$F$104,6,FALSE))</f>
        <v>0.97626822121787327</v>
      </c>
      <c r="L913" s="11">
        <f>VLOOKUP(IF(B913="Pensioner",C913,Assumptions!$B$10),Mortality!$A$2:$E$104,5,FALSE)</f>
        <v>17.296790022132885</v>
      </c>
      <c r="M913" s="11">
        <f>1+Assumptions!$B$13*Assumptions!$B$14*Assumptions!$B$15</f>
        <v>1.3187500000000001</v>
      </c>
      <c r="N913" s="11">
        <f>IF(B913="Pensioner",1,1/(1+Assumptions!$B$6)^G913)</f>
        <v>0.36509532811475648</v>
      </c>
      <c r="O913" s="17">
        <f t="shared" si="14"/>
        <v>10581081.778058868</v>
      </c>
    </row>
    <row r="914" spans="1:15">
      <c r="A914" s="13" t="str">
        <f>Members!A914</f>
        <v>D0094</v>
      </c>
      <c r="B914" s="13" t="str">
        <f>Members!B914</f>
        <v>Deferred</v>
      </c>
      <c r="C914" s="13">
        <f>Members!C914</f>
        <v>38</v>
      </c>
      <c r="D914" s="14">
        <f>Members!D914</f>
        <v>6.9</v>
      </c>
      <c r="E914" s="16">
        <f>Members!E914</f>
        <v>481000</v>
      </c>
      <c r="F914" s="16">
        <f>Members!F914</f>
        <v>0</v>
      </c>
      <c r="G914" s="15">
        <f>MAX(0,Assumptions!$B$10-C914)</f>
        <v>22</v>
      </c>
      <c r="H914" s="17">
        <f>IF(B914="Active",E914*(1+Assumptions!$B$7)^G914,E914)</f>
        <v>481000</v>
      </c>
      <c r="I914" s="17">
        <f>IF(B914="Active",MIN(Assumptions!$B$12,D914+G914),IF(B914="Deferred",MIN(Assumptions!$B$12,D914),D914))</f>
        <v>6.9</v>
      </c>
      <c r="J914" s="17">
        <f>IF(B914="Active",H914*I914*Assumptions!$B$11,IF(B914="Deferred",E914*I914*Assumptions!$B$11*(1+Assumptions!$B$9)^G914,F914))</f>
        <v>131092.05795209625</v>
      </c>
      <c r="K914" s="11">
        <f>IF(B914="Pensioner",1,VLOOKUP(Assumptions!$B$10,Mortality!$A$2:$F$104,6,FALSE)/VLOOKUP(C914,Mortality!$A$2:$F$104,6,FALSE))</f>
        <v>0.97314826881680017</v>
      </c>
      <c r="L914" s="11">
        <f>VLOOKUP(IF(B914="Pensioner",C914,Assumptions!$B$10),Mortality!$A$2:$E$104,5,FALSE)</f>
        <v>17.296790022132885</v>
      </c>
      <c r="M914" s="11">
        <f>1+Assumptions!$B$13*Assumptions!$B$14*Assumptions!$B$15</f>
        <v>1.3187500000000001</v>
      </c>
      <c r="N914" s="11">
        <f>IF(B914="Pensioner",1,1/(1+Assumptions!$B$6)^G914)</f>
        <v>0.25021228497116527</v>
      </c>
      <c r="O914" s="17">
        <f t="shared" si="14"/>
        <v>728101.64211564604</v>
      </c>
    </row>
    <row r="915" spans="1:15">
      <c r="A915" s="13" t="str">
        <f>Members!A915</f>
        <v>A0186</v>
      </c>
      <c r="B915" s="13" t="str">
        <f>Members!B915</f>
        <v>Active</v>
      </c>
      <c r="C915" s="13">
        <f>Members!C915</f>
        <v>48</v>
      </c>
      <c r="D915" s="14">
        <f>Members!D915</f>
        <v>6.5</v>
      </c>
      <c r="E915" s="16">
        <f>Members!E915</f>
        <v>1536000</v>
      </c>
      <c r="F915" s="16">
        <f>Members!F915</f>
        <v>0</v>
      </c>
      <c r="G915" s="15">
        <f>MAX(0,Assumptions!$B$10-C915)</f>
        <v>12</v>
      </c>
      <c r="H915" s="17">
        <f>IF(B915="Active",E915*(1+Assumptions!$B$7)^G915,E915)</f>
        <v>2920254.6981258355</v>
      </c>
      <c r="I915" s="17">
        <f>IF(B915="Active",MIN(Assumptions!$B$12,D915+G915),IF(B915="Deferred",MIN(Assumptions!$B$12,D915),D915))</f>
        <v>18.5</v>
      </c>
      <c r="J915" s="17">
        <f>IF(B915="Active",H915*I915*Assumptions!$B$11,IF(B915="Deferred",E915*I915*Assumptions!$B$11*(1+Assumptions!$B$9)^G915,F915))</f>
        <v>900411.86525546596</v>
      </c>
      <c r="K915" s="11">
        <f>IF(B915="Pensioner",1,VLOOKUP(Assumptions!$B$10,Mortality!$A$2:$F$104,6,FALSE)/VLOOKUP(C915,Mortality!$A$2:$F$104,6,FALSE))</f>
        <v>0.97930374297365907</v>
      </c>
      <c r="L915" s="11">
        <f>VLOOKUP(IF(B915="Pensioner",C915,Assumptions!$B$10),Mortality!$A$2:$E$104,5,FALSE)</f>
        <v>17.296790022132885</v>
      </c>
      <c r="M915" s="11">
        <f>1+Assumptions!$B$13*Assumptions!$B$14*Assumptions!$B$15</f>
        <v>1.3187500000000001</v>
      </c>
      <c r="N915" s="11">
        <f>IF(B915="Pensioner",1,1/(1+Assumptions!$B$6)^G915)</f>
        <v>0.4696828543900276</v>
      </c>
      <c r="O915" s="17">
        <f t="shared" si="14"/>
        <v>9446943.4646435585</v>
      </c>
    </row>
    <row r="916" spans="1:15">
      <c r="A916" s="13" t="str">
        <f>Members!A916</f>
        <v>A0262</v>
      </c>
      <c r="B916" s="13" t="str">
        <f>Members!B916</f>
        <v>Active</v>
      </c>
      <c r="C916" s="13">
        <f>Members!C916</f>
        <v>53</v>
      </c>
      <c r="D916" s="14">
        <f>Members!D916</f>
        <v>11</v>
      </c>
      <c r="E916" s="16">
        <f>Members!E916</f>
        <v>1814000</v>
      </c>
      <c r="F916" s="16">
        <f>Members!F916</f>
        <v>0</v>
      </c>
      <c r="G916" s="15">
        <f>MAX(0,Assumptions!$B$10-C916)</f>
        <v>7</v>
      </c>
      <c r="H916" s="17">
        <f>IF(B916="Active",E916*(1+Assumptions!$B$7)^G916,E916)</f>
        <v>2638787.9982967027</v>
      </c>
      <c r="I916" s="17">
        <f>IF(B916="Active",MIN(Assumptions!$B$12,D916+G916),IF(B916="Deferred",MIN(Assumptions!$B$12,D916),D916))</f>
        <v>18</v>
      </c>
      <c r="J916" s="17">
        <f>IF(B916="Active",H916*I916*Assumptions!$B$11,IF(B916="Deferred",E916*I916*Assumptions!$B$11*(1+Assumptions!$B$9)^G916,F916))</f>
        <v>791636.39948901092</v>
      </c>
      <c r="K916" s="11">
        <f>IF(B916="Pensioner",1,VLOOKUP(Assumptions!$B$10,Mortality!$A$2:$F$104,6,FALSE)/VLOOKUP(C916,Mortality!$A$2:$F$104,6,FALSE))</f>
        <v>0.98503000174313171</v>
      </c>
      <c r="L916" s="11">
        <f>VLOOKUP(IF(B916="Pensioner",C916,Assumptions!$B$10),Mortality!$A$2:$E$104,5,FALSE)</f>
        <v>17.296790022132885</v>
      </c>
      <c r="M916" s="11">
        <f>1+Assumptions!$B$13*Assumptions!$B$14*Assumptions!$B$15</f>
        <v>1.3187500000000001</v>
      </c>
      <c r="N916" s="11">
        <f>IF(B916="Pensioner",1,1/(1+Assumptions!$B$6)^G916)</f>
        <v>0.64350621483475945</v>
      </c>
      <c r="O916" s="17">
        <f t="shared" si="14"/>
        <v>11446058.063088764</v>
      </c>
    </row>
    <row r="917" spans="1:15">
      <c r="A917" s="13" t="str">
        <f>Members!A917</f>
        <v>P0049</v>
      </c>
      <c r="B917" s="13" t="str">
        <f>Members!B917</f>
        <v>Pensioner</v>
      </c>
      <c r="C917" s="13">
        <f>Members!C917</f>
        <v>63</v>
      </c>
      <c r="D917" s="14">
        <f>Members!D917</f>
        <v>33.700000000000003</v>
      </c>
      <c r="E917" s="16">
        <f>Members!E917</f>
        <v>0</v>
      </c>
      <c r="F917" s="16">
        <f>Members!F917</f>
        <v>185000</v>
      </c>
      <c r="G917" s="15">
        <f>MAX(0,Assumptions!$B$10-C917)</f>
        <v>0</v>
      </c>
      <c r="H917" s="17">
        <f>IF(B917="Active",E917*(1+Assumptions!$B$7)^G917,E917)</f>
        <v>0</v>
      </c>
      <c r="I917" s="17">
        <f>IF(B917="Active",MIN(Assumptions!$B$12,D917+G917),IF(B917="Deferred",MIN(Assumptions!$B$12,D917),D917))</f>
        <v>33.700000000000003</v>
      </c>
      <c r="J917" s="17">
        <f>IF(B917="Active",H917*I917*Assumptions!$B$11,IF(B917="Deferred",E917*I917*Assumptions!$B$11*(1+Assumptions!$B$9)^G917,F917))</f>
        <v>185000</v>
      </c>
      <c r="K917" s="11">
        <f>IF(B917="Pensioner",1,VLOOKUP(Assumptions!$B$10,Mortality!$A$2:$F$104,6,FALSE)/VLOOKUP(C917,Mortality!$A$2:$F$104,6,FALSE))</f>
        <v>1</v>
      </c>
      <c r="L917" s="11">
        <f>VLOOKUP(IF(B917="Pensioner",C917,Assumptions!$B$10),Mortality!$A$2:$E$104,5,FALSE)</f>
        <v>16.055191398346196</v>
      </c>
      <c r="M917" s="11">
        <f>1+Assumptions!$B$13*Assumptions!$B$14*Assumptions!$B$15</f>
        <v>1.3187500000000001</v>
      </c>
      <c r="N917" s="11">
        <f>IF(B917="Pensioner",1,1/(1+Assumptions!$B$6)^G917)</f>
        <v>1</v>
      </c>
      <c r="O917" s="17">
        <f t="shared" si="14"/>
        <v>3916964.9764652736</v>
      </c>
    </row>
    <row r="918" spans="1:15">
      <c r="A918" s="13" t="str">
        <f>Members!A918</f>
        <v>D0047</v>
      </c>
      <c r="B918" s="13" t="str">
        <f>Members!B918</f>
        <v>Deferred</v>
      </c>
      <c r="C918" s="13">
        <f>Members!C918</f>
        <v>50</v>
      </c>
      <c r="D918" s="14">
        <f>Members!D918</f>
        <v>4.9000000000000004</v>
      </c>
      <c r="E918" s="16">
        <f>Members!E918</f>
        <v>953000</v>
      </c>
      <c r="F918" s="16">
        <f>Members!F918</f>
        <v>0</v>
      </c>
      <c r="G918" s="15">
        <f>MAX(0,Assumptions!$B$10-C918)</f>
        <v>10</v>
      </c>
      <c r="H918" s="17">
        <f>IF(B918="Active",E918*(1+Assumptions!$B$7)^G918,E918)</f>
        <v>953000</v>
      </c>
      <c r="I918" s="17">
        <f>IF(B918="Active",MIN(Assumptions!$B$12,D918+G918),IF(B918="Deferred",MIN(Assumptions!$B$12,D918),D918))</f>
        <v>4.9000000000000004</v>
      </c>
      <c r="J918" s="17">
        <f>IF(B918="Active",H918*I918*Assumptions!$B$11,IF(B918="Deferred",E918*I918*Assumptions!$B$11*(1+Assumptions!$B$9)^G918,F918))</f>
        <v>115204.94562138655</v>
      </c>
      <c r="K918" s="11">
        <f>IF(B918="Pensioner",1,VLOOKUP(Assumptions!$B$10,Mortality!$A$2:$F$104,6,FALSE)/VLOOKUP(C918,Mortality!$A$2:$F$104,6,FALSE))</f>
        <v>0.98127299335824147</v>
      </c>
      <c r="L918" s="11">
        <f>VLOOKUP(IF(B918="Pensioner",C918,Assumptions!$B$10),Mortality!$A$2:$E$104,5,FALSE)</f>
        <v>17.296790022132885</v>
      </c>
      <c r="M918" s="11">
        <f>1+Assumptions!$B$13*Assumptions!$B$14*Assumptions!$B$15</f>
        <v>1.3187500000000001</v>
      </c>
      <c r="N918" s="11">
        <f>IF(B918="Pensioner",1,1/(1+Assumptions!$B$6)^G918)</f>
        <v>0.53272603552052888</v>
      </c>
      <c r="O918" s="17">
        <f t="shared" si="14"/>
        <v>1373703.0982113294</v>
      </c>
    </row>
    <row r="919" spans="1:15">
      <c r="A919" s="13" t="str">
        <f>Members!A919</f>
        <v>D0028</v>
      </c>
      <c r="B919" s="13" t="str">
        <f>Members!B919</f>
        <v>Deferred</v>
      </c>
      <c r="C919" s="13">
        <f>Members!C919</f>
        <v>51</v>
      </c>
      <c r="D919" s="14">
        <f>Members!D919</f>
        <v>24.1</v>
      </c>
      <c r="E919" s="16">
        <f>Members!E919</f>
        <v>816000</v>
      </c>
      <c r="F919" s="16">
        <f>Members!F919</f>
        <v>0</v>
      </c>
      <c r="G919" s="15">
        <f>MAX(0,Assumptions!$B$10-C919)</f>
        <v>9</v>
      </c>
      <c r="H919" s="17">
        <f>IF(B919="Active",E919*(1+Assumptions!$B$7)^G919,E919)</f>
        <v>816000</v>
      </c>
      <c r="I919" s="17">
        <f>IF(B919="Active",MIN(Assumptions!$B$12,D919+G919),IF(B919="Deferred",MIN(Assumptions!$B$12,D919),D919))</f>
        <v>24.1</v>
      </c>
      <c r="J919" s="17">
        <f>IF(B919="Active",H919*I919*Assumptions!$B$11,IF(B919="Deferred",E919*I919*Assumptions!$B$11*(1+Assumptions!$B$9)^G919,F919))</f>
        <v>466504.67963926599</v>
      </c>
      <c r="K919" s="11">
        <f>IF(B919="Pensioner",1,VLOOKUP(Assumptions!$B$10,Mortality!$A$2:$F$104,6,FALSE)/VLOOKUP(C919,Mortality!$A$2:$F$104,6,FALSE))</f>
        <v>0.98240527975061542</v>
      </c>
      <c r="L919" s="11">
        <f>VLOOKUP(IF(B919="Pensioner",C919,Assumptions!$B$10),Mortality!$A$2:$E$104,5,FALSE)</f>
        <v>17.296790022132885</v>
      </c>
      <c r="M919" s="11">
        <f>1+Assumptions!$B$13*Assumptions!$B$14*Assumptions!$B$15</f>
        <v>1.3187500000000001</v>
      </c>
      <c r="N919" s="11">
        <f>IF(B919="Pensioner",1,1/(1+Assumptions!$B$6)^G919)</f>
        <v>0.56735322782936326</v>
      </c>
      <c r="O919" s="17">
        <f t="shared" si="14"/>
        <v>5931003.8832550561</v>
      </c>
    </row>
    <row r="920" spans="1:15">
      <c r="A920" s="13" t="str">
        <f>Members!A920</f>
        <v>A0251</v>
      </c>
      <c r="B920" s="13" t="str">
        <f>Members!B920</f>
        <v>Active</v>
      </c>
      <c r="C920" s="13">
        <f>Members!C920</f>
        <v>59</v>
      </c>
      <c r="D920" s="14">
        <f>Members!D920</f>
        <v>11</v>
      </c>
      <c r="E920" s="16">
        <f>Members!E920</f>
        <v>1989000</v>
      </c>
      <c r="F920" s="16">
        <f>Members!F920</f>
        <v>0</v>
      </c>
      <c r="G920" s="15">
        <f>MAX(0,Assumptions!$B$10-C920)</f>
        <v>1</v>
      </c>
      <c r="H920" s="17">
        <f>IF(B920="Active",E920*(1+Assumptions!$B$7)^G920,E920)</f>
        <v>2098395</v>
      </c>
      <c r="I920" s="17">
        <f>IF(B920="Active",MIN(Assumptions!$B$12,D920+G920),IF(B920="Deferred",MIN(Assumptions!$B$12,D920),D920))</f>
        <v>12</v>
      </c>
      <c r="J920" s="17">
        <f>IF(B920="Active",H920*I920*Assumptions!$B$11,IF(B920="Deferred",E920*I920*Assumptions!$B$11*(1+Assumptions!$B$9)^G920,F920))</f>
        <v>419679</v>
      </c>
      <c r="K920" s="11">
        <f>IF(B920="Pensioner",1,VLOOKUP(Assumptions!$B$10,Mortality!$A$2:$F$104,6,FALSE)/VLOOKUP(C920,Mortality!$A$2:$F$104,6,FALSE))</f>
        <v>0.99710960118319747</v>
      </c>
      <c r="L920" s="11">
        <f>VLOOKUP(IF(B920="Pensioner",C920,Assumptions!$B$10),Mortality!$A$2:$E$104,5,FALSE)</f>
        <v>17.296790022132885</v>
      </c>
      <c r="M920" s="11">
        <f>1+Assumptions!$B$13*Assumptions!$B$14*Assumptions!$B$15</f>
        <v>1.3187500000000001</v>
      </c>
      <c r="N920" s="11">
        <f>IF(B920="Pensioner",1,1/(1+Assumptions!$B$6)^G920)</f>
        <v>0.93896713615023475</v>
      </c>
      <c r="O920" s="17">
        <f t="shared" si="14"/>
        <v>8962692.8738989513</v>
      </c>
    </row>
    <row r="921" spans="1:15">
      <c r="A921" s="13" t="str">
        <f>Members!A921</f>
        <v>D0027</v>
      </c>
      <c r="B921" s="13" t="str">
        <f>Members!B921</f>
        <v>Deferred</v>
      </c>
      <c r="C921" s="13">
        <f>Members!C921</f>
        <v>45</v>
      </c>
      <c r="D921" s="14">
        <f>Members!D921</f>
        <v>7</v>
      </c>
      <c r="E921" s="16">
        <f>Members!E921</f>
        <v>662000</v>
      </c>
      <c r="F921" s="16">
        <f>Members!F921</f>
        <v>0</v>
      </c>
      <c r="G921" s="15">
        <f>MAX(0,Assumptions!$B$10-C921)</f>
        <v>15</v>
      </c>
      <c r="H921" s="17">
        <f>IF(B921="Active",E921*(1+Assumptions!$B$7)^G921,E921)</f>
        <v>662000</v>
      </c>
      <c r="I921" s="17">
        <f>IF(B921="Active",MIN(Assumptions!$B$12,D921+G921),IF(B921="Deferred",MIN(Assumptions!$B$12,D921),D921))</f>
        <v>7</v>
      </c>
      <c r="J921" s="17">
        <f>IF(B921="Active",H921*I921*Assumptions!$B$11,IF(B921="Deferred",E921*I921*Assumptions!$B$11*(1+Assumptions!$B$9)^G921,F921))</f>
        <v>139092.87007531754</v>
      </c>
      <c r="K921" s="11">
        <f>IF(B921="Pensioner",1,VLOOKUP(Assumptions!$B$10,Mortality!$A$2:$F$104,6,FALSE)/VLOOKUP(C921,Mortality!$A$2:$F$104,6,FALSE))</f>
        <v>0.97693494781946555</v>
      </c>
      <c r="L921" s="11">
        <f>VLOOKUP(IF(B921="Pensioner",C921,Assumptions!$B$10),Mortality!$A$2:$E$104,5,FALSE)</f>
        <v>17.296790022132885</v>
      </c>
      <c r="M921" s="11">
        <f>1+Assumptions!$B$13*Assumptions!$B$14*Assumptions!$B$15</f>
        <v>1.3187500000000001</v>
      </c>
      <c r="N921" s="11">
        <f>IF(B921="Pensioner",1,1/(1+Assumptions!$B$6)^G921)</f>
        <v>0.38882652444221566</v>
      </c>
      <c r="O921" s="17">
        <f t="shared" si="14"/>
        <v>1205186.8480967681</v>
      </c>
    </row>
    <row r="922" spans="1:15">
      <c r="A922" s="13" t="str">
        <f>Members!A922</f>
        <v>A0108</v>
      </c>
      <c r="B922" s="13" t="str">
        <f>Members!B922</f>
        <v>Active</v>
      </c>
      <c r="C922" s="13">
        <f>Members!C922</f>
        <v>44</v>
      </c>
      <c r="D922" s="14">
        <f>Members!D922</f>
        <v>18.7</v>
      </c>
      <c r="E922" s="16">
        <f>Members!E922</f>
        <v>1108000</v>
      </c>
      <c r="F922" s="16">
        <f>Members!F922</f>
        <v>0</v>
      </c>
      <c r="G922" s="15">
        <f>MAX(0,Assumptions!$B$10-C922)</f>
        <v>16</v>
      </c>
      <c r="H922" s="17">
        <f>IF(B922="Active",E922*(1+Assumptions!$B$7)^G922,E922)</f>
        <v>2609631.0708366288</v>
      </c>
      <c r="I922" s="17">
        <f>IF(B922="Active",MIN(Assumptions!$B$12,D922+G922),IF(B922="Deferred",MIN(Assumptions!$B$12,D922),D922))</f>
        <v>34.700000000000003</v>
      </c>
      <c r="J922" s="17">
        <f>IF(B922="Active",H922*I922*Assumptions!$B$11,IF(B922="Deferred",E922*I922*Assumptions!$B$11*(1+Assumptions!$B$9)^G922,F922))</f>
        <v>1509236.6359671839</v>
      </c>
      <c r="K922" s="11">
        <f>IF(B922="Pensioner",1,VLOOKUP(Assumptions!$B$10,Mortality!$A$2:$F$104,6,FALSE)/VLOOKUP(C922,Mortality!$A$2:$F$104,6,FALSE))</f>
        <v>0.97626822121787327</v>
      </c>
      <c r="L922" s="11">
        <f>VLOOKUP(IF(B922="Pensioner",C922,Assumptions!$B$10),Mortality!$A$2:$E$104,5,FALSE)</f>
        <v>17.296790022132885</v>
      </c>
      <c r="M922" s="11">
        <f>1+Assumptions!$B$13*Assumptions!$B$14*Assumptions!$B$15</f>
        <v>1.3187500000000001</v>
      </c>
      <c r="N922" s="11">
        <f>IF(B922="Pensioner",1,1/(1+Assumptions!$B$6)^G922)</f>
        <v>0.36509532811475648</v>
      </c>
      <c r="O922" s="17">
        <f t="shared" si="14"/>
        <v>12270457.431338901</v>
      </c>
    </row>
    <row r="923" spans="1:15">
      <c r="A923" s="13" t="str">
        <f>Members!A923</f>
        <v>A0013</v>
      </c>
      <c r="B923" s="13" t="str">
        <f>Members!B923</f>
        <v>Active</v>
      </c>
      <c r="C923" s="13">
        <f>Members!C923</f>
        <v>38</v>
      </c>
      <c r="D923" s="14">
        <f>Members!D923</f>
        <v>12.4</v>
      </c>
      <c r="E923" s="16">
        <f>Members!E923</f>
        <v>605000</v>
      </c>
      <c r="F923" s="16">
        <f>Members!F923</f>
        <v>0</v>
      </c>
      <c r="G923" s="15">
        <f>MAX(0,Assumptions!$B$10-C923)</f>
        <v>22</v>
      </c>
      <c r="H923" s="17">
        <f>IF(B923="Active",E923*(1+Assumptions!$B$7)^G923,E923)</f>
        <v>1964759.9037426678</v>
      </c>
      <c r="I923" s="17">
        <f>IF(B923="Active",MIN(Assumptions!$B$12,D923+G923),IF(B923="Deferred",MIN(Assumptions!$B$12,D923),D923))</f>
        <v>34.4</v>
      </c>
      <c r="J923" s="17">
        <f>IF(B923="Active",H923*I923*Assumptions!$B$11,IF(B923="Deferred",E923*I923*Assumptions!$B$11*(1+Assumptions!$B$9)^G923,F923))</f>
        <v>1126462.3448124628</v>
      </c>
      <c r="K923" s="11">
        <f>IF(B923="Pensioner",1,VLOOKUP(Assumptions!$B$10,Mortality!$A$2:$F$104,6,FALSE)/VLOOKUP(C923,Mortality!$A$2:$F$104,6,FALSE))</f>
        <v>0.97314826881680017</v>
      </c>
      <c r="L923" s="11">
        <f>VLOOKUP(IF(B923="Pensioner",C923,Assumptions!$B$10),Mortality!$A$2:$E$104,5,FALSE)</f>
        <v>17.296790022132885</v>
      </c>
      <c r="M923" s="11">
        <f>1+Assumptions!$B$13*Assumptions!$B$14*Assumptions!$B$15</f>
        <v>1.3187500000000001</v>
      </c>
      <c r="N923" s="11">
        <f>IF(B923="Pensioner",1,1/(1+Assumptions!$B$6)^G923)</f>
        <v>0.25021228497116527</v>
      </c>
      <c r="O923" s="17">
        <f t="shared" si="14"/>
        <v>6256512.3765095342</v>
      </c>
    </row>
    <row r="924" spans="1:15">
      <c r="A924" s="13" t="str">
        <f>Members!A924</f>
        <v>A0577</v>
      </c>
      <c r="B924" s="13" t="str">
        <f>Members!B924</f>
        <v>Active</v>
      </c>
      <c r="C924" s="13">
        <f>Members!C924</f>
        <v>29</v>
      </c>
      <c r="D924" s="14">
        <f>Members!D924</f>
        <v>1.9</v>
      </c>
      <c r="E924" s="16">
        <f>Members!E924</f>
        <v>519000</v>
      </c>
      <c r="F924" s="16">
        <f>Members!F924</f>
        <v>0</v>
      </c>
      <c r="G924" s="15">
        <f>MAX(0,Assumptions!$B$10-C924)</f>
        <v>31</v>
      </c>
      <c r="H924" s="17">
        <f>IF(B924="Active",E924*(1+Assumptions!$B$7)^G924,E924)</f>
        <v>2728937.608204273</v>
      </c>
      <c r="I924" s="17">
        <f>IF(B924="Active",MIN(Assumptions!$B$12,D924+G924),IF(B924="Deferred",MIN(Assumptions!$B$12,D924),D924))</f>
        <v>32.9</v>
      </c>
      <c r="J924" s="17">
        <f>IF(B924="Active",H924*I924*Assumptions!$B$11,IF(B924="Deferred",E924*I924*Assumptions!$B$11*(1+Assumptions!$B$9)^G924,F924))</f>
        <v>1496367.4551653429</v>
      </c>
      <c r="K924" s="11">
        <f>IF(B924="Pensioner",1,VLOOKUP(Assumptions!$B$10,Mortality!$A$2:$F$104,6,FALSE)/VLOOKUP(C924,Mortality!$A$2:$F$104,6,FALSE))</f>
        <v>0.9700544954739736</v>
      </c>
      <c r="L924" s="11">
        <f>VLOOKUP(IF(B924="Pensioner",C924,Assumptions!$B$10),Mortality!$A$2:$E$104,5,FALSE)</f>
        <v>17.296790022132885</v>
      </c>
      <c r="M924" s="11">
        <f>1+Assumptions!$B$13*Assumptions!$B$14*Assumptions!$B$15</f>
        <v>1.3187500000000001</v>
      </c>
      <c r="N924" s="11">
        <f>IF(B924="Pensioner",1,1/(1+Assumptions!$B$6)^G924)</f>
        <v>0.14195874752095111</v>
      </c>
      <c r="O924" s="17">
        <f t="shared" si="14"/>
        <v>4700288.6748622051</v>
      </c>
    </row>
    <row r="925" spans="1:15">
      <c r="A925" s="13" t="str">
        <f>Members!A925</f>
        <v>A0406</v>
      </c>
      <c r="B925" s="13" t="str">
        <f>Members!B925</f>
        <v>Active</v>
      </c>
      <c r="C925" s="13">
        <f>Members!C925</f>
        <v>31</v>
      </c>
      <c r="D925" s="14">
        <f>Members!D925</f>
        <v>2.7</v>
      </c>
      <c r="E925" s="16">
        <f>Members!E925</f>
        <v>615000</v>
      </c>
      <c r="F925" s="16">
        <f>Members!F925</f>
        <v>0</v>
      </c>
      <c r="G925" s="15">
        <f>MAX(0,Assumptions!$B$10-C925)</f>
        <v>29</v>
      </c>
      <c r="H925" s="17">
        <f>IF(B925="Active",E925*(1+Assumptions!$B$7)^G925,E925)</f>
        <v>2905336.5330454614</v>
      </c>
      <c r="I925" s="17">
        <f>IF(B925="Active",MIN(Assumptions!$B$12,D925+G925),IF(B925="Deferred",MIN(Assumptions!$B$12,D925),D925))</f>
        <v>31.7</v>
      </c>
      <c r="J925" s="17">
        <f>IF(B925="Active",H925*I925*Assumptions!$B$11,IF(B925="Deferred",E925*I925*Assumptions!$B$11*(1+Assumptions!$B$9)^G925,F925))</f>
        <v>1534986.1349590188</v>
      </c>
      <c r="K925" s="11">
        <f>IF(B925="Pensioner",1,VLOOKUP(Assumptions!$B$10,Mortality!$A$2:$F$104,6,FALSE)/VLOOKUP(C925,Mortality!$A$2:$F$104,6,FALSE))</f>
        <v>0.97064661072952085</v>
      </c>
      <c r="L925" s="11">
        <f>VLOOKUP(IF(B925="Pensioner",C925,Assumptions!$B$10),Mortality!$A$2:$E$104,5,FALSE)</f>
        <v>17.296790022132885</v>
      </c>
      <c r="M925" s="11">
        <f>1+Assumptions!$B$13*Assumptions!$B$14*Assumptions!$B$15</f>
        <v>1.3187500000000001</v>
      </c>
      <c r="N925" s="11">
        <f>IF(B925="Pensioner",1,1/(1+Assumptions!$B$6)^G925)</f>
        <v>0.16101316040695074</v>
      </c>
      <c r="O925" s="17">
        <f t="shared" si="14"/>
        <v>5472111.7749705156</v>
      </c>
    </row>
    <row r="926" spans="1:15">
      <c r="A926" s="13" t="str">
        <f>Members!A926</f>
        <v>A0116</v>
      </c>
      <c r="B926" s="13" t="str">
        <f>Members!B926</f>
        <v>Active</v>
      </c>
      <c r="C926" s="13">
        <f>Members!C926</f>
        <v>37</v>
      </c>
      <c r="D926" s="14">
        <f>Members!D926</f>
        <v>7.5</v>
      </c>
      <c r="E926" s="16">
        <f>Members!E926</f>
        <v>967000</v>
      </c>
      <c r="F926" s="16">
        <f>Members!F926</f>
        <v>0</v>
      </c>
      <c r="G926" s="15">
        <f>MAX(0,Assumptions!$B$10-C926)</f>
        <v>23</v>
      </c>
      <c r="H926" s="17">
        <f>IF(B926="Active",E926*(1+Assumptions!$B$7)^G926,E926)</f>
        <v>3313088.5659499397</v>
      </c>
      <c r="I926" s="17">
        <f>IF(B926="Active",MIN(Assumptions!$B$12,D926+G926),IF(B926="Deferred",MIN(Assumptions!$B$12,D926),D926))</f>
        <v>30.5</v>
      </c>
      <c r="J926" s="17">
        <f>IF(B926="Active",H926*I926*Assumptions!$B$11,IF(B926="Deferred",E926*I926*Assumptions!$B$11*(1+Assumptions!$B$9)^G926,F926))</f>
        <v>1684153.3543578861</v>
      </c>
      <c r="K926" s="11">
        <f>IF(B926="Pensioner",1,VLOOKUP(Assumptions!$B$10,Mortality!$A$2:$F$104,6,FALSE)/VLOOKUP(C926,Mortality!$A$2:$F$104,6,FALSE))</f>
        <v>0.97273561412651877</v>
      </c>
      <c r="L926" s="11">
        <f>VLOOKUP(IF(B926="Pensioner",C926,Assumptions!$B$10),Mortality!$A$2:$E$104,5,FALSE)</f>
        <v>17.296790022132885</v>
      </c>
      <c r="M926" s="11">
        <f>1+Assumptions!$B$13*Assumptions!$B$14*Assumptions!$B$15</f>
        <v>1.3187500000000001</v>
      </c>
      <c r="N926" s="11">
        <f>IF(B926="Pensioner",1,1/(1+Assumptions!$B$6)^G926)</f>
        <v>0.23494111264898151</v>
      </c>
      <c r="O926" s="17">
        <f t="shared" si="14"/>
        <v>8779372.1420624945</v>
      </c>
    </row>
    <row r="927" spans="1:15">
      <c r="A927" s="13" t="str">
        <f>Members!A927</f>
        <v>A0095</v>
      </c>
      <c r="B927" s="13" t="str">
        <f>Members!B927</f>
        <v>Active</v>
      </c>
      <c r="C927" s="13">
        <f>Members!C927</f>
        <v>37</v>
      </c>
      <c r="D927" s="14">
        <f>Members!D927</f>
        <v>1.7</v>
      </c>
      <c r="E927" s="16">
        <f>Members!E927</f>
        <v>878000</v>
      </c>
      <c r="F927" s="16">
        <f>Members!F927</f>
        <v>0</v>
      </c>
      <c r="G927" s="15">
        <f>MAX(0,Assumptions!$B$10-C927)</f>
        <v>23</v>
      </c>
      <c r="H927" s="17">
        <f>IF(B927="Active",E927*(1+Assumptions!$B$7)^G927,E927)</f>
        <v>3008161.0764261084</v>
      </c>
      <c r="I927" s="17">
        <f>IF(B927="Active",MIN(Assumptions!$B$12,D927+G927),IF(B927="Deferred",MIN(Assumptions!$B$12,D927),D927))</f>
        <v>24.7</v>
      </c>
      <c r="J927" s="17">
        <f>IF(B927="Active",H927*I927*Assumptions!$B$11,IF(B927="Deferred",E927*I927*Assumptions!$B$11*(1+Assumptions!$B$9)^G927,F927))</f>
        <v>1238359.6431287481</v>
      </c>
      <c r="K927" s="11">
        <f>IF(B927="Pensioner",1,VLOOKUP(Assumptions!$B$10,Mortality!$A$2:$F$104,6,FALSE)/VLOOKUP(C927,Mortality!$A$2:$F$104,6,FALSE))</f>
        <v>0.97273561412651877</v>
      </c>
      <c r="L927" s="11">
        <f>VLOOKUP(IF(B927="Pensioner",C927,Assumptions!$B$10),Mortality!$A$2:$E$104,5,FALSE)</f>
        <v>17.296790022132885</v>
      </c>
      <c r="M927" s="11">
        <f>1+Assumptions!$B$13*Assumptions!$B$14*Assumptions!$B$15</f>
        <v>1.3187500000000001</v>
      </c>
      <c r="N927" s="11">
        <f>IF(B927="Pensioner",1,1/(1+Assumptions!$B$6)^G927)</f>
        <v>0.23494111264898151</v>
      </c>
      <c r="O927" s="17">
        <f t="shared" si="14"/>
        <v>6455481.1024819864</v>
      </c>
    </row>
    <row r="928" spans="1:15">
      <c r="A928" s="13" t="str">
        <f>Members!A928</f>
        <v>A0162</v>
      </c>
      <c r="B928" s="13" t="str">
        <f>Members!B928</f>
        <v>Active</v>
      </c>
      <c r="C928" s="13">
        <f>Members!C928</f>
        <v>22</v>
      </c>
      <c r="D928" s="14">
        <f>Members!D928</f>
        <v>1</v>
      </c>
      <c r="E928" s="16">
        <f>Members!E928</f>
        <v>503000</v>
      </c>
      <c r="F928" s="16">
        <f>Members!F928</f>
        <v>0</v>
      </c>
      <c r="G928" s="15">
        <f>MAX(0,Assumptions!$B$10-C928)</f>
        <v>38</v>
      </c>
      <c r="H928" s="17">
        <f>IF(B928="Active",E928*(1+Assumptions!$B$7)^G928,E928)</f>
        <v>3847347.825349893</v>
      </c>
      <c r="I928" s="17">
        <f>IF(B928="Active",MIN(Assumptions!$B$12,D928+G928),IF(B928="Deferred",MIN(Assumptions!$B$12,D928),D928))</f>
        <v>39</v>
      </c>
      <c r="J928" s="17">
        <f>IF(B928="Active",H928*I928*Assumptions!$B$11,IF(B928="Deferred",E928*I928*Assumptions!$B$11*(1+Assumptions!$B$9)^G928,F928))</f>
        <v>2500776.0864774305</v>
      </c>
      <c r="K928" s="11">
        <f>IF(B928="Pensioner",1,VLOOKUP(Assumptions!$B$10,Mortality!$A$2:$F$104,6,FALSE)/VLOOKUP(C928,Mortality!$A$2:$F$104,6,FALSE))</f>
        <v>0.9682119922904866</v>
      </c>
      <c r="L928" s="11">
        <f>VLOOKUP(IF(B928="Pensioner",C928,Assumptions!$B$10),Mortality!$A$2:$E$104,5,FALSE)</f>
        <v>17.296790022132885</v>
      </c>
      <c r="M928" s="11">
        <f>1+Assumptions!$B$13*Assumptions!$B$14*Assumptions!$B$15</f>
        <v>1.3187500000000001</v>
      </c>
      <c r="N928" s="11">
        <f>IF(B928="Pensioner",1,1/(1+Assumptions!$B$6)^G928)</f>
        <v>9.1351336279890546E-2</v>
      </c>
      <c r="O928" s="17">
        <f t="shared" si="14"/>
        <v>5045313.4840715416</v>
      </c>
    </row>
    <row r="929" spans="1:15">
      <c r="A929" s="13" t="str">
        <f>Members!A929</f>
        <v>P0044</v>
      </c>
      <c r="B929" s="13" t="str">
        <f>Members!B929</f>
        <v>Pensioner</v>
      </c>
      <c r="C929" s="13">
        <f>Members!C929</f>
        <v>82</v>
      </c>
      <c r="D929" s="14">
        <f>Members!D929</f>
        <v>22.3</v>
      </c>
      <c r="E929" s="16">
        <f>Members!E929</f>
        <v>0</v>
      </c>
      <c r="F929" s="16">
        <f>Members!F929</f>
        <v>334000</v>
      </c>
      <c r="G929" s="15">
        <f>MAX(0,Assumptions!$B$10-C929)</f>
        <v>0</v>
      </c>
      <c r="H929" s="17">
        <f>IF(B929="Active",E929*(1+Assumptions!$B$7)^G929,E929)</f>
        <v>0</v>
      </c>
      <c r="I929" s="17">
        <f>IF(B929="Active",MIN(Assumptions!$B$12,D929+G929),IF(B929="Deferred",MIN(Assumptions!$B$12,D929),D929))</f>
        <v>22.3</v>
      </c>
      <c r="J929" s="17">
        <f>IF(B929="Active",H929*I929*Assumptions!$B$11,IF(B929="Deferred",E929*I929*Assumptions!$B$11*(1+Assumptions!$B$9)^G929,F929))</f>
        <v>334000</v>
      </c>
      <c r="K929" s="11">
        <f>IF(B929="Pensioner",1,VLOOKUP(Assumptions!$B$10,Mortality!$A$2:$F$104,6,FALSE)/VLOOKUP(C929,Mortality!$A$2:$F$104,6,FALSE))</f>
        <v>1</v>
      </c>
      <c r="L929" s="11">
        <f>VLOOKUP(IF(B929="Pensioner",C929,Assumptions!$B$10),Mortality!$A$2:$E$104,5,FALSE)</f>
        <v>7.4984624308085976</v>
      </c>
      <c r="M929" s="11">
        <f>1+Assumptions!$B$13*Assumptions!$B$14*Assumptions!$B$15</f>
        <v>1.3187500000000001</v>
      </c>
      <c r="N929" s="11">
        <f>IF(B929="Pensioner",1,1/(1+Assumptions!$B$6)^G929)</f>
        <v>1</v>
      </c>
      <c r="O929" s="17">
        <f t="shared" si="14"/>
        <v>3302791.5084300321</v>
      </c>
    </row>
    <row r="930" spans="1:15">
      <c r="A930" s="13" t="str">
        <f>Members!A930</f>
        <v>P0119</v>
      </c>
      <c r="B930" s="13" t="str">
        <f>Members!B930</f>
        <v>Pensioner</v>
      </c>
      <c r="C930" s="13">
        <f>Members!C930</f>
        <v>87</v>
      </c>
      <c r="D930" s="14">
        <f>Members!D930</f>
        <v>14.4</v>
      </c>
      <c r="E930" s="16">
        <f>Members!E930</f>
        <v>0</v>
      </c>
      <c r="F930" s="16">
        <f>Members!F930</f>
        <v>383000</v>
      </c>
      <c r="G930" s="15">
        <f>MAX(0,Assumptions!$B$10-C930)</f>
        <v>0</v>
      </c>
      <c r="H930" s="17">
        <f>IF(B930="Active",E930*(1+Assumptions!$B$7)^G930,E930)</f>
        <v>0</v>
      </c>
      <c r="I930" s="17">
        <f>IF(B930="Active",MIN(Assumptions!$B$12,D930+G930),IF(B930="Deferred",MIN(Assumptions!$B$12,D930),D930))</f>
        <v>14.4</v>
      </c>
      <c r="J930" s="17">
        <f>IF(B930="Active",H930*I930*Assumptions!$B$11,IF(B930="Deferred",E930*I930*Assumptions!$B$11*(1+Assumptions!$B$9)^G930,F930))</f>
        <v>383000</v>
      </c>
      <c r="K930" s="11">
        <f>IF(B930="Pensioner",1,VLOOKUP(Assumptions!$B$10,Mortality!$A$2:$F$104,6,FALSE)/VLOOKUP(C930,Mortality!$A$2:$F$104,6,FALSE))</f>
        <v>1</v>
      </c>
      <c r="L930" s="11">
        <f>VLOOKUP(IF(B930="Pensioner",C930,Assumptions!$B$10),Mortality!$A$2:$E$104,5,FALSE)</f>
        <v>5.427731360162463</v>
      </c>
      <c r="M930" s="11">
        <f>1+Assumptions!$B$13*Assumptions!$B$14*Assumptions!$B$15</f>
        <v>1.3187500000000001</v>
      </c>
      <c r="N930" s="11">
        <f>IF(B930="Pensioner",1,1/(1+Assumptions!$B$6)^G930)</f>
        <v>1</v>
      </c>
      <c r="O930" s="17">
        <f t="shared" si="14"/>
        <v>2741445.3400550573</v>
      </c>
    </row>
    <row r="931" spans="1:15">
      <c r="A931" s="13" t="str">
        <f>Members!A931</f>
        <v>A0536</v>
      </c>
      <c r="B931" s="13" t="str">
        <f>Members!B931</f>
        <v>Active</v>
      </c>
      <c r="C931" s="13">
        <f>Members!C931</f>
        <v>27</v>
      </c>
      <c r="D931" s="14">
        <f>Members!D931</f>
        <v>1.5</v>
      </c>
      <c r="E931" s="16">
        <f>Members!E931</f>
        <v>429000</v>
      </c>
      <c r="F931" s="16">
        <f>Members!F931</f>
        <v>0</v>
      </c>
      <c r="G931" s="15">
        <f>MAX(0,Assumptions!$B$10-C931)</f>
        <v>33</v>
      </c>
      <c r="H931" s="17">
        <f>IF(B931="Active",E931*(1+Assumptions!$B$7)^G931,E931)</f>
        <v>2510663.2181279375</v>
      </c>
      <c r="I931" s="17">
        <f>IF(B931="Active",MIN(Assumptions!$B$12,D931+G931),IF(B931="Deferred",MIN(Assumptions!$B$12,D931),D931))</f>
        <v>34.5</v>
      </c>
      <c r="J931" s="17">
        <f>IF(B931="Active",H931*I931*Assumptions!$B$11,IF(B931="Deferred",E931*I931*Assumptions!$B$11*(1+Assumptions!$B$9)^G931,F931))</f>
        <v>1443631.350423564</v>
      </c>
      <c r="K931" s="11">
        <f>IF(B931="Pensioner",1,VLOOKUP(Assumptions!$B$10,Mortality!$A$2:$F$104,6,FALSE)/VLOOKUP(C931,Mortality!$A$2:$F$104,6,FALSE))</f>
        <v>0.96949713302845153</v>
      </c>
      <c r="L931" s="11">
        <f>VLOOKUP(IF(B931="Pensioner",C931,Assumptions!$B$10),Mortality!$A$2:$E$104,5,FALSE)</f>
        <v>17.296790022132885</v>
      </c>
      <c r="M931" s="11">
        <f>1+Assumptions!$B$13*Assumptions!$B$14*Assumptions!$B$15</f>
        <v>1.3187500000000001</v>
      </c>
      <c r="N931" s="11">
        <f>IF(B931="Pensioner",1,1/(1+Assumptions!$B$6)^G931)</f>
        <v>0.12515924752227392</v>
      </c>
      <c r="O931" s="17">
        <f t="shared" si="14"/>
        <v>3995708.1846990366</v>
      </c>
    </row>
    <row r="932" spans="1:15">
      <c r="A932" s="13" t="str">
        <f>Members!A932</f>
        <v>P0080</v>
      </c>
      <c r="B932" s="13" t="str">
        <f>Members!B932</f>
        <v>Pensioner</v>
      </c>
      <c r="C932" s="13">
        <f>Members!C932</f>
        <v>61</v>
      </c>
      <c r="D932" s="14">
        <f>Members!D932</f>
        <v>14.2</v>
      </c>
      <c r="E932" s="16">
        <f>Members!E932</f>
        <v>0</v>
      </c>
      <c r="F932" s="16">
        <f>Members!F932</f>
        <v>257000</v>
      </c>
      <c r="G932" s="15">
        <f>MAX(0,Assumptions!$B$10-C932)</f>
        <v>0</v>
      </c>
      <c r="H932" s="17">
        <f>IF(B932="Active",E932*(1+Assumptions!$B$7)^G932,E932)</f>
        <v>0</v>
      </c>
      <c r="I932" s="17">
        <f>IF(B932="Active",MIN(Assumptions!$B$12,D932+G932),IF(B932="Deferred",MIN(Assumptions!$B$12,D932),D932))</f>
        <v>14.2</v>
      </c>
      <c r="J932" s="17">
        <f>IF(B932="Active",H932*I932*Assumptions!$B$11,IF(B932="Deferred",E932*I932*Assumptions!$B$11*(1+Assumptions!$B$9)^G932,F932))</f>
        <v>257000</v>
      </c>
      <c r="K932" s="11">
        <f>IF(B932="Pensioner",1,VLOOKUP(Assumptions!$B$10,Mortality!$A$2:$F$104,6,FALSE)/VLOOKUP(C932,Mortality!$A$2:$F$104,6,FALSE))</f>
        <v>1</v>
      </c>
      <c r="L932" s="11">
        <f>VLOOKUP(IF(B932="Pensioner",C932,Assumptions!$B$10),Mortality!$A$2:$E$104,5,FALSE)</f>
        <v>16.889485221588366</v>
      </c>
      <c r="M932" s="11">
        <f>1+Assumptions!$B$13*Assumptions!$B$14*Assumptions!$B$15</f>
        <v>1.3187500000000001</v>
      </c>
      <c r="N932" s="11">
        <f>IF(B932="Pensioner",1,1/(1+Assumptions!$B$6)^G932)</f>
        <v>1</v>
      </c>
      <c r="O932" s="17">
        <f t="shared" si="14"/>
        <v>5724163.2194442023</v>
      </c>
    </row>
    <row r="933" spans="1:15">
      <c r="A933" s="13" t="str">
        <f>Members!A933</f>
        <v>D0053</v>
      </c>
      <c r="B933" s="13" t="str">
        <f>Members!B933</f>
        <v>Deferred</v>
      </c>
      <c r="C933" s="13">
        <f>Members!C933</f>
        <v>33</v>
      </c>
      <c r="D933" s="14">
        <f>Members!D933</f>
        <v>5.8</v>
      </c>
      <c r="E933" s="16">
        <f>Members!E933</f>
        <v>522000</v>
      </c>
      <c r="F933" s="16">
        <f>Members!F933</f>
        <v>0</v>
      </c>
      <c r="G933" s="15">
        <f>MAX(0,Assumptions!$B$10-C933)</f>
        <v>27</v>
      </c>
      <c r="H933" s="17">
        <f>IF(B933="Active",E933*(1+Assumptions!$B$7)^G933,E933)</f>
        <v>522000</v>
      </c>
      <c r="I933" s="17">
        <f>IF(B933="Active",MIN(Assumptions!$B$12,D933+G933),IF(B933="Deferred",MIN(Assumptions!$B$12,D933),D933))</f>
        <v>5.8</v>
      </c>
      <c r="J933" s="17">
        <f>IF(B933="Active",H933*I933*Assumptions!$B$11,IF(B933="Deferred",E933*I933*Assumptions!$B$11*(1+Assumptions!$B$9)^G933,F933))</f>
        <v>145494.77835186277</v>
      </c>
      <c r="K933" s="11">
        <f>IF(B933="Pensioner",1,VLOOKUP(Assumptions!$B$10,Mortality!$A$2:$F$104,6,FALSE)/VLOOKUP(C933,Mortality!$A$2:$F$104,6,FALSE))</f>
        <v>0.9712826176321353</v>
      </c>
      <c r="L933" s="11">
        <f>VLOOKUP(IF(B933="Pensioner",C933,Assumptions!$B$10),Mortality!$A$2:$E$104,5,FALSE)</f>
        <v>17.296790022132885</v>
      </c>
      <c r="M933" s="11">
        <f>1+Assumptions!$B$13*Assumptions!$B$14*Assumptions!$B$15</f>
        <v>1.3187500000000001</v>
      </c>
      <c r="N933" s="11">
        <f>IF(B933="Pensioner",1,1/(1+Assumptions!$B$6)^G933)</f>
        <v>0.18262515186257369</v>
      </c>
      <c r="O933" s="17">
        <f t="shared" si="14"/>
        <v>588683.1427694679</v>
      </c>
    </row>
    <row r="934" spans="1:15">
      <c r="A934" s="13" t="str">
        <f>Members!A934</f>
        <v>A0314</v>
      </c>
      <c r="B934" s="13" t="str">
        <f>Members!B934</f>
        <v>Active</v>
      </c>
      <c r="C934" s="13">
        <f>Members!C934</f>
        <v>31</v>
      </c>
      <c r="D934" s="14">
        <f>Members!D934</f>
        <v>10</v>
      </c>
      <c r="E934" s="16">
        <f>Members!E934</f>
        <v>553000</v>
      </c>
      <c r="F934" s="16">
        <f>Members!F934</f>
        <v>0</v>
      </c>
      <c r="G934" s="15">
        <f>MAX(0,Assumptions!$B$10-C934)</f>
        <v>29</v>
      </c>
      <c r="H934" s="17">
        <f>IF(B934="Active",E934*(1+Assumptions!$B$7)^G934,E934)</f>
        <v>2612440.8175189272</v>
      </c>
      <c r="I934" s="17">
        <f>IF(B934="Active",MIN(Assumptions!$B$12,D934+G934),IF(B934="Deferred",MIN(Assumptions!$B$12,D934),D934))</f>
        <v>39</v>
      </c>
      <c r="J934" s="17">
        <f>IF(B934="Active",H934*I934*Assumptions!$B$11,IF(B934="Deferred",E934*I934*Assumptions!$B$11*(1+Assumptions!$B$9)^G934,F934))</f>
        <v>1698086.5313873028</v>
      </c>
      <c r="K934" s="11">
        <f>IF(B934="Pensioner",1,VLOOKUP(Assumptions!$B$10,Mortality!$A$2:$F$104,6,FALSE)/VLOOKUP(C934,Mortality!$A$2:$F$104,6,FALSE))</f>
        <v>0.97064661072952085</v>
      </c>
      <c r="L934" s="11">
        <f>VLOOKUP(IF(B934="Pensioner",C934,Assumptions!$B$10),Mortality!$A$2:$E$104,5,FALSE)</f>
        <v>17.296790022132885</v>
      </c>
      <c r="M934" s="11">
        <f>1+Assumptions!$B$13*Assumptions!$B$14*Assumptions!$B$15</f>
        <v>1.3187500000000001</v>
      </c>
      <c r="N934" s="11">
        <f>IF(B934="Pensioner",1,1/(1+Assumptions!$B$6)^G934)</f>
        <v>0.16101316040695074</v>
      </c>
      <c r="O934" s="17">
        <f t="shared" si="14"/>
        <v>6053552.5967935743</v>
      </c>
    </row>
    <row r="935" spans="1:15">
      <c r="A935" s="13" t="str">
        <f>Members!A935</f>
        <v>A0306</v>
      </c>
      <c r="B935" s="13" t="str">
        <f>Members!B935</f>
        <v>Active</v>
      </c>
      <c r="C935" s="13">
        <f>Members!C935</f>
        <v>49</v>
      </c>
      <c r="D935" s="14">
        <f>Members!D935</f>
        <v>16.100000000000001</v>
      </c>
      <c r="E935" s="16">
        <f>Members!E935</f>
        <v>1587000</v>
      </c>
      <c r="F935" s="16">
        <f>Members!F935</f>
        <v>0</v>
      </c>
      <c r="G935" s="15">
        <f>MAX(0,Assumptions!$B$10-C935)</f>
        <v>11</v>
      </c>
      <c r="H935" s="17">
        <f>IF(B935="Active",E935*(1+Assumptions!$B$7)^G935,E935)</f>
        <v>2859920.6444545449</v>
      </c>
      <c r="I935" s="17">
        <f>IF(B935="Active",MIN(Assumptions!$B$12,D935+G935),IF(B935="Deferred",MIN(Assumptions!$B$12,D935),D935))</f>
        <v>27.1</v>
      </c>
      <c r="J935" s="17">
        <f>IF(B935="Active",H935*I935*Assumptions!$B$11,IF(B935="Deferred",E935*I935*Assumptions!$B$11*(1+Assumptions!$B$9)^G935,F935))</f>
        <v>1291730.8244119694</v>
      </c>
      <c r="K935" s="11">
        <f>IF(B935="Pensioner",1,VLOOKUP(Assumptions!$B$10,Mortality!$A$2:$F$104,6,FALSE)/VLOOKUP(C935,Mortality!$A$2:$F$104,6,FALSE))</f>
        <v>0.98024296623595764</v>
      </c>
      <c r="L935" s="11">
        <f>VLOOKUP(IF(B935="Pensioner",C935,Assumptions!$B$10),Mortality!$A$2:$E$104,5,FALSE)</f>
        <v>17.296790022132885</v>
      </c>
      <c r="M935" s="11">
        <f>1+Assumptions!$B$13*Assumptions!$B$14*Assumptions!$B$15</f>
        <v>1.3187500000000001</v>
      </c>
      <c r="N935" s="11">
        <f>IF(B935="Pensioner",1,1/(1+Assumptions!$B$6)^G935)</f>
        <v>0.50021223992537933</v>
      </c>
      <c r="O935" s="17">
        <f t="shared" si="14"/>
        <v>14447345.481810575</v>
      </c>
    </row>
    <row r="936" spans="1:15">
      <c r="A936" s="13" t="str">
        <f>Members!A936</f>
        <v>A0597</v>
      </c>
      <c r="B936" s="13" t="str">
        <f>Members!B936</f>
        <v>Active</v>
      </c>
      <c r="C936" s="13">
        <f>Members!C936</f>
        <v>57</v>
      </c>
      <c r="D936" s="14">
        <f>Members!D936</f>
        <v>32.200000000000003</v>
      </c>
      <c r="E936" s="16">
        <f>Members!E936</f>
        <v>2332000</v>
      </c>
      <c r="F936" s="16">
        <f>Members!F936</f>
        <v>0</v>
      </c>
      <c r="G936" s="15">
        <f>MAX(0,Assumptions!$B$10-C936)</f>
        <v>3</v>
      </c>
      <c r="H936" s="17">
        <f>IF(B936="Active",E936*(1+Assumptions!$B$7)^G936,E936)</f>
        <v>2738330.8864999996</v>
      </c>
      <c r="I936" s="17">
        <f>IF(B936="Active",MIN(Assumptions!$B$12,D936+G936),IF(B936="Deferred",MIN(Assumptions!$B$12,D936),D936))</f>
        <v>35.200000000000003</v>
      </c>
      <c r="J936" s="17">
        <f>IF(B936="Active",H936*I936*Assumptions!$B$11,IF(B936="Deferred",E936*I936*Assumptions!$B$11*(1+Assumptions!$B$9)^G936,F936))</f>
        <v>1606487.4534133333</v>
      </c>
      <c r="K936" s="11">
        <f>IF(B936="Pensioner",1,VLOOKUP(Assumptions!$B$10,Mortality!$A$2:$F$104,6,FALSE)/VLOOKUP(C936,Mortality!$A$2:$F$104,6,FALSE))</f>
        <v>0.99220038929214172</v>
      </c>
      <c r="L936" s="11">
        <f>VLOOKUP(IF(B936="Pensioner",C936,Assumptions!$B$10),Mortality!$A$2:$E$104,5,FALSE)</f>
        <v>17.296790022132885</v>
      </c>
      <c r="M936" s="11">
        <f>1+Assumptions!$B$13*Assumptions!$B$14*Assumptions!$B$15</f>
        <v>1.3187500000000001</v>
      </c>
      <c r="N936" s="11">
        <f>IF(B936="Pensioner",1,1/(1+Assumptions!$B$6)^G936)</f>
        <v>0.82784909180297994</v>
      </c>
      <c r="O936" s="17">
        <f t="shared" si="14"/>
        <v>30099265.21766454</v>
      </c>
    </row>
    <row r="937" spans="1:15">
      <c r="A937" s="13" t="str">
        <f>Members!A937</f>
        <v>A0360</v>
      </c>
      <c r="B937" s="13" t="str">
        <f>Members!B937</f>
        <v>Active</v>
      </c>
      <c r="C937" s="13">
        <f>Members!C937</f>
        <v>51</v>
      </c>
      <c r="D937" s="14">
        <f>Members!D937</f>
        <v>23.2</v>
      </c>
      <c r="E937" s="16">
        <f>Members!E937</f>
        <v>1180000</v>
      </c>
      <c r="F937" s="16">
        <f>Members!F937</f>
        <v>0</v>
      </c>
      <c r="G937" s="15">
        <f>MAX(0,Assumptions!$B$10-C937)</f>
        <v>9</v>
      </c>
      <c r="H937" s="17">
        <f>IF(B937="Active",E937*(1+Assumptions!$B$7)^G937,E937)</f>
        <v>1910531.2425187107</v>
      </c>
      <c r="I937" s="17">
        <f>IF(B937="Active",MIN(Assumptions!$B$12,D937+G937),IF(B937="Deferred",MIN(Assumptions!$B$12,D937),D937))</f>
        <v>32.200000000000003</v>
      </c>
      <c r="J937" s="17">
        <f>IF(B937="Active",H937*I937*Assumptions!$B$11,IF(B937="Deferred",E937*I937*Assumptions!$B$11*(1+Assumptions!$B$9)^G937,F937))</f>
        <v>1025318.4334850414</v>
      </c>
      <c r="K937" s="11">
        <f>IF(B937="Pensioner",1,VLOOKUP(Assumptions!$B$10,Mortality!$A$2:$F$104,6,FALSE)/VLOOKUP(C937,Mortality!$A$2:$F$104,6,FALSE))</f>
        <v>0.98240527975061542</v>
      </c>
      <c r="L937" s="11">
        <f>VLOOKUP(IF(B937="Pensioner",C937,Assumptions!$B$10),Mortality!$A$2:$E$104,5,FALSE)</f>
        <v>17.296790022132885</v>
      </c>
      <c r="M937" s="11">
        <f>1+Assumptions!$B$13*Assumptions!$B$14*Assumptions!$B$15</f>
        <v>1.3187500000000001</v>
      </c>
      <c r="N937" s="11">
        <f>IF(B937="Pensioner",1,1/(1+Assumptions!$B$6)^G937)</f>
        <v>0.56735322782936326</v>
      </c>
      <c r="O937" s="17">
        <f t="shared" si="14"/>
        <v>13035598.303697951</v>
      </c>
    </row>
    <row r="938" spans="1:15">
      <c r="A938" s="13" t="str">
        <f>Members!A938</f>
        <v>A0418</v>
      </c>
      <c r="B938" s="13" t="str">
        <f>Members!B938</f>
        <v>Active</v>
      </c>
      <c r="C938" s="13">
        <f>Members!C938</f>
        <v>24</v>
      </c>
      <c r="D938" s="14">
        <f>Members!D938</f>
        <v>1.8</v>
      </c>
      <c r="E938" s="16">
        <f>Members!E938</f>
        <v>397000</v>
      </c>
      <c r="F938" s="16">
        <f>Members!F938</f>
        <v>0</v>
      </c>
      <c r="G938" s="15">
        <f>MAX(0,Assumptions!$B$10-C938)</f>
        <v>36</v>
      </c>
      <c r="H938" s="17">
        <f>IF(B938="Active",E938*(1+Assumptions!$B$7)^G938,E938)</f>
        <v>2728217.8971523084</v>
      </c>
      <c r="I938" s="17">
        <f>IF(B938="Active",MIN(Assumptions!$B$12,D938+G938),IF(B938="Deferred",MIN(Assumptions!$B$12,D938),D938))</f>
        <v>37.799999999999997</v>
      </c>
      <c r="J938" s="17">
        <f>IF(B938="Active",H938*I938*Assumptions!$B$11,IF(B938="Deferred",E938*I938*Assumptions!$B$11*(1+Assumptions!$B$9)^G938,F938))</f>
        <v>1718777.2752059542</v>
      </c>
      <c r="K938" s="11">
        <f>IF(B938="Pensioner",1,VLOOKUP(Assumptions!$B$10,Mortality!$A$2:$F$104,6,FALSE)/VLOOKUP(C938,Mortality!$A$2:$F$104,6,FALSE))</f>
        <v>0.96871086700607645</v>
      </c>
      <c r="L938" s="11">
        <f>VLOOKUP(IF(B938="Pensioner",C938,Assumptions!$B$10),Mortality!$A$2:$E$104,5,FALSE)</f>
        <v>17.296790022132885</v>
      </c>
      <c r="M938" s="11">
        <f>1+Assumptions!$B$13*Assumptions!$B$14*Assumptions!$B$15</f>
        <v>1.3187500000000001</v>
      </c>
      <c r="N938" s="11">
        <f>IF(B938="Pensioner",1,1/(1+Assumptions!$B$6)^G938)</f>
        <v>0.10361296939205883</v>
      </c>
      <c r="O938" s="17">
        <f t="shared" si="14"/>
        <v>3935100.9735348206</v>
      </c>
    </row>
    <row r="939" spans="1:15">
      <c r="A939" s="13" t="str">
        <f>Members!A939</f>
        <v>A0388</v>
      </c>
      <c r="B939" s="13" t="str">
        <f>Members!B939</f>
        <v>Active</v>
      </c>
      <c r="C939" s="13">
        <f>Members!C939</f>
        <v>52</v>
      </c>
      <c r="D939" s="14">
        <f>Members!D939</f>
        <v>30</v>
      </c>
      <c r="E939" s="16">
        <f>Members!E939</f>
        <v>1520000</v>
      </c>
      <c r="F939" s="16">
        <f>Members!F939</f>
        <v>0</v>
      </c>
      <c r="G939" s="15">
        <f>MAX(0,Assumptions!$B$10-C939)</f>
        <v>8</v>
      </c>
      <c r="H939" s="17">
        <f>IF(B939="Active",E939*(1+Assumptions!$B$7)^G939,E939)</f>
        <v>2332723.5027941521</v>
      </c>
      <c r="I939" s="17">
        <f>IF(B939="Active",MIN(Assumptions!$B$12,D939+G939),IF(B939="Deferred",MIN(Assumptions!$B$12,D939),D939))</f>
        <v>38</v>
      </c>
      <c r="J939" s="17">
        <f>IF(B939="Active",H939*I939*Assumptions!$B$11,IF(B939="Deferred",E939*I939*Assumptions!$B$11*(1+Assumptions!$B$9)^G939,F939))</f>
        <v>1477391.5517696296</v>
      </c>
      <c r="K939" s="11">
        <f>IF(B939="Pensioner",1,VLOOKUP(Assumptions!$B$10,Mortality!$A$2:$F$104,6,FALSE)/VLOOKUP(C939,Mortality!$A$2:$F$104,6,FALSE))</f>
        <v>0.98365275168798427</v>
      </c>
      <c r="L939" s="11">
        <f>VLOOKUP(IF(B939="Pensioner",C939,Assumptions!$B$10),Mortality!$A$2:$E$104,5,FALSE)</f>
        <v>17.296790022132885</v>
      </c>
      <c r="M939" s="11">
        <f>1+Assumptions!$B$13*Assumptions!$B$14*Assumptions!$B$15</f>
        <v>1.3187500000000001</v>
      </c>
      <c r="N939" s="11">
        <f>IF(B939="Pensioner",1,1/(1+Assumptions!$B$6)^G939)</f>
        <v>0.60423118763827188</v>
      </c>
      <c r="O939" s="17">
        <f t="shared" si="14"/>
        <v>20029427.964513142</v>
      </c>
    </row>
    <row r="940" spans="1:15">
      <c r="A940" s="13" t="str">
        <f>Members!A940</f>
        <v>A0258</v>
      </c>
      <c r="B940" s="13" t="str">
        <f>Members!B940</f>
        <v>Active</v>
      </c>
      <c r="C940" s="13">
        <f>Members!C940</f>
        <v>44</v>
      </c>
      <c r="D940" s="14">
        <f>Members!D940</f>
        <v>17.7</v>
      </c>
      <c r="E940" s="16">
        <f>Members!E940</f>
        <v>1190000</v>
      </c>
      <c r="F940" s="16">
        <f>Members!F940</f>
        <v>0</v>
      </c>
      <c r="G940" s="15">
        <f>MAX(0,Assumptions!$B$10-C940)</f>
        <v>16</v>
      </c>
      <c r="H940" s="17">
        <f>IF(B940="Active",E940*(1+Assumptions!$B$7)^G940,E940)</f>
        <v>2802762.6121801338</v>
      </c>
      <c r="I940" s="17">
        <f>IF(B940="Active",MIN(Assumptions!$B$12,D940+G940),IF(B940="Deferred",MIN(Assumptions!$B$12,D940),D940))</f>
        <v>33.700000000000003</v>
      </c>
      <c r="J940" s="17">
        <f>IF(B940="Active",H940*I940*Assumptions!$B$11,IF(B940="Deferred",E940*I940*Assumptions!$B$11*(1+Assumptions!$B$9)^G940,F940))</f>
        <v>1574218.3338411753</v>
      </c>
      <c r="K940" s="11">
        <f>IF(B940="Pensioner",1,VLOOKUP(Assumptions!$B$10,Mortality!$A$2:$F$104,6,FALSE)/VLOOKUP(C940,Mortality!$A$2:$F$104,6,FALSE))</f>
        <v>0.97626822121787327</v>
      </c>
      <c r="L940" s="11">
        <f>VLOOKUP(IF(B940="Pensioner",C940,Assumptions!$B$10),Mortality!$A$2:$E$104,5,FALSE)</f>
        <v>17.296790022132885</v>
      </c>
      <c r="M940" s="11">
        <f>1+Assumptions!$B$13*Assumptions!$B$14*Assumptions!$B$15</f>
        <v>1.3187500000000001</v>
      </c>
      <c r="N940" s="11">
        <f>IF(B940="Pensioner",1,1/(1+Assumptions!$B$6)^G940)</f>
        <v>0.36509532811475648</v>
      </c>
      <c r="O940" s="17">
        <f t="shared" si="14"/>
        <v>12798774.289396061</v>
      </c>
    </row>
    <row r="941" spans="1:15">
      <c r="A941" s="13" t="str">
        <f>Members!A941</f>
        <v>A0409</v>
      </c>
      <c r="B941" s="13" t="str">
        <f>Members!B941</f>
        <v>Active</v>
      </c>
      <c r="C941" s="13">
        <f>Members!C941</f>
        <v>55</v>
      </c>
      <c r="D941" s="14">
        <f>Members!D941</f>
        <v>24.9</v>
      </c>
      <c r="E941" s="16">
        <f>Members!E941</f>
        <v>2038000</v>
      </c>
      <c r="F941" s="16">
        <f>Members!F941</f>
        <v>0</v>
      </c>
      <c r="G941" s="15">
        <f>MAX(0,Assumptions!$B$10-C941)</f>
        <v>5</v>
      </c>
      <c r="H941" s="17">
        <f>IF(B941="Active",E941*(1+Assumptions!$B$7)^G941,E941)</f>
        <v>2663584.4930623057</v>
      </c>
      <c r="I941" s="17">
        <f>IF(B941="Active",MIN(Assumptions!$B$12,D941+G941),IF(B941="Deferred",MIN(Assumptions!$B$12,D941),D941))</f>
        <v>29.9</v>
      </c>
      <c r="J941" s="17">
        <f>IF(B941="Active",H941*I941*Assumptions!$B$11,IF(B941="Deferred",E941*I941*Assumptions!$B$11*(1+Assumptions!$B$9)^G941,F941))</f>
        <v>1327352.9390427158</v>
      </c>
      <c r="K941" s="11">
        <f>IF(B941="Pensioner",1,VLOOKUP(Assumptions!$B$10,Mortality!$A$2:$F$104,6,FALSE)/VLOOKUP(C941,Mortality!$A$2:$F$104,6,FALSE))</f>
        <v>0.98824190874991746</v>
      </c>
      <c r="L941" s="11">
        <f>VLOOKUP(IF(B941="Pensioner",C941,Assumptions!$B$10),Mortality!$A$2:$E$104,5,FALSE)</f>
        <v>17.296790022132885</v>
      </c>
      <c r="M941" s="11">
        <f>1+Assumptions!$B$13*Assumptions!$B$14*Assumptions!$B$15</f>
        <v>1.3187500000000001</v>
      </c>
      <c r="N941" s="11">
        <f>IF(B941="Pensioner",1,1/(1+Assumptions!$B$6)^G941)</f>
        <v>0.72988083652095492</v>
      </c>
      <c r="O941" s="17">
        <f t="shared" si="14"/>
        <v>21838843.194585826</v>
      </c>
    </row>
    <row r="942" spans="1:15">
      <c r="A942" s="13" t="str">
        <f>Members!A942</f>
        <v>P0083</v>
      </c>
      <c r="B942" s="13" t="str">
        <f>Members!B942</f>
        <v>Pensioner</v>
      </c>
      <c r="C942" s="13">
        <f>Members!C942</f>
        <v>68</v>
      </c>
      <c r="D942" s="14">
        <f>Members!D942</f>
        <v>25.1</v>
      </c>
      <c r="E942" s="16">
        <f>Members!E942</f>
        <v>0</v>
      </c>
      <c r="F942" s="16">
        <f>Members!F942</f>
        <v>321000</v>
      </c>
      <c r="G942" s="15">
        <f>MAX(0,Assumptions!$B$10-C942)</f>
        <v>0</v>
      </c>
      <c r="H942" s="17">
        <f>IF(B942="Active",E942*(1+Assumptions!$B$7)^G942,E942)</f>
        <v>0</v>
      </c>
      <c r="I942" s="17">
        <f>IF(B942="Active",MIN(Assumptions!$B$12,D942+G942),IF(B942="Deferred",MIN(Assumptions!$B$12,D942),D942))</f>
        <v>25.1</v>
      </c>
      <c r="J942" s="17">
        <f>IF(B942="Active",H942*I942*Assumptions!$B$11,IF(B942="Deferred",E942*I942*Assumptions!$B$11*(1+Assumptions!$B$9)^G942,F942))</f>
        <v>321000</v>
      </c>
      <c r="K942" s="11">
        <f>IF(B942="Pensioner",1,VLOOKUP(Assumptions!$B$10,Mortality!$A$2:$F$104,6,FALSE)/VLOOKUP(C942,Mortality!$A$2:$F$104,6,FALSE))</f>
        <v>1</v>
      </c>
      <c r="L942" s="11">
        <f>VLOOKUP(IF(B942="Pensioner",C942,Assumptions!$B$10),Mortality!$A$2:$E$104,5,FALSE)</f>
        <v>13.869459484105445</v>
      </c>
      <c r="M942" s="11">
        <f>1+Assumptions!$B$13*Assumptions!$B$14*Assumptions!$B$15</f>
        <v>1.3187500000000001</v>
      </c>
      <c r="N942" s="11">
        <f>IF(B942="Pensioner",1,1/(1+Assumptions!$B$6)^G942)</f>
        <v>1</v>
      </c>
      <c r="O942" s="17">
        <f t="shared" si="14"/>
        <v>5871202.251987162</v>
      </c>
    </row>
    <row r="943" spans="1:15">
      <c r="A943" s="13" t="str">
        <f>Members!A943</f>
        <v>P0110</v>
      </c>
      <c r="B943" s="13" t="str">
        <f>Members!B943</f>
        <v>Pensioner</v>
      </c>
      <c r="C943" s="13">
        <f>Members!C943</f>
        <v>88</v>
      </c>
      <c r="D943" s="14">
        <f>Members!D943</f>
        <v>39.200000000000003</v>
      </c>
      <c r="E943" s="16">
        <f>Members!E943</f>
        <v>0</v>
      </c>
      <c r="F943" s="16">
        <f>Members!F943</f>
        <v>590000</v>
      </c>
      <c r="G943" s="15">
        <f>MAX(0,Assumptions!$B$10-C943)</f>
        <v>0</v>
      </c>
      <c r="H943" s="17">
        <f>IF(B943="Active",E943*(1+Assumptions!$B$7)^G943,E943)</f>
        <v>0</v>
      </c>
      <c r="I943" s="17">
        <f>IF(B943="Active",MIN(Assumptions!$B$12,D943+G943),IF(B943="Deferred",MIN(Assumptions!$B$12,D943),D943))</f>
        <v>39.200000000000003</v>
      </c>
      <c r="J943" s="17">
        <f>IF(B943="Active",H943*I943*Assumptions!$B$11,IF(B943="Deferred",E943*I943*Assumptions!$B$11*(1+Assumptions!$B$9)^G943,F943))</f>
        <v>590000</v>
      </c>
      <c r="K943" s="11">
        <f>IF(B943="Pensioner",1,VLOOKUP(Assumptions!$B$10,Mortality!$A$2:$F$104,6,FALSE)/VLOOKUP(C943,Mortality!$A$2:$F$104,6,FALSE))</f>
        <v>1</v>
      </c>
      <c r="L943" s="11">
        <f>VLOOKUP(IF(B943="Pensioner",C943,Assumptions!$B$10),Mortality!$A$2:$E$104,5,FALSE)</f>
        <v>5.0437428962217341</v>
      </c>
      <c r="M943" s="11">
        <f>1+Assumptions!$B$13*Assumptions!$B$14*Assumptions!$B$15</f>
        <v>1.3187500000000001</v>
      </c>
      <c r="N943" s="11">
        <f>IF(B943="Pensioner",1,1/(1+Assumptions!$B$6)^G943)</f>
        <v>1</v>
      </c>
      <c r="O943" s="17">
        <f t="shared" si="14"/>
        <v>3924347.2071915236</v>
      </c>
    </row>
    <row r="944" spans="1:15">
      <c r="A944" s="13" t="str">
        <f>Members!A944</f>
        <v>A0114</v>
      </c>
      <c r="B944" s="13" t="str">
        <f>Members!B944</f>
        <v>Active</v>
      </c>
      <c r="C944" s="13">
        <f>Members!C944</f>
        <v>43</v>
      </c>
      <c r="D944" s="14">
        <f>Members!D944</f>
        <v>16.100000000000001</v>
      </c>
      <c r="E944" s="16">
        <f>Members!E944</f>
        <v>834000</v>
      </c>
      <c r="F944" s="16">
        <f>Members!F944</f>
        <v>0</v>
      </c>
      <c r="G944" s="15">
        <f>MAX(0,Assumptions!$B$10-C944)</f>
        <v>17</v>
      </c>
      <c r="H944" s="17">
        <f>IF(B944="Active",E944*(1+Assumptions!$B$7)^G944,E944)</f>
        <v>2072324.9912428018</v>
      </c>
      <c r="I944" s="17">
        <f>IF(B944="Active",MIN(Assumptions!$B$12,D944+G944),IF(B944="Deferred",MIN(Assumptions!$B$12,D944),D944))</f>
        <v>33.1</v>
      </c>
      <c r="J944" s="17">
        <f>IF(B944="Active",H944*I944*Assumptions!$B$11,IF(B944="Deferred",E944*I944*Assumptions!$B$11*(1+Assumptions!$B$9)^G944,F944))</f>
        <v>1143232.6201689458</v>
      </c>
      <c r="K944" s="11">
        <f>IF(B944="Pensioner",1,VLOOKUP(Assumptions!$B$10,Mortality!$A$2:$F$104,6,FALSE)/VLOOKUP(C944,Mortality!$A$2:$F$104,6,FALSE))</f>
        <v>0.97565175842493801</v>
      </c>
      <c r="L944" s="11">
        <f>VLOOKUP(IF(B944="Pensioner",C944,Assumptions!$B$10),Mortality!$A$2:$E$104,5,FALSE)</f>
        <v>17.296790022132885</v>
      </c>
      <c r="M944" s="11">
        <f>1+Assumptions!$B$13*Assumptions!$B$14*Assumptions!$B$15</f>
        <v>1.3187500000000001</v>
      </c>
      <c r="N944" s="11">
        <f>IF(B944="Pensioner",1,1/(1+Assumptions!$B$6)^G944)</f>
        <v>0.34281251466174323</v>
      </c>
      <c r="O944" s="17">
        <f t="shared" si="14"/>
        <v>8721960.050667515</v>
      </c>
    </row>
    <row r="945" spans="1:15">
      <c r="A945" s="13" t="str">
        <f>Members!A945</f>
        <v>A0506</v>
      </c>
      <c r="B945" s="13" t="str">
        <f>Members!B945</f>
        <v>Active</v>
      </c>
      <c r="C945" s="13">
        <f>Members!C945</f>
        <v>35</v>
      </c>
      <c r="D945" s="14">
        <f>Members!D945</f>
        <v>8.8000000000000007</v>
      </c>
      <c r="E945" s="16">
        <f>Members!E945</f>
        <v>810000</v>
      </c>
      <c r="F945" s="16">
        <f>Members!F945</f>
        <v>0</v>
      </c>
      <c r="G945" s="15">
        <f>MAX(0,Assumptions!$B$10-C945)</f>
        <v>25</v>
      </c>
      <c r="H945" s="17">
        <f>IF(B945="Active",E945*(1+Assumptions!$B$7)^G945,E945)</f>
        <v>3088847.8023829465</v>
      </c>
      <c r="I945" s="17">
        <f>IF(B945="Active",MIN(Assumptions!$B$12,D945+G945),IF(B945="Deferred",MIN(Assumptions!$B$12,D945),D945))</f>
        <v>33.799999999999997</v>
      </c>
      <c r="J945" s="17">
        <f>IF(B945="Active",H945*I945*Assumptions!$B$11,IF(B945="Deferred",E945*I945*Assumptions!$B$11*(1+Assumptions!$B$9)^G945,F945))</f>
        <v>1740050.9286757263</v>
      </c>
      <c r="K945" s="11">
        <f>IF(B945="Pensioner",1,VLOOKUP(Assumptions!$B$10,Mortality!$A$2:$F$104,6,FALSE)/VLOOKUP(C945,Mortality!$A$2:$F$104,6,FALSE))</f>
        <v>0.97197407653867529</v>
      </c>
      <c r="L945" s="11">
        <f>VLOOKUP(IF(B945="Pensioner",C945,Assumptions!$B$10),Mortality!$A$2:$E$104,5,FALSE)</f>
        <v>17.296790022132885</v>
      </c>
      <c r="M945" s="11">
        <f>1+Assumptions!$B$13*Assumptions!$B$14*Assumptions!$B$15</f>
        <v>1.3187500000000001</v>
      </c>
      <c r="N945" s="11">
        <f>IF(B945="Pensioner",1,1/(1+Assumptions!$B$6)^G945)</f>
        <v>0.20713801287132758</v>
      </c>
      <c r="O945" s="17">
        <f t="shared" si="14"/>
        <v>7991060.7661613701</v>
      </c>
    </row>
    <row r="946" spans="1:15">
      <c r="A946" s="13" t="str">
        <f>Members!A946</f>
        <v>D0102</v>
      </c>
      <c r="B946" s="13" t="str">
        <f>Members!B946</f>
        <v>Deferred</v>
      </c>
      <c r="C946" s="13">
        <f>Members!C946</f>
        <v>36</v>
      </c>
      <c r="D946" s="14">
        <f>Members!D946</f>
        <v>3.5</v>
      </c>
      <c r="E946" s="16">
        <f>Members!E946</f>
        <v>598000</v>
      </c>
      <c r="F946" s="16">
        <f>Members!F946</f>
        <v>0</v>
      </c>
      <c r="G946" s="15">
        <f>MAX(0,Assumptions!$B$10-C946)</f>
        <v>24</v>
      </c>
      <c r="H946" s="17">
        <f>IF(B946="Active",E946*(1+Assumptions!$B$7)^G946,E946)</f>
        <v>598000</v>
      </c>
      <c r="I946" s="17">
        <f>IF(B946="Active",MIN(Assumptions!$B$12,D946+G946),IF(B946="Deferred",MIN(Assumptions!$B$12,D946),D946))</f>
        <v>3.5</v>
      </c>
      <c r="J946" s="17">
        <f>IF(B946="Active",H946*I946*Assumptions!$B$11,IF(B946="Deferred",E946*I946*Assumptions!$B$11*(1+Assumptions!$B$9)^G946,F946))</f>
        <v>89416.593618640647</v>
      </c>
      <c r="K946" s="11">
        <f>IF(B946="Pensioner",1,VLOOKUP(Assumptions!$B$10,Mortality!$A$2:$F$104,6,FALSE)/VLOOKUP(C946,Mortality!$A$2:$F$104,6,FALSE))</f>
        <v>0.97234503055413524</v>
      </c>
      <c r="L946" s="11">
        <f>VLOOKUP(IF(B946="Pensioner",C946,Assumptions!$B$10),Mortality!$A$2:$E$104,5,FALSE)</f>
        <v>17.296790022132885</v>
      </c>
      <c r="M946" s="11">
        <f>1+Assumptions!$B$13*Assumptions!$B$14*Assumptions!$B$15</f>
        <v>1.3187500000000001</v>
      </c>
      <c r="N946" s="11">
        <f>IF(B946="Pensioner",1,1/(1+Assumptions!$B$6)^G946)</f>
        <v>0.22060198370796386</v>
      </c>
      <c r="O946" s="17">
        <f t="shared" si="14"/>
        <v>437497.84623885836</v>
      </c>
    </row>
    <row r="947" spans="1:15">
      <c r="A947" s="13" t="str">
        <f>Members!A947</f>
        <v>D0073</v>
      </c>
      <c r="B947" s="13" t="str">
        <f>Members!B947</f>
        <v>Deferred</v>
      </c>
      <c r="C947" s="13">
        <f>Members!C947</f>
        <v>55</v>
      </c>
      <c r="D947" s="14">
        <f>Members!D947</f>
        <v>3.6</v>
      </c>
      <c r="E947" s="16">
        <f>Members!E947</f>
        <v>1176000</v>
      </c>
      <c r="F947" s="16">
        <f>Members!F947</f>
        <v>0</v>
      </c>
      <c r="G947" s="15">
        <f>MAX(0,Assumptions!$B$10-C947)</f>
        <v>5</v>
      </c>
      <c r="H947" s="17">
        <f>IF(B947="Active",E947*(1+Assumptions!$B$7)^G947,E947)</f>
        <v>1176000</v>
      </c>
      <c r="I947" s="17">
        <f>IF(B947="Active",MIN(Assumptions!$B$12,D947+G947),IF(B947="Deferred",MIN(Assumptions!$B$12,D947),D947))</f>
        <v>3.6</v>
      </c>
      <c r="J947" s="17">
        <f>IF(B947="Active",H947*I947*Assumptions!$B$11,IF(B947="Deferred",E947*I947*Assumptions!$B$11*(1+Assumptions!$B$9)^G947,F947))</f>
        <v>85847.028793344027</v>
      </c>
      <c r="K947" s="11">
        <f>IF(B947="Pensioner",1,VLOOKUP(Assumptions!$B$10,Mortality!$A$2:$F$104,6,FALSE)/VLOOKUP(C947,Mortality!$A$2:$F$104,6,FALSE))</f>
        <v>0.98824190874991746</v>
      </c>
      <c r="L947" s="11">
        <f>VLOOKUP(IF(B947="Pensioner",C947,Assumptions!$B$10),Mortality!$A$2:$E$104,5,FALSE)</f>
        <v>17.296790022132885</v>
      </c>
      <c r="M947" s="11">
        <f>1+Assumptions!$B$13*Assumptions!$B$14*Assumptions!$B$15</f>
        <v>1.3187500000000001</v>
      </c>
      <c r="N947" s="11">
        <f>IF(B947="Pensioner",1,1/(1+Assumptions!$B$6)^G947)</f>
        <v>0.72988083652095492</v>
      </c>
      <c r="O947" s="17">
        <f t="shared" si="14"/>
        <v>1412435.0392375945</v>
      </c>
    </row>
    <row r="948" spans="1:15">
      <c r="A948" s="13" t="str">
        <f>Members!A948</f>
        <v>A0231</v>
      </c>
      <c r="B948" s="13" t="str">
        <f>Members!B948</f>
        <v>Active</v>
      </c>
      <c r="C948" s="13">
        <f>Members!C948</f>
        <v>41</v>
      </c>
      <c r="D948" s="14">
        <f>Members!D948</f>
        <v>4.5999999999999996</v>
      </c>
      <c r="E948" s="16">
        <f>Members!E948</f>
        <v>824000</v>
      </c>
      <c r="F948" s="16">
        <f>Members!F948</f>
        <v>0</v>
      </c>
      <c r="G948" s="15">
        <f>MAX(0,Assumptions!$B$10-C948)</f>
        <v>19</v>
      </c>
      <c r="H948" s="17">
        <f>IF(B948="Active",E948*(1+Assumptions!$B$7)^G948,E948)</f>
        <v>2278893.0542727672</v>
      </c>
      <c r="I948" s="17">
        <f>IF(B948="Active",MIN(Assumptions!$B$12,D948+G948),IF(B948="Deferred",MIN(Assumptions!$B$12,D948),D948))</f>
        <v>23.6</v>
      </c>
      <c r="J948" s="17">
        <f>IF(B948="Active",H948*I948*Assumptions!$B$11,IF(B948="Deferred",E948*I948*Assumptions!$B$11*(1+Assumptions!$B$9)^G948,F948))</f>
        <v>896364.60134728847</v>
      </c>
      <c r="K948" s="11">
        <f>IF(B948="Pensioner",1,VLOOKUP(Assumptions!$B$10,Mortality!$A$2:$F$104,6,FALSE)/VLOOKUP(C948,Mortality!$A$2:$F$104,6,FALSE))</f>
        <v>0.97454789540795339</v>
      </c>
      <c r="L948" s="11">
        <f>VLOOKUP(IF(B948="Pensioner",C948,Assumptions!$B$10),Mortality!$A$2:$E$104,5,FALSE)</f>
        <v>17.296790022132885</v>
      </c>
      <c r="M948" s="11">
        <f>1+Assumptions!$B$13*Assumptions!$B$14*Assumptions!$B$15</f>
        <v>1.3187500000000001</v>
      </c>
      <c r="N948" s="11">
        <f>IF(B948="Pensioner",1,1/(1+Assumptions!$B$6)^G948)</f>
        <v>0.30224383580131214</v>
      </c>
      <c r="O948" s="17">
        <f t="shared" si="14"/>
        <v>6022451.6692090398</v>
      </c>
    </row>
    <row r="949" spans="1:15">
      <c r="A949" s="13" t="str">
        <f>Members!A949</f>
        <v>A0610</v>
      </c>
      <c r="B949" s="13" t="str">
        <f>Members!B949</f>
        <v>Active</v>
      </c>
      <c r="C949" s="13">
        <f>Members!C949</f>
        <v>47</v>
      </c>
      <c r="D949" s="14">
        <f>Members!D949</f>
        <v>24.9</v>
      </c>
      <c r="E949" s="16">
        <f>Members!E949</f>
        <v>1324000</v>
      </c>
      <c r="F949" s="16">
        <f>Members!F949</f>
        <v>0</v>
      </c>
      <c r="G949" s="15">
        <f>MAX(0,Assumptions!$B$10-C949)</f>
        <v>13</v>
      </c>
      <c r="H949" s="17">
        <f>IF(B949="Active",E949*(1+Assumptions!$B$7)^G949,E949)</f>
        <v>2655644.6402578969</v>
      </c>
      <c r="I949" s="17">
        <f>IF(B949="Active",MIN(Assumptions!$B$12,D949+G949),IF(B949="Deferred",MIN(Assumptions!$B$12,D949),D949))</f>
        <v>37.9</v>
      </c>
      <c r="J949" s="17">
        <f>IF(B949="Active",H949*I949*Assumptions!$B$11,IF(B949="Deferred",E949*I949*Assumptions!$B$11*(1+Assumptions!$B$9)^G949,F949))</f>
        <v>1677482.1977629047</v>
      </c>
      <c r="K949" s="11">
        <f>IF(B949="Pensioner",1,VLOOKUP(Assumptions!$B$10,Mortality!$A$2:$F$104,6,FALSE)/VLOOKUP(C949,Mortality!$A$2:$F$104,6,FALSE))</f>
        <v>0.97844516757479894</v>
      </c>
      <c r="L949" s="11">
        <f>VLOOKUP(IF(B949="Pensioner",C949,Assumptions!$B$10),Mortality!$A$2:$E$104,5,FALSE)</f>
        <v>17.296790022132885</v>
      </c>
      <c r="M949" s="11">
        <f>1+Assumptions!$B$13*Assumptions!$B$14*Assumptions!$B$15</f>
        <v>1.3187500000000001</v>
      </c>
      <c r="N949" s="11">
        <f>IF(B949="Pensioner",1,1/(1+Assumptions!$B$6)^G949)</f>
        <v>0.44101676468547191</v>
      </c>
      <c r="O949" s="17">
        <f t="shared" si="14"/>
        <v>16511156.634528687</v>
      </c>
    </row>
    <row r="950" spans="1:15">
      <c r="A950" s="13" t="str">
        <f>Members!A950</f>
        <v>A0172</v>
      </c>
      <c r="B950" s="13" t="str">
        <f>Members!B950</f>
        <v>Active</v>
      </c>
      <c r="C950" s="13">
        <f>Members!C950</f>
        <v>30</v>
      </c>
      <c r="D950" s="14">
        <f>Members!D950</f>
        <v>3</v>
      </c>
      <c r="E950" s="16">
        <f>Members!E950</f>
        <v>657000</v>
      </c>
      <c r="F950" s="16">
        <f>Members!F950</f>
        <v>0</v>
      </c>
      <c r="G950" s="15">
        <f>MAX(0,Assumptions!$B$10-C950)</f>
        <v>30</v>
      </c>
      <c r="H950" s="17">
        <f>IF(B950="Active",E950*(1+Assumptions!$B$7)^G950,E950)</f>
        <v>3274455.9964755545</v>
      </c>
      <c r="I950" s="17">
        <f>IF(B950="Active",MIN(Assumptions!$B$12,D950+G950),IF(B950="Deferred",MIN(Assumptions!$B$12,D950),D950))</f>
        <v>33</v>
      </c>
      <c r="J950" s="17">
        <f>IF(B950="Active",H950*I950*Assumptions!$B$11,IF(B950="Deferred",E950*I950*Assumptions!$B$11*(1+Assumptions!$B$9)^G950,F950))</f>
        <v>1800950.7980615548</v>
      </c>
      <c r="K950" s="11">
        <f>IF(B950="Pensioner",1,VLOOKUP(Assumptions!$B$10,Mortality!$A$2:$F$104,6,FALSE)/VLOOKUP(C950,Mortality!$A$2:$F$104,6,FALSE))</f>
        <v>0.97034568803187526</v>
      </c>
      <c r="L950" s="11">
        <f>VLOOKUP(IF(B950="Pensioner",C950,Assumptions!$B$10),Mortality!$A$2:$E$104,5,FALSE)</f>
        <v>17.296790022132885</v>
      </c>
      <c r="M950" s="11">
        <f>1+Assumptions!$B$13*Assumptions!$B$14*Assumptions!$B$15</f>
        <v>1.3187500000000001</v>
      </c>
      <c r="N950" s="11">
        <f>IF(B950="Pensioner",1,1/(1+Assumptions!$B$6)^G950)</f>
        <v>0.15118606610981289</v>
      </c>
      <c r="O950" s="17">
        <f t="shared" si="14"/>
        <v>6026540.5212231148</v>
      </c>
    </row>
    <row r="951" spans="1:15">
      <c r="A951" s="13" t="str">
        <f>Members!A951</f>
        <v>P0227</v>
      </c>
      <c r="B951" s="13" t="str">
        <f>Members!B951</f>
        <v>Pensioner</v>
      </c>
      <c r="C951" s="13">
        <f>Members!C951</f>
        <v>84</v>
      </c>
      <c r="D951" s="14">
        <f>Members!D951</f>
        <v>21.9</v>
      </c>
      <c r="E951" s="16">
        <f>Members!E951</f>
        <v>0</v>
      </c>
      <c r="F951" s="16">
        <f>Members!F951</f>
        <v>564000</v>
      </c>
      <c r="G951" s="15">
        <f>MAX(0,Assumptions!$B$10-C951)</f>
        <v>0</v>
      </c>
      <c r="H951" s="17">
        <f>IF(B951="Active",E951*(1+Assumptions!$B$7)^G951,E951)</f>
        <v>0</v>
      </c>
      <c r="I951" s="17">
        <f>IF(B951="Active",MIN(Assumptions!$B$12,D951+G951),IF(B951="Deferred",MIN(Assumptions!$B$12,D951),D951))</f>
        <v>21.9</v>
      </c>
      <c r="J951" s="17">
        <f>IF(B951="Active",H951*I951*Assumptions!$B$11,IF(B951="Deferred",E951*I951*Assumptions!$B$11*(1+Assumptions!$B$9)^G951,F951))</f>
        <v>564000</v>
      </c>
      <c r="K951" s="11">
        <f>IF(B951="Pensioner",1,VLOOKUP(Assumptions!$B$10,Mortality!$A$2:$F$104,6,FALSE)/VLOOKUP(C951,Mortality!$A$2:$F$104,6,FALSE))</f>
        <v>1</v>
      </c>
      <c r="L951" s="11">
        <f>VLOOKUP(IF(B951="Pensioner",C951,Assumptions!$B$10),Mortality!$A$2:$E$104,5,FALSE)</f>
        <v>6.6432720965175314</v>
      </c>
      <c r="M951" s="11">
        <f>1+Assumptions!$B$13*Assumptions!$B$14*Assumptions!$B$15</f>
        <v>1.3187500000000001</v>
      </c>
      <c r="N951" s="11">
        <f>IF(B951="Pensioner",1,1/(1+Assumptions!$B$6)^G951)</f>
        <v>1</v>
      </c>
      <c r="O951" s="17">
        <f t="shared" si="14"/>
        <v>4941099.7035873272</v>
      </c>
    </row>
    <row r="952" spans="1:15">
      <c r="A952" s="13" t="str">
        <f>Members!A952</f>
        <v>A0364</v>
      </c>
      <c r="B952" s="13" t="str">
        <f>Members!B952</f>
        <v>Active</v>
      </c>
      <c r="C952" s="13">
        <f>Members!C952</f>
        <v>31</v>
      </c>
      <c r="D952" s="14">
        <f>Members!D952</f>
        <v>4.3</v>
      </c>
      <c r="E952" s="16">
        <f>Members!E952</f>
        <v>484000</v>
      </c>
      <c r="F952" s="16">
        <f>Members!F952</f>
        <v>0</v>
      </c>
      <c r="G952" s="15">
        <f>MAX(0,Assumptions!$B$10-C952)</f>
        <v>29</v>
      </c>
      <c r="H952" s="17">
        <f>IF(B952="Active",E952*(1+Assumptions!$B$7)^G952,E952)</f>
        <v>2286476.2308845585</v>
      </c>
      <c r="I952" s="17">
        <f>IF(B952="Active",MIN(Assumptions!$B$12,D952+G952),IF(B952="Deferred",MIN(Assumptions!$B$12,D952),D952))</f>
        <v>33.299999999999997</v>
      </c>
      <c r="J952" s="17">
        <f>IF(B952="Active",H952*I952*Assumptions!$B$11,IF(B952="Deferred",E952*I952*Assumptions!$B$11*(1+Assumptions!$B$9)^G952,F952))</f>
        <v>1268994.3081409298</v>
      </c>
      <c r="K952" s="11">
        <f>IF(B952="Pensioner",1,VLOOKUP(Assumptions!$B$10,Mortality!$A$2:$F$104,6,FALSE)/VLOOKUP(C952,Mortality!$A$2:$F$104,6,FALSE))</f>
        <v>0.97064661072952085</v>
      </c>
      <c r="L952" s="11">
        <f>VLOOKUP(IF(B952="Pensioner",C952,Assumptions!$B$10),Mortality!$A$2:$E$104,5,FALSE)</f>
        <v>17.296790022132885</v>
      </c>
      <c r="M952" s="11">
        <f>1+Assumptions!$B$13*Assumptions!$B$14*Assumptions!$B$15</f>
        <v>1.3187500000000001</v>
      </c>
      <c r="N952" s="11">
        <f>IF(B952="Pensioner",1,1/(1+Assumptions!$B$6)^G952)</f>
        <v>0.16101316040695074</v>
      </c>
      <c r="O952" s="17">
        <f t="shared" si="14"/>
        <v>4523870.6316613983</v>
      </c>
    </row>
    <row r="953" spans="1:15">
      <c r="A953" s="13" t="str">
        <f>Members!A953</f>
        <v>P0026</v>
      </c>
      <c r="B953" s="13" t="str">
        <f>Members!B953</f>
        <v>Pensioner</v>
      </c>
      <c r="C953" s="13">
        <f>Members!C953</f>
        <v>79</v>
      </c>
      <c r="D953" s="14">
        <f>Members!D953</f>
        <v>12.5</v>
      </c>
      <c r="E953" s="16">
        <f>Members!E953</f>
        <v>0</v>
      </c>
      <c r="F953" s="16">
        <f>Members!F953</f>
        <v>552000</v>
      </c>
      <c r="G953" s="15">
        <f>MAX(0,Assumptions!$B$10-C953)</f>
        <v>0</v>
      </c>
      <c r="H953" s="17">
        <f>IF(B953="Active",E953*(1+Assumptions!$B$7)^G953,E953)</f>
        <v>0</v>
      </c>
      <c r="I953" s="17">
        <f>IF(B953="Active",MIN(Assumptions!$B$12,D953+G953),IF(B953="Deferred",MIN(Assumptions!$B$12,D953),D953))</f>
        <v>12.5</v>
      </c>
      <c r="J953" s="17">
        <f>IF(B953="Active",H953*I953*Assumptions!$B$11,IF(B953="Deferred",E953*I953*Assumptions!$B$11*(1+Assumptions!$B$9)^G953,F953))</f>
        <v>552000</v>
      </c>
      <c r="K953" s="11">
        <f>IF(B953="Pensioner",1,VLOOKUP(Assumptions!$B$10,Mortality!$A$2:$F$104,6,FALSE)/VLOOKUP(C953,Mortality!$A$2:$F$104,6,FALSE))</f>
        <v>1</v>
      </c>
      <c r="L953" s="11">
        <f>VLOOKUP(IF(B953="Pensioner",C953,Assumptions!$B$10),Mortality!$A$2:$E$104,5,FALSE)</f>
        <v>8.8309325629147608</v>
      </c>
      <c r="M953" s="11">
        <f>1+Assumptions!$B$13*Assumptions!$B$14*Assumptions!$B$15</f>
        <v>1.3187500000000001</v>
      </c>
      <c r="N953" s="11">
        <f>IF(B953="Pensioner",1,1/(1+Assumptions!$B$6)^G953)</f>
        <v>1</v>
      </c>
      <c r="O953" s="17">
        <f t="shared" si="14"/>
        <v>6428477.3591738008</v>
      </c>
    </row>
    <row r="954" spans="1:15">
      <c r="A954" s="13" t="str">
        <f>Members!A954</f>
        <v>P0055</v>
      </c>
      <c r="B954" s="13" t="str">
        <f>Members!B954</f>
        <v>Pensioner</v>
      </c>
      <c r="C954" s="13">
        <f>Members!C954</f>
        <v>71</v>
      </c>
      <c r="D954" s="14">
        <f>Members!D954</f>
        <v>37.299999999999997</v>
      </c>
      <c r="E954" s="16">
        <f>Members!E954</f>
        <v>0</v>
      </c>
      <c r="F954" s="16">
        <f>Members!F954</f>
        <v>374000</v>
      </c>
      <c r="G954" s="15">
        <f>MAX(0,Assumptions!$B$10-C954)</f>
        <v>0</v>
      </c>
      <c r="H954" s="17">
        <f>IF(B954="Active",E954*(1+Assumptions!$B$7)^G954,E954)</f>
        <v>0</v>
      </c>
      <c r="I954" s="17">
        <f>IF(B954="Active",MIN(Assumptions!$B$12,D954+G954),IF(B954="Deferred",MIN(Assumptions!$B$12,D954),D954))</f>
        <v>37.299999999999997</v>
      </c>
      <c r="J954" s="17">
        <f>IF(B954="Active",H954*I954*Assumptions!$B$11,IF(B954="Deferred",E954*I954*Assumptions!$B$11*(1+Assumptions!$B$9)^G954,F954))</f>
        <v>374000</v>
      </c>
      <c r="K954" s="11">
        <f>IF(B954="Pensioner",1,VLOOKUP(Assumptions!$B$10,Mortality!$A$2:$F$104,6,FALSE)/VLOOKUP(C954,Mortality!$A$2:$F$104,6,FALSE))</f>
        <v>1</v>
      </c>
      <c r="L954" s="11">
        <f>VLOOKUP(IF(B954="Pensioner",C954,Assumptions!$B$10),Mortality!$A$2:$E$104,5,FALSE)</f>
        <v>12.506703342154774</v>
      </c>
      <c r="M954" s="11">
        <f>1+Assumptions!$B$13*Assumptions!$B$14*Assumptions!$B$15</f>
        <v>1.3187500000000001</v>
      </c>
      <c r="N954" s="11">
        <f>IF(B954="Pensioner",1,1/(1+Assumptions!$B$6)^G954)</f>
        <v>1</v>
      </c>
      <c r="O954" s="17">
        <f t="shared" si="14"/>
        <v>6168462.4221425122</v>
      </c>
    </row>
    <row r="955" spans="1:15">
      <c r="A955" s="13" t="str">
        <f>Members!A955</f>
        <v>A0045</v>
      </c>
      <c r="B955" s="13" t="str">
        <f>Members!B955</f>
        <v>Active</v>
      </c>
      <c r="C955" s="13">
        <f>Members!C955</f>
        <v>42</v>
      </c>
      <c r="D955" s="14">
        <f>Members!D955</f>
        <v>5.9</v>
      </c>
      <c r="E955" s="16">
        <f>Members!E955</f>
        <v>847000</v>
      </c>
      <c r="F955" s="16">
        <f>Members!F955</f>
        <v>0</v>
      </c>
      <c r="G955" s="15">
        <f>MAX(0,Assumptions!$B$10-C955)</f>
        <v>18</v>
      </c>
      <c r="H955" s="17">
        <f>IF(B955="Active",E955*(1+Assumptions!$B$7)^G955,E955)</f>
        <v>2220381.9272178649</v>
      </c>
      <c r="I955" s="17">
        <f>IF(B955="Active",MIN(Assumptions!$B$12,D955+G955),IF(B955="Deferred",MIN(Assumptions!$B$12,D955),D955))</f>
        <v>23.9</v>
      </c>
      <c r="J955" s="17">
        <f>IF(B955="Active",H955*I955*Assumptions!$B$11,IF(B955="Deferred",E955*I955*Assumptions!$B$11*(1+Assumptions!$B$9)^G955,F955))</f>
        <v>884452.13434178277</v>
      </c>
      <c r="K955" s="11">
        <f>IF(B955="Pensioner",1,VLOOKUP(Assumptions!$B$10,Mortality!$A$2:$F$104,6,FALSE)/VLOOKUP(C955,Mortality!$A$2:$F$104,6,FALSE))</f>
        <v>0.97507997078383857</v>
      </c>
      <c r="L955" s="11">
        <f>VLOOKUP(IF(B955="Pensioner",C955,Assumptions!$B$10),Mortality!$A$2:$E$104,5,FALSE)</f>
        <v>17.296790022132885</v>
      </c>
      <c r="M955" s="11">
        <f>1+Assumptions!$B$13*Assumptions!$B$14*Assumptions!$B$15</f>
        <v>1.3187500000000001</v>
      </c>
      <c r="N955" s="11">
        <f>IF(B955="Pensioner",1,1/(1+Assumptions!$B$6)^G955)</f>
        <v>0.32188968512839738</v>
      </c>
      <c r="O955" s="17">
        <f t="shared" si="14"/>
        <v>6332126.9883379722</v>
      </c>
    </row>
    <row r="956" spans="1:15">
      <c r="A956" s="13" t="str">
        <f>Members!A956</f>
        <v>P0189</v>
      </c>
      <c r="B956" s="13" t="str">
        <f>Members!B956</f>
        <v>Pensioner</v>
      </c>
      <c r="C956" s="13">
        <f>Members!C956</f>
        <v>78</v>
      </c>
      <c r="D956" s="14">
        <f>Members!D956</f>
        <v>30.4</v>
      </c>
      <c r="E956" s="16">
        <f>Members!E956</f>
        <v>0</v>
      </c>
      <c r="F956" s="16">
        <f>Members!F956</f>
        <v>579000</v>
      </c>
      <c r="G956" s="15">
        <f>MAX(0,Assumptions!$B$10-C956)</f>
        <v>0</v>
      </c>
      <c r="H956" s="17">
        <f>IF(B956="Active",E956*(1+Assumptions!$B$7)^G956,E956)</f>
        <v>0</v>
      </c>
      <c r="I956" s="17">
        <f>IF(B956="Active",MIN(Assumptions!$B$12,D956+G956),IF(B956="Deferred",MIN(Assumptions!$B$12,D956),D956))</f>
        <v>30.4</v>
      </c>
      <c r="J956" s="17">
        <f>IF(B956="Active",H956*I956*Assumptions!$B$11,IF(B956="Deferred",E956*I956*Assumptions!$B$11*(1+Assumptions!$B$9)^G956,F956))</f>
        <v>579000</v>
      </c>
      <c r="K956" s="11">
        <f>IF(B956="Pensioner",1,VLOOKUP(Assumptions!$B$10,Mortality!$A$2:$F$104,6,FALSE)/VLOOKUP(C956,Mortality!$A$2:$F$104,6,FALSE))</f>
        <v>1</v>
      </c>
      <c r="L956" s="11">
        <f>VLOOKUP(IF(B956="Pensioner",C956,Assumptions!$B$10),Mortality!$A$2:$E$104,5,FALSE)</f>
        <v>9.2847179241203879</v>
      </c>
      <c r="M956" s="11">
        <f>1+Assumptions!$B$13*Assumptions!$B$14*Assumptions!$B$15</f>
        <v>1.3187500000000001</v>
      </c>
      <c r="N956" s="11">
        <f>IF(B956="Pensioner",1,1/(1+Assumptions!$B$6)^G956)</f>
        <v>1</v>
      </c>
      <c r="O956" s="17">
        <f t="shared" si="14"/>
        <v>7089404.4004491474</v>
      </c>
    </row>
    <row r="957" spans="1:15">
      <c r="A957" s="13" t="str">
        <f>Members!A957</f>
        <v>D0086</v>
      </c>
      <c r="B957" s="13" t="str">
        <f>Members!B957</f>
        <v>Deferred</v>
      </c>
      <c r="C957" s="13">
        <f>Members!C957</f>
        <v>42</v>
      </c>
      <c r="D957" s="14">
        <f>Members!D957</f>
        <v>12.9</v>
      </c>
      <c r="E957" s="16">
        <f>Members!E957</f>
        <v>731000</v>
      </c>
      <c r="F957" s="16">
        <f>Members!F957</f>
        <v>0</v>
      </c>
      <c r="G957" s="15">
        <f>MAX(0,Assumptions!$B$10-C957)</f>
        <v>18</v>
      </c>
      <c r="H957" s="17">
        <f>IF(B957="Active",E957*(1+Assumptions!$B$7)^G957,E957)</f>
        <v>731000</v>
      </c>
      <c r="I957" s="17">
        <f>IF(B957="Active",MIN(Assumptions!$B$12,D957+G957),IF(B957="Deferred",MIN(Assumptions!$B$12,D957),D957))</f>
        <v>12.9</v>
      </c>
      <c r="J957" s="17">
        <f>IF(B957="Active",H957*I957*Assumptions!$B$11,IF(B957="Deferred",E957*I957*Assumptions!$B$11*(1+Assumptions!$B$9)^G957,F957))</f>
        <v>318387.45263946714</v>
      </c>
      <c r="K957" s="11">
        <f>IF(B957="Pensioner",1,VLOOKUP(Assumptions!$B$10,Mortality!$A$2:$F$104,6,FALSE)/VLOOKUP(C957,Mortality!$A$2:$F$104,6,FALSE))</f>
        <v>0.97507997078383857</v>
      </c>
      <c r="L957" s="11">
        <f>VLOOKUP(IF(B957="Pensioner",C957,Assumptions!$B$10),Mortality!$A$2:$E$104,5,FALSE)</f>
        <v>17.296790022132885</v>
      </c>
      <c r="M957" s="11">
        <f>1+Assumptions!$B$13*Assumptions!$B$14*Assumptions!$B$15</f>
        <v>1.3187500000000001</v>
      </c>
      <c r="N957" s="11">
        <f>IF(B957="Pensioner",1,1/(1+Assumptions!$B$6)^G957)</f>
        <v>0.32188968512839738</v>
      </c>
      <c r="O957" s="17">
        <f t="shared" si="14"/>
        <v>2279456.0647501005</v>
      </c>
    </row>
    <row r="958" spans="1:15">
      <c r="A958" s="13" t="str">
        <f>Members!A958</f>
        <v>A0077</v>
      </c>
      <c r="B958" s="13" t="str">
        <f>Members!B958</f>
        <v>Active</v>
      </c>
      <c r="C958" s="13">
        <f>Members!C958</f>
        <v>35</v>
      </c>
      <c r="D958" s="14">
        <f>Members!D958</f>
        <v>7.6</v>
      </c>
      <c r="E958" s="16">
        <f>Members!E958</f>
        <v>917000</v>
      </c>
      <c r="F958" s="16">
        <f>Members!F958</f>
        <v>0</v>
      </c>
      <c r="G958" s="15">
        <f>MAX(0,Assumptions!$B$10-C958)</f>
        <v>25</v>
      </c>
      <c r="H958" s="17">
        <f>IF(B958="Active",E958*(1+Assumptions!$B$7)^G958,E958)</f>
        <v>3496880.7836853852</v>
      </c>
      <c r="I958" s="17">
        <f>IF(B958="Active",MIN(Assumptions!$B$12,D958+G958),IF(B958="Deferred",MIN(Assumptions!$B$12,D958),D958))</f>
        <v>32.6</v>
      </c>
      <c r="J958" s="17">
        <f>IF(B958="Active",H958*I958*Assumptions!$B$11,IF(B958="Deferred",E958*I958*Assumptions!$B$11*(1+Assumptions!$B$9)^G958,F958))</f>
        <v>1899971.8924690594</v>
      </c>
      <c r="K958" s="11">
        <f>IF(B958="Pensioner",1,VLOOKUP(Assumptions!$B$10,Mortality!$A$2:$F$104,6,FALSE)/VLOOKUP(C958,Mortality!$A$2:$F$104,6,FALSE))</f>
        <v>0.97197407653867529</v>
      </c>
      <c r="L958" s="11">
        <f>VLOOKUP(IF(B958="Pensioner",C958,Assumptions!$B$10),Mortality!$A$2:$E$104,5,FALSE)</f>
        <v>17.296790022132885</v>
      </c>
      <c r="M958" s="11">
        <f>1+Assumptions!$B$13*Assumptions!$B$14*Assumptions!$B$15</f>
        <v>1.3187500000000001</v>
      </c>
      <c r="N958" s="11">
        <f>IF(B958="Pensioner",1,1/(1+Assumptions!$B$6)^G958)</f>
        <v>0.20713801287132758</v>
      </c>
      <c r="O958" s="17">
        <f t="shared" si="14"/>
        <v>8725486.4765790533</v>
      </c>
    </row>
    <row r="959" spans="1:15">
      <c r="A959" s="13" t="str">
        <f>Members!A959</f>
        <v>A0171</v>
      </c>
      <c r="B959" s="13" t="str">
        <f>Members!B959</f>
        <v>Active</v>
      </c>
      <c r="C959" s="13">
        <f>Members!C959</f>
        <v>50</v>
      </c>
      <c r="D959" s="14">
        <f>Members!D959</f>
        <v>21</v>
      </c>
      <c r="E959" s="16">
        <f>Members!E959</f>
        <v>1271000</v>
      </c>
      <c r="F959" s="16">
        <f>Members!F959</f>
        <v>0</v>
      </c>
      <c r="G959" s="15">
        <f>MAX(0,Assumptions!$B$10-C959)</f>
        <v>10</v>
      </c>
      <c r="H959" s="17">
        <f>IF(B959="Active",E959*(1+Assumptions!$B$7)^G959,E959)</f>
        <v>2171051.6065674168</v>
      </c>
      <c r="I959" s="17">
        <f>IF(B959="Active",MIN(Assumptions!$B$12,D959+G959),IF(B959="Deferred",MIN(Assumptions!$B$12,D959),D959))</f>
        <v>31</v>
      </c>
      <c r="J959" s="17">
        <f>IF(B959="Active",H959*I959*Assumptions!$B$11,IF(B959="Deferred",E959*I959*Assumptions!$B$11*(1+Assumptions!$B$9)^G959,F959))</f>
        <v>1121709.9967264987</v>
      </c>
      <c r="K959" s="11">
        <f>IF(B959="Pensioner",1,VLOOKUP(Assumptions!$B$10,Mortality!$A$2:$F$104,6,FALSE)/VLOOKUP(C959,Mortality!$A$2:$F$104,6,FALSE))</f>
        <v>0.98127299335824147</v>
      </c>
      <c r="L959" s="11">
        <f>VLOOKUP(IF(B959="Pensioner",C959,Assumptions!$B$10),Mortality!$A$2:$E$104,5,FALSE)</f>
        <v>17.296790022132885</v>
      </c>
      <c r="M959" s="11">
        <f>1+Assumptions!$B$13*Assumptions!$B$14*Assumptions!$B$15</f>
        <v>1.3187500000000001</v>
      </c>
      <c r="N959" s="11">
        <f>IF(B959="Pensioner",1,1/(1+Assumptions!$B$6)^G959)</f>
        <v>0.53272603552052888</v>
      </c>
      <c r="O959" s="17">
        <f t="shared" si="14"/>
        <v>13375263.444521436</v>
      </c>
    </row>
    <row r="960" spans="1:15">
      <c r="A960" s="13" t="str">
        <f>Members!A960</f>
        <v>A0047</v>
      </c>
      <c r="B960" s="13" t="str">
        <f>Members!B960</f>
        <v>Active</v>
      </c>
      <c r="C960" s="13">
        <f>Members!C960</f>
        <v>52</v>
      </c>
      <c r="D960" s="14">
        <f>Members!D960</f>
        <v>16.5</v>
      </c>
      <c r="E960" s="16">
        <f>Members!E960</f>
        <v>1756000</v>
      </c>
      <c r="F960" s="16">
        <f>Members!F960</f>
        <v>0</v>
      </c>
      <c r="G960" s="15">
        <f>MAX(0,Assumptions!$B$10-C960)</f>
        <v>8</v>
      </c>
      <c r="H960" s="17">
        <f>IF(B960="Active",E960*(1+Assumptions!$B$7)^G960,E960)</f>
        <v>2694909.5203332445</v>
      </c>
      <c r="I960" s="17">
        <f>IF(B960="Active",MIN(Assumptions!$B$12,D960+G960),IF(B960="Deferred",MIN(Assumptions!$B$12,D960),D960))</f>
        <v>24.5</v>
      </c>
      <c r="J960" s="17">
        <f>IF(B960="Active",H960*I960*Assumptions!$B$11,IF(B960="Deferred",E960*I960*Assumptions!$B$11*(1+Assumptions!$B$9)^G960,F960))</f>
        <v>1100421.3874694081</v>
      </c>
      <c r="K960" s="11">
        <f>IF(B960="Pensioner",1,VLOOKUP(Assumptions!$B$10,Mortality!$A$2:$F$104,6,FALSE)/VLOOKUP(C960,Mortality!$A$2:$F$104,6,FALSE))</f>
        <v>0.98365275168798427</v>
      </c>
      <c r="L960" s="11">
        <f>VLOOKUP(IF(B960="Pensioner",C960,Assumptions!$B$10),Mortality!$A$2:$E$104,5,FALSE)</f>
        <v>17.296790022132885</v>
      </c>
      <c r="M960" s="11">
        <f>1+Assumptions!$B$13*Assumptions!$B$14*Assumptions!$B$15</f>
        <v>1.3187500000000001</v>
      </c>
      <c r="N960" s="11">
        <f>IF(B960="Pensioner",1,1/(1+Assumptions!$B$6)^G960)</f>
        <v>0.60423118763827188</v>
      </c>
      <c r="O960" s="17">
        <f t="shared" si="14"/>
        <v>14918733.550714759</v>
      </c>
    </row>
    <row r="961" spans="1:15">
      <c r="A961" s="13" t="str">
        <f>Members!A961</f>
        <v>P0082</v>
      </c>
      <c r="B961" s="13" t="str">
        <f>Members!B961</f>
        <v>Pensioner</v>
      </c>
      <c r="C961" s="13">
        <f>Members!C961</f>
        <v>65</v>
      </c>
      <c r="D961" s="14">
        <f>Members!D961</f>
        <v>15.9</v>
      </c>
      <c r="E961" s="16">
        <f>Members!E961</f>
        <v>0</v>
      </c>
      <c r="F961" s="16">
        <f>Members!F961</f>
        <v>323000</v>
      </c>
      <c r="G961" s="15">
        <f>MAX(0,Assumptions!$B$10-C961)</f>
        <v>0</v>
      </c>
      <c r="H961" s="17">
        <f>IF(B961="Active",E961*(1+Assumptions!$B$7)^G961,E961)</f>
        <v>0</v>
      </c>
      <c r="I961" s="17">
        <f>IF(B961="Active",MIN(Assumptions!$B$12,D961+G961),IF(B961="Deferred",MIN(Assumptions!$B$12,D961),D961))</f>
        <v>15.9</v>
      </c>
      <c r="J961" s="17">
        <f>IF(B961="Active",H961*I961*Assumptions!$B$11,IF(B961="Deferred",E961*I961*Assumptions!$B$11*(1+Assumptions!$B$9)^G961,F961))</f>
        <v>323000</v>
      </c>
      <c r="K961" s="11">
        <f>IF(B961="Pensioner",1,VLOOKUP(Assumptions!$B$10,Mortality!$A$2:$F$104,6,FALSE)/VLOOKUP(C961,Mortality!$A$2:$F$104,6,FALSE))</f>
        <v>1</v>
      </c>
      <c r="L961" s="11">
        <f>VLOOKUP(IF(B961="Pensioner",C961,Assumptions!$B$10),Mortality!$A$2:$E$104,5,FALSE)</f>
        <v>15.196570962158528</v>
      </c>
      <c r="M961" s="11">
        <f>1+Assumptions!$B$13*Assumptions!$B$14*Assumptions!$B$15</f>
        <v>1.3187500000000001</v>
      </c>
      <c r="N961" s="11">
        <f>IF(B961="Pensioner",1,1/(1+Assumptions!$B$6)^G961)</f>
        <v>1</v>
      </c>
      <c r="O961" s="17">
        <f t="shared" si="14"/>
        <v>6473074.3798999386</v>
      </c>
    </row>
    <row r="962" spans="1:15">
      <c r="A962" s="13" t="str">
        <f>Members!A962</f>
        <v>P0149</v>
      </c>
      <c r="B962" s="13" t="str">
        <f>Members!B962</f>
        <v>Pensioner</v>
      </c>
      <c r="C962" s="13">
        <f>Members!C962</f>
        <v>74</v>
      </c>
      <c r="D962" s="14">
        <f>Members!D962</f>
        <v>28.6</v>
      </c>
      <c r="E962" s="16">
        <f>Members!E962</f>
        <v>0</v>
      </c>
      <c r="F962" s="16">
        <f>Members!F962</f>
        <v>238000</v>
      </c>
      <c r="G962" s="15">
        <f>MAX(0,Assumptions!$B$10-C962)</f>
        <v>0</v>
      </c>
      <c r="H962" s="17">
        <f>IF(B962="Active",E962*(1+Assumptions!$B$7)^G962,E962)</f>
        <v>0</v>
      </c>
      <c r="I962" s="17">
        <f>IF(B962="Active",MIN(Assumptions!$B$12,D962+G962),IF(B962="Deferred",MIN(Assumptions!$B$12,D962),D962))</f>
        <v>28.6</v>
      </c>
      <c r="J962" s="17">
        <f>IF(B962="Active",H962*I962*Assumptions!$B$11,IF(B962="Deferred",E962*I962*Assumptions!$B$11*(1+Assumptions!$B$9)^G962,F962))</f>
        <v>238000</v>
      </c>
      <c r="K962" s="11">
        <f>IF(B962="Pensioner",1,VLOOKUP(Assumptions!$B$10,Mortality!$A$2:$F$104,6,FALSE)/VLOOKUP(C962,Mortality!$A$2:$F$104,6,FALSE))</f>
        <v>1</v>
      </c>
      <c r="L962" s="11">
        <f>VLOOKUP(IF(B962="Pensioner",C962,Assumptions!$B$10),Mortality!$A$2:$E$104,5,FALSE)</f>
        <v>11.124346929912107</v>
      </c>
      <c r="M962" s="11">
        <f>1+Assumptions!$B$13*Assumptions!$B$14*Assumptions!$B$15</f>
        <v>1.3187500000000001</v>
      </c>
      <c r="N962" s="11">
        <f>IF(B962="Pensioner",1,1/(1+Assumptions!$B$6)^G962)</f>
        <v>1</v>
      </c>
      <c r="O962" s="17">
        <f t="shared" ref="O962:O1025" si="15">J962*K962*L962*M962*N962</f>
        <v>3491515.3382895389</v>
      </c>
    </row>
    <row r="963" spans="1:15">
      <c r="A963" s="13" t="str">
        <f>Members!A963</f>
        <v>A0328</v>
      </c>
      <c r="B963" s="13" t="str">
        <f>Members!B963</f>
        <v>Active</v>
      </c>
      <c r="C963" s="13">
        <f>Members!C963</f>
        <v>34</v>
      </c>
      <c r="D963" s="14">
        <f>Members!D963</f>
        <v>3.9</v>
      </c>
      <c r="E963" s="16">
        <f>Members!E963</f>
        <v>513000</v>
      </c>
      <c r="F963" s="16">
        <f>Members!F963</f>
        <v>0</v>
      </c>
      <c r="G963" s="15">
        <f>MAX(0,Assumptions!$B$10-C963)</f>
        <v>26</v>
      </c>
      <c r="H963" s="17">
        <f>IF(B963="Active",E963*(1+Assumptions!$B$7)^G963,E963)</f>
        <v>2063865.1399588722</v>
      </c>
      <c r="I963" s="17">
        <f>IF(B963="Active",MIN(Assumptions!$B$12,D963+G963),IF(B963="Deferred",MIN(Assumptions!$B$12,D963),D963))</f>
        <v>29.9</v>
      </c>
      <c r="J963" s="17">
        <f>IF(B963="Active",H963*I963*Assumptions!$B$11,IF(B963="Deferred",E963*I963*Assumptions!$B$11*(1+Assumptions!$B$9)^G963,F963))</f>
        <v>1028492.7947461713</v>
      </c>
      <c r="K963" s="11">
        <f>IF(B963="Pensioner",1,VLOOKUP(Assumptions!$B$10,Mortality!$A$2:$F$104,6,FALSE)/VLOOKUP(C963,Mortality!$A$2:$F$104,6,FALSE))</f>
        <v>0.97162058192333911</v>
      </c>
      <c r="L963" s="11">
        <f>VLOOKUP(IF(B963="Pensioner",C963,Assumptions!$B$10),Mortality!$A$2:$E$104,5,FALSE)</f>
        <v>17.296790022132885</v>
      </c>
      <c r="M963" s="11">
        <f>1+Assumptions!$B$13*Assumptions!$B$14*Assumptions!$B$15</f>
        <v>1.3187500000000001</v>
      </c>
      <c r="N963" s="11">
        <f>IF(B963="Pensioner",1,1/(1+Assumptions!$B$6)^G963)</f>
        <v>0.19449578673364096</v>
      </c>
      <c r="O963" s="17">
        <f t="shared" si="15"/>
        <v>4433392.1014121501</v>
      </c>
    </row>
    <row r="964" spans="1:15">
      <c r="A964" s="13" t="str">
        <f>Members!A964</f>
        <v>P0177</v>
      </c>
      <c r="B964" s="13" t="str">
        <f>Members!B964</f>
        <v>Pensioner</v>
      </c>
      <c r="C964" s="13">
        <f>Members!C964</f>
        <v>85</v>
      </c>
      <c r="D964" s="14">
        <f>Members!D964</f>
        <v>19.600000000000001</v>
      </c>
      <c r="E964" s="16">
        <f>Members!E964</f>
        <v>0</v>
      </c>
      <c r="F964" s="16">
        <f>Members!F964</f>
        <v>645000</v>
      </c>
      <c r="G964" s="15">
        <f>MAX(0,Assumptions!$B$10-C964)</f>
        <v>0</v>
      </c>
      <c r="H964" s="17">
        <f>IF(B964="Active",E964*(1+Assumptions!$B$7)^G964,E964)</f>
        <v>0</v>
      </c>
      <c r="I964" s="17">
        <f>IF(B964="Active",MIN(Assumptions!$B$12,D964+G964),IF(B964="Deferred",MIN(Assumptions!$B$12,D964),D964))</f>
        <v>19.600000000000001</v>
      </c>
      <c r="J964" s="17">
        <f>IF(B964="Active",H964*I964*Assumptions!$B$11,IF(B964="Deferred",E964*I964*Assumptions!$B$11*(1+Assumptions!$B$9)^G964,F964))</f>
        <v>645000</v>
      </c>
      <c r="K964" s="11">
        <f>IF(B964="Pensioner",1,VLOOKUP(Assumptions!$B$10,Mortality!$A$2:$F$104,6,FALSE)/VLOOKUP(C964,Mortality!$A$2:$F$104,6,FALSE))</f>
        <v>1</v>
      </c>
      <c r="L964" s="11">
        <f>VLOOKUP(IF(B964="Pensioner",C964,Assumptions!$B$10),Mortality!$A$2:$E$104,5,FALSE)</f>
        <v>6.2282827560748935</v>
      </c>
      <c r="M964" s="11">
        <f>1+Assumptions!$B$13*Assumptions!$B$14*Assumptions!$B$15</f>
        <v>1.3187500000000001</v>
      </c>
      <c r="N964" s="11">
        <f>IF(B964="Pensioner",1,1/(1+Assumptions!$B$6)^G964)</f>
        <v>1</v>
      </c>
      <c r="O964" s="17">
        <f t="shared" si="15"/>
        <v>5297738.3855500789</v>
      </c>
    </row>
    <row r="965" spans="1:15">
      <c r="A965" s="13" t="str">
        <f>Members!A965</f>
        <v>A0588</v>
      </c>
      <c r="B965" s="13" t="str">
        <f>Members!B965</f>
        <v>Active</v>
      </c>
      <c r="C965" s="13">
        <f>Members!C965</f>
        <v>51</v>
      </c>
      <c r="D965" s="14">
        <f>Members!D965</f>
        <v>11.3</v>
      </c>
      <c r="E965" s="16">
        <f>Members!E965</f>
        <v>1788000</v>
      </c>
      <c r="F965" s="16">
        <f>Members!F965</f>
        <v>0</v>
      </c>
      <c r="G965" s="15">
        <f>MAX(0,Assumptions!$B$10-C965)</f>
        <v>9</v>
      </c>
      <c r="H965" s="17">
        <f>IF(B965="Active",E965*(1+Assumptions!$B$7)^G965,E965)</f>
        <v>2894940.5606978429</v>
      </c>
      <c r="I965" s="17">
        <f>IF(B965="Active",MIN(Assumptions!$B$12,D965+G965),IF(B965="Deferred",MIN(Assumptions!$B$12,D965),D965))</f>
        <v>20.3</v>
      </c>
      <c r="J965" s="17">
        <f>IF(B965="Active",H965*I965*Assumptions!$B$11,IF(B965="Deferred",E965*I965*Assumptions!$B$11*(1+Assumptions!$B$9)^G965,F965))</f>
        <v>979454.88970277028</v>
      </c>
      <c r="K965" s="11">
        <f>IF(B965="Pensioner",1,VLOOKUP(Assumptions!$B$10,Mortality!$A$2:$F$104,6,FALSE)/VLOOKUP(C965,Mortality!$A$2:$F$104,6,FALSE))</f>
        <v>0.98240527975061542</v>
      </c>
      <c r="L965" s="11">
        <f>VLOOKUP(IF(B965="Pensioner",C965,Assumptions!$B$10),Mortality!$A$2:$E$104,5,FALSE)</f>
        <v>17.296790022132885</v>
      </c>
      <c r="M965" s="11">
        <f>1+Assumptions!$B$13*Assumptions!$B$14*Assumptions!$B$15</f>
        <v>1.3187500000000001</v>
      </c>
      <c r="N965" s="11">
        <f>IF(B965="Pensioner",1,1/(1+Assumptions!$B$6)^G965)</f>
        <v>0.56735322782936326</v>
      </c>
      <c r="O965" s="17">
        <f t="shared" si="15"/>
        <v>12452502.638971008</v>
      </c>
    </row>
    <row r="966" spans="1:15">
      <c r="A966" s="13" t="str">
        <f>Members!A966</f>
        <v>A0510</v>
      </c>
      <c r="B966" s="13" t="str">
        <f>Members!B966</f>
        <v>Active</v>
      </c>
      <c r="C966" s="13">
        <f>Members!C966</f>
        <v>30</v>
      </c>
      <c r="D966" s="14">
        <f>Members!D966</f>
        <v>6.3</v>
      </c>
      <c r="E966" s="16">
        <f>Members!E966</f>
        <v>680000</v>
      </c>
      <c r="F966" s="16">
        <f>Members!F966</f>
        <v>0</v>
      </c>
      <c r="G966" s="15">
        <f>MAX(0,Assumptions!$B$10-C966)</f>
        <v>30</v>
      </c>
      <c r="H966" s="17">
        <f>IF(B966="Active",E966*(1+Assumptions!$B$7)^G966,E966)</f>
        <v>3389086.8761086408</v>
      </c>
      <c r="I966" s="17">
        <f>IF(B966="Active",MIN(Assumptions!$B$12,D966+G966),IF(B966="Deferred",MIN(Assumptions!$B$12,D966),D966))</f>
        <v>36.299999999999997</v>
      </c>
      <c r="J966" s="17">
        <f>IF(B966="Active",H966*I966*Assumptions!$B$11,IF(B966="Deferred",E966*I966*Assumptions!$B$11*(1+Assumptions!$B$9)^G966,F966))</f>
        <v>2050397.5600457275</v>
      </c>
      <c r="K966" s="11">
        <f>IF(B966="Pensioner",1,VLOOKUP(Assumptions!$B$10,Mortality!$A$2:$F$104,6,FALSE)/VLOOKUP(C966,Mortality!$A$2:$F$104,6,FALSE))</f>
        <v>0.97034568803187526</v>
      </c>
      <c r="L966" s="11">
        <f>VLOOKUP(IF(B966="Pensioner",C966,Assumptions!$B$10),Mortality!$A$2:$E$104,5,FALSE)</f>
        <v>17.296790022132885</v>
      </c>
      <c r="M966" s="11">
        <f>1+Assumptions!$B$13*Assumptions!$B$14*Assumptions!$B$15</f>
        <v>1.3187500000000001</v>
      </c>
      <c r="N966" s="11">
        <f>IF(B966="Pensioner",1,1/(1+Assumptions!$B$6)^G966)</f>
        <v>0.15118606610981289</v>
      </c>
      <c r="O966" s="17">
        <f t="shared" si="15"/>
        <v>6861266.8339039423</v>
      </c>
    </row>
    <row r="967" spans="1:15">
      <c r="A967" s="13" t="str">
        <f>Members!A967</f>
        <v>P0036</v>
      </c>
      <c r="B967" s="13" t="str">
        <f>Members!B967</f>
        <v>Pensioner</v>
      </c>
      <c r="C967" s="13">
        <f>Members!C967</f>
        <v>66</v>
      </c>
      <c r="D967" s="14">
        <f>Members!D967</f>
        <v>33.200000000000003</v>
      </c>
      <c r="E967" s="16">
        <f>Members!E967</f>
        <v>0</v>
      </c>
      <c r="F967" s="16">
        <f>Members!F967</f>
        <v>437000</v>
      </c>
      <c r="G967" s="15">
        <f>MAX(0,Assumptions!$B$10-C967)</f>
        <v>0</v>
      </c>
      <c r="H967" s="17">
        <f>IF(B967="Active",E967*(1+Assumptions!$B$7)^G967,E967)</f>
        <v>0</v>
      </c>
      <c r="I967" s="17">
        <f>IF(B967="Active",MIN(Assumptions!$B$12,D967+G967),IF(B967="Deferred",MIN(Assumptions!$B$12,D967),D967))</f>
        <v>33.200000000000003</v>
      </c>
      <c r="J967" s="17">
        <f>IF(B967="Active",H967*I967*Assumptions!$B$11,IF(B967="Deferred",E967*I967*Assumptions!$B$11*(1+Assumptions!$B$9)^G967,F967))</f>
        <v>437000</v>
      </c>
      <c r="K967" s="11">
        <f>IF(B967="Pensioner",1,VLOOKUP(Assumptions!$B$10,Mortality!$A$2:$F$104,6,FALSE)/VLOOKUP(C967,Mortality!$A$2:$F$104,6,FALSE))</f>
        <v>1</v>
      </c>
      <c r="L967" s="11">
        <f>VLOOKUP(IF(B967="Pensioner",C967,Assumptions!$B$10),Mortality!$A$2:$E$104,5,FALSE)</f>
        <v>14.759005103694845</v>
      </c>
      <c r="M967" s="11">
        <f>1+Assumptions!$B$13*Assumptions!$B$14*Assumptions!$B$15</f>
        <v>1.3187500000000001</v>
      </c>
      <c r="N967" s="11">
        <f>IF(B967="Pensioner",1,1/(1+Assumptions!$B$6)^G967)</f>
        <v>1</v>
      </c>
      <c r="O967" s="17">
        <f t="shared" si="15"/>
        <v>8505522.3974774405</v>
      </c>
    </row>
    <row r="968" spans="1:15">
      <c r="A968" s="13" t="str">
        <f>Members!A968</f>
        <v>D0020</v>
      </c>
      <c r="B968" s="13" t="str">
        <f>Members!B968</f>
        <v>Deferred</v>
      </c>
      <c r="C968" s="13">
        <f>Members!C968</f>
        <v>45</v>
      </c>
      <c r="D968" s="14">
        <f>Members!D968</f>
        <v>6.7</v>
      </c>
      <c r="E968" s="16">
        <f>Members!E968</f>
        <v>926000</v>
      </c>
      <c r="F968" s="16">
        <f>Members!F968</f>
        <v>0</v>
      </c>
      <c r="G968" s="15">
        <f>MAX(0,Assumptions!$B$10-C968)</f>
        <v>15</v>
      </c>
      <c r="H968" s="17">
        <f>IF(B968="Active",E968*(1+Assumptions!$B$7)^G968,E968)</f>
        <v>926000</v>
      </c>
      <c r="I968" s="17">
        <f>IF(B968="Active",MIN(Assumptions!$B$12,D968+G968),IF(B968="Deferred",MIN(Assumptions!$B$12,D968),D968))</f>
        <v>6.7</v>
      </c>
      <c r="J968" s="17">
        <f>IF(B968="Active",H968*I968*Assumptions!$B$11,IF(B968="Deferred",E968*I968*Assumptions!$B$11*(1+Assumptions!$B$9)^G968,F968))</f>
        <v>186223.56161443354</v>
      </c>
      <c r="K968" s="11">
        <f>IF(B968="Pensioner",1,VLOOKUP(Assumptions!$B$10,Mortality!$A$2:$F$104,6,FALSE)/VLOOKUP(C968,Mortality!$A$2:$F$104,6,FALSE))</f>
        <v>0.97693494781946555</v>
      </c>
      <c r="L968" s="11">
        <f>VLOOKUP(IF(B968="Pensioner",C968,Assumptions!$B$10),Mortality!$A$2:$E$104,5,FALSE)</f>
        <v>17.296790022132885</v>
      </c>
      <c r="M968" s="11">
        <f>1+Assumptions!$B$13*Assumptions!$B$14*Assumptions!$B$15</f>
        <v>1.3187500000000001</v>
      </c>
      <c r="N968" s="11">
        <f>IF(B968="Pensioner",1,1/(1+Assumptions!$B$6)^G968)</f>
        <v>0.38882652444221566</v>
      </c>
      <c r="O968" s="17">
        <f t="shared" si="15"/>
        <v>1613556.375261538</v>
      </c>
    </row>
    <row r="969" spans="1:15">
      <c r="A969" s="13" t="str">
        <f>Members!A969</f>
        <v>P0196</v>
      </c>
      <c r="B969" s="13" t="str">
        <f>Members!B969</f>
        <v>Pensioner</v>
      </c>
      <c r="C969" s="13">
        <f>Members!C969</f>
        <v>85</v>
      </c>
      <c r="D969" s="14">
        <f>Members!D969</f>
        <v>33.700000000000003</v>
      </c>
      <c r="E969" s="16">
        <f>Members!E969</f>
        <v>0</v>
      </c>
      <c r="F969" s="16">
        <f>Members!F969</f>
        <v>386000</v>
      </c>
      <c r="G969" s="15">
        <f>MAX(0,Assumptions!$B$10-C969)</f>
        <v>0</v>
      </c>
      <c r="H969" s="17">
        <f>IF(B969="Active",E969*(1+Assumptions!$B$7)^G969,E969)</f>
        <v>0</v>
      </c>
      <c r="I969" s="17">
        <f>IF(B969="Active",MIN(Assumptions!$B$12,D969+G969),IF(B969="Deferred",MIN(Assumptions!$B$12,D969),D969))</f>
        <v>33.700000000000003</v>
      </c>
      <c r="J969" s="17">
        <f>IF(B969="Active",H969*I969*Assumptions!$B$11,IF(B969="Deferred",E969*I969*Assumptions!$B$11*(1+Assumptions!$B$9)^G969,F969))</f>
        <v>386000</v>
      </c>
      <c r="K969" s="11">
        <f>IF(B969="Pensioner",1,VLOOKUP(Assumptions!$B$10,Mortality!$A$2:$F$104,6,FALSE)/VLOOKUP(C969,Mortality!$A$2:$F$104,6,FALSE))</f>
        <v>1</v>
      </c>
      <c r="L969" s="11">
        <f>VLOOKUP(IF(B969="Pensioner",C969,Assumptions!$B$10),Mortality!$A$2:$E$104,5,FALSE)</f>
        <v>6.2282827560748935</v>
      </c>
      <c r="M969" s="11">
        <f>1+Assumptions!$B$13*Assumptions!$B$14*Assumptions!$B$15</f>
        <v>1.3187500000000001</v>
      </c>
      <c r="N969" s="11">
        <f>IF(B969="Pensioner",1,1/(1+Assumptions!$B$6)^G969)</f>
        <v>1</v>
      </c>
      <c r="O969" s="17">
        <f t="shared" si="15"/>
        <v>3170429.4834454739</v>
      </c>
    </row>
    <row r="970" spans="1:15">
      <c r="A970" s="13" t="str">
        <f>Members!A970</f>
        <v>P0139</v>
      </c>
      <c r="B970" s="13" t="str">
        <f>Members!B970</f>
        <v>Pensioner</v>
      </c>
      <c r="C970" s="13">
        <f>Members!C970</f>
        <v>77</v>
      </c>
      <c r="D970" s="14">
        <f>Members!D970</f>
        <v>24.9</v>
      </c>
      <c r="E970" s="16">
        <f>Members!E970</f>
        <v>0</v>
      </c>
      <c r="F970" s="16">
        <f>Members!F970</f>
        <v>345000</v>
      </c>
      <c r="G970" s="15">
        <f>MAX(0,Assumptions!$B$10-C970)</f>
        <v>0</v>
      </c>
      <c r="H970" s="17">
        <f>IF(B970="Active",E970*(1+Assumptions!$B$7)^G970,E970)</f>
        <v>0</v>
      </c>
      <c r="I970" s="17">
        <f>IF(B970="Active",MIN(Assumptions!$B$12,D970+G970),IF(B970="Deferred",MIN(Assumptions!$B$12,D970),D970))</f>
        <v>24.9</v>
      </c>
      <c r="J970" s="17">
        <f>IF(B970="Active",H970*I970*Assumptions!$B$11,IF(B970="Deferred",E970*I970*Assumptions!$B$11*(1+Assumptions!$B$9)^G970,F970))</f>
        <v>345000</v>
      </c>
      <c r="K970" s="11">
        <f>IF(B970="Pensioner",1,VLOOKUP(Assumptions!$B$10,Mortality!$A$2:$F$104,6,FALSE)/VLOOKUP(C970,Mortality!$A$2:$F$104,6,FALSE))</f>
        <v>1</v>
      </c>
      <c r="L970" s="11">
        <f>VLOOKUP(IF(B970="Pensioner",C970,Assumptions!$B$10),Mortality!$A$2:$E$104,5,FALSE)</f>
        <v>9.7418184564319716</v>
      </c>
      <c r="M970" s="11">
        <f>1+Assumptions!$B$13*Assumptions!$B$14*Assumptions!$B$15</f>
        <v>1.3187500000000001</v>
      </c>
      <c r="N970" s="11">
        <f>IF(B970="Pensioner",1,1/(1+Assumptions!$B$6)^G970)</f>
        <v>1</v>
      </c>
      <c r="O970" s="17">
        <f t="shared" si="15"/>
        <v>4432222.9658497842</v>
      </c>
    </row>
    <row r="971" spans="1:15">
      <c r="A971" s="13" t="str">
        <f>Members!A971</f>
        <v>D0085</v>
      </c>
      <c r="B971" s="13" t="str">
        <f>Members!B971</f>
        <v>Deferred</v>
      </c>
      <c r="C971" s="13">
        <f>Members!C971</f>
        <v>41</v>
      </c>
      <c r="D971" s="14">
        <f>Members!D971</f>
        <v>2.9</v>
      </c>
      <c r="E971" s="16">
        <f>Members!E971</f>
        <v>574000</v>
      </c>
      <c r="F971" s="16">
        <f>Members!F971</f>
        <v>0</v>
      </c>
      <c r="G971" s="15">
        <f>MAX(0,Assumptions!$B$10-C971)</f>
        <v>19</v>
      </c>
      <c r="H971" s="17">
        <f>IF(B971="Active",E971*(1+Assumptions!$B$7)^G971,E971)</f>
        <v>574000</v>
      </c>
      <c r="I971" s="17">
        <f>IF(B971="Active",MIN(Assumptions!$B$12,D971+G971),IF(B971="Deferred",MIN(Assumptions!$B$12,D971),D971))</f>
        <v>2.9</v>
      </c>
      <c r="J971" s="17">
        <f>IF(B971="Active",H971*I971*Assumptions!$B$11,IF(B971="Deferred",E971*I971*Assumptions!$B$11*(1+Assumptions!$B$9)^G971,F971))</f>
        <v>58451.018972651167</v>
      </c>
      <c r="K971" s="11">
        <f>IF(B971="Pensioner",1,VLOOKUP(Assumptions!$B$10,Mortality!$A$2:$F$104,6,FALSE)/VLOOKUP(C971,Mortality!$A$2:$F$104,6,FALSE))</f>
        <v>0.97454789540795339</v>
      </c>
      <c r="L971" s="11">
        <f>VLOOKUP(IF(B971="Pensioner",C971,Assumptions!$B$10),Mortality!$A$2:$E$104,5,FALSE)</f>
        <v>17.296790022132885</v>
      </c>
      <c r="M971" s="11">
        <f>1+Assumptions!$B$13*Assumptions!$B$14*Assumptions!$B$15</f>
        <v>1.3187500000000001</v>
      </c>
      <c r="N971" s="11">
        <f>IF(B971="Pensioner",1,1/(1+Assumptions!$B$6)^G971)</f>
        <v>0.30224383580131214</v>
      </c>
      <c r="O971" s="17">
        <f t="shared" si="15"/>
        <v>392717.91439522261</v>
      </c>
    </row>
    <row r="972" spans="1:15">
      <c r="A972" s="13" t="str">
        <f>Members!A972</f>
        <v>A0279</v>
      </c>
      <c r="B972" s="13" t="str">
        <f>Members!B972</f>
        <v>Active</v>
      </c>
      <c r="C972" s="13">
        <f>Members!C972</f>
        <v>56</v>
      </c>
      <c r="D972" s="14">
        <f>Members!D972</f>
        <v>9.6</v>
      </c>
      <c r="E972" s="16">
        <f>Members!E972</f>
        <v>1742000</v>
      </c>
      <c r="F972" s="16">
        <f>Members!F972</f>
        <v>0</v>
      </c>
      <c r="G972" s="15">
        <f>MAX(0,Assumptions!$B$10-C972)</f>
        <v>4</v>
      </c>
      <c r="H972" s="17">
        <f>IF(B972="Active",E972*(1+Assumptions!$B$7)^G972,E972)</f>
        <v>2158032.5413887496</v>
      </c>
      <c r="I972" s="17">
        <f>IF(B972="Active",MIN(Assumptions!$B$12,D972+G972),IF(B972="Deferred",MIN(Assumptions!$B$12,D972),D972))</f>
        <v>13.6</v>
      </c>
      <c r="J972" s="17">
        <f>IF(B972="Active",H972*I972*Assumptions!$B$11,IF(B972="Deferred",E972*I972*Assumptions!$B$11*(1+Assumptions!$B$9)^G972,F972))</f>
        <v>489154.04271478322</v>
      </c>
      <c r="K972" s="11">
        <f>IF(B972="Pensioner",1,VLOOKUP(Assumptions!$B$10,Mortality!$A$2:$F$104,6,FALSE)/VLOOKUP(C972,Mortality!$A$2:$F$104,6,FALSE))</f>
        <v>0.99011625581042195</v>
      </c>
      <c r="L972" s="11">
        <f>VLOOKUP(IF(B972="Pensioner",C972,Assumptions!$B$10),Mortality!$A$2:$E$104,5,FALSE)</f>
        <v>17.296790022132885</v>
      </c>
      <c r="M972" s="11">
        <f>1+Assumptions!$B$13*Assumptions!$B$14*Assumptions!$B$15</f>
        <v>1.3187500000000001</v>
      </c>
      <c r="N972" s="11">
        <f>IF(B972="Pensioner",1,1/(1+Assumptions!$B$6)^G972)</f>
        <v>0.77732309089481699</v>
      </c>
      <c r="O972" s="17">
        <f t="shared" si="15"/>
        <v>8587394.0696177315</v>
      </c>
    </row>
    <row r="973" spans="1:15">
      <c r="A973" s="13" t="str">
        <f>Members!A973</f>
        <v>A0532</v>
      </c>
      <c r="B973" s="13" t="str">
        <f>Members!B973</f>
        <v>Active</v>
      </c>
      <c r="C973" s="13">
        <f>Members!C973</f>
        <v>26</v>
      </c>
      <c r="D973" s="14">
        <f>Members!D973</f>
        <v>3</v>
      </c>
      <c r="E973" s="16">
        <f>Members!E973</f>
        <v>353000</v>
      </c>
      <c r="F973" s="16">
        <f>Members!F973</f>
        <v>0</v>
      </c>
      <c r="G973" s="15">
        <f>MAX(0,Assumptions!$B$10-C973)</f>
        <v>34</v>
      </c>
      <c r="H973" s="17">
        <f>IF(B973="Active",E973*(1+Assumptions!$B$7)^G973,E973)</f>
        <v>2179507.3248930438</v>
      </c>
      <c r="I973" s="17">
        <f>IF(B973="Active",MIN(Assumptions!$B$12,D973+G973),IF(B973="Deferred",MIN(Assumptions!$B$12,D973),D973))</f>
        <v>37</v>
      </c>
      <c r="J973" s="17">
        <f>IF(B973="Active",H973*I973*Assumptions!$B$11,IF(B973="Deferred",E973*I973*Assumptions!$B$11*(1+Assumptions!$B$9)^G973,F973))</f>
        <v>1344029.5170173768</v>
      </c>
      <c r="K973" s="11">
        <f>IF(B973="Pensioner",1,VLOOKUP(Assumptions!$B$10,Mortality!$A$2:$F$104,6,FALSE)/VLOOKUP(C973,Mortality!$A$2:$F$104,6,FALSE))</f>
        <v>0.96922916291892547</v>
      </c>
      <c r="L973" s="11">
        <f>VLOOKUP(IF(B973="Pensioner",C973,Assumptions!$B$10),Mortality!$A$2:$E$104,5,FALSE)</f>
        <v>17.296790022132885</v>
      </c>
      <c r="M973" s="11">
        <f>1+Assumptions!$B$13*Assumptions!$B$14*Assumptions!$B$15</f>
        <v>1.3187500000000001</v>
      </c>
      <c r="N973" s="11">
        <f>IF(B973="Pensioner",1,1/(1+Assumptions!$B$6)^G973)</f>
        <v>0.11752042020870793</v>
      </c>
      <c r="O973" s="17">
        <f t="shared" si="15"/>
        <v>3492019.0256084474</v>
      </c>
    </row>
    <row r="974" spans="1:15">
      <c r="A974" s="13" t="str">
        <f>Members!A974</f>
        <v>P0143</v>
      </c>
      <c r="B974" s="13" t="str">
        <f>Members!B974</f>
        <v>Pensioner</v>
      </c>
      <c r="C974" s="13">
        <f>Members!C974</f>
        <v>78</v>
      </c>
      <c r="D974" s="14">
        <f>Members!D974</f>
        <v>33.4</v>
      </c>
      <c r="E974" s="16">
        <f>Members!E974</f>
        <v>0</v>
      </c>
      <c r="F974" s="16">
        <f>Members!F974</f>
        <v>644000</v>
      </c>
      <c r="G974" s="15">
        <f>MAX(0,Assumptions!$B$10-C974)</f>
        <v>0</v>
      </c>
      <c r="H974" s="17">
        <f>IF(B974="Active",E974*(1+Assumptions!$B$7)^G974,E974)</f>
        <v>0</v>
      </c>
      <c r="I974" s="17">
        <f>IF(B974="Active",MIN(Assumptions!$B$12,D974+G974),IF(B974="Deferred",MIN(Assumptions!$B$12,D974),D974))</f>
        <v>33.4</v>
      </c>
      <c r="J974" s="17">
        <f>IF(B974="Active",H974*I974*Assumptions!$B$11,IF(B974="Deferred",E974*I974*Assumptions!$B$11*(1+Assumptions!$B$9)^G974,F974))</f>
        <v>644000</v>
      </c>
      <c r="K974" s="11">
        <f>IF(B974="Pensioner",1,VLOOKUP(Assumptions!$B$10,Mortality!$A$2:$F$104,6,FALSE)/VLOOKUP(C974,Mortality!$A$2:$F$104,6,FALSE))</f>
        <v>1</v>
      </c>
      <c r="L974" s="11">
        <f>VLOOKUP(IF(B974="Pensioner",C974,Assumptions!$B$10),Mortality!$A$2:$E$104,5,FALSE)</f>
        <v>9.2847179241203879</v>
      </c>
      <c r="M974" s="11">
        <f>1+Assumptions!$B$13*Assumptions!$B$14*Assumptions!$B$15</f>
        <v>1.3187500000000001</v>
      </c>
      <c r="N974" s="11">
        <f>IF(B974="Pensioner",1,1/(1+Assumptions!$B$6)^G974)</f>
        <v>1</v>
      </c>
      <c r="O974" s="17">
        <f t="shared" si="15"/>
        <v>7885278.815007343</v>
      </c>
    </row>
    <row r="975" spans="1:15">
      <c r="A975" s="13" t="str">
        <f>Members!A975</f>
        <v>P0126</v>
      </c>
      <c r="B975" s="13" t="str">
        <f>Members!B975</f>
        <v>Pensioner</v>
      </c>
      <c r="C975" s="13">
        <f>Members!C975</f>
        <v>79</v>
      </c>
      <c r="D975" s="14">
        <f>Members!D975</f>
        <v>23.6</v>
      </c>
      <c r="E975" s="16">
        <f>Members!E975</f>
        <v>0</v>
      </c>
      <c r="F975" s="16">
        <f>Members!F975</f>
        <v>322000</v>
      </c>
      <c r="G975" s="15">
        <f>MAX(0,Assumptions!$B$10-C975)</f>
        <v>0</v>
      </c>
      <c r="H975" s="17">
        <f>IF(B975="Active",E975*(1+Assumptions!$B$7)^G975,E975)</f>
        <v>0</v>
      </c>
      <c r="I975" s="17">
        <f>IF(B975="Active",MIN(Assumptions!$B$12,D975+G975),IF(B975="Deferred",MIN(Assumptions!$B$12,D975),D975))</f>
        <v>23.6</v>
      </c>
      <c r="J975" s="17">
        <f>IF(B975="Active",H975*I975*Assumptions!$B$11,IF(B975="Deferred",E975*I975*Assumptions!$B$11*(1+Assumptions!$B$9)^G975,F975))</f>
        <v>322000</v>
      </c>
      <c r="K975" s="11">
        <f>IF(B975="Pensioner",1,VLOOKUP(Assumptions!$B$10,Mortality!$A$2:$F$104,6,FALSE)/VLOOKUP(C975,Mortality!$A$2:$F$104,6,FALSE))</f>
        <v>1</v>
      </c>
      <c r="L975" s="11">
        <f>VLOOKUP(IF(B975="Pensioner",C975,Assumptions!$B$10),Mortality!$A$2:$E$104,5,FALSE)</f>
        <v>8.8309325629147608</v>
      </c>
      <c r="M975" s="11">
        <f>1+Assumptions!$B$13*Assumptions!$B$14*Assumptions!$B$15</f>
        <v>1.3187500000000001</v>
      </c>
      <c r="N975" s="11">
        <f>IF(B975="Pensioner",1,1/(1+Assumptions!$B$6)^G975)</f>
        <v>1</v>
      </c>
      <c r="O975" s="17">
        <f t="shared" si="15"/>
        <v>3749945.1261847168</v>
      </c>
    </row>
    <row r="976" spans="1:15">
      <c r="A976" s="13" t="str">
        <f>Members!A976</f>
        <v>P0197</v>
      </c>
      <c r="B976" s="13" t="str">
        <f>Members!B976</f>
        <v>Pensioner</v>
      </c>
      <c r="C976" s="13">
        <f>Members!C976</f>
        <v>80</v>
      </c>
      <c r="D976" s="14">
        <f>Members!D976</f>
        <v>30.1</v>
      </c>
      <c r="E976" s="16">
        <f>Members!E976</f>
        <v>0</v>
      </c>
      <c r="F976" s="16">
        <f>Members!F976</f>
        <v>650000</v>
      </c>
      <c r="G976" s="15">
        <f>MAX(0,Assumptions!$B$10-C976)</f>
        <v>0</v>
      </c>
      <c r="H976" s="17">
        <f>IF(B976="Active",E976*(1+Assumptions!$B$7)^G976,E976)</f>
        <v>0</v>
      </c>
      <c r="I976" s="17">
        <f>IF(B976="Active",MIN(Assumptions!$B$12,D976+G976),IF(B976="Deferred",MIN(Assumptions!$B$12,D976),D976))</f>
        <v>30.1</v>
      </c>
      <c r="J976" s="17">
        <f>IF(B976="Active",H976*I976*Assumptions!$B$11,IF(B976="Deferred",E976*I976*Assumptions!$B$11*(1+Assumptions!$B$9)^G976,F976))</f>
        <v>650000</v>
      </c>
      <c r="K976" s="11">
        <f>IF(B976="Pensioner",1,VLOOKUP(Assumptions!$B$10,Mortality!$A$2:$F$104,6,FALSE)/VLOOKUP(C976,Mortality!$A$2:$F$104,6,FALSE))</f>
        <v>1</v>
      </c>
      <c r="L976" s="11">
        <f>VLOOKUP(IF(B976="Pensioner",C976,Assumptions!$B$10),Mortality!$A$2:$E$104,5,FALSE)</f>
        <v>8.3813573625622979</v>
      </c>
      <c r="M976" s="11">
        <f>1+Assumptions!$B$13*Assumptions!$B$14*Assumptions!$B$15</f>
        <v>1.3187500000000001</v>
      </c>
      <c r="N976" s="11">
        <f>IF(B976="Pensioner",1,1/(1+Assumptions!$B$6)^G976)</f>
        <v>1</v>
      </c>
      <c r="O976" s="17">
        <f t="shared" si="15"/>
        <v>7184394.7642213702</v>
      </c>
    </row>
    <row r="977" spans="1:15">
      <c r="A977" s="13" t="str">
        <f>Members!A977</f>
        <v>D0037</v>
      </c>
      <c r="B977" s="13" t="str">
        <f>Members!B977</f>
        <v>Deferred</v>
      </c>
      <c r="C977" s="13">
        <f>Members!C977</f>
        <v>51</v>
      </c>
      <c r="D977" s="14">
        <f>Members!D977</f>
        <v>13.4</v>
      </c>
      <c r="E977" s="16">
        <f>Members!E977</f>
        <v>1115000</v>
      </c>
      <c r="F977" s="16">
        <f>Members!F977</f>
        <v>0</v>
      </c>
      <c r="G977" s="15">
        <f>MAX(0,Assumptions!$B$10-C977)</f>
        <v>9</v>
      </c>
      <c r="H977" s="17">
        <f>IF(B977="Active",E977*(1+Assumptions!$B$7)^G977,E977)</f>
        <v>1115000</v>
      </c>
      <c r="I977" s="17">
        <f>IF(B977="Active",MIN(Assumptions!$B$12,D977+G977),IF(B977="Deferred",MIN(Assumptions!$B$12,D977),D977))</f>
        <v>13.4</v>
      </c>
      <c r="J977" s="17">
        <f>IF(B977="Active",H977*I977*Assumptions!$B$11,IF(B977="Deferred",E977*I977*Assumptions!$B$11*(1+Assumptions!$B$9)^G977,F977))</f>
        <v>354428.36315649014</v>
      </c>
      <c r="K977" s="11">
        <f>IF(B977="Pensioner",1,VLOOKUP(Assumptions!$B$10,Mortality!$A$2:$F$104,6,FALSE)/VLOOKUP(C977,Mortality!$A$2:$F$104,6,FALSE))</f>
        <v>0.98240527975061542</v>
      </c>
      <c r="L977" s="11">
        <f>VLOOKUP(IF(B977="Pensioner",C977,Assumptions!$B$10),Mortality!$A$2:$E$104,5,FALSE)</f>
        <v>17.296790022132885</v>
      </c>
      <c r="M977" s="11">
        <f>1+Assumptions!$B$13*Assumptions!$B$14*Assumptions!$B$15</f>
        <v>1.3187500000000001</v>
      </c>
      <c r="N977" s="11">
        <f>IF(B977="Pensioner",1,1/(1+Assumptions!$B$6)^G977)</f>
        <v>0.56735322782936326</v>
      </c>
      <c r="O977" s="17">
        <f t="shared" si="15"/>
        <v>4506098.4165097317</v>
      </c>
    </row>
    <row r="978" spans="1:15">
      <c r="A978" s="13" t="str">
        <f>Members!A978</f>
        <v>P0112</v>
      </c>
      <c r="B978" s="13" t="str">
        <f>Members!B978</f>
        <v>Pensioner</v>
      </c>
      <c r="C978" s="13">
        <f>Members!C978</f>
        <v>81</v>
      </c>
      <c r="D978" s="14">
        <f>Members!D978</f>
        <v>36.9</v>
      </c>
      <c r="E978" s="16">
        <f>Members!E978</f>
        <v>0</v>
      </c>
      <c r="F978" s="16">
        <f>Members!F978</f>
        <v>263000</v>
      </c>
      <c r="G978" s="15">
        <f>MAX(0,Assumptions!$B$10-C978)</f>
        <v>0</v>
      </c>
      <c r="H978" s="17">
        <f>IF(B978="Active",E978*(1+Assumptions!$B$7)^G978,E978)</f>
        <v>0</v>
      </c>
      <c r="I978" s="17">
        <f>IF(B978="Active",MIN(Assumptions!$B$12,D978+G978),IF(B978="Deferred",MIN(Assumptions!$B$12,D978),D978))</f>
        <v>36.9</v>
      </c>
      <c r="J978" s="17">
        <f>IF(B978="Active",H978*I978*Assumptions!$B$11,IF(B978="Deferred",E978*I978*Assumptions!$B$11*(1+Assumptions!$B$9)^G978,F978))</f>
        <v>263000</v>
      </c>
      <c r="K978" s="11">
        <f>IF(B978="Pensioner",1,VLOOKUP(Assumptions!$B$10,Mortality!$A$2:$F$104,6,FALSE)/VLOOKUP(C978,Mortality!$A$2:$F$104,6,FALSE))</f>
        <v>1</v>
      </c>
      <c r="L978" s="11">
        <f>VLOOKUP(IF(B978="Pensioner",C978,Assumptions!$B$10),Mortality!$A$2:$E$104,5,FALSE)</f>
        <v>7.9368977140485031</v>
      </c>
      <c r="M978" s="11">
        <f>1+Assumptions!$B$13*Assumptions!$B$14*Assumptions!$B$15</f>
        <v>1.3187500000000001</v>
      </c>
      <c r="N978" s="11">
        <f>IF(B978="Pensioner",1,1/(1+Assumptions!$B$6)^G978)</f>
        <v>1</v>
      </c>
      <c r="O978" s="17">
        <f t="shared" si="15"/>
        <v>2752764.1552855847</v>
      </c>
    </row>
    <row r="979" spans="1:15">
      <c r="A979" s="13" t="str">
        <f>Members!A979</f>
        <v>P0020</v>
      </c>
      <c r="B979" s="13" t="str">
        <f>Members!B979</f>
        <v>Pensioner</v>
      </c>
      <c r="C979" s="13">
        <f>Members!C979</f>
        <v>75</v>
      </c>
      <c r="D979" s="14">
        <f>Members!D979</f>
        <v>38</v>
      </c>
      <c r="E979" s="16">
        <f>Members!E979</f>
        <v>0</v>
      </c>
      <c r="F979" s="16">
        <f>Members!F979</f>
        <v>308000</v>
      </c>
      <c r="G979" s="15">
        <f>MAX(0,Assumptions!$B$10-C979)</f>
        <v>0</v>
      </c>
      <c r="H979" s="17">
        <f>IF(B979="Active",E979*(1+Assumptions!$B$7)^G979,E979)</f>
        <v>0</v>
      </c>
      <c r="I979" s="17">
        <f>IF(B979="Active",MIN(Assumptions!$B$12,D979+G979),IF(B979="Deferred",MIN(Assumptions!$B$12,D979),D979))</f>
        <v>38</v>
      </c>
      <c r="J979" s="17">
        <f>IF(B979="Active",H979*I979*Assumptions!$B$11,IF(B979="Deferred",E979*I979*Assumptions!$B$11*(1+Assumptions!$B$9)^G979,F979))</f>
        <v>308000</v>
      </c>
      <c r="K979" s="11">
        <f>IF(B979="Pensioner",1,VLOOKUP(Assumptions!$B$10,Mortality!$A$2:$F$104,6,FALSE)/VLOOKUP(C979,Mortality!$A$2:$F$104,6,FALSE))</f>
        <v>1</v>
      </c>
      <c r="L979" s="11">
        <f>VLOOKUP(IF(B979="Pensioner",C979,Assumptions!$B$10),Mortality!$A$2:$E$104,5,FALSE)</f>
        <v>10.662474804432929</v>
      </c>
      <c r="M979" s="11">
        <f>1+Assumptions!$B$13*Assumptions!$B$14*Assumptions!$B$15</f>
        <v>1.3187500000000001</v>
      </c>
      <c r="N979" s="11">
        <f>IF(B979="Pensioner",1,1/(1+Assumptions!$B$6)^G979)</f>
        <v>1</v>
      </c>
      <c r="O979" s="17">
        <f t="shared" si="15"/>
        <v>4330830.7036905447</v>
      </c>
    </row>
    <row r="980" spans="1:15">
      <c r="A980" s="13" t="str">
        <f>Members!A980</f>
        <v>D0026</v>
      </c>
      <c r="B980" s="13" t="str">
        <f>Members!B980</f>
        <v>Deferred</v>
      </c>
      <c r="C980" s="13">
        <f>Members!C980</f>
        <v>39</v>
      </c>
      <c r="D980" s="14">
        <f>Members!D980</f>
        <v>13.6</v>
      </c>
      <c r="E980" s="16">
        <f>Members!E980</f>
        <v>675000</v>
      </c>
      <c r="F980" s="16">
        <f>Members!F980</f>
        <v>0</v>
      </c>
      <c r="G980" s="15">
        <f>MAX(0,Assumptions!$B$10-C980)</f>
        <v>21</v>
      </c>
      <c r="H980" s="17">
        <f>IF(B980="Active",E980*(1+Assumptions!$B$7)^G980,E980)</f>
        <v>675000</v>
      </c>
      <c r="I980" s="17">
        <f>IF(B980="Active",MIN(Assumptions!$B$12,D980+G980),IF(B980="Deferred",MIN(Assumptions!$B$12,D980),D980))</f>
        <v>13.6</v>
      </c>
      <c r="J980" s="17">
        <f>IF(B980="Active",H980*I980*Assumptions!$B$11,IF(B980="Deferred",E980*I980*Assumptions!$B$11*(1+Assumptions!$B$9)^G980,F980))</f>
        <v>348651.51451947808</v>
      </c>
      <c r="K980" s="11">
        <f>IF(B980="Pensioner",1,VLOOKUP(Assumptions!$B$10,Mortality!$A$2:$F$104,6,FALSE)/VLOOKUP(C980,Mortality!$A$2:$F$104,6,FALSE))</f>
        <v>0.97358574177887802</v>
      </c>
      <c r="L980" s="11">
        <f>VLOOKUP(IF(B980="Pensioner",C980,Assumptions!$B$10),Mortality!$A$2:$E$104,5,FALSE)</f>
        <v>17.296790022132885</v>
      </c>
      <c r="M980" s="11">
        <f>1+Assumptions!$B$13*Assumptions!$B$14*Assumptions!$B$15</f>
        <v>1.3187500000000001</v>
      </c>
      <c r="N980" s="11">
        <f>IF(B980="Pensioner",1,1/(1+Assumptions!$B$6)^G980)</f>
        <v>0.26647608349429097</v>
      </c>
      <c r="O980" s="17">
        <f t="shared" si="15"/>
        <v>2063250.6172513652</v>
      </c>
    </row>
    <row r="981" spans="1:15">
      <c r="A981" s="13" t="str">
        <f>Members!A981</f>
        <v>A0299</v>
      </c>
      <c r="B981" s="13" t="str">
        <f>Members!B981</f>
        <v>Active</v>
      </c>
      <c r="C981" s="13">
        <f>Members!C981</f>
        <v>52</v>
      </c>
      <c r="D981" s="14">
        <f>Members!D981</f>
        <v>13</v>
      </c>
      <c r="E981" s="16">
        <f>Members!E981</f>
        <v>1442000</v>
      </c>
      <c r="F981" s="16">
        <f>Members!F981</f>
        <v>0</v>
      </c>
      <c r="G981" s="15">
        <f>MAX(0,Assumptions!$B$10-C981)</f>
        <v>8</v>
      </c>
      <c r="H981" s="17">
        <f>IF(B981="Active",E981*(1+Assumptions!$B$7)^G981,E981)</f>
        <v>2213017.9546244522</v>
      </c>
      <c r="I981" s="17">
        <f>IF(B981="Active",MIN(Assumptions!$B$12,D981+G981),IF(B981="Deferred",MIN(Assumptions!$B$12,D981),D981))</f>
        <v>21</v>
      </c>
      <c r="J981" s="17">
        <f>IF(B981="Active",H981*I981*Assumptions!$B$11,IF(B981="Deferred",E981*I981*Assumptions!$B$11*(1+Assumptions!$B$9)^G981,F981))</f>
        <v>774556.28411855816</v>
      </c>
      <c r="K981" s="11">
        <f>IF(B981="Pensioner",1,VLOOKUP(Assumptions!$B$10,Mortality!$A$2:$F$104,6,FALSE)/VLOOKUP(C981,Mortality!$A$2:$F$104,6,FALSE))</f>
        <v>0.98365275168798427</v>
      </c>
      <c r="L981" s="11">
        <f>VLOOKUP(IF(B981="Pensioner",C981,Assumptions!$B$10),Mortality!$A$2:$E$104,5,FALSE)</f>
        <v>17.296790022132885</v>
      </c>
      <c r="M981" s="11">
        <f>1+Assumptions!$B$13*Assumptions!$B$14*Assumptions!$B$15</f>
        <v>1.3187500000000001</v>
      </c>
      <c r="N981" s="11">
        <f>IF(B981="Pensioner",1,1/(1+Assumptions!$B$6)^G981)</f>
        <v>0.60423118763827188</v>
      </c>
      <c r="O981" s="17">
        <f t="shared" si="15"/>
        <v>10500885.346630663</v>
      </c>
    </row>
    <row r="982" spans="1:15">
      <c r="A982" s="13" t="str">
        <f>Members!A982</f>
        <v>P0161</v>
      </c>
      <c r="B982" s="13" t="str">
        <f>Members!B982</f>
        <v>Pensioner</v>
      </c>
      <c r="C982" s="13">
        <f>Members!C982</f>
        <v>77</v>
      </c>
      <c r="D982" s="14">
        <f>Members!D982</f>
        <v>15.8</v>
      </c>
      <c r="E982" s="16">
        <f>Members!E982</f>
        <v>0</v>
      </c>
      <c r="F982" s="16">
        <f>Members!F982</f>
        <v>455000</v>
      </c>
      <c r="G982" s="15">
        <f>MAX(0,Assumptions!$B$10-C982)</f>
        <v>0</v>
      </c>
      <c r="H982" s="17">
        <f>IF(B982="Active",E982*(1+Assumptions!$B$7)^G982,E982)</f>
        <v>0</v>
      </c>
      <c r="I982" s="17">
        <f>IF(B982="Active",MIN(Assumptions!$B$12,D982+G982),IF(B982="Deferred",MIN(Assumptions!$B$12,D982),D982))</f>
        <v>15.8</v>
      </c>
      <c r="J982" s="17">
        <f>IF(B982="Active",H982*I982*Assumptions!$B$11,IF(B982="Deferred",E982*I982*Assumptions!$B$11*(1+Assumptions!$B$9)^G982,F982))</f>
        <v>455000</v>
      </c>
      <c r="K982" s="11">
        <f>IF(B982="Pensioner",1,VLOOKUP(Assumptions!$B$10,Mortality!$A$2:$F$104,6,FALSE)/VLOOKUP(C982,Mortality!$A$2:$F$104,6,FALSE))</f>
        <v>1</v>
      </c>
      <c r="L982" s="11">
        <f>VLOOKUP(IF(B982="Pensioner",C982,Assumptions!$B$10),Mortality!$A$2:$E$104,5,FALSE)</f>
        <v>9.7418184564319716</v>
      </c>
      <c r="M982" s="11">
        <f>1+Assumptions!$B$13*Assumptions!$B$14*Assumptions!$B$15</f>
        <v>1.3187500000000001</v>
      </c>
      <c r="N982" s="11">
        <f>IF(B982="Pensioner",1,1/(1+Assumptions!$B$6)^G982)</f>
        <v>1</v>
      </c>
      <c r="O982" s="17">
        <f t="shared" si="15"/>
        <v>5845395.5056859469</v>
      </c>
    </row>
    <row r="983" spans="1:15">
      <c r="A983" s="13" t="str">
        <f>Members!A983</f>
        <v>D0082</v>
      </c>
      <c r="B983" s="13" t="str">
        <f>Members!B983</f>
        <v>Deferred</v>
      </c>
      <c r="C983" s="13">
        <f>Members!C983</f>
        <v>35</v>
      </c>
      <c r="D983" s="14">
        <f>Members!D983</f>
        <v>12</v>
      </c>
      <c r="E983" s="16">
        <f>Members!E983</f>
        <v>367000</v>
      </c>
      <c r="F983" s="16">
        <f>Members!F983</f>
        <v>0</v>
      </c>
      <c r="G983" s="15">
        <f>MAX(0,Assumptions!$B$10-C983)</f>
        <v>25</v>
      </c>
      <c r="H983" s="17">
        <f>IF(B983="Active",E983*(1+Assumptions!$B$7)^G983,E983)</f>
        <v>367000</v>
      </c>
      <c r="I983" s="17">
        <f>IF(B983="Active",MIN(Assumptions!$B$12,D983+G983),IF(B983="Deferred",MIN(Assumptions!$B$12,D983),D983))</f>
        <v>12</v>
      </c>
      <c r="J983" s="17">
        <f>IF(B983="Active",H983*I983*Assumptions!$B$11,IF(B983="Deferred",E983*I983*Assumptions!$B$11*(1+Assumptions!$B$9)^G983,F983))</f>
        <v>195672.38673117687</v>
      </c>
      <c r="K983" s="11">
        <f>IF(B983="Pensioner",1,VLOOKUP(Assumptions!$B$10,Mortality!$A$2:$F$104,6,FALSE)/VLOOKUP(C983,Mortality!$A$2:$F$104,6,FALSE))</f>
        <v>0.97197407653867529</v>
      </c>
      <c r="L983" s="11">
        <f>VLOOKUP(IF(B983="Pensioner",C983,Assumptions!$B$10),Mortality!$A$2:$E$104,5,FALSE)</f>
        <v>17.296790022132885</v>
      </c>
      <c r="M983" s="11">
        <f>1+Assumptions!$B$13*Assumptions!$B$14*Assumptions!$B$15</f>
        <v>1.3187500000000001</v>
      </c>
      <c r="N983" s="11">
        <f>IF(B983="Pensioner",1,1/(1+Assumptions!$B$6)^G983)</f>
        <v>0.20713801287132758</v>
      </c>
      <c r="O983" s="17">
        <f t="shared" si="15"/>
        <v>898611.59053469182</v>
      </c>
    </row>
    <row r="984" spans="1:15">
      <c r="A984" s="13" t="str">
        <f>Members!A984</f>
        <v>D0069</v>
      </c>
      <c r="B984" s="13" t="str">
        <f>Members!B984</f>
        <v>Deferred</v>
      </c>
      <c r="C984" s="13">
        <f>Members!C984</f>
        <v>32</v>
      </c>
      <c r="D984" s="14">
        <f>Members!D984</f>
        <v>5.9</v>
      </c>
      <c r="E984" s="16">
        <f>Members!E984</f>
        <v>384000</v>
      </c>
      <c r="F984" s="16">
        <f>Members!F984</f>
        <v>0</v>
      </c>
      <c r="G984" s="15">
        <f>MAX(0,Assumptions!$B$10-C984)</f>
        <v>28</v>
      </c>
      <c r="H984" s="17">
        <f>IF(B984="Active",E984*(1+Assumptions!$B$7)^G984,E984)</f>
        <v>384000</v>
      </c>
      <c r="I984" s="17">
        <f>IF(B984="Active",MIN(Assumptions!$B$12,D984+G984),IF(B984="Deferred",MIN(Assumptions!$B$12,D984),D984))</f>
        <v>5.9</v>
      </c>
      <c r="J984" s="17">
        <f>IF(B984="Active",H984*I984*Assumptions!$B$11,IF(B984="Deferred",E984*I984*Assumptions!$B$11*(1+Assumptions!$B$9)^G984,F984))</f>
        <v>113231.03733232249</v>
      </c>
      <c r="K984" s="11">
        <f>IF(B984="Pensioner",1,VLOOKUP(Assumptions!$B$10,Mortality!$A$2:$F$104,6,FALSE)/VLOOKUP(C984,Mortality!$A$2:$F$104,6,FALSE))</f>
        <v>0.97095846876649572</v>
      </c>
      <c r="L984" s="11">
        <f>VLOOKUP(IF(B984="Pensioner",C984,Assumptions!$B$10),Mortality!$A$2:$E$104,5,FALSE)</f>
        <v>17.296790022132885</v>
      </c>
      <c r="M984" s="11">
        <f>1+Assumptions!$B$13*Assumptions!$B$14*Assumptions!$B$15</f>
        <v>1.3187500000000001</v>
      </c>
      <c r="N984" s="11">
        <f>IF(B984="Pensioner",1,1/(1+Assumptions!$B$6)^G984)</f>
        <v>0.17147901583340255</v>
      </c>
      <c r="O984" s="17">
        <f t="shared" si="15"/>
        <v>430036.29173539078</v>
      </c>
    </row>
    <row r="985" spans="1:15">
      <c r="A985" s="13" t="str">
        <f>Members!A985</f>
        <v>P0213</v>
      </c>
      <c r="B985" s="13" t="str">
        <f>Members!B985</f>
        <v>Pensioner</v>
      </c>
      <c r="C985" s="13">
        <f>Members!C985</f>
        <v>67</v>
      </c>
      <c r="D985" s="14">
        <f>Members!D985</f>
        <v>22.7</v>
      </c>
      <c r="E985" s="16">
        <f>Members!E985</f>
        <v>0</v>
      </c>
      <c r="F985" s="16">
        <f>Members!F985</f>
        <v>224000</v>
      </c>
      <c r="G985" s="15">
        <f>MAX(0,Assumptions!$B$10-C985)</f>
        <v>0</v>
      </c>
      <c r="H985" s="17">
        <f>IF(B985="Active",E985*(1+Assumptions!$B$7)^G985,E985)</f>
        <v>0</v>
      </c>
      <c r="I985" s="17">
        <f>IF(B985="Active",MIN(Assumptions!$B$12,D985+G985),IF(B985="Deferred",MIN(Assumptions!$B$12,D985),D985))</f>
        <v>22.7</v>
      </c>
      <c r="J985" s="17">
        <f>IF(B985="Active",H985*I985*Assumptions!$B$11,IF(B985="Deferred",E985*I985*Assumptions!$B$11*(1+Assumptions!$B$9)^G985,F985))</f>
        <v>224000</v>
      </c>
      <c r="K985" s="11">
        <f>IF(B985="Pensioner",1,VLOOKUP(Assumptions!$B$10,Mortality!$A$2:$F$104,6,FALSE)/VLOOKUP(C985,Mortality!$A$2:$F$104,6,FALSE))</f>
        <v>1</v>
      </c>
      <c r="L985" s="11">
        <f>VLOOKUP(IF(B985="Pensioner",C985,Assumptions!$B$10),Mortality!$A$2:$E$104,5,FALSE)</f>
        <v>14.316480461373482</v>
      </c>
      <c r="M985" s="11">
        <f>1+Assumptions!$B$13*Assumptions!$B$14*Assumptions!$B$15</f>
        <v>1.3187500000000001</v>
      </c>
      <c r="N985" s="11">
        <f>IF(B985="Pensioner",1,1/(1+Assumptions!$B$6)^G985)</f>
        <v>1</v>
      </c>
      <c r="O985" s="17">
        <f t="shared" si="15"/>
        <v>4229088.3282897267</v>
      </c>
    </row>
    <row r="986" spans="1:15">
      <c r="A986" s="13" t="str">
        <f>Members!A986</f>
        <v>A0073</v>
      </c>
      <c r="B986" s="13" t="str">
        <f>Members!B986</f>
        <v>Active</v>
      </c>
      <c r="C986" s="13">
        <f>Members!C986</f>
        <v>24</v>
      </c>
      <c r="D986" s="14">
        <f>Members!D986</f>
        <v>1</v>
      </c>
      <c r="E986" s="16">
        <f>Members!E986</f>
        <v>508000</v>
      </c>
      <c r="F986" s="16">
        <f>Members!F986</f>
        <v>0</v>
      </c>
      <c r="G986" s="15">
        <f>MAX(0,Assumptions!$B$10-C986)</f>
        <v>36</v>
      </c>
      <c r="H986" s="17">
        <f>IF(B986="Active",E986*(1+Assumptions!$B$7)^G986,E986)</f>
        <v>3491019.3746936335</v>
      </c>
      <c r="I986" s="17">
        <f>IF(B986="Active",MIN(Assumptions!$B$12,D986+G986),IF(B986="Deferred",MIN(Assumptions!$B$12,D986),D986))</f>
        <v>37</v>
      </c>
      <c r="J986" s="17">
        <f>IF(B986="Active",H986*I986*Assumptions!$B$11,IF(B986="Deferred",E986*I986*Assumptions!$B$11*(1+Assumptions!$B$9)^G986,F986))</f>
        <v>2152795.2810610738</v>
      </c>
      <c r="K986" s="11">
        <f>IF(B986="Pensioner",1,VLOOKUP(Assumptions!$B$10,Mortality!$A$2:$F$104,6,FALSE)/VLOOKUP(C986,Mortality!$A$2:$F$104,6,FALSE))</f>
        <v>0.96871086700607645</v>
      </c>
      <c r="L986" s="11">
        <f>VLOOKUP(IF(B986="Pensioner",C986,Assumptions!$B$10),Mortality!$A$2:$E$104,5,FALSE)</f>
        <v>17.296790022132885</v>
      </c>
      <c r="M986" s="11">
        <f>1+Assumptions!$B$13*Assumptions!$B$14*Assumptions!$B$15</f>
        <v>1.3187500000000001</v>
      </c>
      <c r="N986" s="11">
        <f>IF(B986="Pensioner",1,1/(1+Assumptions!$B$6)^G986)</f>
        <v>0.10361296939205883</v>
      </c>
      <c r="O986" s="17">
        <f t="shared" si="15"/>
        <v>4928775.1988165518</v>
      </c>
    </row>
    <row r="987" spans="1:15">
      <c r="A987" s="13" t="str">
        <f>Members!A987</f>
        <v>A0339</v>
      </c>
      <c r="B987" s="13" t="str">
        <f>Members!B987</f>
        <v>Active</v>
      </c>
      <c r="C987" s="13">
        <f>Members!C987</f>
        <v>33</v>
      </c>
      <c r="D987" s="14">
        <f>Members!D987</f>
        <v>9.5</v>
      </c>
      <c r="E987" s="16">
        <f>Members!E987</f>
        <v>732000</v>
      </c>
      <c r="F987" s="16">
        <f>Members!F987</f>
        <v>0</v>
      </c>
      <c r="G987" s="15">
        <f>MAX(0,Assumptions!$B$10-C987)</f>
        <v>27</v>
      </c>
      <c r="H987" s="17">
        <f>IF(B987="Active",E987*(1+Assumptions!$B$7)^G987,E987)</f>
        <v>3106901.5457790224</v>
      </c>
      <c r="I987" s="17">
        <f>IF(B987="Active",MIN(Assumptions!$B$12,D987+G987),IF(B987="Deferred",MIN(Assumptions!$B$12,D987),D987))</f>
        <v>36.5</v>
      </c>
      <c r="J987" s="17">
        <f>IF(B987="Active",H987*I987*Assumptions!$B$11,IF(B987="Deferred",E987*I987*Assumptions!$B$11*(1+Assumptions!$B$9)^G987,F987))</f>
        <v>1890031.7736822385</v>
      </c>
      <c r="K987" s="11">
        <f>IF(B987="Pensioner",1,VLOOKUP(Assumptions!$B$10,Mortality!$A$2:$F$104,6,FALSE)/VLOOKUP(C987,Mortality!$A$2:$F$104,6,FALSE))</f>
        <v>0.9712826176321353</v>
      </c>
      <c r="L987" s="11">
        <f>VLOOKUP(IF(B987="Pensioner",C987,Assumptions!$B$10),Mortality!$A$2:$E$104,5,FALSE)</f>
        <v>17.296790022132885</v>
      </c>
      <c r="M987" s="11">
        <f>1+Assumptions!$B$13*Assumptions!$B$14*Assumptions!$B$15</f>
        <v>1.3187500000000001</v>
      </c>
      <c r="N987" s="11">
        <f>IF(B987="Pensioner",1,1/(1+Assumptions!$B$6)^G987)</f>
        <v>0.18262515186257369</v>
      </c>
      <c r="O987" s="17">
        <f t="shared" si="15"/>
        <v>7647214.9521039287</v>
      </c>
    </row>
    <row r="988" spans="1:15">
      <c r="A988" s="13" t="str">
        <f>Members!A988</f>
        <v>A0391</v>
      </c>
      <c r="B988" s="13" t="str">
        <f>Members!B988</f>
        <v>Active</v>
      </c>
      <c r="C988" s="13">
        <f>Members!C988</f>
        <v>31</v>
      </c>
      <c r="D988" s="14">
        <f>Members!D988</f>
        <v>6.7</v>
      </c>
      <c r="E988" s="16">
        <f>Members!E988</f>
        <v>731000</v>
      </c>
      <c r="F988" s="16">
        <f>Members!F988</f>
        <v>0</v>
      </c>
      <c r="G988" s="15">
        <f>MAX(0,Assumptions!$B$10-C988)</f>
        <v>29</v>
      </c>
      <c r="H988" s="17">
        <f>IF(B988="Active",E988*(1+Assumptions!$B$7)^G988,E988)</f>
        <v>3453334.9685467193</v>
      </c>
      <c r="I988" s="17">
        <f>IF(B988="Active",MIN(Assumptions!$B$12,D988+G988),IF(B988="Deferred",MIN(Assumptions!$B$12,D988),D988))</f>
        <v>35.700000000000003</v>
      </c>
      <c r="J988" s="17">
        <f>IF(B988="Active",H988*I988*Assumptions!$B$11,IF(B988="Deferred",E988*I988*Assumptions!$B$11*(1+Assumptions!$B$9)^G988,F988))</f>
        <v>2054734.3062852982</v>
      </c>
      <c r="K988" s="11">
        <f>IF(B988="Pensioner",1,VLOOKUP(Assumptions!$B$10,Mortality!$A$2:$F$104,6,FALSE)/VLOOKUP(C988,Mortality!$A$2:$F$104,6,FALSE))</f>
        <v>0.97064661072952085</v>
      </c>
      <c r="L988" s="11">
        <f>VLOOKUP(IF(B988="Pensioner",C988,Assumptions!$B$10),Mortality!$A$2:$E$104,5,FALSE)</f>
        <v>17.296790022132885</v>
      </c>
      <c r="M988" s="11">
        <f>1+Assumptions!$B$13*Assumptions!$B$14*Assumptions!$B$15</f>
        <v>1.3187500000000001</v>
      </c>
      <c r="N988" s="11">
        <f>IF(B988="Pensioner",1,1/(1+Assumptions!$B$6)^G988)</f>
        <v>0.16101316040695074</v>
      </c>
      <c r="O988" s="17">
        <f t="shared" si="15"/>
        <v>7324975.4742311342</v>
      </c>
    </row>
    <row r="989" spans="1:15">
      <c r="A989" s="13" t="str">
        <f>Members!A989</f>
        <v>A0334</v>
      </c>
      <c r="B989" s="13" t="str">
        <f>Members!B989</f>
        <v>Active</v>
      </c>
      <c r="C989" s="13">
        <f>Members!C989</f>
        <v>51</v>
      </c>
      <c r="D989" s="14">
        <f>Members!D989</f>
        <v>19.5</v>
      </c>
      <c r="E989" s="16">
        <f>Members!E989</f>
        <v>1390000</v>
      </c>
      <c r="F989" s="16">
        <f>Members!F989</f>
        <v>0</v>
      </c>
      <c r="G989" s="15">
        <f>MAX(0,Assumptions!$B$10-C989)</f>
        <v>9</v>
      </c>
      <c r="H989" s="17">
        <f>IF(B989="Active",E989*(1+Assumptions!$B$7)^G989,E989)</f>
        <v>2250541.0399161084</v>
      </c>
      <c r="I989" s="17">
        <f>IF(B989="Active",MIN(Assumptions!$B$12,D989+G989),IF(B989="Deferred",MIN(Assumptions!$B$12,D989),D989))</f>
        <v>28.5</v>
      </c>
      <c r="J989" s="17">
        <f>IF(B989="Active",H989*I989*Assumptions!$B$11,IF(B989="Deferred",E989*I989*Assumptions!$B$11*(1+Assumptions!$B$9)^G989,F989))</f>
        <v>1069006.9939601514</v>
      </c>
      <c r="K989" s="11">
        <f>IF(B989="Pensioner",1,VLOOKUP(Assumptions!$B$10,Mortality!$A$2:$F$104,6,FALSE)/VLOOKUP(C989,Mortality!$A$2:$F$104,6,FALSE))</f>
        <v>0.98240527975061542</v>
      </c>
      <c r="L989" s="11">
        <f>VLOOKUP(IF(B989="Pensioner",C989,Assumptions!$B$10),Mortality!$A$2:$E$104,5,FALSE)</f>
        <v>17.296790022132885</v>
      </c>
      <c r="M989" s="11">
        <f>1+Assumptions!$B$13*Assumptions!$B$14*Assumptions!$B$15</f>
        <v>1.3187500000000001</v>
      </c>
      <c r="N989" s="11">
        <f>IF(B989="Pensioner",1,1/(1+Assumptions!$B$6)^G989)</f>
        <v>0.56735322782936326</v>
      </c>
      <c r="O989" s="17">
        <f t="shared" si="15"/>
        <v>13591041.867591176</v>
      </c>
    </row>
    <row r="990" spans="1:15">
      <c r="A990" s="13" t="str">
        <f>Members!A990</f>
        <v>A0464</v>
      </c>
      <c r="B990" s="13" t="str">
        <f>Members!B990</f>
        <v>Active</v>
      </c>
      <c r="C990" s="13">
        <f>Members!C990</f>
        <v>56</v>
      </c>
      <c r="D990" s="14">
        <f>Members!D990</f>
        <v>12.4</v>
      </c>
      <c r="E990" s="16">
        <f>Members!E990</f>
        <v>1292000</v>
      </c>
      <c r="F990" s="16">
        <f>Members!F990</f>
        <v>0</v>
      </c>
      <c r="G990" s="15">
        <f>MAX(0,Assumptions!$B$10-C990)</f>
        <v>4</v>
      </c>
      <c r="H990" s="17">
        <f>IF(B990="Active",E990*(1+Assumptions!$B$7)^G990,E990)</f>
        <v>1600561.4486074997</v>
      </c>
      <c r="I990" s="17">
        <f>IF(B990="Active",MIN(Assumptions!$B$12,D990+G990),IF(B990="Deferred",MIN(Assumptions!$B$12,D990),D990))</f>
        <v>16.399999999999999</v>
      </c>
      <c r="J990" s="17">
        <f>IF(B990="Active",H990*I990*Assumptions!$B$11,IF(B990="Deferred",E990*I990*Assumptions!$B$11*(1+Assumptions!$B$9)^G990,F990))</f>
        <v>437486.79595271655</v>
      </c>
      <c r="K990" s="11">
        <f>IF(B990="Pensioner",1,VLOOKUP(Assumptions!$B$10,Mortality!$A$2:$F$104,6,FALSE)/VLOOKUP(C990,Mortality!$A$2:$F$104,6,FALSE))</f>
        <v>0.99011625581042195</v>
      </c>
      <c r="L990" s="11">
        <f>VLOOKUP(IF(B990="Pensioner",C990,Assumptions!$B$10),Mortality!$A$2:$E$104,5,FALSE)</f>
        <v>17.296790022132885</v>
      </c>
      <c r="M990" s="11">
        <f>1+Assumptions!$B$13*Assumptions!$B$14*Assumptions!$B$15</f>
        <v>1.3187500000000001</v>
      </c>
      <c r="N990" s="11">
        <f>IF(B990="Pensioner",1,1/(1+Assumptions!$B$6)^G990)</f>
        <v>0.77732309089481699</v>
      </c>
      <c r="O990" s="17">
        <f t="shared" si="15"/>
        <v>7680344.4089922067</v>
      </c>
    </row>
    <row r="991" spans="1:15">
      <c r="A991" s="13" t="str">
        <f>Members!A991</f>
        <v>A0181</v>
      </c>
      <c r="B991" s="13" t="str">
        <f>Members!B991</f>
        <v>Active</v>
      </c>
      <c r="C991" s="13">
        <f>Members!C991</f>
        <v>27</v>
      </c>
      <c r="D991" s="14">
        <f>Members!D991</f>
        <v>1.5</v>
      </c>
      <c r="E991" s="16">
        <f>Members!E991</f>
        <v>384000</v>
      </c>
      <c r="F991" s="16">
        <f>Members!F991</f>
        <v>0</v>
      </c>
      <c r="G991" s="15">
        <f>MAX(0,Assumptions!$B$10-C991)</f>
        <v>33</v>
      </c>
      <c r="H991" s="17">
        <f>IF(B991="Active",E991*(1+Assumptions!$B$7)^G991,E991)</f>
        <v>2247306.9365061261</v>
      </c>
      <c r="I991" s="17">
        <f>IF(B991="Active",MIN(Assumptions!$B$12,D991+G991),IF(B991="Deferred",MIN(Assumptions!$B$12,D991),D991))</f>
        <v>34.5</v>
      </c>
      <c r="J991" s="17">
        <f>IF(B991="Active",H991*I991*Assumptions!$B$11,IF(B991="Deferred",E991*I991*Assumptions!$B$11*(1+Assumptions!$B$9)^G991,F991))</f>
        <v>1292201.4884910225</v>
      </c>
      <c r="K991" s="11">
        <f>IF(B991="Pensioner",1,VLOOKUP(Assumptions!$B$10,Mortality!$A$2:$F$104,6,FALSE)/VLOOKUP(C991,Mortality!$A$2:$F$104,6,FALSE))</f>
        <v>0.96949713302845153</v>
      </c>
      <c r="L991" s="11">
        <f>VLOOKUP(IF(B991="Pensioner",C991,Assumptions!$B$10),Mortality!$A$2:$E$104,5,FALSE)</f>
        <v>17.296790022132885</v>
      </c>
      <c r="M991" s="11">
        <f>1+Assumptions!$B$13*Assumptions!$B$14*Assumptions!$B$15</f>
        <v>1.3187500000000001</v>
      </c>
      <c r="N991" s="11">
        <f>IF(B991="Pensioner",1,1/(1+Assumptions!$B$6)^G991)</f>
        <v>0.12515924752227392</v>
      </c>
      <c r="O991" s="17">
        <f t="shared" si="15"/>
        <v>3576577.9555348023</v>
      </c>
    </row>
    <row r="992" spans="1:15">
      <c r="A992" s="13" t="str">
        <f>Members!A992</f>
        <v>P0065</v>
      </c>
      <c r="B992" s="13" t="str">
        <f>Members!B992</f>
        <v>Pensioner</v>
      </c>
      <c r="C992" s="13">
        <f>Members!C992</f>
        <v>81</v>
      </c>
      <c r="D992" s="14">
        <f>Members!D992</f>
        <v>20.8</v>
      </c>
      <c r="E992" s="16">
        <f>Members!E992</f>
        <v>0</v>
      </c>
      <c r="F992" s="16">
        <f>Members!F992</f>
        <v>314000</v>
      </c>
      <c r="G992" s="15">
        <f>MAX(0,Assumptions!$B$10-C992)</f>
        <v>0</v>
      </c>
      <c r="H992" s="17">
        <f>IF(B992="Active",E992*(1+Assumptions!$B$7)^G992,E992)</f>
        <v>0</v>
      </c>
      <c r="I992" s="17">
        <f>IF(B992="Active",MIN(Assumptions!$B$12,D992+G992),IF(B992="Deferred",MIN(Assumptions!$B$12,D992),D992))</f>
        <v>20.8</v>
      </c>
      <c r="J992" s="17">
        <f>IF(B992="Active",H992*I992*Assumptions!$B$11,IF(B992="Deferred",E992*I992*Assumptions!$B$11*(1+Assumptions!$B$9)^G992,F992))</f>
        <v>314000</v>
      </c>
      <c r="K992" s="11">
        <f>IF(B992="Pensioner",1,VLOOKUP(Assumptions!$B$10,Mortality!$A$2:$F$104,6,FALSE)/VLOOKUP(C992,Mortality!$A$2:$F$104,6,FALSE))</f>
        <v>1</v>
      </c>
      <c r="L992" s="11">
        <f>VLOOKUP(IF(B992="Pensioner",C992,Assumptions!$B$10),Mortality!$A$2:$E$104,5,FALSE)</f>
        <v>7.9368977140485031</v>
      </c>
      <c r="M992" s="11">
        <f>1+Assumptions!$B$13*Assumptions!$B$14*Assumptions!$B$15</f>
        <v>1.3187500000000001</v>
      </c>
      <c r="N992" s="11">
        <f>IF(B992="Pensioner",1,1/(1+Assumptions!$B$6)^G992)</f>
        <v>1</v>
      </c>
      <c r="O992" s="17">
        <f t="shared" si="15"/>
        <v>3286570.1321660597</v>
      </c>
    </row>
    <row r="993" spans="1:15">
      <c r="A993" s="13" t="str">
        <f>Members!A993</f>
        <v>A0257</v>
      </c>
      <c r="B993" s="13" t="str">
        <f>Members!B993</f>
        <v>Active</v>
      </c>
      <c r="C993" s="13">
        <f>Members!C993</f>
        <v>46</v>
      </c>
      <c r="D993" s="14">
        <f>Members!D993</f>
        <v>10.8</v>
      </c>
      <c r="E993" s="16">
        <f>Members!E993</f>
        <v>1290000</v>
      </c>
      <c r="F993" s="16">
        <f>Members!F993</f>
        <v>0</v>
      </c>
      <c r="G993" s="15">
        <f>MAX(0,Assumptions!$B$10-C993)</f>
        <v>14</v>
      </c>
      <c r="H993" s="17">
        <f>IF(B993="Active",E993*(1+Assumptions!$B$7)^G993,E993)</f>
        <v>2729757.9857696258</v>
      </c>
      <c r="I993" s="17">
        <f>IF(B993="Active",MIN(Assumptions!$B$12,D993+G993),IF(B993="Deferred",MIN(Assumptions!$B$12,D993),D993))</f>
        <v>24.8</v>
      </c>
      <c r="J993" s="17">
        <f>IF(B993="Active",H993*I993*Assumptions!$B$11,IF(B993="Deferred",E993*I993*Assumptions!$B$11*(1+Assumptions!$B$9)^G993,F993))</f>
        <v>1128299.9674514453</v>
      </c>
      <c r="K993" s="11">
        <f>IF(B993="Pensioner",1,VLOOKUP(Assumptions!$B$10,Mortality!$A$2:$F$104,6,FALSE)/VLOOKUP(C993,Mortality!$A$2:$F$104,6,FALSE))</f>
        <v>0.97765823283048059</v>
      </c>
      <c r="L993" s="11">
        <f>VLOOKUP(IF(B993="Pensioner",C993,Assumptions!$B$10),Mortality!$A$2:$E$104,5,FALSE)</f>
        <v>17.296790022132885</v>
      </c>
      <c r="M993" s="11">
        <f>1+Assumptions!$B$13*Assumptions!$B$14*Assumptions!$B$15</f>
        <v>1.3187500000000001</v>
      </c>
      <c r="N993" s="11">
        <f>IF(B993="Pensioner",1,1/(1+Assumptions!$B$6)^G993)</f>
        <v>0.41410024853095956</v>
      </c>
      <c r="O993" s="17">
        <f t="shared" si="15"/>
        <v>10419457.665637394</v>
      </c>
    </row>
    <row r="994" spans="1:15">
      <c r="A994" s="13" t="str">
        <f>Members!A994</f>
        <v>P0022</v>
      </c>
      <c r="B994" s="13" t="str">
        <f>Members!B994</f>
        <v>Pensioner</v>
      </c>
      <c r="C994" s="13">
        <f>Members!C994</f>
        <v>84</v>
      </c>
      <c r="D994" s="14">
        <f>Members!D994</f>
        <v>13.3</v>
      </c>
      <c r="E994" s="16">
        <f>Members!E994</f>
        <v>0</v>
      </c>
      <c r="F994" s="16">
        <f>Members!F994</f>
        <v>690000</v>
      </c>
      <c r="G994" s="15">
        <f>MAX(0,Assumptions!$B$10-C994)</f>
        <v>0</v>
      </c>
      <c r="H994" s="17">
        <f>IF(B994="Active",E994*(1+Assumptions!$B$7)^G994,E994)</f>
        <v>0</v>
      </c>
      <c r="I994" s="17">
        <f>IF(B994="Active",MIN(Assumptions!$B$12,D994+G994),IF(B994="Deferred",MIN(Assumptions!$B$12,D994),D994))</f>
        <v>13.3</v>
      </c>
      <c r="J994" s="17">
        <f>IF(B994="Active",H994*I994*Assumptions!$B$11,IF(B994="Deferred",E994*I994*Assumptions!$B$11*(1+Assumptions!$B$9)^G994,F994))</f>
        <v>690000</v>
      </c>
      <c r="K994" s="11">
        <f>IF(B994="Pensioner",1,VLOOKUP(Assumptions!$B$10,Mortality!$A$2:$F$104,6,FALSE)/VLOOKUP(C994,Mortality!$A$2:$F$104,6,FALSE))</f>
        <v>1</v>
      </c>
      <c r="L994" s="11">
        <f>VLOOKUP(IF(B994="Pensioner",C994,Assumptions!$B$10),Mortality!$A$2:$E$104,5,FALSE)</f>
        <v>6.6432720965175314</v>
      </c>
      <c r="M994" s="11">
        <f>1+Assumptions!$B$13*Assumptions!$B$14*Assumptions!$B$15</f>
        <v>1.3187500000000001</v>
      </c>
      <c r="N994" s="11">
        <f>IF(B994="Pensioner",1,1/(1+Assumptions!$B$6)^G994)</f>
        <v>1</v>
      </c>
      <c r="O994" s="17">
        <f t="shared" si="15"/>
        <v>6044962.4033249216</v>
      </c>
    </row>
    <row r="995" spans="1:15">
      <c r="A995" s="13" t="str">
        <f>Members!A995</f>
        <v>A0016</v>
      </c>
      <c r="B995" s="13" t="str">
        <f>Members!B995</f>
        <v>Active</v>
      </c>
      <c r="C995" s="13">
        <f>Members!C995</f>
        <v>48</v>
      </c>
      <c r="D995" s="14">
        <f>Members!D995</f>
        <v>20.9</v>
      </c>
      <c r="E995" s="16">
        <f>Members!E995</f>
        <v>1040000</v>
      </c>
      <c r="F995" s="16">
        <f>Members!F995</f>
        <v>0</v>
      </c>
      <c r="G995" s="15">
        <f>MAX(0,Assumptions!$B$10-C995)</f>
        <v>12</v>
      </c>
      <c r="H995" s="17">
        <f>IF(B995="Active",E995*(1+Assumptions!$B$7)^G995,E995)</f>
        <v>1977255.7851893678</v>
      </c>
      <c r="I995" s="17">
        <f>IF(B995="Active",MIN(Assumptions!$B$12,D995+G995),IF(B995="Deferred",MIN(Assumptions!$B$12,D995),D995))</f>
        <v>32.9</v>
      </c>
      <c r="J995" s="17">
        <f>IF(B995="Active",H995*I995*Assumptions!$B$11,IF(B995="Deferred",E995*I995*Assumptions!$B$11*(1+Assumptions!$B$9)^G995,F995))</f>
        <v>1084195.2555455032</v>
      </c>
      <c r="K995" s="11">
        <f>IF(B995="Pensioner",1,VLOOKUP(Assumptions!$B$10,Mortality!$A$2:$F$104,6,FALSE)/VLOOKUP(C995,Mortality!$A$2:$F$104,6,FALSE))</f>
        <v>0.97930374297365907</v>
      </c>
      <c r="L995" s="11">
        <f>VLOOKUP(IF(B995="Pensioner",C995,Assumptions!$B$10),Mortality!$A$2:$E$104,5,FALSE)</f>
        <v>17.296790022132885</v>
      </c>
      <c r="M995" s="11">
        <f>1+Assumptions!$B$13*Assumptions!$B$14*Assumptions!$B$15</f>
        <v>1.3187500000000001</v>
      </c>
      <c r="N995" s="11">
        <f>IF(B995="Pensioner",1,1/(1+Assumptions!$B$6)^G995)</f>
        <v>0.4696828543900276</v>
      </c>
      <c r="O995" s="17">
        <f t="shared" si="15"/>
        <v>11375162.499515906</v>
      </c>
    </row>
    <row r="996" spans="1:15">
      <c r="A996" s="13" t="str">
        <f>Members!A996</f>
        <v>A0190</v>
      </c>
      <c r="B996" s="13" t="str">
        <f>Members!B996</f>
        <v>Active</v>
      </c>
      <c r="C996" s="13">
        <f>Members!C996</f>
        <v>36</v>
      </c>
      <c r="D996" s="14">
        <f>Members!D996</f>
        <v>14.9</v>
      </c>
      <c r="E996" s="16">
        <f>Members!E996</f>
        <v>569000</v>
      </c>
      <c r="F996" s="16">
        <f>Members!F996</f>
        <v>0</v>
      </c>
      <c r="G996" s="15">
        <f>MAX(0,Assumptions!$B$10-C996)</f>
        <v>24</v>
      </c>
      <c r="H996" s="17">
        <f>IF(B996="Active",E996*(1+Assumptions!$B$7)^G996,E996)</f>
        <v>2056701.6553225634</v>
      </c>
      <c r="I996" s="17">
        <f>IF(B996="Active",MIN(Assumptions!$B$12,D996+G996),IF(B996="Deferred",MIN(Assumptions!$B$12,D996),D996))</f>
        <v>38.9</v>
      </c>
      <c r="J996" s="17">
        <f>IF(B996="Active",H996*I996*Assumptions!$B$11,IF(B996="Deferred",E996*I996*Assumptions!$B$11*(1+Assumptions!$B$9)^G996,F996))</f>
        <v>1333428.2398674618</v>
      </c>
      <c r="K996" s="11">
        <f>IF(B996="Pensioner",1,VLOOKUP(Assumptions!$B$10,Mortality!$A$2:$F$104,6,FALSE)/VLOOKUP(C996,Mortality!$A$2:$F$104,6,FALSE))</f>
        <v>0.97234503055413524</v>
      </c>
      <c r="L996" s="11">
        <f>VLOOKUP(IF(B996="Pensioner",C996,Assumptions!$B$10),Mortality!$A$2:$E$104,5,FALSE)</f>
        <v>17.296790022132885</v>
      </c>
      <c r="M996" s="11">
        <f>1+Assumptions!$B$13*Assumptions!$B$14*Assumptions!$B$15</f>
        <v>1.3187500000000001</v>
      </c>
      <c r="N996" s="11">
        <f>IF(B996="Pensioner",1,1/(1+Assumptions!$B$6)^G996)</f>
        <v>0.22060198370796386</v>
      </c>
      <c r="O996" s="17">
        <f t="shared" si="15"/>
        <v>6524202.71727362</v>
      </c>
    </row>
    <row r="997" spans="1:15">
      <c r="A997" s="13" t="str">
        <f>Members!A997</f>
        <v>A0097</v>
      </c>
      <c r="B997" s="13" t="str">
        <f>Members!B997</f>
        <v>Active</v>
      </c>
      <c r="C997" s="13">
        <f>Members!C997</f>
        <v>42</v>
      </c>
      <c r="D997" s="14">
        <f>Members!D997</f>
        <v>3.6</v>
      </c>
      <c r="E997" s="16">
        <f>Members!E997</f>
        <v>1053000</v>
      </c>
      <c r="F997" s="16">
        <f>Members!F997</f>
        <v>0</v>
      </c>
      <c r="G997" s="15">
        <f>MAX(0,Assumptions!$B$10-C997)</f>
        <v>18</v>
      </c>
      <c r="H997" s="17">
        <f>IF(B997="Active",E997*(1+Assumptions!$B$7)^G997,E997)</f>
        <v>2760403.9779934022</v>
      </c>
      <c r="I997" s="17">
        <f>IF(B997="Active",MIN(Assumptions!$B$12,D997+G997),IF(B997="Deferred",MIN(Assumptions!$B$12,D997),D997))</f>
        <v>21.6</v>
      </c>
      <c r="J997" s="17">
        <f>IF(B997="Active",H997*I997*Assumptions!$B$11,IF(B997="Deferred",E997*I997*Assumptions!$B$11*(1+Assumptions!$B$9)^G997,F997))</f>
        <v>993745.43207762484</v>
      </c>
      <c r="K997" s="11">
        <f>IF(B997="Pensioner",1,VLOOKUP(Assumptions!$B$10,Mortality!$A$2:$F$104,6,FALSE)/VLOOKUP(C997,Mortality!$A$2:$F$104,6,FALSE))</f>
        <v>0.97507997078383857</v>
      </c>
      <c r="L997" s="11">
        <f>VLOOKUP(IF(B997="Pensioner",C997,Assumptions!$B$10),Mortality!$A$2:$E$104,5,FALSE)</f>
        <v>17.296790022132885</v>
      </c>
      <c r="M997" s="11">
        <f>1+Assumptions!$B$13*Assumptions!$B$14*Assumptions!$B$15</f>
        <v>1.3187500000000001</v>
      </c>
      <c r="N997" s="11">
        <f>IF(B997="Pensioner",1,1/(1+Assumptions!$B$6)^G997)</f>
        <v>0.32188968512839738</v>
      </c>
      <c r="O997" s="17">
        <f t="shared" si="15"/>
        <v>7114598.9993898971</v>
      </c>
    </row>
    <row r="998" spans="1:15">
      <c r="A998" s="13" t="str">
        <f>Members!A998</f>
        <v>A0619</v>
      </c>
      <c r="B998" s="13" t="str">
        <f>Members!B998</f>
        <v>Active</v>
      </c>
      <c r="C998" s="13">
        <f>Members!C998</f>
        <v>28</v>
      </c>
      <c r="D998" s="14">
        <f>Members!D998</f>
        <v>1.1000000000000001</v>
      </c>
      <c r="E998" s="16">
        <f>Members!E998</f>
        <v>621000</v>
      </c>
      <c r="F998" s="16">
        <f>Members!F998</f>
        <v>0</v>
      </c>
      <c r="G998" s="15">
        <f>MAX(0,Assumptions!$B$10-C998)</f>
        <v>32</v>
      </c>
      <c r="H998" s="17">
        <f>IF(B998="Active",E998*(1+Assumptions!$B$7)^G998,E998)</f>
        <v>3444849.9396976307</v>
      </c>
      <c r="I998" s="17">
        <f>IF(B998="Active",MIN(Assumptions!$B$12,D998+G998),IF(B998="Deferred",MIN(Assumptions!$B$12,D998),D998))</f>
        <v>33.1</v>
      </c>
      <c r="J998" s="17">
        <f>IF(B998="Active",H998*I998*Assumptions!$B$11,IF(B998="Deferred",E998*I998*Assumptions!$B$11*(1+Assumptions!$B$9)^G998,F998))</f>
        <v>1900408.8833998595</v>
      </c>
      <c r="K998" s="11">
        <f>IF(B998="Pensioner",1,VLOOKUP(Assumptions!$B$10,Mortality!$A$2:$F$104,6,FALSE)/VLOOKUP(C998,Mortality!$A$2:$F$104,6,FALSE))</f>
        <v>0.96977196143473232</v>
      </c>
      <c r="L998" s="11">
        <f>VLOOKUP(IF(B998="Pensioner",C998,Assumptions!$B$10),Mortality!$A$2:$E$104,5,FALSE)</f>
        <v>17.296790022132885</v>
      </c>
      <c r="M998" s="11">
        <f>1+Assumptions!$B$13*Assumptions!$B$14*Assumptions!$B$15</f>
        <v>1.3187500000000001</v>
      </c>
      <c r="N998" s="11">
        <f>IF(B998="Pensioner",1,1/(1+Assumptions!$B$6)^G998)</f>
        <v>0.13329459861122173</v>
      </c>
      <c r="O998" s="17">
        <f t="shared" si="15"/>
        <v>5603472.0799790509</v>
      </c>
    </row>
    <row r="999" spans="1:15">
      <c r="A999" s="13" t="str">
        <f>Members!A999</f>
        <v>A0382</v>
      </c>
      <c r="B999" s="13" t="str">
        <f>Members!B999</f>
        <v>Active</v>
      </c>
      <c r="C999" s="13">
        <f>Members!C999</f>
        <v>43</v>
      </c>
      <c r="D999" s="14">
        <f>Members!D999</f>
        <v>12.3</v>
      </c>
      <c r="E999" s="16">
        <f>Members!E999</f>
        <v>1007000</v>
      </c>
      <c r="F999" s="16">
        <f>Members!F999</f>
        <v>0</v>
      </c>
      <c r="G999" s="15">
        <f>MAX(0,Assumptions!$B$10-C999)</f>
        <v>17</v>
      </c>
      <c r="H999" s="17">
        <f>IF(B999="Active",E999*(1+Assumptions!$B$7)^G999,E999)</f>
        <v>2502195.7628075555</v>
      </c>
      <c r="I999" s="17">
        <f>IF(B999="Active",MIN(Assumptions!$B$12,D999+G999),IF(B999="Deferred",MIN(Assumptions!$B$12,D999),D999))</f>
        <v>29.3</v>
      </c>
      <c r="J999" s="17">
        <f>IF(B999="Active",H999*I999*Assumptions!$B$11,IF(B999="Deferred",E999*I999*Assumptions!$B$11*(1+Assumptions!$B$9)^G999,F999))</f>
        <v>1221905.5975043562</v>
      </c>
      <c r="K999" s="11">
        <f>IF(B999="Pensioner",1,VLOOKUP(Assumptions!$B$10,Mortality!$A$2:$F$104,6,FALSE)/VLOOKUP(C999,Mortality!$A$2:$F$104,6,FALSE))</f>
        <v>0.97565175842493801</v>
      </c>
      <c r="L999" s="11">
        <f>VLOOKUP(IF(B999="Pensioner",C999,Assumptions!$B$10),Mortality!$A$2:$E$104,5,FALSE)</f>
        <v>17.296790022132885</v>
      </c>
      <c r="M999" s="11">
        <f>1+Assumptions!$B$13*Assumptions!$B$14*Assumptions!$B$15</f>
        <v>1.3187500000000001</v>
      </c>
      <c r="N999" s="11">
        <f>IF(B999="Pensioner",1,1/(1+Assumptions!$B$6)^G999)</f>
        <v>0.34281251466174323</v>
      </c>
      <c r="O999" s="17">
        <f t="shared" si="15"/>
        <v>9322172.5999605153</v>
      </c>
    </row>
    <row r="1000" spans="1:15">
      <c r="A1000" s="13" t="str">
        <f>Members!A1000</f>
        <v>A0529</v>
      </c>
      <c r="B1000" s="13" t="str">
        <f>Members!B1000</f>
        <v>Active</v>
      </c>
      <c r="C1000" s="13">
        <f>Members!C1000</f>
        <v>52</v>
      </c>
      <c r="D1000" s="14">
        <f>Members!D1000</f>
        <v>16.8</v>
      </c>
      <c r="E1000" s="16">
        <f>Members!E1000</f>
        <v>1926000</v>
      </c>
      <c r="F1000" s="16">
        <f>Members!F1000</f>
        <v>0</v>
      </c>
      <c r="G1000" s="15">
        <f>MAX(0,Assumptions!$B$10-C1000)</f>
        <v>8</v>
      </c>
      <c r="H1000" s="17">
        <f>IF(B1000="Active",E1000*(1+Assumptions!$B$7)^G1000,E1000)</f>
        <v>2955806.2278825901</v>
      </c>
      <c r="I1000" s="17">
        <f>IF(B1000="Active",MIN(Assumptions!$B$12,D1000+G1000),IF(B1000="Deferred",MIN(Assumptions!$B$12,D1000),D1000))</f>
        <v>24.8</v>
      </c>
      <c r="J1000" s="17">
        <f>IF(B1000="Active",H1000*I1000*Assumptions!$B$11,IF(B1000="Deferred",E1000*I1000*Assumptions!$B$11*(1+Assumptions!$B$9)^G1000,F1000))</f>
        <v>1221733.2408581374</v>
      </c>
      <c r="K1000" s="11">
        <f>IF(B1000="Pensioner",1,VLOOKUP(Assumptions!$B$10,Mortality!$A$2:$F$104,6,FALSE)/VLOOKUP(C1000,Mortality!$A$2:$F$104,6,FALSE))</f>
        <v>0.98365275168798427</v>
      </c>
      <c r="L1000" s="11">
        <f>VLOOKUP(IF(B1000="Pensioner",C1000,Assumptions!$B$10),Mortality!$A$2:$E$104,5,FALSE)</f>
        <v>17.296790022132885</v>
      </c>
      <c r="M1000" s="11">
        <f>1+Assumptions!$B$13*Assumptions!$B$14*Assumptions!$B$15</f>
        <v>1.3187500000000001</v>
      </c>
      <c r="N1000" s="11">
        <f>IF(B1000="Pensioner",1,1/(1+Assumptions!$B$6)^G1000)</f>
        <v>0.60423118763827188</v>
      </c>
      <c r="O1000" s="17">
        <f t="shared" si="15"/>
        <v>16563393.712593101</v>
      </c>
    </row>
    <row r="1001" spans="1:15">
      <c r="A1001" s="13" t="str">
        <f>Members!A1001</f>
        <v>D0036</v>
      </c>
      <c r="B1001" s="13" t="str">
        <f>Members!B1001</f>
        <v>Deferred</v>
      </c>
      <c r="C1001" s="13">
        <f>Members!C1001</f>
        <v>57</v>
      </c>
      <c r="D1001" s="14">
        <f>Members!D1001</f>
        <v>20.3</v>
      </c>
      <c r="E1001" s="16">
        <f>Members!E1001</f>
        <v>1492000</v>
      </c>
      <c r="F1001" s="16">
        <f>Members!F1001</f>
        <v>0</v>
      </c>
      <c r="G1001" s="15">
        <f>MAX(0,Assumptions!$B$10-C1001)</f>
        <v>3</v>
      </c>
      <c r="H1001" s="17">
        <f>IF(B1001="Active",E1001*(1+Assumptions!$B$7)^G1001,E1001)</f>
        <v>1492000</v>
      </c>
      <c r="I1001" s="17">
        <f>IF(B1001="Active",MIN(Assumptions!$B$12,D1001+G1001),IF(B1001="Deferred",MIN(Assumptions!$B$12,D1001),D1001))</f>
        <v>20.3</v>
      </c>
      <c r="J1001" s="17">
        <f>IF(B1001="Active",H1001*I1001*Assumptions!$B$11,IF(B1001="Deferred",E1001*I1001*Assumptions!$B$11*(1+Assumptions!$B$9)^G1001,F1001))</f>
        <v>567823.8481066667</v>
      </c>
      <c r="K1001" s="11">
        <f>IF(B1001="Pensioner",1,VLOOKUP(Assumptions!$B$10,Mortality!$A$2:$F$104,6,FALSE)/VLOOKUP(C1001,Mortality!$A$2:$F$104,6,FALSE))</f>
        <v>0.99220038929214172</v>
      </c>
      <c r="L1001" s="11">
        <f>VLOOKUP(IF(B1001="Pensioner",C1001,Assumptions!$B$10),Mortality!$A$2:$E$104,5,FALSE)</f>
        <v>17.296790022132885</v>
      </c>
      <c r="M1001" s="11">
        <f>1+Assumptions!$B$13*Assumptions!$B$14*Assumptions!$B$15</f>
        <v>1.3187500000000001</v>
      </c>
      <c r="N1001" s="11">
        <f>IF(B1001="Pensioner",1,1/(1+Assumptions!$B$6)^G1001)</f>
        <v>0.82784909180297994</v>
      </c>
      <c r="O1001" s="17">
        <f t="shared" si="15"/>
        <v>10638788.721794056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zoomScale="169" workbookViewId="0">
      <selection activeCell="C27" sqref="C27"/>
    </sheetView>
  </sheetViews>
  <sheetFormatPr baseColWidth="10" defaultColWidth="8.83203125" defaultRowHeight="14"/>
  <cols>
    <col min="1" max="2" width="26" customWidth="1"/>
  </cols>
  <sheetData>
    <row r="1" spans="1:6" ht="40" customHeight="1">
      <c r="A1" s="26" t="s">
        <v>1081</v>
      </c>
      <c r="B1" s="26"/>
      <c r="C1" s="26"/>
      <c r="D1" s="26"/>
      <c r="E1" s="26"/>
      <c r="F1" s="26"/>
    </row>
    <row r="3" spans="1:6" ht="15">
      <c r="A3" s="1" t="s">
        <v>1064</v>
      </c>
      <c r="B3" s="1" t="s">
        <v>2</v>
      </c>
    </row>
    <row r="4" spans="1:6">
      <c r="A4" t="s">
        <v>1065</v>
      </c>
      <c r="B4">
        <f>COUNTA(Members!A2:A1001)</f>
        <v>1000</v>
      </c>
    </row>
    <row r="5" spans="1:6">
      <c r="A5" t="s">
        <v>1066</v>
      </c>
      <c r="B5" s="17">
        <f>SUM(Valuation!O2:O1001)</f>
        <v>6948299215.0423222</v>
      </c>
    </row>
    <row r="6" spans="1:6">
      <c r="A6" t="s">
        <v>31</v>
      </c>
      <c r="B6" s="17">
        <f>Assumptions!B17</f>
        <v>6392400000</v>
      </c>
    </row>
    <row r="7" spans="1:6">
      <c r="A7" t="s">
        <v>1067</v>
      </c>
      <c r="B7" s="18">
        <f>B6/B5</f>
        <v>0.91999492280947548</v>
      </c>
    </row>
    <row r="8" spans="1:6">
      <c r="A8" t="s">
        <v>1068</v>
      </c>
      <c r="B8" s="17">
        <f>B6-B5</f>
        <v>-555899215.04232216</v>
      </c>
    </row>
    <row r="9" spans="1:6">
      <c r="A9" t="s">
        <v>1069</v>
      </c>
      <c r="B9" t="s">
        <v>1070</v>
      </c>
    </row>
    <row r="11" spans="1:6" ht="15">
      <c r="A11" s="1" t="s">
        <v>39</v>
      </c>
      <c r="B11" s="1" t="s">
        <v>1063</v>
      </c>
    </row>
    <row r="12" spans="1:6">
      <c r="A12" t="s">
        <v>45</v>
      </c>
      <c r="B12" s="17">
        <f>SUMIF(Valuation!B2:B1001,"Active",Valuation!O2:O1001)</f>
        <v>5262471068.329051</v>
      </c>
    </row>
    <row r="13" spans="1:6">
      <c r="A13" t="s">
        <v>57</v>
      </c>
      <c r="B13" s="17">
        <f>SUMIF(Valuation!B2:B1001,"Deferred",Valuation!O2:O1001)</f>
        <v>372952334.22632807</v>
      </c>
    </row>
    <row r="14" spans="1:6">
      <c r="A14" t="s">
        <v>47</v>
      </c>
      <c r="B14" s="17">
        <f>SUMIF(Valuation!B2:B1001,"Pensioner",Valuation!O2:O1001)</f>
        <v>1312875812.4869349</v>
      </c>
    </row>
    <row r="15" spans="1:6">
      <c r="A15" s="19" t="s">
        <v>1071</v>
      </c>
      <c r="B15" s="20">
        <f>SUM(B12:B14)</f>
        <v>6948299215.0423136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2"/>
  <sheetViews>
    <sheetView workbookViewId="0">
      <selection sqref="A1:F1"/>
    </sheetView>
  </sheetViews>
  <sheetFormatPr baseColWidth="10" defaultColWidth="8.83203125" defaultRowHeight="14"/>
  <cols>
    <col min="1" max="5" width="22" customWidth="1"/>
  </cols>
  <sheetData>
    <row r="1" spans="1:10" ht="37.25" customHeight="1">
      <c r="A1" s="27" t="s">
        <v>1072</v>
      </c>
      <c r="B1" s="27"/>
      <c r="C1" s="27"/>
      <c r="D1" s="27"/>
      <c r="E1" s="27"/>
      <c r="F1" s="27"/>
    </row>
    <row r="2" spans="1:10">
      <c r="G2" s="28" t="s">
        <v>1073</v>
      </c>
      <c r="H2" s="28"/>
      <c r="I2" s="28"/>
      <c r="J2" s="28"/>
    </row>
    <row r="3" spans="1:10" ht="15">
      <c r="A3" s="1" t="s">
        <v>1074</v>
      </c>
      <c r="B3" s="1" t="s">
        <v>2</v>
      </c>
      <c r="G3" s="28"/>
      <c r="H3" s="28"/>
      <c r="I3" s="28"/>
      <c r="J3" s="28"/>
    </row>
    <row r="4" spans="1:10">
      <c r="A4" t="s">
        <v>1075</v>
      </c>
      <c r="B4" s="21">
        <v>6948299215.0423126</v>
      </c>
      <c r="G4" s="28"/>
      <c r="H4" s="28"/>
      <c r="I4" s="28"/>
      <c r="J4" s="28"/>
    </row>
    <row r="5" spans="1:10">
      <c r="A5" t="s">
        <v>1076</v>
      </c>
      <c r="B5" s="22">
        <f>SUM(Valuation!O2:O1001)</f>
        <v>6948299215.0423222</v>
      </c>
      <c r="G5" s="28"/>
      <c r="H5" s="28"/>
      <c r="I5" s="28"/>
      <c r="J5" s="28"/>
    </row>
    <row r="6" spans="1:10">
      <c r="A6" t="s">
        <v>1077</v>
      </c>
      <c r="B6" s="22">
        <f>B5-B4</f>
        <v>9.5367431640625E-6</v>
      </c>
      <c r="G6" s="28"/>
      <c r="H6" s="28"/>
      <c r="I6" s="28"/>
      <c r="J6" s="28"/>
    </row>
    <row r="7" spans="1:10">
      <c r="A7" t="s">
        <v>1078</v>
      </c>
      <c r="B7">
        <v>0.01</v>
      </c>
      <c r="G7" s="28"/>
      <c r="H7" s="28"/>
      <c r="I7" s="28"/>
      <c r="J7" s="28"/>
    </row>
    <row r="10" spans="1:10" ht="15">
      <c r="A10" s="1" t="s">
        <v>38</v>
      </c>
      <c r="B10" s="1" t="s">
        <v>1079</v>
      </c>
      <c r="C10" s="1" t="s">
        <v>1080</v>
      </c>
      <c r="D10" s="1" t="s">
        <v>1077</v>
      </c>
      <c r="E10" s="1" t="s">
        <v>39</v>
      </c>
    </row>
    <row r="11" spans="1:10">
      <c r="A11" t="s">
        <v>846</v>
      </c>
      <c r="B11" s="22">
        <v>6554434.4865340004</v>
      </c>
      <c r="C11" s="22">
        <f>VLOOKUP(A11,Valuation!$A$2:$O$1001,15,FALSE)</f>
        <v>6554434.4865339063</v>
      </c>
      <c r="D11" s="22">
        <f t="shared" ref="D11:D22" si="0">C11-B11</f>
        <v>-9.406358003616333E-8</v>
      </c>
      <c r="E11" t="str">
        <f t="shared" ref="E11:E22" si="1">IF(ABS(D11)&lt;=$B$7,"Matched","Review")</f>
        <v>Matched</v>
      </c>
    </row>
    <row r="12" spans="1:10">
      <c r="A12" t="s">
        <v>412</v>
      </c>
      <c r="B12" s="22">
        <v>13579308.224724</v>
      </c>
      <c r="C12" s="22">
        <f>VLOOKUP(A12,Valuation!$A$2:$O$1001,15,FALSE)</f>
        <v>13579308.22472412</v>
      </c>
      <c r="D12" s="22">
        <f t="shared" si="0"/>
        <v>1.1920928955078125E-7</v>
      </c>
      <c r="E12" t="str">
        <f t="shared" si="1"/>
        <v>Matched</v>
      </c>
    </row>
    <row r="13" spans="1:10">
      <c r="A13" t="s">
        <v>714</v>
      </c>
      <c r="B13" s="22">
        <v>9534806.1406469997</v>
      </c>
      <c r="C13" s="22">
        <f>VLOOKUP(A13,Valuation!$A$2:$O$1001,15,FALSE)</f>
        <v>9534806.1406468712</v>
      </c>
      <c r="D13" s="22">
        <f t="shared" si="0"/>
        <v>-1.2852251529693604E-7</v>
      </c>
      <c r="E13" t="str">
        <f t="shared" si="1"/>
        <v>Matched</v>
      </c>
    </row>
    <row r="14" spans="1:10">
      <c r="A14" t="s">
        <v>119</v>
      </c>
      <c r="B14" s="22">
        <v>10810692.941708</v>
      </c>
      <c r="C14" s="22">
        <f>VLOOKUP(A14,Valuation!$A$2:$O$1001,15,FALSE)</f>
        <v>10810692.941707883</v>
      </c>
      <c r="D14" s="22">
        <f t="shared" si="0"/>
        <v>-1.1734664440155029E-7</v>
      </c>
      <c r="E14" t="str">
        <f t="shared" si="1"/>
        <v>Matched</v>
      </c>
    </row>
    <row r="15" spans="1:10">
      <c r="A15" t="s">
        <v>90</v>
      </c>
      <c r="B15" s="22">
        <v>2534793.5037309998</v>
      </c>
      <c r="C15" s="22">
        <f>VLOOKUP(A15,Valuation!$A$2:$O$1001,15,FALSE)</f>
        <v>2534793.5037311898</v>
      </c>
      <c r="D15" s="22">
        <f t="shared" si="0"/>
        <v>1.8998980522155762E-7</v>
      </c>
      <c r="E15" t="str">
        <f t="shared" si="1"/>
        <v>Matched</v>
      </c>
    </row>
    <row r="16" spans="1:10">
      <c r="A16" t="s">
        <v>625</v>
      </c>
      <c r="B16" s="22">
        <v>668259.37492500001</v>
      </c>
      <c r="C16" s="22">
        <f>VLOOKUP(A16,Valuation!$A$2:$O$1001,15,FALSE)</f>
        <v>668259.37492491293</v>
      </c>
      <c r="D16" s="22">
        <f t="shared" si="0"/>
        <v>-8.7078660726547241E-8</v>
      </c>
      <c r="E16" t="str">
        <f t="shared" si="1"/>
        <v>Matched</v>
      </c>
    </row>
    <row r="17" spans="1:5">
      <c r="A17" t="s">
        <v>168</v>
      </c>
      <c r="B17" s="22">
        <v>13580123.729594</v>
      </c>
      <c r="C17" s="22">
        <f>VLOOKUP(A17,Valuation!$A$2:$O$1001,15,FALSE)</f>
        <v>13580123.72959378</v>
      </c>
      <c r="D17" s="22">
        <f t="shared" si="0"/>
        <v>-2.1979212760925293E-7</v>
      </c>
      <c r="E17" t="str">
        <f t="shared" si="1"/>
        <v>Matched</v>
      </c>
    </row>
    <row r="18" spans="1:5">
      <c r="A18" t="s">
        <v>607</v>
      </c>
      <c r="B18" s="22">
        <v>1992513.767762</v>
      </c>
      <c r="C18" s="22">
        <f>VLOOKUP(A18,Valuation!$A$2:$O$1001,15,FALSE)</f>
        <v>1992513.7677617997</v>
      </c>
      <c r="D18" s="22">
        <f t="shared" si="0"/>
        <v>-2.0023435354232788E-7</v>
      </c>
      <c r="E18" t="str">
        <f t="shared" si="1"/>
        <v>Matched</v>
      </c>
    </row>
    <row r="19" spans="1:5">
      <c r="A19" t="s">
        <v>849</v>
      </c>
      <c r="B19" s="22">
        <v>5475386.5394299999</v>
      </c>
      <c r="C19" s="22">
        <f>VLOOKUP(A19,Valuation!$A$2:$O$1001,15,FALSE)</f>
        <v>5475386.5394296553</v>
      </c>
      <c r="D19" s="22">
        <f t="shared" si="0"/>
        <v>-3.4458935260772705E-7</v>
      </c>
      <c r="E19" t="str">
        <f t="shared" si="1"/>
        <v>Matched</v>
      </c>
    </row>
    <row r="20" spans="1:5">
      <c r="A20" t="s">
        <v>792</v>
      </c>
      <c r="B20" s="22">
        <v>5983150.1922850003</v>
      </c>
      <c r="C20" s="22">
        <f>VLOOKUP(A20,Valuation!$A$2:$O$1001,15,FALSE)</f>
        <v>5983150.1922854139</v>
      </c>
      <c r="D20" s="22">
        <f t="shared" si="0"/>
        <v>4.1350722312927246E-7</v>
      </c>
      <c r="E20" t="str">
        <f t="shared" si="1"/>
        <v>Matched</v>
      </c>
    </row>
    <row r="21" spans="1:5">
      <c r="A21" t="s">
        <v>281</v>
      </c>
      <c r="B21" s="22">
        <v>7029364.1739809997</v>
      </c>
      <c r="C21" s="22">
        <f>VLOOKUP(A21,Valuation!$A$2:$O$1001,15,FALSE)</f>
        <v>7029364.1739809243</v>
      </c>
      <c r="D21" s="22">
        <f t="shared" si="0"/>
        <v>-7.543712854385376E-8</v>
      </c>
      <c r="E21" t="str">
        <f t="shared" si="1"/>
        <v>Matched</v>
      </c>
    </row>
    <row r="22" spans="1:5">
      <c r="A22" t="s">
        <v>595</v>
      </c>
      <c r="B22" s="22">
        <v>3149813.0614100001</v>
      </c>
      <c r="C22" s="22">
        <f>VLOOKUP(A22,Valuation!$A$2:$O$1001,15,FALSE)</f>
        <v>3149813.061409717</v>
      </c>
      <c r="D22" s="22">
        <f t="shared" si="0"/>
        <v>-2.8312206268310547E-7</v>
      </c>
      <c r="E22" t="str">
        <f t="shared" si="1"/>
        <v>Matched</v>
      </c>
    </row>
  </sheetData>
  <mergeCells count="2">
    <mergeCell ref="A1:F1"/>
    <mergeCell ref="G2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Members</vt:lpstr>
      <vt:lpstr>Mortality</vt:lpstr>
      <vt:lpstr>Valuation</vt:lpstr>
      <vt:lpstr>Summary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 Vikram Arora</cp:lastModifiedBy>
  <dcterms:modified xsi:type="dcterms:W3CDTF">2026-10-01T19:56:03Z</dcterms:modified>
</cp:coreProperties>
</file>