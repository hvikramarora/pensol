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f76d9d32674c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15dee5e39017454e"/>
    <x:sheet xmlns:r="http://schemas.openxmlformats.org/officeDocument/2006/relationships" name="Members" sheetId="2" r:id="Rf9978ef53f404830"/>
    <x:sheet xmlns:r="http://schemas.openxmlformats.org/officeDocument/2006/relationships" name="Mortality" sheetId="3" r:id="Rc47e4d8f8b024176"/>
    <x:sheet xmlns:r="http://schemas.openxmlformats.org/officeDocument/2006/relationships" name="Valuation" sheetId="4" r:id="R3a0576a0d223485c"/>
    <x:sheet xmlns:r="http://schemas.openxmlformats.org/officeDocument/2006/relationships" name="Summary" sheetId="5" r:id="R1bf239769eea46ec"/>
    <x:sheet xmlns:r="http://schemas.openxmlformats.org/officeDocument/2006/relationships" name="Validation" sheetId="6" r:id="R8f376e04bc044f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%"/>
    <x:numFmt numFmtId="201" formatCode="0.00"/>
    <x:numFmt numFmtId="202" formatCode="#,##0;[Red](#,##0);-"/>
    <x:numFmt numFmtId="203" formatCode="0.0"/>
    <x:numFmt numFmtId="204" formatCode="0.000000"/>
    <x:numFmt numFmtId="205" formatCode="0.0%"/>
    <x:numFmt numFmtId="206" formatCode="#,##0.000000;[Red](#,##0.000000);-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66666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1616"/>
      </x:patternFill>
    </x:fill>
    <x:fill>
      <x:patternFill patternType="solid">
        <x:fgColor rgb="FFD9230F"/>
      </x:patternFill>
    </x:fill>
    <x:fill>
      <x:patternFill patternType="solid">
        <x:fgColor rgb="FFFFF4D6"/>
      </x:patternFill>
    </x:fill>
    <x:fill>
      <x:patternFill patternType="solid">
        <x:fgColor rgb="FFF7F7F7"/>
      </x:patternFill>
    </x:fill>
  </x:fills>
  <x:borders count="4">
    <x:border/>
    <x:border/>
    <x:border>
      <x:top style="thin">
        <x:color rgb="FF000000"/>
      </x:top>
    </x:border>
    <x:border>
      <x:top style="thin">
        <x:color rgb="FF000000"/>
      </x:top>
    </x:border>
  </x:borders>
  <x:cellStyleXfs count="1">
    <x:xf numFmtId="0" fontId="0" fillId="0" borderId="0"/>
  </x:cellStyleXfs>
  <x:cellXfs count="6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204" fontId="5" fillId="0" borderId="0" xfId="0" applyNumberFormat="1" applyFont="1" applyFill="1" applyBorder="1"/>
    <x:xf numFmtId="204" fontId="0" fillId="0" borderId="0" xfId="0" applyNumberFormat="1" applyFont="1" applyFill="1" applyBorder="1"/>
    <x:xf numFmtId="204" fontId="5" fillId="0" borderId="1" xfId="0" applyNumberFormat="1" applyFont="1" applyFill="1" applyBorder="1"/>
    <x:xf numFmtId="204" fontId="0" fillId="0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3" fontId="6" fillId="0" borderId="0" xfId="0" applyNumberFormat="1" applyFont="1" applyFill="1" applyBorder="1"/>
    <x:xf numFmtId="203" fontId="6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0" fontId="0" fillId="0" borderId="2" xfId="0" applyNumberFormat="1" applyFont="1" applyFill="1" applyBorder="1"/>
    <x:xf numFmtId="202" fontId="0" fillId="0" borderId="2" xfId="0" applyNumberFormat="1" applyFont="1" applyFill="1" applyBorder="1"/>
    <x:xf numFmtId="0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206" fontId="5" fillId="0" borderId="0" xfId="0" applyNumberFormat="1" applyFont="1" applyFill="1" applyBorder="1"/>
    <x:xf numFmtId="206" fontId="0" fillId="0" borderId="0" xfId="0" applyNumberFormat="1" applyFont="1" applyFill="1" applyBorder="1"/>
    <x:xf numFmtId="206" fontId="5" fillId="0" borderId="1" xfId="0" applyNumberFormat="1" applyFont="1" applyFill="1" applyBorder="1"/>
    <x:xf numFmtId="206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028f7b03c447dc" /><Relationship Type="http://schemas.openxmlformats.org/officeDocument/2006/relationships/theme" Target="/xl/theme/theme1.xml" Id="R31dec2196c95442e" /><Relationship Type="http://schemas.openxmlformats.org/officeDocument/2006/relationships/sharedStrings" Target="/xl/sharedStrings.xml" Id="R288fd2bc41a14f83" /><Relationship Type="http://schemas.openxmlformats.org/officeDocument/2006/relationships/worksheet" Target="/xl/worksheets/sheet1.xml" Id="R15dee5e39017454e" /><Relationship Type="http://schemas.openxmlformats.org/officeDocument/2006/relationships/worksheet" Target="/xl/worksheets/sheet2.xml" Id="Rf9978ef53f404830" /><Relationship Type="http://schemas.openxmlformats.org/officeDocument/2006/relationships/worksheet" Target="/xl/worksheets/sheet3.xml" Id="Rc47e4d8f8b024176" /><Relationship Type="http://schemas.openxmlformats.org/officeDocument/2006/relationships/worksheet" Target="/xl/worksheets/sheet4.xml" Id="R3a0576a0d223485c" /><Relationship Type="http://schemas.openxmlformats.org/officeDocument/2006/relationships/worksheet" Target="/xl/worksheets/sheet5.xml" Id="R1bf239769eea46ec" /><Relationship Type="http://schemas.openxmlformats.org/officeDocument/2006/relationships/worksheet" Target="/xl/worksheets/sheet6.xml" Id="R8f376e04bc044f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73195f43370425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Liability by Member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PV liability</c:v>
          </c:tx>
          <c:cat>
            <c:strRef>
              <c:f>'Summary'!$A$12:$A$14</c:f>
              <c:strCache>
                <c:ptCount val="0"/>
              </c:strCache>
            </c:strRef>
          </c:cat>
          <c:val>
            <c:numRef>
              <c:f>'Summary'!$B$12:$B$14</c:f>
              <c:numCache>
                <c:formatCode>#,##0;[Red](#,##0);-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</xdr:row>
      <xdr:rowOff>0</xdr:rowOff>
    </xdr:from>
    <xdr:to>
      <xdr:col>10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3195f43370425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embersTable" displayName="MembersTable" ref="A1:F1001" headerRowCount="1" totalsRowCount="0" totalsRowShown="0">
  <x:tableColumns count="6">
    <x:tableColumn id="1" name="Member ID"/>
    <x:tableColumn id="2" name="Status"/>
    <x:tableColumn id="3" name="Age"/>
    <x:tableColumn id="4" name="Service (years)"/>
    <x:tableColumn id="5" name="Pensionable salary (currency)"/>
    <x:tableColumn id="6" name="Current pension (currency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luationTable" displayName="ValuationTable" ref="A1:O1001" headerRowCount="1" totalsRowCount="0" totalsRowShown="0">
  <x:tableColumns count="15">
    <x:tableColumn id="1" name="Member ID"/>
    <x:tableColumn id="2" name="Status"/>
    <x:tableColumn id="3" name="Age"/>
    <x:tableColumn id="4" name="Service"/>
    <x:tableColumn id="5" name="Pensionable salary"/>
    <x:tableColumn id="6" name="Current pension"/>
    <x:tableColumn id="7" name="Years to retirement"/>
    <x:tableColumn id="8" name="Projected salary"/>
    <x:tableColumn id="9" name="Projected service"/>
    <x:tableColumn id="10" name="Annual pension at retirement"/>
    <x:tableColumn id="11" name="Survival to retirement"/>
    <x:tableColumn id="12" name="Annuity factor"/>
    <x:tableColumn id="13" name="Spouse loading"/>
    <x:tableColumn id="14" name="Discount factor"/>
    <x:tableColumn id="15" name="PV liabilit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35e38048fe94f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e41473194ea4b3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3e7dad48109e49ad" /></Relationships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20" hidden="0" customWidth="1"/>
    <x:col min="3" max="3" width="24" hidden="0" customWidth="1"/>
    <x:col min="4" max="4" width="44" hidden="0" customWidth="1"/>
  </x:cols>
  <x:sheetData>
    <x:row r="1" ht="30" customHeight="1">
      <x:c r="A1" s="4" t="str">
        <x:v>PensionVal — Excel Reference Model</x:v>
      </x:c>
      <x:c r="B1" s="4"/>
      <x:c r="C1" s="4"/>
      <x:c r="D1" s="4"/>
    </x:row>
    <x:row r="2" ht="22" customHeight="1">
      <x:c r="A2" s="8" t="str">
        <x:v>markiV Actuarial Engineering · Illustrative defined benefit pension valuation benchmark</x:v>
      </x:c>
      <x:c r="B2" s="8"/>
      <x:c r="C2" s="8"/>
      <x:c r="D2" s="8"/>
    </x:row>
    <x:row r="4">
      <x:c r="A4" s="12" t="str">
        <x:v>Assumption</x:v>
      </x:c>
      <x:c r="B4" s="12" t="str">
        <x:v>Value</x:v>
      </x:c>
      <x:c r="C4" s="12" t="str">
        <x:v>Units / basis</x:v>
      </x:c>
      <x:c r="D4" s="12" t="str">
        <x:v>Source / note</x:v>
      </x:c>
    </x:row>
    <x:row r="5">
      <x:c r="A5" s="16" t="str">
        <x:v>Valuation date</x:v>
      </x:c>
      <x:c r="B5" s="18" t="str">
        <x:v>2026-03-31</x:v>
      </x:c>
      <x:c r="C5" t="str">
        <x:v>date</x:v>
      </x:c>
      <x:c r="D5" t="str">
        <x:v>Illustrative demo basis</x:v>
      </x:c>
    </x:row>
    <x:row r="6">
      <x:c r="A6" s="16" t="str">
        <x:v>Discount rate</x:v>
      </x:c>
      <x:c r="B6" s="20" t="n">
        <x:v>0.065</x:v>
      </x:c>
      <x:c r="C6" t="str">
        <x:v>% p.a.</x:v>
      </x:c>
      <x:c r="D6" t="str">
        <x:v>Illustrative demo basis</x:v>
      </x:c>
    </x:row>
    <x:row r="7">
      <x:c r="A7" s="16" t="str">
        <x:v>Salary growth</x:v>
      </x:c>
      <x:c r="B7" s="20" t="n">
        <x:v>0.055</x:v>
      </x:c>
      <x:c r="C7" t="str">
        <x:v>% p.a.</x:v>
      </x:c>
      <x:c r="D7" t="str">
        <x:v>Illustrative demo basis</x:v>
      </x:c>
    </x:row>
    <x:row r="8">
      <x:c r="A8" s="16" t="str">
        <x:v>Pension increase</x:v>
      </x:c>
      <x:c r="B8" s="20" t="n">
        <x:v>0.035</x:v>
      </x:c>
      <x:c r="C8" t="str">
        <x:v>% p.a.</x:v>
      </x:c>
      <x:c r="D8" t="str">
        <x:v>Illustrative demo basis</x:v>
      </x:c>
    </x:row>
    <x:row r="9">
      <x:c r="A9" s="16" t="str">
        <x:v>Deferred pension increase</x:v>
      </x:c>
      <x:c r="B9" s="18" t="n">
        <x:v>0.04</x:v>
      </x:c>
      <x:c r="C9" t="str">
        <x:v>% p.a.</x:v>
      </x:c>
      <x:c r="D9" t="str">
        <x:v>Illustrative demo basis</x:v>
      </x:c>
    </x:row>
    <x:row r="10">
      <x:c r="A10" s="16" t="str">
        <x:v>Normal retirement age</x:v>
      </x:c>
      <x:c r="B10" s="18" t="n">
        <x:v>60</x:v>
      </x:c>
      <x:c r="C10" t="str">
        <x:v>years</x:v>
      </x:c>
      <x:c r="D10" t="str">
        <x:v>Illustrative scheme rule</x:v>
      </x:c>
    </x:row>
    <x:row r="11">
      <x:c r="A11" s="16" t="str">
        <x:v>Accrual rate</x:v>
      </x:c>
      <x:c r="B11" s="18" t="n">
        <x:v>0.016666666666666666</x:v>
      </x:c>
      <x:c r="C11" t="str">
        <x:v>pension per year of service</x:v>
      </x:c>
      <x:c r="D11" t="str">
        <x:v>1/60th final-salary design</x:v>
      </x:c>
    </x:row>
    <x:row r="12">
      <x:c r="A12" s="16" t="str">
        <x:v>Maximum pensionable service</x:v>
      </x:c>
      <x:c r="B12" s="18" t="n">
        <x:v>40</x:v>
      </x:c>
      <x:c r="C12" t="str">
        <x:v>years</x:v>
      </x:c>
      <x:c r="D12" t="str">
        <x:v>Illustrative scheme rule</x:v>
      </x:c>
    </x:row>
    <x:row r="13">
      <x:c r="A13" s="16" t="str">
        <x:v>Spouse probability</x:v>
      </x:c>
      <x:c r="B13" s="20" t="n">
        <x:v>0.75</x:v>
      </x:c>
      <x:c r="C13" t="str">
        <x:v>%</x:v>
      </x:c>
      <x:c r="D13" t="str">
        <x:v>Illustrative simplification</x:v>
      </x:c>
    </x:row>
    <x:row r="14">
      <x:c r="A14" s="16" t="str">
        <x:v>Spouse pension percentage</x:v>
      </x:c>
      <x:c r="B14" s="20" t="n">
        <x:v>0.5</x:v>
      </x:c>
      <x:c r="C14" t="str">
        <x:v>% of member pension</x:v>
      </x:c>
      <x:c r="D14" t="str">
        <x:v>Illustrative simplification</x:v>
      </x:c>
    </x:row>
    <x:row r="15">
      <x:c r="A15" s="16" t="str">
        <x:v>Spouse annuity ratio</x:v>
      </x:c>
      <x:c r="B15" s="22" t="n">
        <x:v>0.85</x:v>
      </x:c>
      <x:c r="C15" t="str">
        <x:v>ratio</x:v>
      </x:c>
      <x:c r="D15" t="str">
        <x:v>Illustrative simplification</x:v>
      </x:c>
    </x:row>
    <x:row r="16">
      <x:c r="A16" s="16" t="str">
        <x:v>Mortality scale</x:v>
      </x:c>
      <x:c r="B16" s="18" t="n">
        <x:v>1</x:v>
      </x:c>
      <x:c r="C16" t="str">
        <x:v>multiplier</x:v>
      </x:c>
      <x:c r="D16" t="str">
        <x:v>1.00 = base illustrative mortality curve</x:v>
      </x:c>
    </x:row>
    <x:row r="17">
      <x:c r="A17" s="16" t="str">
        <x:v>Scheme assets</x:v>
      </x:c>
      <x:c r="B17" s="24" t="n">
        <x:v>6392400000</x:v>
      </x:c>
      <x:c r="C17" t="str">
        <x:v>reporting currency units</x:v>
      </x:c>
      <x:c r="D17" t="str">
        <x:v>Illustrative market value</x:v>
      </x:c>
    </x:row>
    <x:row r="18">
      <x:c r="A18" s="16" t="str">
        <x:v>Reporting currency</x:v>
      </x:c>
      <x:c r="B18" s="18" t="str">
        <x:v>INR</x:v>
      </x:c>
      <x:c r="C18" t="str">
        <x:v>display</x:v>
      </x:c>
      <x:c r="D18" t="str">
        <x:v>No FX conversion; data assumed in selected currency</x:v>
      </x:c>
    </x:row>
    <x:row r="19">
      <x:c r="A19" s="16"/>
      <x:c r="B19" s="18"/>
    </x:row>
    <x:row r="21">
      <x:c r="A21" s="28" t="str">
        <x:v>Important: This workbook is an independent reference implementation for the markiV PensionVal demonstration. The member data are synthetic and the mortality basis is illustrative; this is not a prescribed IAS 19, ASC 715, funding or regulatory valuation.</x:v>
      </x:c>
      <x:c r="B21" s="28"/>
      <x:c r="C21" s="28"/>
      <x:c r="D21" s="28"/>
    </x:row>
    <x:row r="22">
      <x:c r="A22" s="28"/>
      <x:c r="B22" s="28"/>
      <x:c r="C22" s="28"/>
      <x:c r="D22" s="28"/>
    </x:row>
    <x:row r="23">
      <x:c r="A23" s="28"/>
      <x:c r="B23" s="28"/>
      <x:c r="C23" s="28"/>
      <x:c r="D23" s="28"/>
    </x:row>
  </x:sheetData>
  <x:mergeCells>
    <x:mergeCell ref="A1:D1"/>
    <x:mergeCell ref="A2:D2"/>
    <x:mergeCell ref="A21:D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9" hidden="0" customWidth="1"/>
    <x:col min="4" max="4" width="14" hidden="0" customWidth="1"/>
    <x:col min="5" max="5" width="24" hidden="0" customWidth="1"/>
    <x:col min="6" max="6" width="24" hidden="0" customWidth="1"/>
  </x:cols>
  <x:sheetData>
    <x:row r="1">
      <x:c r="A1" s="11" t="str">
        <x:v>Member ID</x:v>
      </x:c>
      <x:c r="B1" s="11" t="str">
        <x:v>Status</x:v>
      </x:c>
      <x:c r="C1" s="11" t="str">
        <x:v>Age</x:v>
      </x:c>
      <x:c r="D1" s="11" t="str">
        <x:v>Service (years)</x:v>
      </x:c>
      <x:c r="E1" s="11" t="str">
        <x:v>Pensionable salary (currency)</x:v>
      </x:c>
      <x:c r="F1" s="11" t="str">
        <x:v>Current pension (currency)</x:v>
      </x:c>
    </x:row>
    <x:row r="2">
      <x:c r="A2" s="18" t="str">
        <x:v>A0215</x:v>
      </x:c>
      <x:c r="B2" s="18" t="str">
        <x:v>Active</x:v>
      </x:c>
      <x:c r="C2" s="18" t="n">
        <x:v>53</x:v>
      </x:c>
      <x:c r="D2" s="32" t="n">
        <x:v>2.7</x:v>
      </x:c>
      <x:c r="E2" s="24" t="n">
        <x:v>1852000</x:v>
      </x:c>
      <x:c r="F2" s="24" t="n">
        <x:v>0</x:v>
      </x:c>
    </x:row>
    <x:row r="3">
      <x:c r="A3" s="18" t="str">
        <x:v>P0250</x:v>
      </x:c>
      <x:c r="B3" s="18" t="str">
        <x:v>Pensioner</x:v>
      </x:c>
      <x:c r="C3" s="18" t="n">
        <x:v>75</x:v>
      </x:c>
      <x:c r="D3" s="32" t="n">
        <x:v>20.3</x:v>
      </x:c>
      <x:c r="E3" s="24" t="n">
        <x:v>0</x:v>
      </x:c>
      <x:c r="F3" s="24" t="n">
        <x:v>434000</x:v>
      </x:c>
    </x:row>
    <x:row r="4">
      <x:c r="A4" s="18" t="str">
        <x:v>P0219</x:v>
      </x:c>
      <x:c r="B4" s="18" t="str">
        <x:v>Pensioner</x:v>
      </x:c>
      <x:c r="C4" s="18" t="n">
        <x:v>67</x:v>
      </x:c>
      <x:c r="D4" s="32" t="n">
        <x:v>25.7</x:v>
      </x:c>
      <x:c r="E4" s="24" t="n">
        <x:v>0</x:v>
      </x:c>
      <x:c r="F4" s="24" t="n">
        <x:v>275000</x:v>
      </x:c>
    </x:row>
    <x:row r="5">
      <x:c r="A5" s="18" t="str">
        <x:v>A0121</x:v>
      </x:c>
      <x:c r="B5" s="18" t="str">
        <x:v>Active</x:v>
      </x:c>
      <x:c r="C5" s="18" t="n">
        <x:v>24</x:v>
      </x:c>
      <x:c r="D5" s="32" t="n">
        <x:v>1.1</x:v>
      </x:c>
      <x:c r="E5" s="24" t="n">
        <x:v>344000</x:v>
      </x:c>
      <x:c r="F5" s="24" t="n">
        <x:v>0</x:v>
      </x:c>
    </x:row>
    <x:row r="6">
      <x:c r="A6" s="18" t="str">
        <x:v>P0224</x:v>
      </x:c>
      <x:c r="B6" s="18" t="str">
        <x:v>Pensioner</x:v>
      </x:c>
      <x:c r="C6" s="18" t="n">
        <x:v>72</x:v>
      </x:c>
      <x:c r="D6" s="32" t="n">
        <x:v>26</x:v>
      </x:c>
      <x:c r="E6" s="24" t="n">
        <x:v>0</x:v>
      </x:c>
      <x:c r="F6" s="24" t="n">
        <x:v>297000</x:v>
      </x:c>
    </x:row>
    <x:row r="7">
      <x:c r="A7" s="18" t="str">
        <x:v>P0222</x:v>
      </x:c>
      <x:c r="B7" s="18" t="str">
        <x:v>Pensioner</x:v>
      </x:c>
      <x:c r="C7" s="18" t="n">
        <x:v>66</x:v>
      </x:c>
      <x:c r="D7" s="32" t="n">
        <x:v>23</x:v>
      </x:c>
      <x:c r="E7" s="24" t="n">
        <x:v>0</x:v>
      </x:c>
      <x:c r="F7" s="24" t="n">
        <x:v>389000</x:v>
      </x:c>
    </x:row>
    <x:row r="8">
      <x:c r="A8" s="18" t="str">
        <x:v>A0112</x:v>
      </x:c>
      <x:c r="B8" s="18" t="str">
        <x:v>Active</x:v>
      </x:c>
      <x:c r="C8" s="18" t="n">
        <x:v>42</x:v>
      </x:c>
      <x:c r="D8" s="32" t="n">
        <x:v>1.8</x:v>
      </x:c>
      <x:c r="E8" s="24" t="n">
        <x:v>1172000</x:v>
      </x:c>
      <x:c r="F8" s="24" t="n">
        <x:v>0</x:v>
      </x:c>
    </x:row>
    <x:row r="9">
      <x:c r="A9" s="18" t="str">
        <x:v>P0072</x:v>
      </x:c>
      <x:c r="B9" s="18" t="str">
        <x:v>Pensioner</x:v>
      </x:c>
      <x:c r="C9" s="18" t="n">
        <x:v>79</x:v>
      </x:c>
      <x:c r="D9" s="32" t="n">
        <x:v>20.5</x:v>
      </x:c>
      <x:c r="E9" s="24" t="n">
        <x:v>0</x:v>
      </x:c>
      <x:c r="F9" s="24" t="n">
        <x:v>690000</x:v>
      </x:c>
    </x:row>
    <x:row r="10">
      <x:c r="A10" s="18" t="str">
        <x:v>A0439</x:v>
      </x:c>
      <x:c r="B10" s="18" t="str">
        <x:v>Active</x:v>
      </x:c>
      <x:c r="C10" s="18" t="n">
        <x:v>50</x:v>
      </x:c>
      <x:c r="D10" s="32" t="n">
        <x:v>12.9</x:v>
      </x:c>
      <x:c r="E10" s="24" t="n">
        <x:v>1059000</x:v>
      </x:c>
      <x:c r="F10" s="24" t="n">
        <x:v>0</x:v>
      </x:c>
    </x:row>
    <x:row r="11">
      <x:c r="A11" s="18" t="str">
        <x:v>A0270</x:v>
      </x:c>
      <x:c r="B11" s="18" t="str">
        <x:v>Active</x:v>
      </x:c>
      <x:c r="C11" s="18" t="n">
        <x:v>37</x:v>
      </x:c>
      <x:c r="D11" s="32" t="n">
        <x:v>2.3</x:v>
      </x:c>
      <x:c r="E11" s="24" t="n">
        <x:v>740000</x:v>
      </x:c>
      <x:c r="F11" s="24" t="n">
        <x:v>0</x:v>
      </x:c>
    </x:row>
    <x:row r="12">
      <x:c r="A12" s="18" t="str">
        <x:v>D0125</x:v>
      </x:c>
      <x:c r="B12" s="18" t="str">
        <x:v>Deferred</x:v>
      </x:c>
      <x:c r="C12" s="18" t="n">
        <x:v>35</x:v>
      </x:c>
      <x:c r="D12" s="32" t="n">
        <x:v>3.2</x:v>
      </x:c>
      <x:c r="E12" s="24" t="n">
        <x:v>595000</x:v>
      </x:c>
      <x:c r="F12" s="24" t="n">
        <x:v>0</x:v>
      </x:c>
    </x:row>
    <x:row r="13">
      <x:c r="A13" s="18" t="str">
        <x:v>P0133</x:v>
      </x:c>
      <x:c r="B13" s="18" t="str">
        <x:v>Pensioner</x:v>
      </x:c>
      <x:c r="C13" s="18" t="n">
        <x:v>76</x:v>
      </x:c>
      <x:c r="D13" s="32" t="n">
        <x:v>38.7</x:v>
      </x:c>
      <x:c r="E13" s="24" t="n">
        <x:v>0</x:v>
      </x:c>
      <x:c r="F13" s="24" t="n">
        <x:v>423000</x:v>
      </x:c>
    </x:row>
    <x:row r="14">
      <x:c r="A14" s="18" t="str">
        <x:v>P0111</x:v>
      </x:c>
      <x:c r="B14" s="18" t="str">
        <x:v>Pensioner</x:v>
      </x:c>
      <x:c r="C14" s="18" t="n">
        <x:v>90</x:v>
      </x:c>
      <x:c r="D14" s="32" t="n">
        <x:v>12.5</x:v>
      </x:c>
      <x:c r="E14" s="24" t="n">
        <x:v>0</x:v>
      </x:c>
      <x:c r="F14" s="24" t="n">
        <x:v>681000</x:v>
      </x:c>
    </x:row>
    <x:row r="15">
      <x:c r="A15" s="18" t="str">
        <x:v>D0075</x:v>
      </x:c>
      <x:c r="B15" s="18" t="str">
        <x:v>Deferred</x:v>
      </x:c>
      <x:c r="C15" s="18" t="n">
        <x:v>33</x:v>
      </x:c>
      <x:c r="D15" s="32" t="n">
        <x:v>7.3</x:v>
      </x:c>
      <x:c r="E15" s="24" t="n">
        <x:v>461000</x:v>
      </x:c>
      <x:c r="F15" s="24" t="n">
        <x:v>0</x:v>
      </x:c>
    </x:row>
    <x:row r="16">
      <x:c r="A16" s="18" t="str">
        <x:v>P0091</x:v>
      </x:c>
      <x:c r="B16" s="18" t="str">
        <x:v>Pensioner</x:v>
      </x:c>
      <x:c r="C16" s="18" t="n">
        <x:v>66</x:v>
      </x:c>
      <x:c r="D16" s="32" t="n">
        <x:v>39.3</x:v>
      </x:c>
      <x:c r="E16" s="24" t="n">
        <x:v>0</x:v>
      </x:c>
      <x:c r="F16" s="24" t="n">
        <x:v>388000</x:v>
      </x:c>
    </x:row>
    <x:row r="17">
      <x:c r="A17" s="18" t="str">
        <x:v>D0106</x:v>
      </x:c>
      <x:c r="B17" s="18" t="str">
        <x:v>Deferred</x:v>
      </x:c>
      <x:c r="C17" s="18" t="n">
        <x:v>46</x:v>
      </x:c>
      <x:c r="D17" s="32" t="n">
        <x:v>5.5</x:v>
      </x:c>
      <x:c r="E17" s="24" t="n">
        <x:v>810000</x:v>
      </x:c>
      <x:c r="F17" s="24" t="n">
        <x:v>0</x:v>
      </x:c>
    </x:row>
    <x:row r="18">
      <x:c r="A18" s="18" t="str">
        <x:v>A0342</x:v>
      </x:c>
      <x:c r="B18" s="18" t="str">
        <x:v>Active</x:v>
      </x:c>
      <x:c r="C18" s="18" t="n">
        <x:v>51</x:v>
      </x:c>
      <x:c r="D18" s="32" t="n">
        <x:v>20</x:v>
      </x:c>
      <x:c r="E18" s="24" t="n">
        <x:v>1373000</x:v>
      </x:c>
      <x:c r="F18" s="24" t="n">
        <x:v>0</x:v>
      </x:c>
    </x:row>
    <x:row r="19">
      <x:c r="A19" s="18" t="str">
        <x:v>P0211</x:v>
      </x:c>
      <x:c r="B19" s="18" t="str">
        <x:v>Pensioner</x:v>
      </x:c>
      <x:c r="C19" s="18" t="n">
        <x:v>83</x:v>
      </x:c>
      <x:c r="D19" s="32" t="n">
        <x:v>18.4</x:v>
      </x:c>
      <x:c r="E19" s="24" t="n">
        <x:v>0</x:v>
      </x:c>
      <x:c r="F19" s="24" t="n">
        <x:v>710000</x:v>
      </x:c>
    </x:row>
    <x:row r="20">
      <x:c r="A20" s="18" t="str">
        <x:v>D0128</x:v>
      </x:c>
      <x:c r="B20" s="18" t="str">
        <x:v>Deferred</x:v>
      </x:c>
      <x:c r="C20" s="18" t="n">
        <x:v>59</x:v>
      </x:c>
      <x:c r="D20" s="32" t="n">
        <x:v>22.4</x:v>
      </x:c>
      <x:c r="E20" s="24" t="n">
        <x:v>1057000</x:v>
      </x:c>
      <x:c r="F20" s="24" t="n">
        <x:v>0</x:v>
      </x:c>
    </x:row>
    <x:row r="21">
      <x:c r="A21" s="18" t="str">
        <x:v>P0175</x:v>
      </x:c>
      <x:c r="B21" s="18" t="str">
        <x:v>Pensioner</x:v>
      </x:c>
      <x:c r="C21" s="18" t="n">
        <x:v>63</x:v>
      </x:c>
      <x:c r="D21" s="32" t="n">
        <x:v>13.7</x:v>
      </x:c>
      <x:c r="E21" s="24" t="n">
        <x:v>0</x:v>
      </x:c>
      <x:c r="F21" s="24" t="n">
        <x:v>186000</x:v>
      </x:c>
    </x:row>
    <x:row r="22">
      <x:c r="A22" s="18" t="str">
        <x:v>A0252</x:v>
      </x:c>
      <x:c r="B22" s="18" t="str">
        <x:v>Active</x:v>
      </x:c>
      <x:c r="C22" s="18" t="n">
        <x:v>33</x:v>
      </x:c>
      <x:c r="D22" s="32" t="n">
        <x:v>6</x:v>
      </x:c>
      <x:c r="E22" s="24" t="n">
        <x:v>727000</x:v>
      </x:c>
      <x:c r="F22" s="24" t="n">
        <x:v>0</x:v>
      </x:c>
    </x:row>
    <x:row r="23">
      <x:c r="A23" s="18" t="str">
        <x:v>A0415</x:v>
      </x:c>
      <x:c r="B23" s="18" t="str">
        <x:v>Active</x:v>
      </x:c>
      <x:c r="C23" s="18" t="n">
        <x:v>31</x:v>
      </x:c>
      <x:c r="D23" s="32" t="n">
        <x:v>6.7</x:v>
      </x:c>
      <x:c r="E23" s="24" t="n">
        <x:v>707000</x:v>
      </x:c>
      <x:c r="F23" s="24" t="n">
        <x:v>0</x:v>
      </x:c>
    </x:row>
    <x:row r="24">
      <x:c r="A24" s="18" t="str">
        <x:v>P0073</x:v>
      </x:c>
      <x:c r="B24" s="18" t="str">
        <x:v>Pensioner</x:v>
      </x:c>
      <x:c r="C24" s="18" t="n">
        <x:v>62</x:v>
      </x:c>
      <x:c r="D24" s="32" t="n">
        <x:v>32.6</x:v>
      </x:c>
      <x:c r="E24" s="24" t="n">
        <x:v>0</x:v>
      </x:c>
      <x:c r="F24" s="24" t="n">
        <x:v>272000</x:v>
      </x:c>
    </x:row>
    <x:row r="25">
      <x:c r="A25" s="18" t="str">
        <x:v>A0310</x:v>
      </x:c>
      <x:c r="B25" s="18" t="str">
        <x:v>Active</x:v>
      </x:c>
      <x:c r="C25" s="18" t="n">
        <x:v>34</x:v>
      </x:c>
      <x:c r="D25" s="32" t="n">
        <x:v>11.6</x:v>
      </x:c>
      <x:c r="E25" s="24" t="n">
        <x:v>593000</x:v>
      </x:c>
      <x:c r="F25" s="24" t="n">
        <x:v>0</x:v>
      </x:c>
    </x:row>
    <x:row r="26">
      <x:c r="A26" s="18" t="str">
        <x:v>P0066</x:v>
      </x:c>
      <x:c r="B26" s="18" t="str">
        <x:v>Pensioner</x:v>
      </x:c>
      <x:c r="C26" s="18" t="n">
        <x:v>65</x:v>
      </x:c>
      <x:c r="D26" s="32" t="n">
        <x:v>13.1</x:v>
      </x:c>
      <x:c r="E26" s="24" t="n">
        <x:v>0</x:v>
      </x:c>
      <x:c r="F26" s="24" t="n">
        <x:v>307000</x:v>
      </x:c>
    </x:row>
    <x:row r="27">
      <x:c r="A27" s="18" t="str">
        <x:v>A0544</x:v>
      </x:c>
      <x:c r="B27" s="18" t="str">
        <x:v>Active</x:v>
      </x:c>
      <x:c r="C27" s="18" t="n">
        <x:v>43</x:v>
      </x:c>
      <x:c r="D27" s="32" t="n">
        <x:v>17.5</x:v>
      </x:c>
      <x:c r="E27" s="24" t="n">
        <x:v>780000</x:v>
      </x:c>
      <x:c r="F27" s="24" t="n">
        <x:v>0</x:v>
      </x:c>
    </x:row>
    <x:row r="28">
      <x:c r="A28" s="18" t="str">
        <x:v>A0026</x:v>
      </x:c>
      <x:c r="B28" s="18" t="str">
        <x:v>Active</x:v>
      </x:c>
      <x:c r="C28" s="18" t="n">
        <x:v>23</x:v>
      </x:c>
      <x:c r="D28" s="32" t="n">
        <x:v>1</x:v>
      </x:c>
      <x:c r="E28" s="24" t="n">
        <x:v>538000</x:v>
      </x:c>
      <x:c r="F28" s="24" t="n">
        <x:v>0</x:v>
      </x:c>
    </x:row>
    <x:row r="29">
      <x:c r="A29" s="18" t="str">
        <x:v>A0618</x:v>
      </x:c>
      <x:c r="B29" s="18" t="str">
        <x:v>Active</x:v>
      </x:c>
      <x:c r="C29" s="18" t="n">
        <x:v>32</x:v>
      </x:c>
      <x:c r="D29" s="32" t="n">
        <x:v>5.2</x:v>
      </x:c>
      <x:c r="E29" s="24" t="n">
        <x:v>658000</x:v>
      </x:c>
      <x:c r="F29" s="24" t="n">
        <x:v>0</x:v>
      </x:c>
    </x:row>
    <x:row r="30">
      <x:c r="A30" s="18" t="str">
        <x:v>P0212</x:v>
      </x:c>
      <x:c r="B30" s="18" t="str">
        <x:v>Pensioner</x:v>
      </x:c>
      <x:c r="C30" s="18" t="n">
        <x:v>86</x:v>
      </x:c>
      <x:c r="D30" s="32" t="n">
        <x:v>15.8</x:v>
      </x:c>
      <x:c r="E30" s="24" t="n">
        <x:v>0</x:v>
      </x:c>
      <x:c r="F30" s="24" t="n">
        <x:v>831000</x:v>
      </x:c>
    </x:row>
    <x:row r="31">
      <x:c r="A31" s="18" t="str">
        <x:v>A0559</x:v>
      </x:c>
      <x:c r="B31" s="18" t="str">
        <x:v>Active</x:v>
      </x:c>
      <x:c r="C31" s="18" t="n">
        <x:v>35</x:v>
      </x:c>
      <x:c r="D31" s="32" t="n">
        <x:v>8.1</x:v>
      </x:c>
      <x:c r="E31" s="24" t="n">
        <x:v>537000</x:v>
      </x:c>
      <x:c r="F31" s="24" t="n">
        <x:v>0</x:v>
      </x:c>
    </x:row>
    <x:row r="32">
      <x:c r="A32" s="18" t="str">
        <x:v>A0207</x:v>
      </x:c>
      <x:c r="B32" s="18" t="str">
        <x:v>Active</x:v>
      </x:c>
      <x:c r="C32" s="18" t="n">
        <x:v>55</x:v>
      </x:c>
      <x:c r="D32" s="32" t="n">
        <x:v>5.5</x:v>
      </x:c>
      <x:c r="E32" s="24" t="n">
        <x:v>2009000</x:v>
      </x:c>
      <x:c r="F32" s="24" t="n">
        <x:v>0</x:v>
      </x:c>
    </x:row>
    <x:row r="33">
      <x:c r="A33" s="18" t="str">
        <x:v>P0153</x:v>
      </x:c>
      <x:c r="B33" s="18" t="str">
        <x:v>Pensioner</x:v>
      </x:c>
      <x:c r="C33" s="18" t="n">
        <x:v>75</x:v>
      </x:c>
      <x:c r="D33" s="32" t="n">
        <x:v>31.6</x:v>
      </x:c>
      <x:c r="E33" s="24" t="n">
        <x:v>0</x:v>
      </x:c>
      <x:c r="F33" s="24" t="n">
        <x:v>300000</x:v>
      </x:c>
    </x:row>
    <x:row r="34">
      <x:c r="A34" s="18" t="str">
        <x:v>A0420</x:v>
      </x:c>
      <x:c r="B34" s="18" t="str">
        <x:v>Active</x:v>
      </x:c>
      <x:c r="C34" s="18" t="n">
        <x:v>39</x:v>
      </x:c>
      <x:c r="D34" s="32" t="n">
        <x:v>10.7</x:v>
      </x:c>
      <x:c r="E34" s="24" t="n">
        <x:v>722000</x:v>
      </x:c>
      <x:c r="F34" s="24" t="n">
        <x:v>0</x:v>
      </x:c>
    </x:row>
    <x:row r="35">
      <x:c r="A35" s="18" t="str">
        <x:v>A0253</x:v>
      </x:c>
      <x:c r="B35" s="18" t="str">
        <x:v>Active</x:v>
      </x:c>
      <x:c r="C35" s="18" t="n">
        <x:v>35</x:v>
      </x:c>
      <x:c r="D35" s="32" t="n">
        <x:v>6.8</x:v>
      </x:c>
      <x:c r="E35" s="24" t="n">
        <x:v>686000</x:v>
      </x:c>
      <x:c r="F35" s="24" t="n">
        <x:v>0</x:v>
      </x:c>
    </x:row>
    <x:row r="36">
      <x:c r="A36" s="18" t="str">
        <x:v>A0192</x:v>
      </x:c>
      <x:c r="B36" s="18" t="str">
        <x:v>Active</x:v>
      </x:c>
      <x:c r="C36" s="18" t="n">
        <x:v>54</x:v>
      </x:c>
      <x:c r="D36" s="32" t="n">
        <x:v>7.5</x:v>
      </x:c>
      <x:c r="E36" s="24" t="n">
        <x:v>2041000</x:v>
      </x:c>
      <x:c r="F36" s="24" t="n">
        <x:v>0</x:v>
      </x:c>
    </x:row>
    <x:row r="37">
      <x:c r="A37" s="18" t="str">
        <x:v>A0590</x:v>
      </x:c>
      <x:c r="B37" s="18" t="str">
        <x:v>Active</x:v>
      </x:c>
      <x:c r="C37" s="18" t="n">
        <x:v>22</x:v>
      </x:c>
      <x:c r="D37" s="32" t="n">
        <x:v>1</x:v>
      </x:c>
      <x:c r="E37" s="24" t="n">
        <x:v>518000</x:v>
      </x:c>
      <x:c r="F37" s="24" t="n">
        <x:v>0</x:v>
      </x:c>
    </x:row>
    <x:row r="38">
      <x:c r="A38" s="18" t="str">
        <x:v>A0155</x:v>
      </x:c>
      <x:c r="B38" s="18" t="str">
        <x:v>Active</x:v>
      </x:c>
      <x:c r="C38" s="18" t="n">
        <x:v>47</x:v>
      </x:c>
      <x:c r="D38" s="32" t="n">
        <x:v>23</x:v>
      </x:c>
      <x:c r="E38" s="24" t="n">
        <x:v>1524000</x:v>
      </x:c>
      <x:c r="F38" s="24" t="n">
        <x:v>0</x:v>
      </x:c>
    </x:row>
    <x:row r="39">
      <x:c r="A39" s="18" t="str">
        <x:v>A0191</x:v>
      </x:c>
      <x:c r="B39" s="18" t="str">
        <x:v>Active</x:v>
      </x:c>
      <x:c r="C39" s="18" t="n">
        <x:v>38</x:v>
      </x:c>
      <x:c r="D39" s="32" t="n">
        <x:v>12.2</x:v>
      </x:c>
      <x:c r="E39" s="24" t="n">
        <x:v>812000</x:v>
      </x:c>
      <x:c r="F39" s="24" t="n">
        <x:v>0</x:v>
      </x:c>
    </x:row>
    <x:row r="40">
      <x:c r="A40" s="18" t="str">
        <x:v>A0570</x:v>
      </x:c>
      <x:c r="B40" s="18" t="str">
        <x:v>Active</x:v>
      </x:c>
      <x:c r="C40" s="18" t="n">
        <x:v>56</x:v>
      </x:c>
      <x:c r="D40" s="32" t="n">
        <x:v>9.2</x:v>
      </x:c>
      <x:c r="E40" s="24" t="n">
        <x:v>1764000</x:v>
      </x:c>
      <x:c r="F40" s="24" t="n">
        <x:v>0</x:v>
      </x:c>
    </x:row>
    <x:row r="41">
      <x:c r="A41" s="18" t="str">
        <x:v>A0195</x:v>
      </x:c>
      <x:c r="B41" s="18" t="str">
        <x:v>Active</x:v>
      </x:c>
      <x:c r="C41" s="18" t="n">
        <x:v>40</x:v>
      </x:c>
      <x:c r="D41" s="32" t="n">
        <x:v>1.9</x:v>
      </x:c>
      <x:c r="E41" s="24" t="n">
        <x:v>654000</x:v>
      </x:c>
      <x:c r="F41" s="24" t="n">
        <x:v>0</x:v>
      </x:c>
    </x:row>
    <x:row r="42">
      <x:c r="A42" s="18" t="str">
        <x:v>P0182</x:v>
      </x:c>
      <x:c r="B42" s="18" t="str">
        <x:v>Pensioner</x:v>
      </x:c>
      <x:c r="C42" s="18" t="n">
        <x:v>71</x:v>
      </x:c>
      <x:c r="D42" s="32" t="n">
        <x:v>18.3</x:v>
      </x:c>
      <x:c r="E42" s="24" t="n">
        <x:v>0</x:v>
      </x:c>
      <x:c r="F42" s="24" t="n">
        <x:v>380000</x:v>
      </x:c>
    </x:row>
    <x:row r="43">
      <x:c r="A43" s="18" t="str">
        <x:v>A0089</x:v>
      </x:c>
      <x:c r="B43" s="18" t="str">
        <x:v>Active</x:v>
      </x:c>
      <x:c r="C43" s="18" t="n">
        <x:v>52</x:v>
      </x:c>
      <x:c r="D43" s="32" t="n">
        <x:v>24.6</x:v>
      </x:c>
      <x:c r="E43" s="24" t="n">
        <x:v>1343000</x:v>
      </x:c>
      <x:c r="F43" s="24" t="n">
        <x:v>0</x:v>
      </x:c>
    </x:row>
    <x:row r="44">
      <x:c r="A44" s="18" t="str">
        <x:v>A0028</x:v>
      </x:c>
      <x:c r="B44" s="18" t="str">
        <x:v>Active</x:v>
      </x:c>
      <x:c r="C44" s="18" t="n">
        <x:v>39</x:v>
      </x:c>
      <x:c r="D44" s="32" t="n">
        <x:v>7.9</x:v>
      </x:c>
      <x:c r="E44" s="24" t="n">
        <x:v>715000</x:v>
      </x:c>
      <x:c r="F44" s="24" t="n">
        <x:v>0</x:v>
      </x:c>
    </x:row>
    <x:row r="45">
      <x:c r="A45" s="18" t="str">
        <x:v>D0001</x:v>
      </x:c>
      <x:c r="B45" s="18" t="str">
        <x:v>Deferred</x:v>
      </x:c>
      <x:c r="C45" s="18" t="n">
        <x:v>45</x:v>
      </x:c>
      <x:c r="D45" s="32" t="n">
        <x:v>12.4</x:v>
      </x:c>
      <x:c r="E45" s="24" t="n">
        <x:v>786000</x:v>
      </x:c>
      <x:c r="F45" s="24" t="n">
        <x:v>0</x:v>
      </x:c>
    </x:row>
    <x:row r="46">
      <x:c r="A46" s="18" t="str">
        <x:v>A0083</x:v>
      </x:c>
      <x:c r="B46" s="18" t="str">
        <x:v>Active</x:v>
      </x:c>
      <x:c r="C46" s="18" t="n">
        <x:v>48</x:v>
      </x:c>
      <x:c r="D46" s="32" t="n">
        <x:v>5.2</x:v>
      </x:c>
      <x:c r="E46" s="24" t="n">
        <x:v>1345000</x:v>
      </x:c>
      <x:c r="F46" s="24" t="n">
        <x:v>0</x:v>
      </x:c>
    </x:row>
    <x:row r="47">
      <x:c r="A47" s="18" t="str">
        <x:v>P0071</x:v>
      </x:c>
      <x:c r="B47" s="18" t="str">
        <x:v>Pensioner</x:v>
      </x:c>
      <x:c r="C47" s="18" t="n">
        <x:v>88</x:v>
      </x:c>
      <x:c r="D47" s="32" t="n">
        <x:v>36.3</x:v>
      </x:c>
      <x:c r="E47" s="24" t="n">
        <x:v>0</x:v>
      </x:c>
      <x:c r="F47" s="24" t="n">
        <x:v>732000</x:v>
      </x:c>
    </x:row>
    <x:row r="48">
      <x:c r="A48" s="18" t="str">
        <x:v>P0067</x:v>
      </x:c>
      <x:c r="B48" s="18" t="str">
        <x:v>Pensioner</x:v>
      </x:c>
      <x:c r="C48" s="18" t="n">
        <x:v>62</x:v>
      </x:c>
      <x:c r="D48" s="32" t="n">
        <x:v>35.5</x:v>
      </x:c>
      <x:c r="E48" s="24" t="n">
        <x:v>0</x:v>
      </x:c>
      <x:c r="F48" s="24" t="n">
        <x:v>285000</x:v>
      </x:c>
    </x:row>
    <x:row r="49">
      <x:c r="A49" s="18" t="str">
        <x:v>P0098</x:v>
      </x:c>
      <x:c r="B49" s="18" t="str">
        <x:v>Pensioner</x:v>
      </x:c>
      <x:c r="C49" s="18" t="n">
        <x:v>76</x:v>
      </x:c>
      <x:c r="D49" s="32" t="n">
        <x:v>16.8</x:v>
      </x:c>
      <x:c r="E49" s="24" t="n">
        <x:v>0</x:v>
      </x:c>
      <x:c r="F49" s="24" t="n">
        <x:v>436000</x:v>
      </x:c>
    </x:row>
    <x:row r="50">
      <x:c r="A50" s="18" t="str">
        <x:v>A0560</x:v>
      </x:c>
      <x:c r="B50" s="18" t="str">
        <x:v>Active</x:v>
      </x:c>
      <x:c r="C50" s="18" t="n">
        <x:v>29</x:v>
      </x:c>
      <x:c r="D50" s="32" t="n">
        <x:v>7.9</x:v>
      </x:c>
      <x:c r="E50" s="24" t="n">
        <x:v>492000</x:v>
      </x:c>
      <x:c r="F50" s="24" t="n">
        <x:v>0</x:v>
      </x:c>
    </x:row>
    <x:row r="51">
      <x:c r="A51" s="18" t="str">
        <x:v>P0181</x:v>
      </x:c>
      <x:c r="B51" s="18" t="str">
        <x:v>Pensioner</x:v>
      </x:c>
      <x:c r="C51" s="18" t="n">
        <x:v>79</x:v>
      </x:c>
      <x:c r="D51" s="32" t="n">
        <x:v>35.1</x:v>
      </x:c>
      <x:c r="E51" s="24" t="n">
        <x:v>0</x:v>
      </x:c>
      <x:c r="F51" s="24" t="n">
        <x:v>635000</x:v>
      </x:c>
    </x:row>
    <x:row r="52">
      <x:c r="A52" s="18" t="str">
        <x:v>A0248</x:v>
      </x:c>
      <x:c r="B52" s="18" t="str">
        <x:v>Active</x:v>
      </x:c>
      <x:c r="C52" s="18" t="n">
        <x:v>53</x:v>
      </x:c>
      <x:c r="D52" s="32" t="n">
        <x:v>10.1</x:v>
      </x:c>
      <x:c r="E52" s="24" t="n">
        <x:v>1512000</x:v>
      </x:c>
      <x:c r="F52" s="24" t="n">
        <x:v>0</x:v>
      </x:c>
    </x:row>
    <x:row r="53">
      <x:c r="A53" s="18" t="str">
        <x:v>P0152</x:v>
      </x:c>
      <x:c r="B53" s="18" t="str">
        <x:v>Pensioner</x:v>
      </x:c>
      <x:c r="C53" s="18" t="n">
        <x:v>87</x:v>
      </x:c>
      <x:c r="D53" s="32" t="n">
        <x:v>17.5</x:v>
      </x:c>
      <x:c r="E53" s="24" t="n">
        <x:v>0</x:v>
      </x:c>
      <x:c r="F53" s="24" t="n">
        <x:v>803000</x:v>
      </x:c>
    </x:row>
    <x:row r="54">
      <x:c r="A54" s="18" t="str">
        <x:v>P0021</x:v>
      </x:c>
      <x:c r="B54" s="18" t="str">
        <x:v>Pensioner</x:v>
      </x:c>
      <x:c r="C54" s="18" t="n">
        <x:v>84</x:v>
      </x:c>
      <x:c r="D54" s="32" t="n">
        <x:v>37.2</x:v>
      </x:c>
      <x:c r="E54" s="24" t="n">
        <x:v>0</x:v>
      </x:c>
      <x:c r="F54" s="24" t="n">
        <x:v>780000</x:v>
      </x:c>
    </x:row>
    <x:row r="55">
      <x:c r="A55" s="18" t="str">
        <x:v>A0426</x:v>
      </x:c>
      <x:c r="B55" s="18" t="str">
        <x:v>Active</x:v>
      </x:c>
      <x:c r="C55" s="18" t="n">
        <x:v>53</x:v>
      </x:c>
      <x:c r="D55" s="32" t="n">
        <x:v>18.4</x:v>
      </x:c>
      <x:c r="E55" s="24" t="n">
        <x:v>1182000</x:v>
      </x:c>
      <x:c r="F55" s="24" t="n">
        <x:v>0</x:v>
      </x:c>
    </x:row>
    <x:row r="56">
      <x:c r="A56" s="18" t="str">
        <x:v>P0201</x:v>
      </x:c>
      <x:c r="B56" s="18" t="str">
        <x:v>Pensioner</x:v>
      </x:c>
      <x:c r="C56" s="18" t="n">
        <x:v>78</x:v>
      </x:c>
      <x:c r="D56" s="32" t="n">
        <x:v>18.2</x:v>
      </x:c>
      <x:c r="E56" s="24" t="n">
        <x:v>0</x:v>
      </x:c>
      <x:c r="F56" s="24" t="n">
        <x:v>378000</x:v>
      </x:c>
    </x:row>
    <x:row r="57">
      <x:c r="A57" s="18" t="str">
        <x:v>P0187</x:v>
      </x:c>
      <x:c r="B57" s="18" t="str">
        <x:v>Pensioner</x:v>
      </x:c>
      <x:c r="C57" s="18" t="n">
        <x:v>78</x:v>
      </x:c>
      <x:c r="D57" s="32" t="n">
        <x:v>36.2</x:v>
      </x:c>
      <x:c r="E57" s="24" t="n">
        <x:v>0</x:v>
      </x:c>
      <x:c r="F57" s="24" t="n">
        <x:v>287000</x:v>
      </x:c>
    </x:row>
    <x:row r="58">
      <x:c r="A58" s="18" t="str">
        <x:v>A0237</x:v>
      </x:c>
      <x:c r="B58" s="18" t="str">
        <x:v>Active</x:v>
      </x:c>
      <x:c r="C58" s="18" t="n">
        <x:v>36</x:v>
      </x:c>
      <x:c r="D58" s="32" t="n">
        <x:v>2.8</x:v>
      </x:c>
      <x:c r="E58" s="24" t="n">
        <x:v>888000</x:v>
      </x:c>
      <x:c r="F58" s="24" t="n">
        <x:v>0</x:v>
      </x:c>
    </x:row>
    <x:row r="59">
      <x:c r="A59" s="18" t="str">
        <x:v>P0029</x:v>
      </x:c>
      <x:c r="B59" s="18" t="str">
        <x:v>Pensioner</x:v>
      </x:c>
      <x:c r="C59" s="18" t="n">
        <x:v>88</x:v>
      </x:c>
      <x:c r="D59" s="32" t="n">
        <x:v>39.7</x:v>
      </x:c>
      <x:c r="E59" s="24" t="n">
        <x:v>0</x:v>
      </x:c>
      <x:c r="F59" s="24" t="n">
        <x:v>705000</x:v>
      </x:c>
    </x:row>
    <x:row r="60">
      <x:c r="A60" s="18" t="str">
        <x:v>A0456</x:v>
      </x:c>
      <x:c r="B60" s="18" t="str">
        <x:v>Active</x:v>
      </x:c>
      <x:c r="C60" s="18" t="n">
        <x:v>38</x:v>
      </x:c>
      <x:c r="D60" s="32" t="n">
        <x:v>11.9</x:v>
      </x:c>
      <x:c r="E60" s="24" t="n">
        <x:v>1049000</x:v>
      </x:c>
      <x:c r="F60" s="24" t="n">
        <x:v>0</x:v>
      </x:c>
    </x:row>
    <x:row r="61">
      <x:c r="A61" s="18" t="str">
        <x:v>A0100</x:v>
      </x:c>
      <x:c r="B61" s="18" t="str">
        <x:v>Active</x:v>
      </x:c>
      <x:c r="C61" s="18" t="n">
        <x:v>55</x:v>
      </x:c>
      <x:c r="D61" s="32" t="n">
        <x:v>6.1</x:v>
      </x:c>
      <x:c r="E61" s="24" t="n">
        <x:v>1444000</x:v>
      </x:c>
      <x:c r="F61" s="24" t="n">
        <x:v>0</x:v>
      </x:c>
    </x:row>
    <x:row r="62">
      <x:c r="A62" s="18" t="str">
        <x:v>A0508</x:v>
      </x:c>
      <x:c r="B62" s="18" t="str">
        <x:v>Active</x:v>
      </x:c>
      <x:c r="C62" s="18" t="n">
        <x:v>22</x:v>
      </x:c>
      <x:c r="D62" s="32" t="n">
        <x:v>1</x:v>
      </x:c>
      <x:c r="E62" s="24" t="n">
        <x:v>441000</x:v>
      </x:c>
      <x:c r="F62" s="24" t="n">
        <x:v>0</x:v>
      </x:c>
    </x:row>
    <x:row r="63">
      <x:c r="A63" s="18" t="str">
        <x:v>A0514</x:v>
      </x:c>
      <x:c r="B63" s="18" t="str">
        <x:v>Active</x:v>
      </x:c>
      <x:c r="C63" s="18" t="n">
        <x:v>31</x:v>
      </x:c>
      <x:c r="D63" s="32" t="n">
        <x:v>6.6</x:v>
      </x:c>
      <x:c r="E63" s="24" t="n">
        <x:v>510000</x:v>
      </x:c>
      <x:c r="F63" s="24" t="n">
        <x:v>0</x:v>
      </x:c>
    </x:row>
    <x:row r="64">
      <x:c r="A64" s="18" t="str">
        <x:v>A0018</x:v>
      </x:c>
      <x:c r="B64" s="18" t="str">
        <x:v>Active</x:v>
      </x:c>
      <x:c r="C64" s="18" t="n">
        <x:v>27</x:v>
      </x:c>
      <x:c r="D64" s="32" t="n">
        <x:v>5.8</x:v>
      </x:c>
      <x:c r="E64" s="24" t="n">
        <x:v>642000</x:v>
      </x:c>
      <x:c r="F64" s="24" t="n">
        <x:v>0</x:v>
      </x:c>
    </x:row>
    <x:row r="65">
      <x:c r="A65" s="18" t="str">
        <x:v>A0048</x:v>
      </x:c>
      <x:c r="B65" s="18" t="str">
        <x:v>Active</x:v>
      </x:c>
      <x:c r="C65" s="18" t="n">
        <x:v>44</x:v>
      </x:c>
      <x:c r="D65" s="32" t="n">
        <x:v>21.3</x:v>
      </x:c>
      <x:c r="E65" s="24" t="n">
        <x:v>1314000</x:v>
      </x:c>
      <x:c r="F65" s="24" t="n">
        <x:v>0</x:v>
      </x:c>
    </x:row>
    <x:row r="66">
      <x:c r="A66" s="18" t="str">
        <x:v>A0071</x:v>
      </x:c>
      <x:c r="B66" s="18" t="str">
        <x:v>Active</x:v>
      </x:c>
      <x:c r="C66" s="18" t="n">
        <x:v>22</x:v>
      </x:c>
      <x:c r="D66" s="32" t="n">
        <x:v>1</x:v>
      </x:c>
      <x:c r="E66" s="24" t="n">
        <x:v>490000</x:v>
      </x:c>
      <x:c r="F66" s="24" t="n">
        <x:v>0</x:v>
      </x:c>
    </x:row>
    <x:row r="67">
      <x:c r="A67" s="18" t="str">
        <x:v>A0318</x:v>
      </x:c>
      <x:c r="B67" s="18" t="str">
        <x:v>Active</x:v>
      </x:c>
      <x:c r="C67" s="18" t="n">
        <x:v>42</x:v>
      </x:c>
      <x:c r="D67" s="32" t="n">
        <x:v>13.8</x:v>
      </x:c>
      <x:c r="E67" s="24" t="n">
        <x:v>1212000</x:v>
      </x:c>
      <x:c r="F67" s="24" t="n">
        <x:v>0</x:v>
      </x:c>
    </x:row>
    <x:row r="68">
      <x:c r="A68" s="18" t="str">
        <x:v>A0046</x:v>
      </x:c>
      <x:c r="B68" s="18" t="str">
        <x:v>Active</x:v>
      </x:c>
      <x:c r="C68" s="18" t="n">
        <x:v>55</x:v>
      </x:c>
      <x:c r="D68" s="32" t="n">
        <x:v>17.3</x:v>
      </x:c>
      <x:c r="E68" s="24" t="n">
        <x:v>2121000</x:v>
      </x:c>
      <x:c r="F68" s="24" t="n">
        <x:v>0</x:v>
      </x:c>
    </x:row>
    <x:row r="69">
      <x:c r="A69" s="18" t="str">
        <x:v>A0405</x:v>
      </x:c>
      <x:c r="B69" s="18" t="str">
        <x:v>Active</x:v>
      </x:c>
      <x:c r="C69" s="18" t="n">
        <x:v>52</x:v>
      </x:c>
      <x:c r="D69" s="32" t="n">
        <x:v>3.8</x:v>
      </x:c>
      <x:c r="E69" s="24" t="n">
        <x:v>1459000</x:v>
      </x:c>
      <x:c r="F69" s="24" t="n">
        <x:v>0</x:v>
      </x:c>
    </x:row>
    <x:row r="70">
      <x:c r="A70" s="18" t="str">
        <x:v>A0214</x:v>
      </x:c>
      <x:c r="B70" s="18" t="str">
        <x:v>Active</x:v>
      </x:c>
      <x:c r="C70" s="18" t="n">
        <x:v>29</x:v>
      </x:c>
      <x:c r="D70" s="32" t="n">
        <x:v>1.3</x:v>
      </x:c>
      <x:c r="E70" s="24" t="n">
        <x:v>640000</x:v>
      </x:c>
      <x:c r="F70" s="24" t="n">
        <x:v>0</x:v>
      </x:c>
    </x:row>
    <x:row r="71">
      <x:c r="A71" s="18" t="str">
        <x:v>A0185</x:v>
      </x:c>
      <x:c r="B71" s="18" t="str">
        <x:v>Active</x:v>
      </x:c>
      <x:c r="C71" s="18" t="n">
        <x:v>27</x:v>
      </x:c>
      <x:c r="D71" s="32" t="n">
        <x:v>1.5</x:v>
      </x:c>
      <x:c r="E71" s="24" t="n">
        <x:v>626000</x:v>
      </x:c>
      <x:c r="F71" s="24" t="n">
        <x:v>0</x:v>
      </x:c>
    </x:row>
    <x:row r="72">
      <x:c r="A72" s="18" t="str">
        <x:v>A0345</x:v>
      </x:c>
      <x:c r="B72" s="18" t="str">
        <x:v>Active</x:v>
      </x:c>
      <x:c r="C72" s="18" t="n">
        <x:v>45</x:v>
      </x:c>
      <x:c r="D72" s="32" t="n">
        <x:v>20.3</x:v>
      </x:c>
      <x:c r="E72" s="24" t="n">
        <x:v>1366000</x:v>
      </x:c>
      <x:c r="F72" s="24" t="n">
        <x:v>0</x:v>
      </x:c>
    </x:row>
    <x:row r="73">
      <x:c r="A73" s="18" t="str">
        <x:v>P0135</x:v>
      </x:c>
      <x:c r="B73" s="18" t="str">
        <x:v>Pensioner</x:v>
      </x:c>
      <x:c r="C73" s="18" t="n">
        <x:v>78</x:v>
      </x:c>
      <x:c r="D73" s="32" t="n">
        <x:v>22.7</x:v>
      </x:c>
      <x:c r="E73" s="24" t="n">
        <x:v>0</x:v>
      </x:c>
      <x:c r="F73" s="24" t="n">
        <x:v>328000</x:v>
      </x:c>
    </x:row>
    <x:row r="74">
      <x:c r="A74" s="18" t="str">
        <x:v>A0004</x:v>
      </x:c>
      <x:c r="B74" s="18" t="str">
        <x:v>Active</x:v>
      </x:c>
      <x:c r="C74" s="18" t="n">
        <x:v>39</x:v>
      </x:c>
      <x:c r="D74" s="32" t="n">
        <x:v>16.8</x:v>
      </x:c>
      <x:c r="E74" s="24" t="n">
        <x:v>942000</x:v>
      </x:c>
      <x:c r="F74" s="24" t="n">
        <x:v>0</x:v>
      </x:c>
    </x:row>
    <x:row r="75">
      <x:c r="A75" s="18" t="str">
        <x:v>P0107</x:v>
      </x:c>
      <x:c r="B75" s="18" t="str">
        <x:v>Pensioner</x:v>
      </x:c>
      <x:c r="C75" s="18" t="n">
        <x:v>77</x:v>
      </x:c>
      <x:c r="D75" s="32" t="n">
        <x:v>33.7</x:v>
      </x:c>
      <x:c r="E75" s="24" t="n">
        <x:v>0</x:v>
      </x:c>
      <x:c r="F75" s="24" t="n">
        <x:v>240000</x:v>
      </x:c>
    </x:row>
    <x:row r="76">
      <x:c r="A76" s="18" t="str">
        <x:v>A0158</x:v>
      </x:c>
      <x:c r="B76" s="18" t="str">
        <x:v>Active</x:v>
      </x:c>
      <x:c r="C76" s="18" t="n">
        <x:v>56</x:v>
      </x:c>
      <x:c r="D76" s="32" t="n">
        <x:v>20</x:v>
      </x:c>
      <x:c r="E76" s="24" t="n">
        <x:v>1382000</x:v>
      </x:c>
      <x:c r="F76" s="24" t="n">
        <x:v>0</x:v>
      </x:c>
    </x:row>
    <x:row r="77">
      <x:c r="A77" s="18" t="str">
        <x:v>A0337</x:v>
      </x:c>
      <x:c r="B77" s="18" t="str">
        <x:v>Active</x:v>
      </x:c>
      <x:c r="C77" s="18" t="n">
        <x:v>25</x:v>
      </x:c>
      <x:c r="D77" s="32" t="n">
        <x:v>2</x:v>
      </x:c>
      <x:c r="E77" s="24" t="n">
        <x:v>356000</x:v>
      </x:c>
      <x:c r="F77" s="24" t="n">
        <x:v>0</x:v>
      </x:c>
    </x:row>
    <x:row r="78">
      <x:c r="A78" s="18" t="str">
        <x:v>P0033</x:v>
      </x:c>
      <x:c r="B78" s="18" t="str">
        <x:v>Pensioner</x:v>
      </x:c>
      <x:c r="C78" s="18" t="n">
        <x:v>75</x:v>
      </x:c>
      <x:c r="D78" s="32" t="n">
        <x:v>38.8</x:v>
      </x:c>
      <x:c r="E78" s="24" t="n">
        <x:v>0</x:v>
      </x:c>
      <x:c r="F78" s="24" t="n">
        <x:v>273000</x:v>
      </x:c>
    </x:row>
    <x:row r="79">
      <x:c r="A79" s="18" t="str">
        <x:v>A0488</x:v>
      </x:c>
      <x:c r="B79" s="18" t="str">
        <x:v>Active</x:v>
      </x:c>
      <x:c r="C79" s="18" t="n">
        <x:v>54</x:v>
      </x:c>
      <x:c r="D79" s="32" t="n">
        <x:v>5.2</x:v>
      </x:c>
      <x:c r="E79" s="24" t="n">
        <x:v>1686000</x:v>
      </x:c>
      <x:c r="F79" s="24" t="n">
        <x:v>0</x:v>
      </x:c>
    </x:row>
    <x:row r="80">
      <x:c r="A80" s="18" t="str">
        <x:v>P0016</x:v>
      </x:c>
      <x:c r="B80" s="18" t="str">
        <x:v>Pensioner</x:v>
      </x:c>
      <x:c r="C80" s="18" t="n">
        <x:v>72</x:v>
      </x:c>
      <x:c r="D80" s="32" t="n">
        <x:v>19.6</x:v>
      </x:c>
      <x:c r="E80" s="24" t="n">
        <x:v>0</x:v>
      </x:c>
      <x:c r="F80" s="24" t="n">
        <x:v>490000</x:v>
      </x:c>
    </x:row>
    <x:row r="81">
      <x:c r="A81" s="18" t="str">
        <x:v>D0011</x:v>
      </x:c>
      <x:c r="B81" s="18" t="str">
        <x:v>Deferred</x:v>
      </x:c>
      <x:c r="C81" s="18" t="n">
        <x:v>51</x:v>
      </x:c>
      <x:c r="D81" s="32" t="n">
        <x:v>18</x:v>
      </x:c>
      <x:c r="E81" s="24" t="n">
        <x:v>692000</x:v>
      </x:c>
      <x:c r="F81" s="24" t="n">
        <x:v>0</x:v>
      </x:c>
    </x:row>
    <x:row r="82">
      <x:c r="A82" s="18" t="str">
        <x:v>P0209</x:v>
      </x:c>
      <x:c r="B82" s="18" t="str">
        <x:v>Pensioner</x:v>
      </x:c>
      <x:c r="C82" s="18" t="n">
        <x:v>70</x:v>
      </x:c>
      <x:c r="D82" s="32" t="n">
        <x:v>31.6</x:v>
      </x:c>
      <x:c r="E82" s="24" t="n">
        <x:v>0</x:v>
      </x:c>
      <x:c r="F82" s="24" t="n">
        <x:v>460000</x:v>
      </x:c>
    </x:row>
    <x:row r="83">
      <x:c r="A83" s="18" t="str">
        <x:v>A0365</x:v>
      </x:c>
      <x:c r="B83" s="18" t="str">
        <x:v>Active</x:v>
      </x:c>
      <x:c r="C83" s="18" t="n">
        <x:v>58</x:v>
      </x:c>
      <x:c r="D83" s="32" t="n">
        <x:v>33.5</x:v>
      </x:c>
      <x:c r="E83" s="24" t="n">
        <x:v>1863000</x:v>
      </x:c>
      <x:c r="F83" s="24" t="n">
        <x:v>0</x:v>
      </x:c>
    </x:row>
    <x:row r="84">
      <x:c r="A84" s="18" t="str">
        <x:v>D0112</x:v>
      </x:c>
      <x:c r="B84" s="18" t="str">
        <x:v>Deferred</x:v>
      </x:c>
      <x:c r="C84" s="18" t="n">
        <x:v>31</x:v>
      </x:c>
      <x:c r="D84" s="32" t="n">
        <x:v>2.8</x:v>
      </x:c>
      <x:c r="E84" s="24" t="n">
        <x:v>415000</x:v>
      </x:c>
      <x:c r="F84" s="24" t="n">
        <x:v>0</x:v>
      </x:c>
    </x:row>
    <x:row r="85">
      <x:c r="A85" s="18" t="str">
        <x:v>A0327</x:v>
      </x:c>
      <x:c r="B85" s="18" t="str">
        <x:v>Active</x:v>
      </x:c>
      <x:c r="C85" s="18" t="n">
        <x:v>26</x:v>
      </x:c>
      <x:c r="D85" s="32" t="n">
        <x:v>3.6</x:v>
      </x:c>
      <x:c r="E85" s="24" t="n">
        <x:v>534000</x:v>
      </x:c>
      <x:c r="F85" s="24" t="n">
        <x:v>0</x:v>
      </x:c>
    </x:row>
    <x:row r="86">
      <x:c r="A86" s="18" t="str">
        <x:v>A0285</x:v>
      </x:c>
      <x:c r="B86" s="18" t="str">
        <x:v>Active</x:v>
      </x:c>
      <x:c r="C86" s="18" t="n">
        <x:v>45</x:v>
      </x:c>
      <x:c r="D86" s="32" t="n">
        <x:v>9.3</x:v>
      </x:c>
      <x:c r="E86" s="24" t="n">
        <x:v>1075000</x:v>
      </x:c>
      <x:c r="F86" s="24" t="n">
        <x:v>0</x:v>
      </x:c>
    </x:row>
    <x:row r="87">
      <x:c r="A87" s="18" t="str">
        <x:v>P0191</x:v>
      </x:c>
      <x:c r="B87" s="18" t="str">
        <x:v>Pensioner</x:v>
      </x:c>
      <x:c r="C87" s="18" t="n">
        <x:v>78</x:v>
      </x:c>
      <x:c r="D87" s="32" t="n">
        <x:v>39.2</x:v>
      </x:c>
      <x:c r="E87" s="24" t="n">
        <x:v>0</x:v>
      </x:c>
      <x:c r="F87" s="24" t="n">
        <x:v>537000</x:v>
      </x:c>
    </x:row>
    <x:row r="88">
      <x:c r="A88" s="18" t="str">
        <x:v>A0596</x:v>
      </x:c>
      <x:c r="B88" s="18" t="str">
        <x:v>Active</x:v>
      </x:c>
      <x:c r="C88" s="18" t="n">
        <x:v>46</x:v>
      </x:c>
      <x:c r="D88" s="32" t="n">
        <x:v>2.5</x:v>
      </x:c>
      <x:c r="E88" s="24" t="n">
        <x:v>1207000</x:v>
      </x:c>
      <x:c r="F88" s="24" t="n">
        <x:v>0</x:v>
      </x:c>
    </x:row>
    <x:row r="89">
      <x:c r="A89" s="18" t="str">
        <x:v>A0547</x:v>
      </x:c>
      <x:c r="B89" s="18" t="str">
        <x:v>Active</x:v>
      </x:c>
      <x:c r="C89" s="18" t="n">
        <x:v>33</x:v>
      </x:c>
      <x:c r="D89" s="32" t="n">
        <x:v>4</x:v>
      </x:c>
      <x:c r="E89" s="24" t="n">
        <x:v>473000</x:v>
      </x:c>
      <x:c r="F89" s="24" t="n">
        <x:v>0</x:v>
      </x:c>
    </x:row>
    <x:row r="90">
      <x:c r="A90" s="18" t="str">
        <x:v>A0586</x:v>
      </x:c>
      <x:c r="B90" s="18" t="str">
        <x:v>Active</x:v>
      </x:c>
      <x:c r="C90" s="18" t="n">
        <x:v>48</x:v>
      </x:c>
      <x:c r="D90" s="32" t="n">
        <x:v>20.8</x:v>
      </x:c>
      <x:c r="E90" s="24" t="n">
        <x:v>955000</x:v>
      </x:c>
      <x:c r="F90" s="24" t="n">
        <x:v>0</x:v>
      </x:c>
    </x:row>
    <x:row r="91">
      <x:c r="A91" s="18" t="str">
        <x:v>A0352</x:v>
      </x:c>
      <x:c r="B91" s="18" t="str">
        <x:v>Active</x:v>
      </x:c>
      <x:c r="C91" s="18" t="n">
        <x:v>35</x:v>
      </x:c>
      <x:c r="D91" s="32" t="n">
        <x:v>3</x:v>
      </x:c>
      <x:c r="E91" s="24" t="n">
        <x:v>920000</x:v>
      </x:c>
      <x:c r="F91" s="24" t="n">
        <x:v>0</x:v>
      </x:c>
    </x:row>
    <x:row r="92">
      <x:c r="A92" s="18" t="str">
        <x:v>D0044</x:v>
      </x:c>
      <x:c r="B92" s="18" t="str">
        <x:v>Deferred</x:v>
      </x:c>
      <x:c r="C92" s="18" t="n">
        <x:v>30</x:v>
      </x:c>
      <x:c r="D92" s="32" t="n">
        <x:v>2.8</x:v>
      </x:c>
      <x:c r="E92" s="24" t="n">
        <x:v>327000</x:v>
      </x:c>
      <x:c r="F92" s="24" t="n">
        <x:v>0</x:v>
      </x:c>
    </x:row>
    <x:row r="93">
      <x:c r="A93" s="18" t="str">
        <x:v>A0592</x:v>
      </x:c>
      <x:c r="B93" s="18" t="str">
        <x:v>Active</x:v>
      </x:c>
      <x:c r="C93" s="18" t="n">
        <x:v>24</x:v>
      </x:c>
      <x:c r="D93" s="32" t="n">
        <x:v>1</x:v>
      </x:c>
      <x:c r="E93" s="24" t="n">
        <x:v>399000</x:v>
      </x:c>
      <x:c r="F93" s="24" t="n">
        <x:v>0</x:v>
      </x:c>
    </x:row>
    <x:row r="94">
      <x:c r="A94" s="18" t="str">
        <x:v>A0313</x:v>
      </x:c>
      <x:c r="B94" s="18" t="str">
        <x:v>Active</x:v>
      </x:c>
      <x:c r="C94" s="18" t="n">
        <x:v>45</x:v>
      </x:c>
      <x:c r="D94" s="32" t="n">
        <x:v>5</x:v>
      </x:c>
      <x:c r="E94" s="24" t="n">
        <x:v>1210000</x:v>
      </x:c>
      <x:c r="F94" s="24" t="n">
        <x:v>0</x:v>
      </x:c>
    </x:row>
    <x:row r="95">
      <x:c r="A95" s="18" t="str">
        <x:v>A0044</x:v>
      </x:c>
      <x:c r="B95" s="18" t="str">
        <x:v>Active</x:v>
      </x:c>
      <x:c r="C95" s="18" t="n">
        <x:v>36</x:v>
      </x:c>
      <x:c r="D95" s="32" t="n">
        <x:v>9.1</x:v>
      </x:c>
      <x:c r="E95" s="24" t="n">
        <x:v>775000</x:v>
      </x:c>
      <x:c r="F95" s="24" t="n">
        <x:v>0</x:v>
      </x:c>
    </x:row>
    <x:row r="96">
      <x:c r="A96" s="18" t="str">
        <x:v>P0174</x:v>
      </x:c>
      <x:c r="B96" s="18" t="str">
        <x:v>Pensioner</x:v>
      </x:c>
      <x:c r="C96" s="18" t="n">
        <x:v>73</x:v>
      </x:c>
      <x:c r="D96" s="32" t="n">
        <x:v>36.6</x:v>
      </x:c>
      <x:c r="E96" s="24" t="n">
        <x:v>0</x:v>
      </x:c>
      <x:c r="F96" s="24" t="n">
        <x:v>343000</x:v>
      </x:c>
    </x:row>
    <x:row r="97">
      <x:c r="A97" s="18" t="str">
        <x:v>A0021</x:v>
      </x:c>
      <x:c r="B97" s="18" t="str">
        <x:v>Active</x:v>
      </x:c>
      <x:c r="C97" s="18" t="n">
        <x:v>47</x:v>
      </x:c>
      <x:c r="D97" s="32" t="n">
        <x:v>24.9</x:v>
      </x:c>
      <x:c r="E97" s="24" t="n">
        <x:v>1142000</x:v>
      </x:c>
      <x:c r="F97" s="24" t="n">
        <x:v>0</x:v>
      </x:c>
    </x:row>
    <x:row r="98">
      <x:c r="A98" s="18" t="str">
        <x:v>A0278</x:v>
      </x:c>
      <x:c r="B98" s="18" t="str">
        <x:v>Active</x:v>
      </x:c>
      <x:c r="C98" s="18" t="n">
        <x:v>22</x:v>
      </x:c>
      <x:c r="D98" s="32" t="n">
        <x:v>1</x:v>
      </x:c>
      <x:c r="E98" s="24" t="n">
        <x:v>561000</x:v>
      </x:c>
      <x:c r="F98" s="24" t="n">
        <x:v>0</x:v>
      </x:c>
    </x:row>
    <x:row r="99">
      <x:c r="A99" s="18" t="str">
        <x:v>A0250</x:v>
      </x:c>
      <x:c r="B99" s="18" t="str">
        <x:v>Active</x:v>
      </x:c>
      <x:c r="C99" s="18" t="n">
        <x:v>30</x:v>
      </x:c>
      <x:c r="D99" s="32" t="n">
        <x:v>1.3</x:v>
      </x:c>
      <x:c r="E99" s="24" t="n">
        <x:v>631000</x:v>
      </x:c>
      <x:c r="F99" s="24" t="n">
        <x:v>0</x:v>
      </x:c>
    </x:row>
    <x:row r="100">
      <x:c r="A100" s="18" t="str">
        <x:v>A0600</x:v>
      </x:c>
      <x:c r="B100" s="18" t="str">
        <x:v>Active</x:v>
      </x:c>
      <x:c r="C100" s="18" t="n">
        <x:v>40</x:v>
      </x:c>
      <x:c r="D100" s="32" t="n">
        <x:v>6.9</x:v>
      </x:c>
      <x:c r="E100" s="24" t="n">
        <x:v>762000</x:v>
      </x:c>
      <x:c r="F100" s="24" t="n">
        <x:v>0</x:v>
      </x:c>
    </x:row>
    <x:row r="101">
      <x:c r="A101" s="18" t="str">
        <x:v>P0076</x:v>
      </x:c>
      <x:c r="B101" s="18" t="str">
        <x:v>Pensioner</x:v>
      </x:c>
      <x:c r="C101" s="18" t="n">
        <x:v>82</x:v>
      </x:c>
      <x:c r="D101" s="32" t="n">
        <x:v>39.7</x:v>
      </x:c>
      <x:c r="E101" s="24" t="n">
        <x:v>0</x:v>
      </x:c>
      <x:c r="F101" s="24" t="n">
        <x:v>419000</x:v>
      </x:c>
    </x:row>
    <x:row r="102">
      <x:c r="A102" s="18" t="str">
        <x:v>P0019</x:v>
      </x:c>
      <x:c r="B102" s="18" t="str">
        <x:v>Pensioner</x:v>
      </x:c>
      <x:c r="C102" s="18" t="n">
        <x:v>86</x:v>
      </x:c>
      <x:c r="D102" s="32" t="n">
        <x:v>29.2</x:v>
      </x:c>
      <x:c r="E102" s="24" t="n">
        <x:v>0</x:v>
      </x:c>
      <x:c r="F102" s="24" t="n">
        <x:v>542000</x:v>
      </x:c>
    </x:row>
    <x:row r="103">
      <x:c r="A103" s="18" t="str">
        <x:v>D0061</x:v>
      </x:c>
      <x:c r="B103" s="18" t="str">
        <x:v>Deferred</x:v>
      </x:c>
      <x:c r="C103" s="18" t="n">
        <x:v>41</x:v>
      </x:c>
      <x:c r="D103" s="32" t="n">
        <x:v>19.9</x:v>
      </x:c>
      <x:c r="E103" s="24" t="n">
        <x:v>534000</x:v>
      </x:c>
      <x:c r="F103" s="24" t="n">
        <x:v>0</x:v>
      </x:c>
    </x:row>
    <x:row r="104">
      <x:c r="A104" s="18" t="str">
        <x:v>A0412</x:v>
      </x:c>
      <x:c r="B104" s="18" t="str">
        <x:v>Active</x:v>
      </x:c>
      <x:c r="C104" s="18" t="n">
        <x:v>30</x:v>
      </x:c>
      <x:c r="D104" s="32" t="n">
        <x:v>5.6</x:v>
      </x:c>
      <x:c r="E104" s="24" t="n">
        <x:v>663000</x:v>
      </x:c>
      <x:c r="F104" s="24" t="n">
        <x:v>0</x:v>
      </x:c>
    </x:row>
    <x:row r="105">
      <x:c r="A105" s="18" t="str">
        <x:v>P0157</x:v>
      </x:c>
      <x:c r="B105" s="18" t="str">
        <x:v>Pensioner</x:v>
      </x:c>
      <x:c r="C105" s="18" t="n">
        <x:v>87</x:v>
      </x:c>
      <x:c r="D105" s="32" t="n">
        <x:v>20.9</x:v>
      </x:c>
      <x:c r="E105" s="24" t="n">
        <x:v>0</x:v>
      </x:c>
      <x:c r="F105" s="24" t="n">
        <x:v>761000</x:v>
      </x:c>
    </x:row>
    <x:row r="106">
      <x:c r="A106" s="18" t="str">
        <x:v>A0317</x:v>
      </x:c>
      <x:c r="B106" s="18" t="str">
        <x:v>Active</x:v>
      </x:c>
      <x:c r="C106" s="18" t="n">
        <x:v>50</x:v>
      </x:c>
      <x:c r="D106" s="32" t="n">
        <x:v>7</x:v>
      </x:c>
      <x:c r="E106" s="24" t="n">
        <x:v>1033000</x:v>
      </x:c>
      <x:c r="F106" s="24" t="n">
        <x:v>0</x:v>
      </x:c>
    </x:row>
    <x:row r="107">
      <x:c r="A107" s="18" t="str">
        <x:v>A0050</x:v>
      </x:c>
      <x:c r="B107" s="18" t="str">
        <x:v>Active</x:v>
      </x:c>
      <x:c r="C107" s="18" t="n">
        <x:v>49</x:v>
      </x:c>
      <x:c r="D107" s="32" t="n">
        <x:v>19.4</x:v>
      </x:c>
      <x:c r="E107" s="24" t="n">
        <x:v>1677000</x:v>
      </x:c>
      <x:c r="F107" s="24" t="n">
        <x:v>0</x:v>
      </x:c>
    </x:row>
    <x:row r="108">
      <x:c r="A108" s="18" t="str">
        <x:v>P0094</x:v>
      </x:c>
      <x:c r="B108" s="18" t="str">
        <x:v>Pensioner</x:v>
      </x:c>
      <x:c r="C108" s="18" t="n">
        <x:v>65</x:v>
      </x:c>
      <x:c r="D108" s="32" t="n">
        <x:v>20.6</x:v>
      </x:c>
      <x:c r="E108" s="24" t="n">
        <x:v>0</x:v>
      </x:c>
      <x:c r="F108" s="24" t="n">
        <x:v>170000</x:v>
      </x:c>
    </x:row>
    <x:row r="109">
      <x:c r="A109" s="18" t="str">
        <x:v>A0479</x:v>
      </x:c>
      <x:c r="B109" s="18" t="str">
        <x:v>Active</x:v>
      </x:c>
      <x:c r="C109" s="18" t="n">
        <x:v>31</x:v>
      </x:c>
      <x:c r="D109" s="32" t="n">
        <x:v>9.2</x:v>
      </x:c>
      <x:c r="E109" s="24" t="n">
        <x:v>745000</x:v>
      </x:c>
      <x:c r="F109" s="24" t="n">
        <x:v>0</x:v>
      </x:c>
    </x:row>
    <x:row r="110">
      <x:c r="A110" s="18" t="str">
        <x:v>A0091</x:v>
      </x:c>
      <x:c r="B110" s="18" t="str">
        <x:v>Active</x:v>
      </x:c>
      <x:c r="C110" s="18" t="n">
        <x:v>41</x:v>
      </x:c>
      <x:c r="D110" s="32" t="n">
        <x:v>19.8</x:v>
      </x:c>
      <x:c r="E110" s="24" t="n">
        <x:v>771000</x:v>
      </x:c>
      <x:c r="F110" s="24" t="n">
        <x:v>0</x:v>
      </x:c>
    </x:row>
    <x:row r="111">
      <x:c r="A111" s="18" t="str">
        <x:v>P0051</x:v>
      </x:c>
      <x:c r="B111" s="18" t="str">
        <x:v>Pensioner</x:v>
      </x:c>
      <x:c r="C111" s="18" t="n">
        <x:v>83</x:v>
      </x:c>
      <x:c r="D111" s="32" t="n">
        <x:v>28.6</x:v>
      </x:c>
      <x:c r="E111" s="24" t="n">
        <x:v>0</x:v>
      </x:c>
      <x:c r="F111" s="24" t="n">
        <x:v>299000</x:v>
      </x:c>
    </x:row>
    <x:row r="112">
      <x:c r="A112" s="18" t="str">
        <x:v>A0009</x:v>
      </x:c>
      <x:c r="B112" s="18" t="str">
        <x:v>Active</x:v>
      </x:c>
      <x:c r="C112" s="18" t="n">
        <x:v>42</x:v>
      </x:c>
      <x:c r="D112" s="32" t="n">
        <x:v>11.7</x:v>
      </x:c>
      <x:c r="E112" s="24" t="n">
        <x:v>829000</x:v>
      </x:c>
      <x:c r="F112" s="24" t="n">
        <x:v>0</x:v>
      </x:c>
    </x:row>
    <x:row r="113">
      <x:c r="A113" s="18" t="str">
        <x:v>A0218</x:v>
      </x:c>
      <x:c r="B113" s="18" t="str">
        <x:v>Active</x:v>
      </x:c>
      <x:c r="C113" s="18" t="n">
        <x:v>25</x:v>
      </x:c>
      <x:c r="D113" s="32" t="n">
        <x:v>1</x:v>
      </x:c>
      <x:c r="E113" s="24" t="n">
        <x:v>583000</x:v>
      </x:c>
      <x:c r="F113" s="24" t="n">
        <x:v>0</x:v>
      </x:c>
    </x:row>
    <x:row r="114">
      <x:c r="A114" s="18" t="str">
        <x:v>A0224</x:v>
      </x:c>
      <x:c r="B114" s="18" t="str">
        <x:v>Active</x:v>
      </x:c>
      <x:c r="C114" s="18" t="n">
        <x:v>58</x:v>
      </x:c>
      <x:c r="D114" s="32" t="n">
        <x:v>23.3</x:v>
      </x:c>
      <x:c r="E114" s="24" t="n">
        <x:v>2456000</x:v>
      </x:c>
      <x:c r="F114" s="24" t="n">
        <x:v>0</x:v>
      </x:c>
    </x:row>
    <x:row r="115">
      <x:c r="A115" s="18" t="str">
        <x:v>P0023</x:v>
      </x:c>
      <x:c r="B115" s="18" t="str">
        <x:v>Pensioner</x:v>
      </x:c>
      <x:c r="C115" s="18" t="n">
        <x:v>86</x:v>
      </x:c>
      <x:c r="D115" s="32" t="n">
        <x:v>17.6</x:v>
      </x:c>
      <x:c r="E115" s="24" t="n">
        <x:v>0</x:v>
      </x:c>
      <x:c r="F115" s="24" t="n">
        <x:v>353000</x:v>
      </x:c>
    </x:row>
    <x:row r="116">
      <x:c r="A116" s="18" t="str">
        <x:v>P0154</x:v>
      </x:c>
      <x:c r="B116" s="18" t="str">
        <x:v>Pensioner</x:v>
      </x:c>
      <x:c r="C116" s="18" t="n">
        <x:v>78</x:v>
      </x:c>
      <x:c r="D116" s="32" t="n">
        <x:v>32.6</x:v>
      </x:c>
      <x:c r="E116" s="24" t="n">
        <x:v>0</x:v>
      </x:c>
      <x:c r="F116" s="24" t="n">
        <x:v>523000</x:v>
      </x:c>
    </x:row>
    <x:row r="117">
      <x:c r="A117" s="18" t="str">
        <x:v>P0240</x:v>
      </x:c>
      <x:c r="B117" s="18" t="str">
        <x:v>Pensioner</x:v>
      </x:c>
      <x:c r="C117" s="18" t="n">
        <x:v>75</x:v>
      </x:c>
      <x:c r="D117" s="32" t="n">
        <x:v>25</x:v>
      </x:c>
      <x:c r="E117" s="24" t="n">
        <x:v>0</x:v>
      </x:c>
      <x:c r="F117" s="24" t="n">
        <x:v>449000</x:v>
      </x:c>
    </x:row>
    <x:row r="118">
      <x:c r="A118" s="18" t="str">
        <x:v>A0200</x:v>
      </x:c>
      <x:c r="B118" s="18" t="str">
        <x:v>Active</x:v>
      </x:c>
      <x:c r="C118" s="18" t="n">
        <x:v>26</x:v>
      </x:c>
      <x:c r="D118" s="32" t="n">
        <x:v>1.8</x:v>
      </x:c>
      <x:c r="E118" s="24" t="n">
        <x:v>375000</x:v>
      </x:c>
      <x:c r="F118" s="24" t="n">
        <x:v>0</x:v>
      </x:c>
    </x:row>
    <x:row r="119">
      <x:c r="A119" s="18" t="str">
        <x:v>A0615</x:v>
      </x:c>
      <x:c r="B119" s="18" t="str">
        <x:v>Active</x:v>
      </x:c>
      <x:c r="C119" s="18" t="n">
        <x:v>40</x:v>
      </x:c>
      <x:c r="D119" s="32" t="n">
        <x:v>15.6</x:v>
      </x:c>
      <x:c r="E119" s="24" t="n">
        <x:v>640000</x:v>
      </x:c>
      <x:c r="F119" s="24" t="n">
        <x:v>0</x:v>
      </x:c>
    </x:row>
    <x:row r="120">
      <x:c r="A120" s="18" t="str">
        <x:v>A0058</x:v>
      </x:c>
      <x:c r="B120" s="18" t="str">
        <x:v>Active</x:v>
      </x:c>
      <x:c r="C120" s="18" t="n">
        <x:v>59</x:v>
      </x:c>
      <x:c r="D120" s="32" t="n">
        <x:v>17.4</x:v>
      </x:c>
      <x:c r="E120" s="24" t="n">
        <x:v>2332000</x:v>
      </x:c>
      <x:c r="F120" s="24" t="n">
        <x:v>0</x:v>
      </x:c>
    </x:row>
    <x:row r="121">
      <x:c r="A121" s="18" t="str">
        <x:v>A0115</x:v>
      </x:c>
      <x:c r="B121" s="18" t="str">
        <x:v>Active</x:v>
      </x:c>
      <x:c r="C121" s="18" t="n">
        <x:v>48</x:v>
      </x:c>
      <x:c r="D121" s="32" t="n">
        <x:v>25.1</x:v>
      </x:c>
      <x:c r="E121" s="24" t="n">
        <x:v>1345000</x:v>
      </x:c>
      <x:c r="F121" s="24" t="n">
        <x:v>0</x:v>
      </x:c>
    </x:row>
    <x:row r="122">
      <x:c r="A122" s="18" t="str">
        <x:v>P0078</x:v>
      </x:c>
      <x:c r="B122" s="18" t="str">
        <x:v>Pensioner</x:v>
      </x:c>
      <x:c r="C122" s="18" t="n">
        <x:v>88</x:v>
      </x:c>
      <x:c r="D122" s="32" t="n">
        <x:v>14.7</x:v>
      </x:c>
      <x:c r="E122" s="24" t="n">
        <x:v>0</x:v>
      </x:c>
      <x:c r="F122" s="24" t="n">
        <x:v>771000</x:v>
      </x:c>
    </x:row>
    <x:row r="123">
      <x:c r="A123" s="18" t="str">
        <x:v>D0003</x:v>
      </x:c>
      <x:c r="B123" s="18" t="str">
        <x:v>Deferred</x:v>
      </x:c>
      <x:c r="C123" s="18" t="n">
        <x:v>59</x:v>
      </x:c>
      <x:c r="D123" s="32" t="n">
        <x:v>26</x:v>
      </x:c>
      <x:c r="E123" s="24" t="n">
        <x:v>1411000</x:v>
      </x:c>
      <x:c r="F123" s="24" t="n">
        <x:v>0</x:v>
      </x:c>
    </x:row>
    <x:row r="124">
      <x:c r="A124" s="18" t="str">
        <x:v>A0139</x:v>
      </x:c>
      <x:c r="B124" s="18" t="str">
        <x:v>Active</x:v>
      </x:c>
      <x:c r="C124" s="18" t="n">
        <x:v>23</x:v>
      </x:c>
      <x:c r="D124" s="32" t="n">
        <x:v>1.5</x:v>
      </x:c>
      <x:c r="E124" s="24" t="n">
        <x:v>365000</x:v>
      </x:c>
      <x:c r="F124" s="24" t="n">
        <x:v>0</x:v>
      </x:c>
    </x:row>
    <x:row r="125">
      <x:c r="A125" s="18" t="str">
        <x:v>A0594</x:v>
      </x:c>
      <x:c r="B125" s="18" t="str">
        <x:v>Active</x:v>
      </x:c>
      <x:c r="C125" s="18" t="n">
        <x:v>44</x:v>
      </x:c>
      <x:c r="D125" s="32" t="n">
        <x:v>2.5</x:v>
      </x:c>
      <x:c r="E125" s="24" t="n">
        <x:v>811000</x:v>
      </x:c>
      <x:c r="F125" s="24" t="n">
        <x:v>0</x:v>
      </x:c>
    </x:row>
    <x:row r="126">
      <x:c r="A126" s="18" t="str">
        <x:v>A0079</x:v>
      </x:c>
      <x:c r="B126" s="18" t="str">
        <x:v>Active</x:v>
      </x:c>
      <x:c r="C126" s="18" t="n">
        <x:v>41</x:v>
      </x:c>
      <x:c r="D126" s="32" t="n">
        <x:v>9.3</x:v>
      </x:c>
      <x:c r="E126" s="24" t="n">
        <x:v>981000</x:v>
      </x:c>
      <x:c r="F126" s="24" t="n">
        <x:v>0</x:v>
      </x:c>
    </x:row>
    <x:row r="127">
      <x:c r="A127" s="18" t="str">
        <x:v>A0374</x:v>
      </x:c>
      <x:c r="B127" s="18" t="str">
        <x:v>Active</x:v>
      </x:c>
      <x:c r="C127" s="18" t="n">
        <x:v>40</x:v>
      </x:c>
      <x:c r="D127" s="32" t="n">
        <x:v>6.8</x:v>
      </x:c>
      <x:c r="E127" s="24" t="n">
        <x:v>1030000</x:v>
      </x:c>
      <x:c r="F127" s="24" t="n">
        <x:v>0</x:v>
      </x:c>
    </x:row>
    <x:row r="128">
      <x:c r="A128" s="18" t="str">
        <x:v>A0281</x:v>
      </x:c>
      <x:c r="B128" s="18" t="str">
        <x:v>Active</x:v>
      </x:c>
      <x:c r="C128" s="18" t="n">
        <x:v>24</x:v>
      </x:c>
      <x:c r="D128" s="32" t="n">
        <x:v>1.4</x:v>
      </x:c>
      <x:c r="E128" s="24" t="n">
        <x:v>511000</x:v>
      </x:c>
      <x:c r="F128" s="24" t="n">
        <x:v>0</x:v>
      </x:c>
    </x:row>
    <x:row r="129">
      <x:c r="A129" s="18" t="str">
        <x:v>A0457</x:v>
      </x:c>
      <x:c r="B129" s="18" t="str">
        <x:v>Active</x:v>
      </x:c>
      <x:c r="C129" s="18" t="n">
        <x:v>32</x:v>
      </x:c>
      <x:c r="D129" s="32" t="n">
        <x:v>6.8</x:v>
      </x:c>
      <x:c r="E129" s="24" t="n">
        <x:v>485000</x:v>
      </x:c>
      <x:c r="F129" s="24" t="n">
        <x:v>0</x:v>
      </x:c>
    </x:row>
    <x:row r="130">
      <x:c r="A130" s="18" t="str">
        <x:v>A0184</x:v>
      </x:c>
      <x:c r="B130" s="18" t="str">
        <x:v>Active</x:v>
      </x:c>
      <x:c r="C130" s="18" t="n">
        <x:v>41</x:v>
      </x:c>
      <x:c r="D130" s="32" t="n">
        <x:v>16.1</x:v>
      </x:c>
      <x:c r="E130" s="24" t="n">
        <x:v>910000</x:v>
      </x:c>
      <x:c r="F130" s="24" t="n">
        <x:v>0</x:v>
      </x:c>
    </x:row>
    <x:row r="131">
      <x:c r="A131" s="18" t="str">
        <x:v>A0315</x:v>
      </x:c>
      <x:c r="B131" s="18" t="str">
        <x:v>Active</x:v>
      </x:c>
      <x:c r="C131" s="18" t="n">
        <x:v>52</x:v>
      </x:c>
      <x:c r="D131" s="32" t="n">
        <x:v>19.2</x:v>
      </x:c>
      <x:c r="E131" s="24" t="n">
        <x:v>1869000</x:v>
      </x:c>
      <x:c r="F131" s="24" t="n">
        <x:v>0</x:v>
      </x:c>
    </x:row>
    <x:row r="132">
      <x:c r="A132" s="18" t="str">
        <x:v>A0293</x:v>
      </x:c>
      <x:c r="B132" s="18" t="str">
        <x:v>Active</x:v>
      </x:c>
      <x:c r="C132" s="18" t="n">
        <x:v>50</x:v>
      </x:c>
      <x:c r="D132" s="32" t="n">
        <x:v>1.9</x:v>
      </x:c>
      <x:c r="E132" s="24" t="n">
        <x:v>1715000</x:v>
      </x:c>
      <x:c r="F132" s="24" t="n">
        <x:v>0</x:v>
      </x:c>
    </x:row>
    <x:row r="133">
      <x:c r="A133" s="18" t="str">
        <x:v>D0055</x:v>
      </x:c>
      <x:c r="B133" s="18" t="str">
        <x:v>Deferred</x:v>
      </x:c>
      <x:c r="C133" s="18" t="n">
        <x:v>48</x:v>
      </x:c>
      <x:c r="D133" s="32" t="n">
        <x:v>19</x:v>
      </x:c>
      <x:c r="E133" s="24" t="n">
        <x:v>733000</x:v>
      </x:c>
      <x:c r="F133" s="24" t="n">
        <x:v>0</x:v>
      </x:c>
    </x:row>
    <x:row r="134">
      <x:c r="A134" s="18" t="str">
        <x:v>D0031</x:v>
      </x:c>
      <x:c r="B134" s="18" t="str">
        <x:v>Deferred</x:v>
      </x:c>
      <x:c r="C134" s="18" t="n">
        <x:v>55</x:v>
      </x:c>
      <x:c r="D134" s="32" t="n">
        <x:v>27</x:v>
      </x:c>
      <x:c r="E134" s="24" t="n">
        <x:v>1373000</x:v>
      </x:c>
      <x:c r="F134" s="24" t="n">
        <x:v>0</x:v>
      </x:c>
    </x:row>
    <x:row r="135">
      <x:c r="A135" s="18" t="str">
        <x:v>P0125</x:v>
      </x:c>
      <x:c r="B135" s="18" t="str">
        <x:v>Pensioner</x:v>
      </x:c>
      <x:c r="C135" s="18" t="n">
        <x:v>70</x:v>
      </x:c>
      <x:c r="D135" s="32" t="n">
        <x:v>28.9</x:v>
      </x:c>
      <x:c r="E135" s="24" t="n">
        <x:v>0</x:v>
      </x:c>
      <x:c r="F135" s="24" t="n">
        <x:v>196000</x:v>
      </x:c>
    </x:row>
    <x:row r="136">
      <x:c r="A136" s="18" t="str">
        <x:v>A0475</x:v>
      </x:c>
      <x:c r="B136" s="18" t="str">
        <x:v>Active</x:v>
      </x:c>
      <x:c r="C136" s="18" t="n">
        <x:v>50</x:v>
      </x:c>
      <x:c r="D136" s="32" t="n">
        <x:v>19.5</x:v>
      </x:c>
      <x:c r="E136" s="24" t="n">
        <x:v>1266000</x:v>
      </x:c>
      <x:c r="F136" s="24" t="n">
        <x:v>0</x:v>
      </x:c>
    </x:row>
    <x:row r="137">
      <x:c r="A137" s="18" t="str">
        <x:v>A0229</x:v>
      </x:c>
      <x:c r="B137" s="18" t="str">
        <x:v>Active</x:v>
      </x:c>
      <x:c r="C137" s="18" t="n">
        <x:v>47</x:v>
      </x:c>
      <x:c r="D137" s="32" t="n">
        <x:v>4.7</x:v>
      </x:c>
      <x:c r="E137" s="24" t="n">
        <x:v>1251000</x:v>
      </x:c>
      <x:c r="F137" s="24" t="n">
        <x:v>0</x:v>
      </x:c>
    </x:row>
    <x:row r="138">
      <x:c r="A138" s="18" t="str">
        <x:v>A0606</x:v>
      </x:c>
      <x:c r="B138" s="18" t="str">
        <x:v>Active</x:v>
      </x:c>
      <x:c r="C138" s="18" t="n">
        <x:v>43</x:v>
      </x:c>
      <x:c r="D138" s="32" t="n">
        <x:v>13.2</x:v>
      </x:c>
      <x:c r="E138" s="24" t="n">
        <x:v>1182000</x:v>
      </x:c>
      <x:c r="F138" s="24" t="n">
        <x:v>0</x:v>
      </x:c>
    </x:row>
    <x:row r="139">
      <x:c r="A139" s="18" t="str">
        <x:v>A0395</x:v>
      </x:c>
      <x:c r="B139" s="18" t="str">
        <x:v>Active</x:v>
      </x:c>
      <x:c r="C139" s="18" t="n">
        <x:v>59</x:v>
      </x:c>
      <x:c r="D139" s="32" t="n">
        <x:v>12.8</x:v>
      </x:c>
      <x:c r="E139" s="24" t="n">
        <x:v>1651000</x:v>
      </x:c>
      <x:c r="F139" s="24" t="n">
        <x:v>0</x:v>
      </x:c>
    </x:row>
    <x:row r="140">
      <x:c r="A140" s="18" t="str">
        <x:v>A0068</x:v>
      </x:c>
      <x:c r="B140" s="18" t="str">
        <x:v>Active</x:v>
      </x:c>
      <x:c r="C140" s="18" t="n">
        <x:v>34</x:v>
      </x:c>
      <x:c r="D140" s="32" t="n">
        <x:v>1.8</x:v>
      </x:c>
      <x:c r="E140" s="24" t="n">
        <x:v>686000</x:v>
      </x:c>
      <x:c r="F140" s="24" t="n">
        <x:v>0</x:v>
      </x:c>
    </x:row>
    <x:row r="141">
      <x:c r="A141" s="18" t="str">
        <x:v>P0146</x:v>
      </x:c>
      <x:c r="B141" s="18" t="str">
        <x:v>Pensioner</x:v>
      </x:c>
      <x:c r="C141" s="18" t="n">
        <x:v>85</x:v>
      </x:c>
      <x:c r="D141" s="32" t="n">
        <x:v>39.1</x:v>
      </x:c>
      <x:c r="E141" s="24" t="n">
        <x:v>0</x:v>
      </x:c>
      <x:c r="F141" s="24" t="n">
        <x:v>764000</x:v>
      </x:c>
    </x:row>
    <x:row r="142">
      <x:c r="A142" s="18" t="str">
        <x:v>A0350</x:v>
      </x:c>
      <x:c r="B142" s="18" t="str">
        <x:v>Active</x:v>
      </x:c>
      <x:c r="C142" s="18" t="n">
        <x:v>43</x:v>
      </x:c>
      <x:c r="D142" s="32" t="n">
        <x:v>7.7</x:v>
      </x:c>
      <x:c r="E142" s="24" t="n">
        <x:v>807000</x:v>
      </x:c>
      <x:c r="F142" s="24" t="n">
        <x:v>0</x:v>
      </x:c>
    </x:row>
    <x:row r="143">
      <x:c r="A143" s="18" t="str">
        <x:v>A0362</x:v>
      </x:c>
      <x:c r="B143" s="18" t="str">
        <x:v>Active</x:v>
      </x:c>
      <x:c r="C143" s="18" t="n">
        <x:v>36</x:v>
      </x:c>
      <x:c r="D143" s="32" t="n">
        <x:v>10.4</x:v>
      </x:c>
      <x:c r="E143" s="24" t="n">
        <x:v>664000</x:v>
      </x:c>
      <x:c r="F143" s="24" t="n">
        <x:v>0</x:v>
      </x:c>
    </x:row>
    <x:row r="144">
      <x:c r="A144" s="18" t="str">
        <x:v>P0145</x:v>
      </x:c>
      <x:c r="B144" s="18" t="str">
        <x:v>Pensioner</x:v>
      </x:c>
      <x:c r="C144" s="18" t="n">
        <x:v>66</x:v>
      </x:c>
      <x:c r="D144" s="32" t="n">
        <x:v>30.9</x:v>
      </x:c>
      <x:c r="E144" s="24" t="n">
        <x:v>0</x:v>
      </x:c>
      <x:c r="F144" s="24" t="n">
        <x:v>288000</x:v>
      </x:c>
    </x:row>
    <x:row r="145">
      <x:c r="A145" s="18" t="str">
        <x:v>D0124</x:v>
      </x:c>
      <x:c r="B145" s="18" t="str">
        <x:v>Deferred</x:v>
      </x:c>
      <x:c r="C145" s="18" t="n">
        <x:v>36</x:v>
      </x:c>
      <x:c r="D145" s="32" t="n">
        <x:v>3.1</x:v>
      </x:c>
      <x:c r="E145" s="24" t="n">
        <x:v>592000</x:v>
      </x:c>
      <x:c r="F145" s="24" t="n">
        <x:v>0</x:v>
      </x:c>
    </x:row>
    <x:row r="146">
      <x:c r="A146" s="18" t="str">
        <x:v>A0593</x:v>
      </x:c>
      <x:c r="B146" s="18" t="str">
        <x:v>Active</x:v>
      </x:c>
      <x:c r="C146" s="18" t="n">
        <x:v>56</x:v>
      </x:c>
      <x:c r="D146" s="32" t="n">
        <x:v>22.6</x:v>
      </x:c>
      <x:c r="E146" s="24" t="n">
        <x:v>2130000</x:v>
      </x:c>
      <x:c r="F146" s="24" t="n">
        <x:v>0</x:v>
      </x:c>
    </x:row>
    <x:row r="147">
      <x:c r="A147" s="18" t="str">
        <x:v>A0051</x:v>
      </x:c>
      <x:c r="B147" s="18" t="str">
        <x:v>Active</x:v>
      </x:c>
      <x:c r="C147" s="18" t="n">
        <x:v>32</x:v>
      </x:c>
      <x:c r="D147" s="32" t="n">
        <x:v>1.1</x:v>
      </x:c>
      <x:c r="E147" s="24" t="n">
        <x:v>774000</x:v>
      </x:c>
      <x:c r="F147" s="24" t="n">
        <x:v>0</x:v>
      </x:c>
    </x:row>
    <x:row r="148">
      <x:c r="A148" s="18" t="str">
        <x:v>P0097</x:v>
      </x:c>
      <x:c r="B148" s="18" t="str">
        <x:v>Pensioner</x:v>
      </x:c>
      <x:c r="C148" s="18" t="n">
        <x:v>83</x:v>
      </x:c>
      <x:c r="D148" s="32" t="n">
        <x:v>24.8</x:v>
      </x:c>
      <x:c r="E148" s="24" t="n">
        <x:v>0</x:v>
      </x:c>
      <x:c r="F148" s="24" t="n">
        <x:v>384000</x:v>
      </x:c>
    </x:row>
    <x:row r="149">
      <x:c r="A149" s="18" t="str">
        <x:v>P0012</x:v>
      </x:c>
      <x:c r="B149" s="18" t="str">
        <x:v>Pensioner</x:v>
      </x:c>
      <x:c r="C149" s="18" t="n">
        <x:v>81</x:v>
      </x:c>
      <x:c r="D149" s="32" t="n">
        <x:v>20.7</x:v>
      </x:c>
      <x:c r="E149" s="24" t="n">
        <x:v>0</x:v>
      </x:c>
      <x:c r="F149" s="24" t="n">
        <x:v>596000</x:v>
      </x:c>
    </x:row>
    <x:row r="150">
      <x:c r="A150" s="18" t="str">
        <x:v>A0579</x:v>
      </x:c>
      <x:c r="B150" s="18" t="str">
        <x:v>Active</x:v>
      </x:c>
      <x:c r="C150" s="18" t="n">
        <x:v>33</x:v>
      </x:c>
      <x:c r="D150" s="32" t="n">
        <x:v>11.7</x:v>
      </x:c>
      <x:c r="E150" s="24" t="n">
        <x:v>577000</x:v>
      </x:c>
      <x:c r="F150" s="24" t="n">
        <x:v>0</x:v>
      </x:c>
    </x:row>
    <x:row r="151">
      <x:c r="A151" s="18" t="str">
        <x:v>A0402</x:v>
      </x:c>
      <x:c r="B151" s="18" t="str">
        <x:v>Active</x:v>
      </x:c>
      <x:c r="C151" s="18" t="n">
        <x:v>41</x:v>
      </x:c>
      <x:c r="D151" s="32" t="n">
        <x:v>6.5</x:v>
      </x:c>
      <x:c r="E151" s="24" t="n">
        <x:v>935000</x:v>
      </x:c>
      <x:c r="F151" s="24" t="n">
        <x:v>0</x:v>
      </x:c>
    </x:row>
    <x:row r="152">
      <x:c r="A152" s="18" t="str">
        <x:v>D0007</x:v>
      </x:c>
      <x:c r="B152" s="18" t="str">
        <x:v>Deferred</x:v>
      </x:c>
      <x:c r="C152" s="18" t="n">
        <x:v>30</x:v>
      </x:c>
      <x:c r="D152" s="32" t="n">
        <x:v>4.9</x:v>
      </x:c>
      <x:c r="E152" s="24" t="n">
        <x:v>510000</x:v>
      </x:c>
      <x:c r="F152" s="24" t="n">
        <x:v>0</x:v>
      </x:c>
    </x:row>
    <x:row r="153">
      <x:c r="A153" s="18" t="str">
        <x:v>A0581</x:v>
      </x:c>
      <x:c r="B153" s="18" t="str">
        <x:v>Active</x:v>
      </x:c>
      <x:c r="C153" s="18" t="n">
        <x:v>45</x:v>
      </x:c>
      <x:c r="D153" s="32" t="n">
        <x:v>10.3</x:v>
      </x:c>
      <x:c r="E153" s="24" t="n">
        <x:v>1119000</x:v>
      </x:c>
      <x:c r="F153" s="24" t="n">
        <x:v>0</x:v>
      </x:c>
    </x:row>
    <x:row r="154">
      <x:c r="A154" s="18" t="str">
        <x:v>D0120</x:v>
      </x:c>
      <x:c r="B154" s="18" t="str">
        <x:v>Deferred</x:v>
      </x:c>
      <x:c r="C154" s="18" t="n">
        <x:v>37</x:v>
      </x:c>
      <x:c r="D154" s="32" t="n">
        <x:v>8.2</x:v>
      </x:c>
      <x:c r="E154" s="24" t="n">
        <x:v>633000</x:v>
      </x:c>
      <x:c r="F154" s="24" t="n">
        <x:v>0</x:v>
      </x:c>
    </x:row>
    <x:row r="155">
      <x:c r="A155" s="18" t="str">
        <x:v>A0460</x:v>
      </x:c>
      <x:c r="B155" s="18" t="str">
        <x:v>Active</x:v>
      </x:c>
      <x:c r="C155" s="18" t="n">
        <x:v>39</x:v>
      </x:c>
      <x:c r="D155" s="32" t="n">
        <x:v>8.5</x:v>
      </x:c>
      <x:c r="E155" s="24" t="n">
        <x:v>918000</x:v>
      </x:c>
      <x:c r="F155" s="24" t="n">
        <x:v>0</x:v>
      </x:c>
    </x:row>
    <x:row r="156">
      <x:c r="A156" s="18" t="str">
        <x:v>A0130</x:v>
      </x:c>
      <x:c r="B156" s="18" t="str">
        <x:v>Active</x:v>
      </x:c>
      <x:c r="C156" s="18" t="n">
        <x:v>54</x:v>
      </x:c>
      <x:c r="D156" s="32" t="n">
        <x:v>14.3</x:v>
      </x:c>
      <x:c r="E156" s="24" t="n">
        <x:v>1778000</x:v>
      </x:c>
      <x:c r="F156" s="24" t="n">
        <x:v>0</x:v>
      </x:c>
    </x:row>
    <x:row r="157">
      <x:c r="A157" s="18" t="str">
        <x:v>P0194</x:v>
      </x:c>
      <x:c r="B157" s="18" t="str">
        <x:v>Pensioner</x:v>
      </x:c>
      <x:c r="C157" s="18" t="n">
        <x:v>84</x:v>
      </x:c>
      <x:c r="D157" s="32" t="n">
        <x:v>17.1</x:v>
      </x:c>
      <x:c r="E157" s="24" t="n">
        <x:v>0</x:v>
      </x:c>
      <x:c r="F157" s="24" t="n">
        <x:v>805000</x:v>
      </x:c>
    </x:row>
    <x:row r="158">
      <x:c r="A158" s="18" t="str">
        <x:v>P0168</x:v>
      </x:c>
      <x:c r="B158" s="18" t="str">
        <x:v>Pensioner</x:v>
      </x:c>
      <x:c r="C158" s="18" t="n">
        <x:v>69</x:v>
      </x:c>
      <x:c r="D158" s="32" t="n">
        <x:v>27.7</x:v>
      </x:c>
      <x:c r="E158" s="24" t="n">
        <x:v>0</x:v>
      </x:c>
      <x:c r="F158" s="24" t="n">
        <x:v>347000</x:v>
      </x:c>
    </x:row>
    <x:row r="159">
      <x:c r="A159" s="18" t="str">
        <x:v>A0386</x:v>
      </x:c>
      <x:c r="B159" s="18" t="str">
        <x:v>Active</x:v>
      </x:c>
      <x:c r="C159" s="18" t="n">
        <x:v>56</x:v>
      </x:c>
      <x:c r="D159" s="32" t="n">
        <x:v>28.6</x:v>
      </x:c>
      <x:c r="E159" s="24" t="n">
        <x:v>1579000</x:v>
      </x:c>
      <x:c r="F159" s="24" t="n">
        <x:v>0</x:v>
      </x:c>
    </x:row>
    <x:row r="160">
      <x:c r="A160" s="18" t="str">
        <x:v>A0452</x:v>
      </x:c>
      <x:c r="B160" s="18" t="str">
        <x:v>Active</x:v>
      </x:c>
      <x:c r="C160" s="18" t="n">
        <x:v>44</x:v>
      </x:c>
      <x:c r="D160" s="32" t="n">
        <x:v>6.7</x:v>
      </x:c>
      <x:c r="E160" s="24" t="n">
        <x:v>1263000</x:v>
      </x:c>
      <x:c r="F160" s="24" t="n">
        <x:v>0</x:v>
      </x:c>
    </x:row>
    <x:row r="161">
      <x:c r="A161" s="18" t="str">
        <x:v>A0425</x:v>
      </x:c>
      <x:c r="B161" s="18" t="str">
        <x:v>Active</x:v>
      </x:c>
      <x:c r="C161" s="18" t="n">
        <x:v>47</x:v>
      </x:c>
      <x:c r="D161" s="32" t="n">
        <x:v>16.3</x:v>
      </x:c>
      <x:c r="E161" s="24" t="n">
        <x:v>995000</x:v>
      </x:c>
      <x:c r="F161" s="24" t="n">
        <x:v>0</x:v>
      </x:c>
    </x:row>
    <x:row r="162">
      <x:c r="A162" s="18" t="str">
        <x:v>D0115</x:v>
      </x:c>
      <x:c r="B162" s="18" t="str">
        <x:v>Deferred</x:v>
      </x:c>
      <x:c r="C162" s="18" t="n">
        <x:v>43</x:v>
      </x:c>
      <x:c r="D162" s="32" t="n">
        <x:v>16.1</x:v>
      </x:c>
      <x:c r="E162" s="24" t="n">
        <x:v>821000</x:v>
      </x:c>
      <x:c r="F162" s="24" t="n">
        <x:v>0</x:v>
      </x:c>
    </x:row>
    <x:row r="163">
      <x:c r="A163" s="18" t="str">
        <x:v>A0316</x:v>
      </x:c>
      <x:c r="B163" s="18" t="str">
        <x:v>Active</x:v>
      </x:c>
      <x:c r="C163" s="18" t="n">
        <x:v>42</x:v>
      </x:c>
      <x:c r="D163" s="32" t="n">
        <x:v>5.6</x:v>
      </x:c>
      <x:c r="E163" s="24" t="n">
        <x:v>794000</x:v>
      </x:c>
      <x:c r="F163" s="24" t="n">
        <x:v>0</x:v>
      </x:c>
    </x:row>
    <x:row r="164">
      <x:c r="A164" s="18" t="str">
        <x:v>A0280</x:v>
      </x:c>
      <x:c r="B164" s="18" t="str">
        <x:v>Active</x:v>
      </x:c>
      <x:c r="C164" s="18" t="n">
        <x:v>47</x:v>
      </x:c>
      <x:c r="D164" s="32" t="n">
        <x:v>20.3</x:v>
      </x:c>
      <x:c r="E164" s="24" t="n">
        <x:v>1432000</x:v>
      </x:c>
      <x:c r="F164" s="24" t="n">
        <x:v>0</x:v>
      </x:c>
    </x:row>
    <x:row r="165">
      <x:c r="A165" s="18" t="str">
        <x:v>A0511</x:v>
      </x:c>
      <x:c r="B165" s="18" t="str">
        <x:v>Active</x:v>
      </x:c>
      <x:c r="C165" s="18" t="n">
        <x:v>48</x:v>
      </x:c>
      <x:c r="D165" s="32" t="n">
        <x:v>7.9</x:v>
      </x:c>
      <x:c r="E165" s="24" t="n">
        <x:v>1218000</x:v>
      </x:c>
      <x:c r="F165" s="24" t="n">
        <x:v>0</x:v>
      </x:c>
    </x:row>
    <x:row r="166">
      <x:c r="A166" s="18" t="str">
        <x:v>A0349</x:v>
      </x:c>
      <x:c r="B166" s="18" t="str">
        <x:v>Active</x:v>
      </x:c>
      <x:c r="C166" s="18" t="n">
        <x:v>55</x:v>
      </x:c>
      <x:c r="D166" s="32" t="n">
        <x:v>4.2</x:v>
      </x:c>
      <x:c r="E166" s="24" t="n">
        <x:v>1735000</x:v>
      </x:c>
      <x:c r="F166" s="24" t="n">
        <x:v>0</x:v>
      </x:c>
    </x:row>
    <x:row r="167">
      <x:c r="A167" s="18" t="str">
        <x:v>P0013</x:v>
      </x:c>
      <x:c r="B167" s="18" t="str">
        <x:v>Pensioner</x:v>
      </x:c>
      <x:c r="C167" s="18" t="n">
        <x:v>66</x:v>
      </x:c>
      <x:c r="D167" s="32" t="n">
        <x:v>35.8</x:v>
      </x:c>
      <x:c r="E167" s="24" t="n">
        <x:v>0</x:v>
      </x:c>
      <x:c r="F167" s="24" t="n">
        <x:v>255000</x:v>
      </x:c>
    </x:row>
    <x:row r="168">
      <x:c r="A168" s="18" t="str">
        <x:v>D0072</x:v>
      </x:c>
      <x:c r="B168" s="18" t="str">
        <x:v>Deferred</x:v>
      </x:c>
      <x:c r="C168" s="18" t="n">
        <x:v>30</x:v>
      </x:c>
      <x:c r="D168" s="32" t="n">
        <x:v>2.7</x:v>
      </x:c>
      <x:c r="E168" s="24" t="n">
        <x:v>383000</x:v>
      </x:c>
      <x:c r="F168" s="24" t="n">
        <x:v>0</x:v>
      </x:c>
    </x:row>
    <x:row r="169">
      <x:c r="A169" s="18" t="str">
        <x:v>P0160</x:v>
      </x:c>
      <x:c r="B169" s="18" t="str">
        <x:v>Pensioner</x:v>
      </x:c>
      <x:c r="C169" s="18" t="n">
        <x:v>89</x:v>
      </x:c>
      <x:c r="D169" s="32" t="n">
        <x:v>36.6</x:v>
      </x:c>
      <x:c r="E169" s="24" t="n">
        <x:v>0</x:v>
      </x:c>
      <x:c r="F169" s="24" t="n">
        <x:v>791000</x:v>
      </x:c>
    </x:row>
    <x:row r="170">
      <x:c r="A170" s="18" t="str">
        <x:v>P0178</x:v>
      </x:c>
      <x:c r="B170" s="18" t="str">
        <x:v>Pensioner</x:v>
      </x:c>
      <x:c r="C170" s="18" t="n">
        <x:v>85</x:v>
      </x:c>
      <x:c r="D170" s="32" t="n">
        <x:v>37.2</x:v>
      </x:c>
      <x:c r="E170" s="24" t="n">
        <x:v>0</x:v>
      </x:c>
      <x:c r="F170" s="24" t="n">
        <x:v>308000</x:v>
      </x:c>
    </x:row>
    <x:row r="171">
      <x:c r="A171" s="18" t="str">
        <x:v>A0066</x:v>
      </x:c>
      <x:c r="B171" s="18" t="str">
        <x:v>Active</x:v>
      </x:c>
      <x:c r="C171" s="18" t="n">
        <x:v>34</x:v>
      </x:c>
      <x:c r="D171" s="32" t="n">
        <x:v>9.8</x:v>
      </x:c>
      <x:c r="E171" s="24" t="n">
        <x:v>828000</x:v>
      </x:c>
      <x:c r="F171" s="24" t="n">
        <x:v>0</x:v>
      </x:c>
    </x:row>
    <x:row r="172">
      <x:c r="A172" s="18" t="str">
        <x:v>A0264</x:v>
      </x:c>
      <x:c r="B172" s="18" t="str">
        <x:v>Active</x:v>
      </x:c>
      <x:c r="C172" s="18" t="n">
        <x:v>57</x:v>
      </x:c>
      <x:c r="D172" s="32" t="n">
        <x:v>15.8</x:v>
      </x:c>
      <x:c r="E172" s="24" t="n">
        <x:v>1920000</x:v>
      </x:c>
      <x:c r="F172" s="24" t="n">
        <x:v>0</x:v>
      </x:c>
    </x:row>
    <x:row r="173">
      <x:c r="A173" s="18" t="str">
        <x:v>A0271</x:v>
      </x:c>
      <x:c r="B173" s="18" t="str">
        <x:v>Active</x:v>
      </x:c>
      <x:c r="C173" s="18" t="n">
        <x:v>59</x:v>
      </x:c>
      <x:c r="D173" s="32" t="n">
        <x:v>11.5</x:v>
      </x:c>
      <x:c r="E173" s="24" t="n">
        <x:v>2048000</x:v>
      </x:c>
      <x:c r="F173" s="24" t="n">
        <x:v>0</x:v>
      </x:c>
    </x:row>
    <x:row r="174">
      <x:c r="A174" s="18" t="str">
        <x:v>P0218</x:v>
      </x:c>
      <x:c r="B174" s="18" t="str">
        <x:v>Pensioner</x:v>
      </x:c>
      <x:c r="C174" s="18" t="n">
        <x:v>78</x:v>
      </x:c>
      <x:c r="D174" s="32" t="n">
        <x:v>30.2</x:v>
      </x:c>
      <x:c r="E174" s="24" t="n">
        <x:v>0</x:v>
      </x:c>
      <x:c r="F174" s="24" t="n">
        <x:v>356000</x:v>
      </x:c>
    </x:row>
    <x:row r="175">
      <x:c r="A175" s="18" t="str">
        <x:v>P0005</x:v>
      </x:c>
      <x:c r="B175" s="18" t="str">
        <x:v>Pensioner</x:v>
      </x:c>
      <x:c r="C175" s="18" t="n">
        <x:v>86</x:v>
      </x:c>
      <x:c r="D175" s="32" t="n">
        <x:v>18.2</x:v>
      </x:c>
      <x:c r="E175" s="24" t="n">
        <x:v>0</x:v>
      </x:c>
      <x:c r="F175" s="24" t="n">
        <x:v>531000</x:v>
      </x:c>
    </x:row>
    <x:row r="176">
      <x:c r="A176" s="18" t="str">
        <x:v>A0582</x:v>
      </x:c>
      <x:c r="B176" s="18" t="str">
        <x:v>Active</x:v>
      </x:c>
      <x:c r="C176" s="18" t="n">
        <x:v>58</x:v>
      </x:c>
      <x:c r="D176" s="32" t="n">
        <x:v>15.8</x:v>
      </x:c>
      <x:c r="E176" s="24" t="n">
        <x:v>2255000</x:v>
      </x:c>
      <x:c r="F176" s="24" t="n">
        <x:v>0</x:v>
      </x:c>
    </x:row>
    <x:row r="177">
      <x:c r="A177" s="18" t="str">
        <x:v>P0138</x:v>
      </x:c>
      <x:c r="B177" s="18" t="str">
        <x:v>Pensioner</x:v>
      </x:c>
      <x:c r="C177" s="18" t="n">
        <x:v>84</x:v>
      </x:c>
      <x:c r="D177" s="32" t="n">
        <x:v>17.9</x:v>
      </x:c>
      <x:c r="E177" s="24" t="n">
        <x:v>0</x:v>
      </x:c>
      <x:c r="F177" s="24" t="n">
        <x:v>699000</x:v>
      </x:c>
    </x:row>
    <x:row r="178">
      <x:c r="A178" s="18" t="str">
        <x:v>P0132</x:v>
      </x:c>
      <x:c r="B178" s="18" t="str">
        <x:v>Pensioner</x:v>
      </x:c>
      <x:c r="C178" s="18" t="n">
        <x:v>64</x:v>
      </x:c>
      <x:c r="D178" s="32" t="n">
        <x:v>36.3</x:v>
      </x:c>
      <x:c r="E178" s="24" t="n">
        <x:v>0</x:v>
      </x:c>
      <x:c r="F178" s="24" t="n">
        <x:v>150000</x:v>
      </x:c>
    </x:row>
    <x:row r="179">
      <x:c r="A179" s="18" t="str">
        <x:v>P0048</x:v>
      </x:c>
      <x:c r="B179" s="18" t="str">
        <x:v>Pensioner</x:v>
      </x:c>
      <x:c r="C179" s="18" t="n">
        <x:v>72</x:v>
      </x:c>
      <x:c r="D179" s="32" t="n">
        <x:v>18</x:v>
      </x:c>
      <x:c r="E179" s="24" t="n">
        <x:v>0</x:v>
      </x:c>
      <x:c r="F179" s="24" t="n">
        <x:v>229000</x:v>
      </x:c>
    </x:row>
    <x:row r="180">
      <x:c r="A180" s="18" t="str">
        <x:v>P0129</x:v>
      </x:c>
      <x:c r="B180" s="18" t="str">
        <x:v>Pensioner</x:v>
      </x:c>
      <x:c r="C180" s="18" t="n">
        <x:v>86</x:v>
      </x:c>
      <x:c r="D180" s="32" t="n">
        <x:v>22.8</x:v>
      </x:c>
      <x:c r="E180" s="24" t="n">
        <x:v>0</x:v>
      </x:c>
      <x:c r="F180" s="24" t="n">
        <x:v>531000</x:v>
      </x:c>
    </x:row>
    <x:row r="181">
      <x:c r="A181" s="18" t="str">
        <x:v>D0014</x:v>
      </x:c>
      <x:c r="B181" s="18" t="str">
        <x:v>Deferred</x:v>
      </x:c>
      <x:c r="C181" s="18" t="n">
        <x:v>35</x:v>
      </x:c>
      <x:c r="D181" s="32" t="n">
        <x:v>5</x:v>
      </x:c>
      <x:c r="E181" s="24" t="n">
        <x:v>479000</x:v>
      </x:c>
      <x:c r="F181" s="24" t="n">
        <x:v>0</x:v>
      </x:c>
    </x:row>
    <x:row r="182">
      <x:c r="A182" s="18" t="str">
        <x:v>A0518</x:v>
      </x:c>
      <x:c r="B182" s="18" t="str">
        <x:v>Active</x:v>
      </x:c>
      <x:c r="C182" s="18" t="n">
        <x:v>42</x:v>
      </x:c>
      <x:c r="D182" s="32" t="n">
        <x:v>12.3</x:v>
      </x:c>
      <x:c r="E182" s="24" t="n">
        <x:v>880000</x:v>
      </x:c>
      <x:c r="F182" s="24" t="n">
        <x:v>0</x:v>
      </x:c>
    </x:row>
    <x:row r="183">
      <x:c r="A183" s="18" t="str">
        <x:v>D0118</x:v>
      </x:c>
      <x:c r="B183" s="18" t="str">
        <x:v>Deferred</x:v>
      </x:c>
      <x:c r="C183" s="18" t="n">
        <x:v>37</x:v>
      </x:c>
      <x:c r="D183" s="32" t="n">
        <x:v>5.1</x:v>
      </x:c>
      <x:c r="E183" s="24" t="n">
        <x:v>415000</x:v>
      </x:c>
      <x:c r="F183" s="24" t="n">
        <x:v>0</x:v>
      </x:c>
    </x:row>
    <x:row r="184">
      <x:c r="A184" s="18" t="str">
        <x:v>P0208</x:v>
      </x:c>
      <x:c r="B184" s="18" t="str">
        <x:v>Pensioner</x:v>
      </x:c>
      <x:c r="C184" s="18" t="n">
        <x:v>82</x:v>
      </x:c>
      <x:c r="D184" s="32" t="n">
        <x:v>20.5</x:v>
      </x:c>
      <x:c r="E184" s="24" t="n">
        <x:v>0</x:v>
      </x:c>
      <x:c r="F184" s="24" t="n">
        <x:v>518000</x:v>
      </x:c>
    </x:row>
    <x:row r="185">
      <x:c r="A185" s="18" t="str">
        <x:v>A0208</x:v>
      </x:c>
      <x:c r="B185" s="18" t="str">
        <x:v>Active</x:v>
      </x:c>
      <x:c r="C185" s="18" t="n">
        <x:v>56</x:v>
      </x:c>
      <x:c r="D185" s="32" t="n">
        <x:v>23.8</x:v>
      </x:c>
      <x:c r="E185" s="24" t="n">
        <x:v>1452000</x:v>
      </x:c>
      <x:c r="F185" s="24" t="n">
        <x:v>0</x:v>
      </x:c>
    </x:row>
    <x:row r="186">
      <x:c r="A186" s="18" t="str">
        <x:v>A0614</x:v>
      </x:c>
      <x:c r="B186" s="18" t="str">
        <x:v>Active</x:v>
      </x:c>
      <x:c r="C186" s="18" t="n">
        <x:v>48</x:v>
      </x:c>
      <x:c r="D186" s="32" t="n">
        <x:v>7.8</x:v>
      </x:c>
      <x:c r="E186" s="24" t="n">
        <x:v>1366000</x:v>
      </x:c>
      <x:c r="F186" s="24" t="n">
        <x:v>0</x:v>
      </x:c>
    </x:row>
    <x:row r="187">
      <x:c r="A187" s="18" t="str">
        <x:v>A0528</x:v>
      </x:c>
      <x:c r="B187" s="18" t="str">
        <x:v>Active</x:v>
      </x:c>
      <x:c r="C187" s="18" t="n">
        <x:v>34</x:v>
      </x:c>
      <x:c r="D187" s="32" t="n">
        <x:v>7.4</x:v>
      </x:c>
      <x:c r="E187" s="24" t="n">
        <x:v>561000</x:v>
      </x:c>
      <x:c r="F187" s="24" t="n">
        <x:v>0</x:v>
      </x:c>
    </x:row>
    <x:row r="188">
      <x:c r="A188" s="18" t="str">
        <x:v>A0424</x:v>
      </x:c>
      <x:c r="B188" s="18" t="str">
        <x:v>Active</x:v>
      </x:c>
      <x:c r="C188" s="18" t="n">
        <x:v>42</x:v>
      </x:c>
      <x:c r="D188" s="32" t="n">
        <x:v>17.6</x:v>
      </x:c>
      <x:c r="E188" s="24" t="n">
        <x:v>732000</x:v>
      </x:c>
      <x:c r="F188" s="24" t="n">
        <x:v>0</x:v>
      </x:c>
    </x:row>
    <x:row r="189">
      <x:c r="A189" s="18" t="str">
        <x:v>A0485</x:v>
      </x:c>
      <x:c r="B189" s="18" t="str">
        <x:v>Active</x:v>
      </x:c>
      <x:c r="C189" s="18" t="n">
        <x:v>59</x:v>
      </x:c>
      <x:c r="D189" s="32" t="n">
        <x:v>19.4</x:v>
      </x:c>
      <x:c r="E189" s="24" t="n">
        <x:v>1728000</x:v>
      </x:c>
      <x:c r="F189" s="24" t="n">
        <x:v>0</x:v>
      </x:c>
    </x:row>
    <x:row r="190">
      <x:c r="A190" s="18" t="str">
        <x:v>A0075</x:v>
      </x:c>
      <x:c r="B190" s="18" t="str">
        <x:v>Active</x:v>
      </x:c>
      <x:c r="C190" s="18" t="n">
        <x:v>43</x:v>
      </x:c>
      <x:c r="D190" s="32" t="n">
        <x:v>17.1</x:v>
      </x:c>
      <x:c r="E190" s="24" t="n">
        <x:v>1155000</x:v>
      </x:c>
      <x:c r="F190" s="24" t="n">
        <x:v>0</x:v>
      </x:c>
    </x:row>
    <x:row r="191">
      <x:c r="A191" s="18" t="str">
        <x:v>A0173</x:v>
      </x:c>
      <x:c r="B191" s="18" t="str">
        <x:v>Active</x:v>
      </x:c>
      <x:c r="C191" s="18" t="n">
        <x:v>24</x:v>
      </x:c>
      <x:c r="D191" s="32" t="n">
        <x:v>1</x:v>
      </x:c>
      <x:c r="E191" s="24" t="n">
        <x:v>480000</x:v>
      </x:c>
      <x:c r="F191" s="24" t="n">
        <x:v>0</x:v>
      </x:c>
    </x:row>
    <x:row r="192">
      <x:c r="A192" s="18" t="str">
        <x:v>D0129</x:v>
      </x:c>
      <x:c r="B192" s="18" t="str">
        <x:v>Deferred</x:v>
      </x:c>
      <x:c r="C192" s="18" t="n">
        <x:v>53</x:v>
      </x:c>
      <x:c r="D192" s="32" t="n">
        <x:v>16.8</x:v>
      </x:c>
      <x:c r="E192" s="24" t="n">
        <x:v>1229000</x:v>
      </x:c>
      <x:c r="F192" s="24" t="n">
        <x:v>0</x:v>
      </x:c>
    </x:row>
    <x:row r="193">
      <x:c r="A193" s="18" t="str">
        <x:v>A0290</x:v>
      </x:c>
      <x:c r="B193" s="18" t="str">
        <x:v>Active</x:v>
      </x:c>
      <x:c r="C193" s="18" t="n">
        <x:v>53</x:v>
      </x:c>
      <x:c r="D193" s="32" t="n">
        <x:v>8.8</x:v>
      </x:c>
      <x:c r="E193" s="24" t="n">
        <x:v>1222000</x:v>
      </x:c>
      <x:c r="F193" s="24" t="n">
        <x:v>0</x:v>
      </x:c>
    </x:row>
    <x:row r="194">
      <x:c r="A194" s="18" t="str">
        <x:v>A0463</x:v>
      </x:c>
      <x:c r="B194" s="18" t="str">
        <x:v>Active</x:v>
      </x:c>
      <x:c r="C194" s="18" t="n">
        <x:v>55</x:v>
      </x:c>
      <x:c r="D194" s="32" t="n">
        <x:v>25.1</x:v>
      </x:c>
      <x:c r="E194" s="24" t="n">
        <x:v>2105000</x:v>
      </x:c>
      <x:c r="F194" s="24" t="n">
        <x:v>0</x:v>
      </x:c>
    </x:row>
    <x:row r="195">
      <x:c r="A195" s="18" t="str">
        <x:v>A0516</x:v>
      </x:c>
      <x:c r="B195" s="18" t="str">
        <x:v>Active</x:v>
      </x:c>
      <x:c r="C195" s="18" t="n">
        <x:v>36</x:v>
      </x:c>
      <x:c r="D195" s="32" t="n">
        <x:v>2.9</x:v>
      </x:c>
      <x:c r="E195" s="24" t="n">
        <x:v>586000</x:v>
      </x:c>
      <x:c r="F195" s="24" t="n">
        <x:v>0</x:v>
      </x:c>
    </x:row>
    <x:row r="196">
      <x:c r="A196" s="18" t="str">
        <x:v>A0335</x:v>
      </x:c>
      <x:c r="B196" s="18" t="str">
        <x:v>Active</x:v>
      </x:c>
      <x:c r="C196" s="18" t="n">
        <x:v>35</x:v>
      </x:c>
      <x:c r="D196" s="32" t="n">
        <x:v>10.5</x:v>
      </x:c>
      <x:c r="E196" s="24" t="n">
        <x:v>547000</x:v>
      </x:c>
      <x:c r="F196" s="24" t="n">
        <x:v>0</x:v>
      </x:c>
    </x:row>
    <x:row r="197">
      <x:c r="A197" s="18" t="str">
        <x:v>A0256</x:v>
      </x:c>
      <x:c r="B197" s="18" t="str">
        <x:v>Active</x:v>
      </x:c>
      <x:c r="C197" s="18" t="n">
        <x:v>52</x:v>
      </x:c>
      <x:c r="D197" s="32" t="n">
        <x:v>9.9</x:v>
      </x:c>
      <x:c r="E197" s="24" t="n">
        <x:v>1085000</x:v>
      </x:c>
      <x:c r="F197" s="24" t="n">
        <x:v>0</x:v>
      </x:c>
    </x:row>
    <x:row r="198">
      <x:c r="A198" s="18" t="str">
        <x:v>P0173</x:v>
      </x:c>
      <x:c r="B198" s="18" t="str">
        <x:v>Pensioner</x:v>
      </x:c>
      <x:c r="C198" s="18" t="n">
        <x:v>69</x:v>
      </x:c>
      <x:c r="D198" s="32" t="n">
        <x:v>23.2</x:v>
      </x:c>
      <x:c r="E198" s="24" t="n">
        <x:v>0</x:v>
      </x:c>
      <x:c r="F198" s="24" t="n">
        <x:v>250000</x:v>
      </x:c>
    </x:row>
    <x:row r="199">
      <x:c r="A199" s="18" t="str">
        <x:v>P0060</x:v>
      </x:c>
      <x:c r="B199" s="18" t="str">
        <x:v>Pensioner</x:v>
      </x:c>
      <x:c r="C199" s="18" t="n">
        <x:v>74</x:v>
      </x:c>
      <x:c r="D199" s="32" t="n">
        <x:v>24.2</x:v>
      </x:c>
      <x:c r="E199" s="24" t="n">
        <x:v>0</x:v>
      </x:c>
      <x:c r="F199" s="24" t="n">
        <x:v>345000</x:v>
      </x:c>
    </x:row>
    <x:row r="200">
      <x:c r="A200" s="18" t="str">
        <x:v>A0032</x:v>
      </x:c>
      <x:c r="B200" s="18" t="str">
        <x:v>Active</x:v>
      </x:c>
      <x:c r="C200" s="18" t="n">
        <x:v>53</x:v>
      </x:c>
      <x:c r="D200" s="32" t="n">
        <x:v>11</x:v>
      </x:c>
      <x:c r="E200" s="24" t="n">
        <x:v>1460000</x:v>
      </x:c>
      <x:c r="F200" s="24" t="n">
        <x:v>0</x:v>
      </x:c>
    </x:row>
    <x:row r="201">
      <x:c r="A201" s="18" t="str">
        <x:v>P0030</x:v>
      </x:c>
      <x:c r="B201" s="18" t="str">
        <x:v>Pensioner</x:v>
      </x:c>
      <x:c r="C201" s="18" t="n">
        <x:v>85</x:v>
      </x:c>
      <x:c r="D201" s="32" t="n">
        <x:v>35.3</x:v>
      </x:c>
      <x:c r="E201" s="24" t="n">
        <x:v>0</x:v>
      </x:c>
      <x:c r="F201" s="24" t="n">
        <x:v>316000</x:v>
      </x:c>
    </x:row>
    <x:row r="202">
      <x:c r="A202" s="18" t="str">
        <x:v>A0611</x:v>
      </x:c>
      <x:c r="B202" s="18" t="str">
        <x:v>Active</x:v>
      </x:c>
      <x:c r="C202" s="18" t="n">
        <x:v>32</x:v>
      </x:c>
      <x:c r="D202" s="32" t="n">
        <x:v>4</x:v>
      </x:c>
      <x:c r="E202" s="24" t="n">
        <x:v>492000</x:v>
      </x:c>
      <x:c r="F202" s="24" t="n">
        <x:v>0</x:v>
      </x:c>
    </x:row>
    <x:row r="203">
      <x:c r="A203" s="18" t="str">
        <x:v>P0114</x:v>
      </x:c>
      <x:c r="B203" s="18" t="str">
        <x:v>Pensioner</x:v>
      </x:c>
      <x:c r="C203" s="18" t="n">
        <x:v>81</x:v>
      </x:c>
      <x:c r="D203" s="32" t="n">
        <x:v>33.4</x:v>
      </x:c>
      <x:c r="E203" s="24" t="n">
        <x:v>0</x:v>
      </x:c>
      <x:c r="F203" s="24" t="n">
        <x:v>473000</x:v>
      </x:c>
    </x:row>
    <x:row r="204">
      <x:c r="A204" s="18" t="str">
        <x:v>A0052</x:v>
      </x:c>
      <x:c r="B204" s="18" t="str">
        <x:v>Active</x:v>
      </x:c>
      <x:c r="C204" s="18" t="n">
        <x:v>45</x:v>
      </x:c>
      <x:c r="D204" s="32" t="n">
        <x:v>19.1</x:v>
      </x:c>
      <x:c r="E204" s="24" t="n">
        <x:v>1408000</x:v>
      </x:c>
      <x:c r="F204" s="24" t="n">
        <x:v>0</x:v>
      </x:c>
    </x:row>
    <x:row r="205">
      <x:c r="A205" s="18" t="str">
        <x:v>P0151</x:v>
      </x:c>
      <x:c r="B205" s="18" t="str">
        <x:v>Pensioner</x:v>
      </x:c>
      <x:c r="C205" s="18" t="n">
        <x:v>76</x:v>
      </x:c>
      <x:c r="D205" s="32" t="n">
        <x:v>19.9</x:v>
      </x:c>
      <x:c r="E205" s="24" t="n">
        <x:v>0</x:v>
      </x:c>
      <x:c r="F205" s="24" t="n">
        <x:v>351000</x:v>
      </x:c>
    </x:row>
    <x:row r="206">
      <x:c r="A206" s="18" t="str">
        <x:v>D0010</x:v>
      </x:c>
      <x:c r="B206" s="18" t="str">
        <x:v>Deferred</x:v>
      </x:c>
      <x:c r="C206" s="18" t="n">
        <x:v>31</x:v>
      </x:c>
      <x:c r="D206" s="32" t="n">
        <x:v>2.6</x:v>
      </x:c>
      <x:c r="E206" s="24" t="n">
        <x:v>336000</x:v>
      </x:c>
      <x:c r="F206" s="24" t="n">
        <x:v>0</x:v>
      </x:c>
    </x:row>
    <x:row r="207">
      <x:c r="A207" s="18" t="str">
        <x:v>A0556</x:v>
      </x:c>
      <x:c r="B207" s="18" t="str">
        <x:v>Active</x:v>
      </x:c>
      <x:c r="C207" s="18" t="n">
        <x:v>35</x:v>
      </x:c>
      <x:c r="D207" s="32" t="n">
        <x:v>4.7</x:v>
      </x:c>
      <x:c r="E207" s="24" t="n">
        <x:v>858000</x:v>
      </x:c>
      <x:c r="F207" s="24" t="n">
        <x:v>0</x:v>
      </x:c>
    </x:row>
    <x:row r="208">
      <x:c r="A208" s="18" t="str">
        <x:v>A0082</x:v>
      </x:c>
      <x:c r="B208" s="18" t="str">
        <x:v>Active</x:v>
      </x:c>
      <x:c r="C208" s="18" t="n">
        <x:v>26</x:v>
      </x:c>
      <x:c r="D208" s="32" t="n">
        <x:v>2.3</x:v>
      </x:c>
      <x:c r="E208" s="24" t="n">
        <x:v>452000</x:v>
      </x:c>
      <x:c r="F208" s="24" t="n">
        <x:v>0</x:v>
      </x:c>
    </x:row>
    <x:row r="209">
      <x:c r="A209" s="18" t="str">
        <x:v>A0558</x:v>
      </x:c>
      <x:c r="B209" s="18" t="str">
        <x:v>Active</x:v>
      </x:c>
      <x:c r="C209" s="18" t="n">
        <x:v>37</x:v>
      </x:c>
      <x:c r="D209" s="32" t="n">
        <x:v>3.8</x:v>
      </x:c>
      <x:c r="E209" s="24" t="n">
        <x:v>773000</x:v>
      </x:c>
      <x:c r="F209" s="24" t="n">
        <x:v>0</x:v>
      </x:c>
    </x:row>
    <x:row r="210">
      <x:c r="A210" s="18" t="str">
        <x:v>A0401</x:v>
      </x:c>
      <x:c r="B210" s="18" t="str">
        <x:v>Active</x:v>
      </x:c>
      <x:c r="C210" s="18" t="n">
        <x:v>35</x:v>
      </x:c>
      <x:c r="D210" s="32" t="n">
        <x:v>11.4</x:v>
      </x:c>
      <x:c r="E210" s="24" t="n">
        <x:v>516000</x:v>
      </x:c>
      <x:c r="F210" s="24" t="n">
        <x:v>0</x:v>
      </x:c>
    </x:row>
    <x:row r="211">
      <x:c r="A211" s="18" t="str">
        <x:v>D0066</x:v>
      </x:c>
      <x:c r="B211" s="18" t="str">
        <x:v>Deferred</x:v>
      </x:c>
      <x:c r="C211" s="18" t="n">
        <x:v>57</x:v>
      </x:c>
      <x:c r="D211" s="32" t="n">
        <x:v>27.8</x:v>
      </x:c>
      <x:c r="E211" s="24" t="n">
        <x:v>1519000</x:v>
      </x:c>
      <x:c r="F211" s="24" t="n">
        <x:v>0</x:v>
      </x:c>
    </x:row>
    <x:row r="212">
      <x:c r="A212" s="18" t="str">
        <x:v>A0304</x:v>
      </x:c>
      <x:c r="B212" s="18" t="str">
        <x:v>Active</x:v>
      </x:c>
      <x:c r="C212" s="18" t="n">
        <x:v>46</x:v>
      </x:c>
      <x:c r="D212" s="32" t="n">
        <x:v>6.6</x:v>
      </x:c>
      <x:c r="E212" s="24" t="n">
        <x:v>872000</x:v>
      </x:c>
      <x:c r="F212" s="24" t="n">
        <x:v>0</x:v>
      </x:c>
    </x:row>
    <x:row r="213">
      <x:c r="A213" s="18" t="str">
        <x:v>P0215</x:v>
      </x:c>
      <x:c r="B213" s="18" t="str">
        <x:v>Pensioner</x:v>
      </x:c>
      <x:c r="C213" s="18" t="n">
        <x:v>63</x:v>
      </x:c>
      <x:c r="D213" s="32" t="n">
        <x:v>13.7</x:v>
      </x:c>
      <x:c r="E213" s="24" t="n">
        <x:v>0</x:v>
      </x:c>
      <x:c r="F213" s="24" t="n">
        <x:v>141000</x:v>
      </x:c>
    </x:row>
    <x:row r="214">
      <x:c r="A214" s="18" t="str">
        <x:v>A0042</x:v>
      </x:c>
      <x:c r="B214" s="18" t="str">
        <x:v>Active</x:v>
      </x:c>
      <x:c r="C214" s="18" t="n">
        <x:v>41</x:v>
      </x:c>
      <x:c r="D214" s="32" t="n">
        <x:v>2.1</x:v>
      </x:c>
      <x:c r="E214" s="24" t="n">
        <x:v>716000</x:v>
      </x:c>
      <x:c r="F214" s="24" t="n">
        <x:v>0</x:v>
      </x:c>
    </x:row>
    <x:row r="215">
      <x:c r="A215" s="18" t="str">
        <x:v>D0104</x:v>
      </x:c>
      <x:c r="B215" s="18" t="str">
        <x:v>Deferred</x:v>
      </x:c>
      <x:c r="C215" s="18" t="n">
        <x:v>46</x:v>
      </x:c>
      <x:c r="D215" s="32" t="n">
        <x:v>10.1</x:v>
      </x:c>
      <x:c r="E215" s="24" t="n">
        <x:v>795000</x:v>
      </x:c>
      <x:c r="F215" s="24" t="n">
        <x:v>0</x:v>
      </x:c>
    </x:row>
    <x:row r="216">
      <x:c r="A216" s="18" t="str">
        <x:v>A0390</x:v>
      </x:c>
      <x:c r="B216" s="18" t="str">
        <x:v>Active</x:v>
      </x:c>
      <x:c r="C216" s="18" t="n">
        <x:v>49</x:v>
      </x:c>
      <x:c r="D216" s="32" t="n">
        <x:v>4.5</x:v>
      </x:c>
      <x:c r="E216" s="24" t="n">
        <x:v>1040000</x:v>
      </x:c>
      <x:c r="F216" s="24" t="n">
        <x:v>0</x:v>
      </x:c>
    </x:row>
    <x:row r="217">
      <x:c r="A217" s="18" t="str">
        <x:v>A0513</x:v>
      </x:c>
      <x:c r="B217" s="18" t="str">
        <x:v>Active</x:v>
      </x:c>
      <x:c r="C217" s="18" t="n">
        <x:v>47</x:v>
      </x:c>
      <x:c r="D217" s="32" t="n">
        <x:v>17.1</x:v>
      </x:c>
      <x:c r="E217" s="24" t="n">
        <x:v>1461000</x:v>
      </x:c>
      <x:c r="F217" s="24" t="n">
        <x:v>0</x:v>
      </x:c>
    </x:row>
    <x:row r="218">
      <x:c r="A218" s="18" t="str">
        <x:v>A0234</x:v>
      </x:c>
      <x:c r="B218" s="18" t="str">
        <x:v>Active</x:v>
      </x:c>
      <x:c r="C218" s="18" t="n">
        <x:v>33</x:v>
      </x:c>
      <x:c r="D218" s="32" t="n">
        <x:v>2.7</x:v>
      </x:c>
      <x:c r="E218" s="24" t="n">
        <x:v>649000</x:v>
      </x:c>
      <x:c r="F218" s="24" t="n">
        <x:v>0</x:v>
      </x:c>
    </x:row>
    <x:row r="219">
      <x:c r="A219" s="18" t="str">
        <x:v>P0100</x:v>
      </x:c>
      <x:c r="B219" s="18" t="str">
        <x:v>Pensioner</x:v>
      </x:c>
      <x:c r="C219" s="18" t="n">
        <x:v>77</x:v>
      </x:c>
      <x:c r="D219" s="32" t="n">
        <x:v>16.2</x:v>
      </x:c>
      <x:c r="E219" s="24" t="n">
        <x:v>0</x:v>
      </x:c>
      <x:c r="F219" s="24" t="n">
        <x:v>508000</x:v>
      </x:c>
    </x:row>
    <x:row r="220">
      <x:c r="A220" s="18" t="str">
        <x:v>A0370</x:v>
      </x:c>
      <x:c r="B220" s="18" t="str">
        <x:v>Active</x:v>
      </x:c>
      <x:c r="C220" s="18" t="n">
        <x:v>22</x:v>
      </x:c>
      <x:c r="D220" s="32" t="n">
        <x:v>1.8</x:v>
      </x:c>
      <x:c r="E220" s="24" t="n">
        <x:v>445000</x:v>
      </x:c>
      <x:c r="F220" s="24" t="n">
        <x:v>0</x:v>
      </x:c>
    </x:row>
    <x:row r="221">
      <x:c r="A221" s="18" t="str">
        <x:v>A0609</x:v>
      </x:c>
      <x:c r="B221" s="18" t="str">
        <x:v>Active</x:v>
      </x:c>
      <x:c r="C221" s="18" t="n">
        <x:v>30</x:v>
      </x:c>
      <x:c r="D221" s="32" t="n">
        <x:v>2.2</x:v>
      </x:c>
      <x:c r="E221" s="24" t="n">
        <x:v>701000</x:v>
      </x:c>
      <x:c r="F221" s="24" t="n">
        <x:v>0</x:v>
      </x:c>
    </x:row>
    <x:row r="222">
      <x:c r="A222" s="18" t="str">
        <x:v>P0230</x:v>
      </x:c>
      <x:c r="B222" s="18" t="str">
        <x:v>Pensioner</x:v>
      </x:c>
      <x:c r="C222" s="18" t="n">
        <x:v>81</x:v>
      </x:c>
      <x:c r="D222" s="32" t="n">
        <x:v>25.8</x:v>
      </x:c>
      <x:c r="E222" s="24" t="n">
        <x:v>0</x:v>
      </x:c>
      <x:c r="F222" s="24" t="n">
        <x:v>294000</x:v>
      </x:c>
    </x:row>
    <x:row r="223">
      <x:c r="A223" s="18" t="str">
        <x:v>A0240</x:v>
      </x:c>
      <x:c r="B223" s="18" t="str">
        <x:v>Active</x:v>
      </x:c>
      <x:c r="C223" s="18" t="n">
        <x:v>31</x:v>
      </x:c>
      <x:c r="D223" s="32" t="n">
        <x:v>5</x:v>
      </x:c>
      <x:c r="E223" s="24" t="n">
        <x:v>526000</x:v>
      </x:c>
      <x:c r="F223" s="24" t="n">
        <x:v>0</x:v>
      </x:c>
    </x:row>
    <x:row r="224">
      <x:c r="A224" s="18" t="str">
        <x:v>A0332</x:v>
      </x:c>
      <x:c r="B224" s="18" t="str">
        <x:v>Active</x:v>
      </x:c>
      <x:c r="C224" s="18" t="n">
        <x:v>35</x:v>
      </x:c>
      <x:c r="D224" s="32" t="n">
        <x:v>7.5</x:v>
      </x:c>
      <x:c r="E224" s="24" t="n">
        <x:v>774000</x:v>
      </x:c>
      <x:c r="F224" s="24" t="n">
        <x:v>0</x:v>
      </x:c>
    </x:row>
    <x:row r="225">
      <x:c r="A225" s="18" t="str">
        <x:v>D0046</x:v>
      </x:c>
      <x:c r="B225" s="18" t="str">
        <x:v>Deferred</x:v>
      </x:c>
      <x:c r="C225" s="18" t="n">
        <x:v>53</x:v>
      </x:c>
      <x:c r="D225" s="32" t="n">
        <x:v>10.6</x:v>
      </x:c>
      <x:c r="E225" s="24" t="n">
        <x:v>855000</x:v>
      </x:c>
      <x:c r="F225" s="24" t="n">
        <x:v>0</x:v>
      </x:c>
    </x:row>
    <x:row r="226">
      <x:c r="A226" s="18" t="str">
        <x:v>D0059</x:v>
      </x:c>
      <x:c r="B226" s="18" t="str">
        <x:v>Deferred</x:v>
      </x:c>
      <x:c r="C226" s="18" t="n">
        <x:v>37</x:v>
      </x:c>
      <x:c r="D226" s="32" t="n">
        <x:v>7.6</x:v>
      </x:c>
      <x:c r="E226" s="24" t="n">
        <x:v>685000</x:v>
      </x:c>
      <x:c r="F226" s="24" t="n">
        <x:v>0</x:v>
      </x:c>
    </x:row>
    <x:row r="227">
      <x:c r="A227" s="18" t="str">
        <x:v>A0326</x:v>
      </x:c>
      <x:c r="B227" s="18" t="str">
        <x:v>Active</x:v>
      </x:c>
      <x:c r="C227" s="18" t="n">
        <x:v>30</x:v>
      </x:c>
      <x:c r="D227" s="32" t="n">
        <x:v>2.8</x:v>
      </x:c>
      <x:c r="E227" s="24" t="n">
        <x:v>710000</x:v>
      </x:c>
      <x:c r="F227" s="24" t="n">
        <x:v>0</x:v>
      </x:c>
    </x:row>
    <x:row r="228">
      <x:c r="A228" s="18" t="str">
        <x:v>A0517</x:v>
      </x:c>
      <x:c r="B228" s="18" t="str">
        <x:v>Active</x:v>
      </x:c>
      <x:c r="C228" s="18" t="n">
        <x:v>31</x:v>
      </x:c>
      <x:c r="D228" s="32" t="n">
        <x:v>7.1</x:v>
      </x:c>
      <x:c r="E228" s="24" t="n">
        <x:v>746000</x:v>
      </x:c>
      <x:c r="F228" s="24" t="n">
        <x:v>0</x:v>
      </x:c>
    </x:row>
    <x:row r="229">
      <x:c r="A229" s="18" t="str">
        <x:v>A0235</x:v>
      </x:c>
      <x:c r="B229" s="18" t="str">
        <x:v>Active</x:v>
      </x:c>
      <x:c r="C229" s="18" t="n">
        <x:v>28</x:v>
      </x:c>
      <x:c r="D229" s="32" t="n">
        <x:v>1.4</x:v>
      </x:c>
      <x:c r="E229" s="24" t="n">
        <x:v>390000</x:v>
      </x:c>
      <x:c r="F229" s="24" t="n">
        <x:v>0</x:v>
      </x:c>
    </x:row>
    <x:row r="230">
      <x:c r="A230" s="18" t="str">
        <x:v>P0009</x:v>
      </x:c>
      <x:c r="B230" s="18" t="str">
        <x:v>Pensioner</x:v>
      </x:c>
      <x:c r="C230" s="18" t="n">
        <x:v>75</x:v>
      </x:c>
      <x:c r="D230" s="32" t="n">
        <x:v>14.5</x:v>
      </x:c>
      <x:c r="E230" s="24" t="n">
        <x:v>0</x:v>
      </x:c>
      <x:c r="F230" s="24" t="n">
        <x:v>270000</x:v>
      </x:c>
    </x:row>
    <x:row r="231">
      <x:c r="A231" s="18" t="str">
        <x:v>P0035</x:v>
      </x:c>
      <x:c r="B231" s="18" t="str">
        <x:v>Pensioner</x:v>
      </x:c>
      <x:c r="C231" s="18" t="n">
        <x:v>61</x:v>
      </x:c>
      <x:c r="D231" s="32" t="n">
        <x:v>28.9</x:v>
      </x:c>
      <x:c r="E231" s="24" t="n">
        <x:v>0</x:v>
      </x:c>
      <x:c r="F231" s="24" t="n">
        <x:v>230000</x:v>
      </x:c>
    </x:row>
    <x:row r="232">
      <x:c r="A232" s="18" t="str">
        <x:v>P0054</x:v>
      </x:c>
      <x:c r="B232" s="18" t="str">
        <x:v>Pensioner</x:v>
      </x:c>
      <x:c r="C232" s="18" t="n">
        <x:v>65</x:v>
      </x:c>
      <x:c r="D232" s="32" t="n">
        <x:v>38.8</x:v>
      </x:c>
      <x:c r="E232" s="24" t="n">
        <x:v>0</x:v>
      </x:c>
      <x:c r="F232" s="24" t="n">
        <x:v>217000</x:v>
      </x:c>
    </x:row>
    <x:row r="233">
      <x:c r="A233" s="18" t="str">
        <x:v>A0209</x:v>
      </x:c>
      <x:c r="B233" s="18" t="str">
        <x:v>Active</x:v>
      </x:c>
      <x:c r="C233" s="18" t="n">
        <x:v>33</x:v>
      </x:c>
      <x:c r="D233" s="32" t="n">
        <x:v>5.3</x:v>
      </x:c>
      <x:c r="E233" s="24" t="n">
        <x:v>515000</x:v>
      </x:c>
      <x:c r="F233" s="24" t="n">
        <x:v>0</x:v>
      </x:c>
    </x:row>
    <x:row r="234">
      <x:c r="A234" s="18" t="str">
        <x:v>A0445</x:v>
      </x:c>
      <x:c r="B234" s="18" t="str">
        <x:v>Active</x:v>
      </x:c>
      <x:c r="C234" s="18" t="n">
        <x:v>25</x:v>
      </x:c>
      <x:c r="D234" s="32" t="n">
        <x:v>1.6</x:v>
      </x:c>
      <x:c r="E234" s="24" t="n">
        <x:v>378000</x:v>
      </x:c>
      <x:c r="F234" s="24" t="n">
        <x:v>0</x:v>
      </x:c>
    </x:row>
    <x:row r="235">
      <x:c r="A235" s="18" t="str">
        <x:v>P0095</x:v>
      </x:c>
      <x:c r="B235" s="18" t="str">
        <x:v>Pensioner</x:v>
      </x:c>
      <x:c r="C235" s="18" t="n">
        <x:v>79</x:v>
      </x:c>
      <x:c r="D235" s="32" t="n">
        <x:v>35.6</x:v>
      </x:c>
      <x:c r="E235" s="24" t="n">
        <x:v>0</x:v>
      </x:c>
      <x:c r="F235" s="24" t="n">
        <x:v>592000</x:v>
      </x:c>
    </x:row>
    <x:row r="236">
      <x:c r="A236" s="18" t="str">
        <x:v>P0003</x:v>
      </x:c>
      <x:c r="B236" s="18" t="str">
        <x:v>Pensioner</x:v>
      </x:c>
      <x:c r="C236" s="18" t="n">
        <x:v>63</x:v>
      </x:c>
      <x:c r="D236" s="32" t="n">
        <x:v>24.1</x:v>
      </x:c>
      <x:c r="E236" s="24" t="n">
        <x:v>0</x:v>
      </x:c>
      <x:c r="F236" s="24" t="n">
        <x:v>332000</x:v>
      </x:c>
    </x:row>
    <x:row r="237">
      <x:c r="A237" s="18" t="str">
        <x:v>A0118</x:v>
      </x:c>
      <x:c r="B237" s="18" t="str">
        <x:v>Active</x:v>
      </x:c>
      <x:c r="C237" s="18" t="n">
        <x:v>49</x:v>
      </x:c>
      <x:c r="D237" s="32" t="n">
        <x:v>13.7</x:v>
      </x:c>
      <x:c r="E237" s="24" t="n">
        <x:v>1189000</x:v>
      </x:c>
      <x:c r="F237" s="24" t="n">
        <x:v>0</x:v>
      </x:c>
    </x:row>
    <x:row r="238">
      <x:c r="A238" s="18" t="str">
        <x:v>A0361</x:v>
      </x:c>
      <x:c r="B238" s="18" t="str">
        <x:v>Active</x:v>
      </x:c>
      <x:c r="C238" s="18" t="n">
        <x:v>37</x:v>
      </x:c>
      <x:c r="D238" s="32" t="n">
        <x:v>14.8</x:v>
      </x:c>
      <x:c r="E238" s="24" t="n">
        <x:v>601000</x:v>
      </x:c>
      <x:c r="F238" s="24" t="n">
        <x:v>0</x:v>
      </x:c>
    </x:row>
    <x:row r="239">
      <x:c r="A239" s="18" t="str">
        <x:v>A0201</x:v>
      </x:c>
      <x:c r="B239" s="18" t="str">
        <x:v>Active</x:v>
      </x:c>
      <x:c r="C239" s="18" t="n">
        <x:v>36</x:v>
      </x:c>
      <x:c r="D239" s="32" t="n">
        <x:v>6.7</x:v>
      </x:c>
      <x:c r="E239" s="24" t="n">
        <x:v>826000</x:v>
      </x:c>
      <x:c r="F239" s="24" t="n">
        <x:v>0</x:v>
      </x:c>
    </x:row>
    <x:row r="240">
      <x:c r="A240" s="18" t="str">
        <x:v>A0484</x:v>
      </x:c>
      <x:c r="B240" s="18" t="str">
        <x:v>Active</x:v>
      </x:c>
      <x:c r="C240" s="18" t="n">
        <x:v>28</x:v>
      </x:c>
      <x:c r="D240" s="32" t="n">
        <x:v>2.6</x:v>
      </x:c>
      <x:c r="E240" s="24" t="n">
        <x:v>663000</x:v>
      </x:c>
      <x:c r="F240" s="24" t="n">
        <x:v>0</x:v>
      </x:c>
    </x:row>
    <x:row r="241">
      <x:c r="A241" s="18" t="str">
        <x:v>A0197</x:v>
      </x:c>
      <x:c r="B241" s="18" t="str">
        <x:v>Active</x:v>
      </x:c>
      <x:c r="C241" s="18" t="n">
        <x:v>49</x:v>
      </x:c>
      <x:c r="D241" s="32" t="n">
        <x:v>18.8</x:v>
      </x:c>
      <x:c r="E241" s="24" t="n">
        <x:v>1602000</x:v>
      </x:c>
      <x:c r="F241" s="24" t="n">
        <x:v>0</x:v>
      </x:c>
    </x:row>
    <x:row r="242">
      <x:c r="A242" s="18" t="str">
        <x:v>D0009</x:v>
      </x:c>
      <x:c r="B242" s="18" t="str">
        <x:v>Deferred</x:v>
      </x:c>
      <x:c r="C242" s="18" t="n">
        <x:v>40</x:v>
      </x:c>
      <x:c r="D242" s="32" t="n">
        <x:v>5.3</x:v>
      </x:c>
      <x:c r="E242" s="24" t="n">
        <x:v>541000</x:v>
      </x:c>
      <x:c r="F242" s="24" t="n">
        <x:v>0</x:v>
      </x:c>
    </x:row>
    <x:row r="243">
      <x:c r="A243" s="18" t="str">
        <x:v>A0151</x:v>
      </x:c>
      <x:c r="B243" s="18" t="str">
        <x:v>Active</x:v>
      </x:c>
      <x:c r="C243" s="18" t="n">
        <x:v>23</x:v>
      </x:c>
      <x:c r="D243" s="32" t="n">
        <x:v>1</x:v>
      </x:c>
      <x:c r="E243" s="24" t="n">
        <x:v>332000</x:v>
      </x:c>
      <x:c r="F243" s="24" t="n">
        <x:v>0</x:v>
      </x:c>
    </x:row>
    <x:row r="244">
      <x:c r="A244" s="18" t="str">
        <x:v>P0155</x:v>
      </x:c>
      <x:c r="B244" s="18" t="str">
        <x:v>Pensioner</x:v>
      </x:c>
      <x:c r="C244" s="18" t="n">
        <x:v>73</x:v>
      </x:c>
      <x:c r="D244" s="32" t="n">
        <x:v>22.3</x:v>
      </x:c>
      <x:c r="E244" s="24" t="n">
        <x:v>0</x:v>
      </x:c>
      <x:c r="F244" s="24" t="n">
        <x:v>425000</x:v>
      </x:c>
    </x:row>
    <x:row r="245">
      <x:c r="A245" s="18" t="str">
        <x:v>A0039</x:v>
      </x:c>
      <x:c r="B245" s="18" t="str">
        <x:v>Active</x:v>
      </x:c>
      <x:c r="C245" s="18" t="n">
        <x:v>30</x:v>
      </x:c>
      <x:c r="D245" s="32" t="n">
        <x:v>4.8</x:v>
      </x:c>
      <x:c r="E245" s="24" t="n">
        <x:v>637000</x:v>
      </x:c>
      <x:c r="F245" s="24" t="n">
        <x:v>0</x:v>
      </x:c>
    </x:row>
    <x:row r="246">
      <x:c r="A246" s="18" t="str">
        <x:v>A0583</x:v>
      </x:c>
      <x:c r="B246" s="18" t="str">
        <x:v>Active</x:v>
      </x:c>
      <x:c r="C246" s="18" t="n">
        <x:v>42</x:v>
      </x:c>
      <x:c r="D246" s="32" t="n">
        <x:v>3.8</x:v>
      </x:c>
      <x:c r="E246" s="24" t="n">
        <x:v>1224000</x:v>
      </x:c>
      <x:c r="F246" s="24" t="n">
        <x:v>0</x:v>
      </x:c>
    </x:row>
    <x:row r="247">
      <x:c r="A247" s="18" t="str">
        <x:v>A0266</x:v>
      </x:c>
      <x:c r="B247" s="18" t="str">
        <x:v>Active</x:v>
      </x:c>
      <x:c r="C247" s="18" t="n">
        <x:v>39</x:v>
      </x:c>
      <x:c r="D247" s="32" t="n">
        <x:v>4.1</x:v>
      </x:c>
      <x:c r="E247" s="24" t="n">
        <x:v>997000</x:v>
      </x:c>
      <x:c r="F247" s="24" t="n">
        <x:v>0</x:v>
      </x:c>
    </x:row>
    <x:row r="248">
      <x:c r="A248" s="18" t="str">
        <x:v>A0183</x:v>
      </x:c>
      <x:c r="B248" s="18" t="str">
        <x:v>Active</x:v>
      </x:c>
      <x:c r="C248" s="18" t="n">
        <x:v>32</x:v>
      </x:c>
      <x:c r="D248" s="32" t="n">
        <x:v>8.7</x:v>
      </x:c>
      <x:c r="E248" s="24" t="n">
        <x:v>458000</x:v>
      </x:c>
      <x:c r="F248" s="24" t="n">
        <x:v>0</x:v>
      </x:c>
    </x:row>
    <x:row r="249">
      <x:c r="A249" s="18" t="str">
        <x:v>D0101</x:v>
      </x:c>
      <x:c r="B249" s="18" t="str">
        <x:v>Deferred</x:v>
      </x:c>
      <x:c r="C249" s="18" t="n">
        <x:v>30</x:v>
      </x:c>
      <x:c r="D249" s="32" t="n">
        <x:v>2</x:v>
      </x:c>
      <x:c r="E249" s="24" t="n">
        <x:v>325000</x:v>
      </x:c>
      <x:c r="F249" s="24" t="n">
        <x:v>0</x:v>
      </x:c>
    </x:row>
    <x:row r="250">
      <x:c r="A250" s="18" t="str">
        <x:v>A0490</x:v>
      </x:c>
      <x:c r="B250" s="18" t="str">
        <x:v>Active</x:v>
      </x:c>
      <x:c r="C250" s="18" t="n">
        <x:v>42</x:v>
      </x:c>
      <x:c r="D250" s="32" t="n">
        <x:v>3.9</x:v>
      </x:c>
      <x:c r="E250" s="24" t="n">
        <x:v>726000</x:v>
      </x:c>
      <x:c r="F250" s="24" t="n">
        <x:v>0</x:v>
      </x:c>
    </x:row>
    <x:row r="251">
      <x:c r="A251" s="18" t="str">
        <x:v>P0228</x:v>
      </x:c>
      <x:c r="B251" s="18" t="str">
        <x:v>Pensioner</x:v>
      </x:c>
      <x:c r="C251" s="18" t="n">
        <x:v>77</x:v>
      </x:c>
      <x:c r="D251" s="32" t="n">
        <x:v>29.2</x:v>
      </x:c>
      <x:c r="E251" s="24" t="n">
        <x:v>0</x:v>
      </x:c>
      <x:c r="F251" s="24" t="n">
        <x:v>240000</x:v>
      </x:c>
    </x:row>
    <x:row r="252">
      <x:c r="A252" s="18" t="str">
        <x:v>A0398</x:v>
      </x:c>
      <x:c r="B252" s="18" t="str">
        <x:v>Active</x:v>
      </x:c>
      <x:c r="C252" s="18" t="n">
        <x:v>57</x:v>
      </x:c>
      <x:c r="D252" s="32" t="n">
        <x:v>13.4</x:v>
      </x:c>
      <x:c r="E252" s="24" t="n">
        <x:v>1650000</x:v>
      </x:c>
      <x:c r="F252" s="24" t="n">
        <x:v>0</x:v>
      </x:c>
    </x:row>
    <x:row r="253">
      <x:c r="A253" s="18" t="str">
        <x:v>A0607</x:v>
      </x:c>
      <x:c r="B253" s="18" t="str">
        <x:v>Active</x:v>
      </x:c>
      <x:c r="C253" s="18" t="n">
        <x:v>30</x:v>
      </x:c>
      <x:c r="D253" s="32" t="n">
        <x:v>7.2</x:v>
      </x:c>
      <x:c r="E253" s="24" t="n">
        <x:v>442000</x:v>
      </x:c>
      <x:c r="F253" s="24" t="n">
        <x:v>0</x:v>
      </x:c>
    </x:row>
    <x:row r="254">
      <x:c r="A254" s="18" t="str">
        <x:v>A0444</x:v>
      </x:c>
      <x:c r="B254" s="18" t="str">
        <x:v>Active</x:v>
      </x:c>
      <x:c r="C254" s="18" t="n">
        <x:v>41</x:v>
      </x:c>
      <x:c r="D254" s="32" t="n">
        <x:v>16.8</x:v>
      </x:c>
      <x:c r="E254" s="24" t="n">
        <x:v>749000</x:v>
      </x:c>
      <x:c r="F254" s="24" t="n">
        <x:v>0</x:v>
      </x:c>
    </x:row>
    <x:row r="255">
      <x:c r="A255" s="18" t="str">
        <x:v>A0546</x:v>
      </x:c>
      <x:c r="B255" s="18" t="str">
        <x:v>Active</x:v>
      </x:c>
      <x:c r="C255" s="18" t="n">
        <x:v>43</x:v>
      </x:c>
      <x:c r="D255" s="32" t="n">
        <x:v>18.3</x:v>
      </x:c>
      <x:c r="E255" s="24" t="n">
        <x:v>1278000</x:v>
      </x:c>
      <x:c r="F255" s="24" t="n">
        <x:v>0</x:v>
      </x:c>
    </x:row>
    <x:row r="256">
      <x:c r="A256" s="18" t="str">
        <x:v>A0407</x:v>
      </x:c>
      <x:c r="B256" s="18" t="str">
        <x:v>Active</x:v>
      </x:c>
      <x:c r="C256" s="18" t="n">
        <x:v>52</x:v>
      </x:c>
      <x:c r="D256" s="32" t="n">
        <x:v>9.4</x:v>
      </x:c>
      <x:c r="E256" s="24" t="n">
        <x:v>1629000</x:v>
      </x:c>
      <x:c r="F256" s="24" t="n">
        <x:v>0</x:v>
      </x:c>
    </x:row>
    <x:row r="257">
      <x:c r="A257" s="18" t="str">
        <x:v>A0287</x:v>
      </x:c>
      <x:c r="B257" s="18" t="str">
        <x:v>Active</x:v>
      </x:c>
      <x:c r="C257" s="18" t="n">
        <x:v>36</x:v>
      </x:c>
      <x:c r="D257" s="32" t="n">
        <x:v>4</x:v>
      </x:c>
      <x:c r="E257" s="24" t="n">
        <x:v>583000</x:v>
      </x:c>
      <x:c r="F257" s="24" t="n">
        <x:v>0</x:v>
      </x:c>
    </x:row>
    <x:row r="258">
      <x:c r="A258" s="18" t="str">
        <x:v>A0330</x:v>
      </x:c>
      <x:c r="B258" s="18" t="str">
        <x:v>Active</x:v>
      </x:c>
      <x:c r="C258" s="18" t="n">
        <x:v>48</x:v>
      </x:c>
      <x:c r="D258" s="32" t="n">
        <x:v>6.3</x:v>
      </x:c>
      <x:c r="E258" s="24" t="n">
        <x:v>1371000</x:v>
      </x:c>
      <x:c r="F258" s="24" t="n">
        <x:v>0</x:v>
      </x:c>
    </x:row>
    <x:row r="259">
      <x:c r="A259" s="18" t="str">
        <x:v>P0158</x:v>
      </x:c>
      <x:c r="B259" s="18" t="str">
        <x:v>Pensioner</x:v>
      </x:c>
      <x:c r="C259" s="18" t="n">
        <x:v>61</x:v>
      </x:c>
      <x:c r="D259" s="32" t="n">
        <x:v>28.6</x:v>
      </x:c>
      <x:c r="E259" s="24" t="n">
        <x:v>0</x:v>
      </x:c>
      <x:c r="F259" s="24" t="n">
        <x:v>274000</x:v>
      </x:c>
    </x:row>
    <x:row r="260">
      <x:c r="A260" s="18" t="str">
        <x:v>A0537</x:v>
      </x:c>
      <x:c r="B260" s="18" t="str">
        <x:v>Active</x:v>
      </x:c>
      <x:c r="C260" s="18" t="n">
        <x:v>35</x:v>
      </x:c>
      <x:c r="D260" s="32" t="n">
        <x:v>9.3</x:v>
      </x:c>
      <x:c r="E260" s="24" t="n">
        <x:v>578000</x:v>
      </x:c>
      <x:c r="F260" s="24" t="n">
        <x:v>0</x:v>
      </x:c>
    </x:row>
    <x:row r="261">
      <x:c r="A261" s="18" t="str">
        <x:v>D0084</x:v>
      </x:c>
      <x:c r="B261" s="18" t="str">
        <x:v>Deferred</x:v>
      </x:c>
      <x:c r="C261" s="18" t="n">
        <x:v>55</x:v>
      </x:c>
      <x:c r="D261" s="32" t="n">
        <x:v>4.8</x:v>
      </x:c>
      <x:c r="E261" s="24" t="n">
        <x:v>1176000</x:v>
      </x:c>
      <x:c r="F261" s="24" t="n">
        <x:v>0</x:v>
      </x:c>
    </x:row>
    <x:row r="262">
      <x:c r="A262" s="18" t="str">
        <x:v>P0203</x:v>
      </x:c>
      <x:c r="B262" s="18" t="str">
        <x:v>Pensioner</x:v>
      </x:c>
      <x:c r="C262" s="18" t="n">
        <x:v>87</x:v>
      </x:c>
      <x:c r="D262" s="32" t="n">
        <x:v>20.6</x:v>
      </x:c>
      <x:c r="E262" s="24" t="n">
        <x:v>0</x:v>
      </x:c>
      <x:c r="F262" s="24" t="n">
        <x:v>860000</x:v>
      </x:c>
    </x:row>
    <x:row r="263">
      <x:c r="A263" s="18" t="str">
        <x:v>A0585</x:v>
      </x:c>
      <x:c r="B263" s="18" t="str">
        <x:v>Active</x:v>
      </x:c>
      <x:c r="C263" s="18" t="n">
        <x:v>52</x:v>
      </x:c>
      <x:c r="D263" s="32" t="n">
        <x:v>24.5</x:v>
      </x:c>
      <x:c r="E263" s="24" t="n">
        <x:v>1709000</x:v>
      </x:c>
      <x:c r="F263" s="24" t="n">
        <x:v>0</x:v>
      </x:c>
    </x:row>
    <x:row r="264">
      <x:c r="A264" s="18" t="str">
        <x:v>D0039</x:v>
      </x:c>
      <x:c r="B264" s="18" t="str">
        <x:v>Deferred</x:v>
      </x:c>
      <x:c r="C264" s="18" t="n">
        <x:v>58</x:v>
      </x:c>
      <x:c r="D264" s="32" t="n">
        <x:v>14.1</x:v>
      </x:c>
      <x:c r="E264" s="24" t="n">
        <x:v>1243000</x:v>
      </x:c>
      <x:c r="F264" s="24" t="n">
        <x:v>0</x:v>
      </x:c>
    </x:row>
    <x:row r="265">
      <x:c r="A265" s="18" t="str">
        <x:v>A0011</x:v>
      </x:c>
      <x:c r="B265" s="18" t="str">
        <x:v>Active</x:v>
      </x:c>
      <x:c r="C265" s="18" t="n">
        <x:v>34</x:v>
      </x:c>
      <x:c r="D265" s="32" t="n">
        <x:v>11.5</x:v>
      </x:c>
      <x:c r="E265" s="24" t="n">
        <x:v>869000</x:v>
      </x:c>
      <x:c r="F265" s="24" t="n">
        <x:v>0</x:v>
      </x:c>
    </x:row>
    <x:row r="266">
      <x:c r="A266" s="18" t="str">
        <x:v>A0481</x:v>
      </x:c>
      <x:c r="B266" s="18" t="str">
        <x:v>Active</x:v>
      </x:c>
      <x:c r="C266" s="18" t="n">
        <x:v>31</x:v>
      </x:c>
      <x:c r="D266" s="32" t="n">
        <x:v>8.5</x:v>
      </x:c>
      <x:c r="E266" s="24" t="n">
        <x:v>542000</x:v>
      </x:c>
      <x:c r="F266" s="24" t="n">
        <x:v>0</x:v>
      </x:c>
    </x:row>
    <x:row r="267">
      <x:c r="A267" s="18" t="str">
        <x:v>A0030</x:v>
      </x:c>
      <x:c r="B267" s="18" t="str">
        <x:v>Active</x:v>
      </x:c>
      <x:c r="C267" s="18" t="n">
        <x:v>29</x:v>
      </x:c>
      <x:c r="D267" s="32" t="n">
        <x:v>1</x:v>
      </x:c>
      <x:c r="E267" s="24" t="n">
        <x:v>526000</x:v>
      </x:c>
      <x:c r="F267" s="24" t="n">
        <x:v>0</x:v>
      </x:c>
    </x:row>
    <x:row r="268">
      <x:c r="A268" s="18" t="str">
        <x:v>P0063</x:v>
      </x:c>
      <x:c r="B268" s="18" t="str">
        <x:v>Pensioner</x:v>
      </x:c>
      <x:c r="C268" s="18" t="n">
        <x:v>74</x:v>
      </x:c>
      <x:c r="D268" s="32" t="n">
        <x:v>19.4</x:v>
      </x:c>
      <x:c r="E268" s="24" t="n">
        <x:v>0</x:v>
      </x:c>
      <x:c r="F268" s="24" t="n">
        <x:v>471000</x:v>
      </x:c>
    </x:row>
    <x:row r="269">
      <x:c r="A269" s="18" t="str">
        <x:v>A0443</x:v>
      </x:c>
      <x:c r="B269" s="18" t="str">
        <x:v>Active</x:v>
      </x:c>
      <x:c r="C269" s="18" t="n">
        <x:v>23</x:v>
      </x:c>
      <x:c r="D269" s="32" t="n">
        <x:v>1</x:v>
      </x:c>
      <x:c r="E269" s="24" t="n">
        <x:v>540000</x:v>
      </x:c>
      <x:c r="F269" s="24" t="n">
        <x:v>0</x:v>
      </x:c>
    </x:row>
    <x:row r="270">
      <x:c r="A270" s="18" t="str">
        <x:v>A0497</x:v>
      </x:c>
      <x:c r="B270" s="18" t="str">
        <x:v>Active</x:v>
      </x:c>
      <x:c r="C270" s="18" t="n">
        <x:v>49</x:v>
      </x:c>
      <x:c r="D270" s="32" t="n">
        <x:v>14.2</x:v>
      </x:c>
      <x:c r="E270" s="24" t="n">
        <x:v>1034000</x:v>
      </x:c>
      <x:c r="F270" s="24" t="n">
        <x:v>0</x:v>
      </x:c>
    </x:row>
    <x:row r="271">
      <x:c r="A271" s="18" t="str">
        <x:v>A0128</x:v>
      </x:c>
      <x:c r="B271" s="18" t="str">
        <x:v>Active</x:v>
      </x:c>
      <x:c r="C271" s="18" t="n">
        <x:v>55</x:v>
      </x:c>
      <x:c r="D271" s="32" t="n">
        <x:v>17.2</x:v>
      </x:c>
      <x:c r="E271" s="24" t="n">
        <x:v>2189000</x:v>
      </x:c>
      <x:c r="F271" s="24" t="n">
        <x:v>0</x:v>
      </x:c>
    </x:row>
    <x:row r="272">
      <x:c r="A272" s="18" t="str">
        <x:v>P0105</x:v>
      </x:c>
      <x:c r="B272" s="18" t="str">
        <x:v>Pensioner</x:v>
      </x:c>
      <x:c r="C272" s="18" t="n">
        <x:v>65</x:v>
      </x:c>
      <x:c r="D272" s="32" t="n">
        <x:v>22.2</x:v>
      </x:c>
      <x:c r="E272" s="24" t="n">
        <x:v>0</x:v>
      </x:c>
      <x:c r="F272" s="24" t="n">
        <x:v>314000</x:v>
      </x:c>
    </x:row>
    <x:row r="273">
      <x:c r="A273" s="18" t="str">
        <x:v>D0041</x:v>
      </x:c>
      <x:c r="B273" s="18" t="str">
        <x:v>Deferred</x:v>
      </x:c>
      <x:c r="C273" s="18" t="n">
        <x:v>42</x:v>
      </x:c>
      <x:c r="D273" s="32" t="n">
        <x:v>4.9</x:v>
      </x:c>
      <x:c r="E273" s="24" t="n">
        <x:v>762000</x:v>
      </x:c>
      <x:c r="F273" s="24" t="n">
        <x:v>0</x:v>
      </x:c>
    </x:row>
    <x:row r="274">
      <x:c r="A274" s="18" t="str">
        <x:v>P0075</x:v>
      </x:c>
      <x:c r="B274" s="18" t="str">
        <x:v>Pensioner</x:v>
      </x:c>
      <x:c r="C274" s="18" t="n">
        <x:v>61</x:v>
      </x:c>
      <x:c r="D274" s="32" t="n">
        <x:v>28.5</x:v>
      </x:c>
      <x:c r="E274" s="24" t="n">
        <x:v>0</x:v>
      </x:c>
      <x:c r="F274" s="24" t="n">
        <x:v>165000</x:v>
      </x:c>
    </x:row>
    <x:row r="275">
      <x:c r="A275" s="18" t="str">
        <x:v>P0104</x:v>
      </x:c>
      <x:c r="B275" s="18" t="str">
        <x:v>Pensioner</x:v>
      </x:c>
      <x:c r="C275" s="18" t="n">
        <x:v>67</x:v>
      </x:c>
      <x:c r="D275" s="32" t="n">
        <x:v>33.6</x:v>
      </x:c>
      <x:c r="E275" s="24" t="n">
        <x:v>0</x:v>
      </x:c>
      <x:c r="F275" s="24" t="n">
        <x:v>298000</x:v>
      </x:c>
    </x:row>
    <x:row r="276">
      <x:c r="A276" s="18" t="str">
        <x:v>A0336</x:v>
      </x:c>
      <x:c r="B276" s="18" t="str">
        <x:v>Active</x:v>
      </x:c>
      <x:c r="C276" s="18" t="n">
        <x:v>24</x:v>
      </x:c>
      <x:c r="D276" s="32" t="n">
        <x:v>1.6</x:v>
      </x:c>
      <x:c r="E276" s="24" t="n">
        <x:v>463000</x:v>
      </x:c>
      <x:c r="F276" s="24" t="n">
        <x:v>0</x:v>
      </x:c>
    </x:row>
    <x:row r="277">
      <x:c r="A277" s="18" t="str">
        <x:v>A0385</x:v>
      </x:c>
      <x:c r="B277" s="18" t="str">
        <x:v>Active</x:v>
      </x:c>
      <x:c r="C277" s="18" t="n">
        <x:v>24</x:v>
      </x:c>
      <x:c r="D277" s="32" t="n">
        <x:v>1</x:v>
      </x:c>
      <x:c r="E277" s="24" t="n">
        <x:v>549000</x:v>
      </x:c>
      <x:c r="F277" s="24" t="n">
        <x:v>0</x:v>
      </x:c>
    </x:row>
    <x:row r="278">
      <x:c r="A278" s="18" t="str">
        <x:v>A0435</x:v>
      </x:c>
      <x:c r="B278" s="18" t="str">
        <x:v>Active</x:v>
      </x:c>
      <x:c r="C278" s="18" t="n">
        <x:v>22</x:v>
      </x:c>
      <x:c r="D278" s="32" t="n">
        <x:v>1</x:v>
      </x:c>
      <x:c r="E278" s="24" t="n">
        <x:v>388000</x:v>
      </x:c>
      <x:c r="F278" s="24" t="n">
        <x:v>0</x:v>
      </x:c>
    </x:row>
    <x:row r="279">
      <x:c r="A279" s="18" t="str">
        <x:v>P0223</x:v>
      </x:c>
      <x:c r="B279" s="18" t="str">
        <x:v>Pensioner</x:v>
      </x:c>
      <x:c r="C279" s="18" t="n">
        <x:v>79</x:v>
      </x:c>
      <x:c r="D279" s="32" t="n">
        <x:v>22.9</x:v>
      </x:c>
      <x:c r="E279" s="24" t="n">
        <x:v>0</x:v>
      </x:c>
      <x:c r="F279" s="24" t="n">
        <x:v>369000</x:v>
      </x:c>
    </x:row>
    <x:row r="280">
      <x:c r="A280" s="18" t="str">
        <x:v>A0564</x:v>
      </x:c>
      <x:c r="B280" s="18" t="str">
        <x:v>Active</x:v>
      </x:c>
      <x:c r="C280" s="18" t="n">
        <x:v>57</x:v>
      </x:c>
      <x:c r="D280" s="32" t="n">
        <x:v>26</x:v>
      </x:c>
      <x:c r="E280" s="24" t="n">
        <x:v>2256000</x:v>
      </x:c>
      <x:c r="F280" s="24" t="n">
        <x:v>0</x:v>
      </x:c>
    </x:row>
    <x:row r="281">
      <x:c r="A281" s="18" t="str">
        <x:v>A0436</x:v>
      </x:c>
      <x:c r="B281" s="18" t="str">
        <x:v>Active</x:v>
      </x:c>
      <x:c r="C281" s="18" t="n">
        <x:v>32</x:v>
      </x:c>
      <x:c r="D281" s="32" t="n">
        <x:v>1.9</x:v>
      </x:c>
      <x:c r="E281" s="24" t="n">
        <x:v>574000</x:v>
      </x:c>
      <x:c r="F281" s="24" t="n">
        <x:v>0</x:v>
      </x:c>
    </x:row>
    <x:row r="282">
      <x:c r="A282" s="18" t="str">
        <x:v>A0325</x:v>
      </x:c>
      <x:c r="B282" s="18" t="str">
        <x:v>Active</x:v>
      </x:c>
      <x:c r="C282" s="18" t="n">
        <x:v>55</x:v>
      </x:c>
      <x:c r="D282" s="32" t="n">
        <x:v>29</x:v>
      </x:c>
      <x:c r="E282" s="24" t="n">
        <x:v>1669000</x:v>
      </x:c>
      <x:c r="F282" s="24" t="n">
        <x:v>0</x:v>
      </x:c>
    </x:row>
    <x:row r="283">
      <x:c r="A283" s="18" t="str">
        <x:v>P0053</x:v>
      </x:c>
      <x:c r="B283" s="18" t="str">
        <x:v>Pensioner</x:v>
      </x:c>
      <x:c r="C283" s="18" t="n">
        <x:v>73</x:v>
      </x:c>
      <x:c r="D283" s="32" t="n">
        <x:v>30.8</x:v>
      </x:c>
      <x:c r="E283" s="24" t="n">
        <x:v>0</x:v>
      </x:c>
      <x:c r="F283" s="24" t="n">
        <x:v>545000</x:v>
      </x:c>
    </x:row>
    <x:row r="284">
      <x:c r="A284" s="18" t="str">
        <x:v>A0428</x:v>
      </x:c>
      <x:c r="B284" s="18" t="str">
        <x:v>Active</x:v>
      </x:c>
      <x:c r="C284" s="18" t="n">
        <x:v>53</x:v>
      </x:c>
      <x:c r="D284" s="32" t="n">
        <x:v>2</x:v>
      </x:c>
      <x:c r="E284" s="24" t="n">
        <x:v>1967000</x:v>
      </x:c>
      <x:c r="F284" s="24" t="n">
        <x:v>0</x:v>
      </x:c>
    </x:row>
    <x:row r="285">
      <x:c r="A285" s="18" t="str">
        <x:v>A0522</x:v>
      </x:c>
      <x:c r="B285" s="18" t="str">
        <x:v>Active</x:v>
      </x:c>
      <x:c r="C285" s="18" t="n">
        <x:v>39</x:v>
      </x:c>
      <x:c r="D285" s="32" t="n">
        <x:v>7</x:v>
      </x:c>
      <x:c r="E285" s="24" t="n">
        <x:v>1094000</x:v>
      </x:c>
      <x:c r="F285" s="24" t="n">
        <x:v>0</x:v>
      </x:c>
    </x:row>
    <x:row r="286">
      <x:c r="A286" s="18" t="str">
        <x:v>A0119</x:v>
      </x:c>
      <x:c r="B286" s="18" t="str">
        <x:v>Active</x:v>
      </x:c>
      <x:c r="C286" s="18" t="n">
        <x:v>33</x:v>
      </x:c>
      <x:c r="D286" s="32" t="n">
        <x:v>1.1</x:v>
      </x:c>
      <x:c r="E286" s="24" t="n">
        <x:v>839000</x:v>
      </x:c>
      <x:c r="F286" s="24" t="n">
        <x:v>0</x:v>
      </x:c>
    </x:row>
    <x:row r="287">
      <x:c r="A287" s="18" t="str">
        <x:v>D0090</x:v>
      </x:c>
      <x:c r="B287" s="18" t="str">
        <x:v>Deferred</x:v>
      </x:c>
      <x:c r="C287" s="18" t="n">
        <x:v>55</x:v>
      </x:c>
      <x:c r="D287" s="32" t="n">
        <x:v>11.3</x:v>
      </x:c>
      <x:c r="E287" s="24" t="n">
        <x:v>1286000</x:v>
      </x:c>
      <x:c r="F287" s="24" t="n">
        <x:v>0</x:v>
      </x:c>
    </x:row>
    <x:row r="288">
      <x:c r="A288" s="18" t="str">
        <x:v>A0538</x:v>
      </x:c>
      <x:c r="B288" s="18" t="str">
        <x:v>Active</x:v>
      </x:c>
      <x:c r="C288" s="18" t="n">
        <x:v>23</x:v>
      </x:c>
      <x:c r="D288" s="32" t="n">
        <x:v>1</x:v>
      </x:c>
      <x:c r="E288" s="24" t="n">
        <x:v>547000</x:v>
      </x:c>
      <x:c r="F288" s="24" t="n">
        <x:v>0</x:v>
      </x:c>
    </x:row>
    <x:row r="289">
      <x:c r="A289" s="18" t="str">
        <x:v>P0186</x:v>
      </x:c>
      <x:c r="B289" s="18" t="str">
        <x:v>Pensioner</x:v>
      </x:c>
      <x:c r="C289" s="18" t="n">
        <x:v>89</x:v>
      </x:c>
      <x:c r="D289" s="32" t="n">
        <x:v>22.8</x:v>
      </x:c>
      <x:c r="E289" s="24" t="n">
        <x:v>0</x:v>
      </x:c>
      <x:c r="F289" s="24" t="n">
        <x:v>566000</x:v>
      </x:c>
    </x:row>
    <x:row r="290">
      <x:c r="A290" s="18" t="str">
        <x:v>A0389</x:v>
      </x:c>
      <x:c r="B290" s="18" t="str">
        <x:v>Active</x:v>
      </x:c>
      <x:c r="C290" s="18" t="n">
        <x:v>54</x:v>
      </x:c>
      <x:c r="D290" s="32" t="n">
        <x:v>11.7</x:v>
      </x:c>
      <x:c r="E290" s="24" t="n">
        <x:v>1365000</x:v>
      </x:c>
      <x:c r="F290" s="24" t="n">
        <x:v>0</x:v>
      </x:c>
    </x:row>
    <x:row r="291">
      <x:c r="A291" s="18" t="str">
        <x:v>A0368</x:v>
      </x:c>
      <x:c r="B291" s="18" t="str">
        <x:v>Active</x:v>
      </x:c>
      <x:c r="C291" s="18" t="n">
        <x:v>47</x:v>
      </x:c>
      <x:c r="D291" s="32" t="n">
        <x:v>17.7</x:v>
      </x:c>
      <x:c r="E291" s="24" t="n">
        <x:v>1488000</x:v>
      </x:c>
      <x:c r="F291" s="24" t="n">
        <x:v>0</x:v>
      </x:c>
    </x:row>
    <x:row r="292">
      <x:c r="A292" s="18" t="str">
        <x:v>A0202</x:v>
      </x:c>
      <x:c r="B292" s="18" t="str">
        <x:v>Active</x:v>
      </x:c>
      <x:c r="C292" s="18" t="n">
        <x:v>39</x:v>
      </x:c>
      <x:c r="D292" s="32" t="n">
        <x:v>9.2</x:v>
      </x:c>
      <x:c r="E292" s="24" t="n">
        <x:v>850000</x:v>
      </x:c>
      <x:c r="F292" s="24" t="n">
        <x:v>0</x:v>
      </x:c>
    </x:row>
    <x:row r="293">
      <x:c r="A293" s="18" t="str">
        <x:v>A0261</x:v>
      </x:c>
      <x:c r="B293" s="18" t="str">
        <x:v>Active</x:v>
      </x:c>
      <x:c r="C293" s="18" t="n">
        <x:v>41</x:v>
      </x:c>
      <x:c r="D293" s="32" t="n">
        <x:v>15.6</x:v>
      </x:c>
      <x:c r="E293" s="24" t="n">
        <x:v>873000</x:v>
      </x:c>
      <x:c r="F293" s="24" t="n">
        <x:v>0</x:v>
      </x:c>
    </x:row>
    <x:row r="294">
      <x:c r="A294" s="18" t="str">
        <x:v>A0025</x:v>
      </x:c>
      <x:c r="B294" s="18" t="str">
        <x:v>Active</x:v>
      </x:c>
      <x:c r="C294" s="18" t="n">
        <x:v>54</x:v>
      </x:c>
      <x:c r="D294" s="32" t="n">
        <x:v>26.6</x:v>
      </x:c>
      <x:c r="E294" s="24" t="n">
        <x:v>1546000</x:v>
      </x:c>
      <x:c r="F294" s="24" t="n">
        <x:v>0</x:v>
      </x:c>
    </x:row>
    <x:row r="295">
      <x:c r="A295" s="18" t="str">
        <x:v>A0168</x:v>
      </x:c>
      <x:c r="B295" s="18" t="str">
        <x:v>Active</x:v>
      </x:c>
      <x:c r="C295" s="18" t="n">
        <x:v>22</x:v>
      </x:c>
      <x:c r="D295" s="32" t="n">
        <x:v>1</x:v>
      </x:c>
      <x:c r="E295" s="24" t="n">
        <x:v>557000</x:v>
      </x:c>
      <x:c r="F295" s="24" t="n">
        <x:v>0</x:v>
      </x:c>
    </x:row>
    <x:row r="296">
      <x:c r="A296" s="18" t="str">
        <x:v>A0283</x:v>
      </x:c>
      <x:c r="B296" s="18" t="str">
        <x:v>Active</x:v>
      </x:c>
      <x:c r="C296" s="18" t="n">
        <x:v>51</x:v>
      </x:c>
      <x:c r="D296" s="32" t="n">
        <x:v>23.9</x:v>
      </x:c>
      <x:c r="E296" s="24" t="n">
        <x:v>1558000</x:v>
      </x:c>
      <x:c r="F296" s="24" t="n">
        <x:v>0</x:v>
      </x:c>
    </x:row>
    <x:row r="297">
      <x:c r="A297" s="18" t="str">
        <x:v>A0471</x:v>
      </x:c>
      <x:c r="B297" s="18" t="str">
        <x:v>Active</x:v>
      </x:c>
      <x:c r="C297" s="18" t="n">
        <x:v>36</x:v>
      </x:c>
      <x:c r="D297" s="32" t="n">
        <x:v>9.2</x:v>
      </x:c>
      <x:c r="E297" s="24" t="n">
        <x:v>621000</x:v>
      </x:c>
      <x:c r="F297" s="24" t="n">
        <x:v>0</x:v>
      </x:c>
    </x:row>
    <x:row r="298">
      <x:c r="A298" s="18" t="str">
        <x:v>A0410</x:v>
      </x:c>
      <x:c r="B298" s="18" t="str">
        <x:v>Active</x:v>
      </x:c>
      <x:c r="C298" s="18" t="n">
        <x:v>28</x:v>
      </x:c>
      <x:c r="D298" s="32" t="n">
        <x:v>2.2</x:v>
      </x:c>
      <x:c r="E298" s="24" t="n">
        <x:v>447000</x:v>
      </x:c>
      <x:c r="F298" s="24" t="n">
        <x:v>0</x:v>
      </x:c>
    </x:row>
    <x:row r="299">
      <x:c r="A299" s="18" t="str">
        <x:v>A0553</x:v>
      </x:c>
      <x:c r="B299" s="18" t="str">
        <x:v>Active</x:v>
      </x:c>
      <x:c r="C299" s="18" t="n">
        <x:v>31</x:v>
      </x:c>
      <x:c r="D299" s="32" t="n">
        <x:v>5.9</x:v>
      </x:c>
      <x:c r="E299" s="24" t="n">
        <x:v>609000</x:v>
      </x:c>
      <x:c r="F299" s="24" t="n">
        <x:v>0</x:v>
      </x:c>
    </x:row>
    <x:row r="300">
      <x:c r="A300" s="18" t="str">
        <x:v>P0024</x:v>
      </x:c>
      <x:c r="B300" s="18" t="str">
        <x:v>Pensioner</x:v>
      </x:c>
      <x:c r="C300" s="18" t="n">
        <x:v>64</x:v>
      </x:c>
      <x:c r="D300" s="32" t="n">
        <x:v>36.8</x:v>
      </x:c>
      <x:c r="E300" s="24" t="n">
        <x:v>0</x:v>
      </x:c>
      <x:c r="F300" s="24" t="n">
        <x:v>376000</x:v>
      </x:c>
    </x:row>
    <x:row r="301">
      <x:c r="A301" s="18" t="str">
        <x:v>A0320</x:v>
      </x:c>
      <x:c r="B301" s="18" t="str">
        <x:v>Active</x:v>
      </x:c>
      <x:c r="C301" s="18" t="n">
        <x:v>33</x:v>
      </x:c>
      <x:c r="D301" s="32" t="n">
        <x:v>3.5</x:v>
      </x:c>
      <x:c r="E301" s="24" t="n">
        <x:v>574000</x:v>
      </x:c>
      <x:c r="F301" s="24" t="n">
        <x:v>0</x:v>
      </x:c>
    </x:row>
    <x:row r="302">
      <x:c r="A302" s="18" t="str">
        <x:v>P0040</x:v>
      </x:c>
      <x:c r="B302" s="18" t="str">
        <x:v>Pensioner</x:v>
      </x:c>
      <x:c r="C302" s="18" t="n">
        <x:v>84</x:v>
      </x:c>
      <x:c r="D302" s="32" t="n">
        <x:v>21.4</x:v>
      </x:c>
      <x:c r="E302" s="24" t="n">
        <x:v>0</x:v>
      </x:c>
      <x:c r="F302" s="24" t="n">
        <x:v>669000</x:v>
      </x:c>
    </x:row>
    <x:row r="303">
      <x:c r="A303" s="18" t="str">
        <x:v>P0093</x:v>
      </x:c>
      <x:c r="B303" s="18" t="str">
        <x:v>Pensioner</x:v>
      </x:c>
      <x:c r="C303" s="18" t="n">
        <x:v>64</x:v>
      </x:c>
      <x:c r="D303" s="32" t="n">
        <x:v>37.7</x:v>
      </x:c>
      <x:c r="E303" s="24" t="n">
        <x:v>0</x:v>
      </x:c>
      <x:c r="F303" s="24" t="n">
        <x:v>384000</x:v>
      </x:c>
    </x:row>
    <x:row r="304">
      <x:c r="A304" s="18" t="str">
        <x:v>A0441</x:v>
      </x:c>
      <x:c r="B304" s="18" t="str">
        <x:v>Active</x:v>
      </x:c>
      <x:c r="C304" s="18" t="n">
        <x:v>54</x:v>
      </x:c>
      <x:c r="D304" s="32" t="n">
        <x:v>21.4</x:v>
      </x:c>
      <x:c r="E304" s="24" t="n">
        <x:v>1649000</x:v>
      </x:c>
      <x:c r="F304" s="24" t="n">
        <x:v>0</x:v>
      </x:c>
    </x:row>
    <x:row r="305">
      <x:c r="A305" s="18" t="str">
        <x:v>A0216</x:v>
      </x:c>
      <x:c r="B305" s="18" t="str">
        <x:v>Active</x:v>
      </x:c>
      <x:c r="C305" s="18" t="n">
        <x:v>58</x:v>
      </x:c>
      <x:c r="D305" s="32" t="n">
        <x:v>1.5</x:v>
      </x:c>
      <x:c r="E305" s="24" t="n">
        <x:v>1481000</x:v>
      </x:c>
      <x:c r="F305" s="24" t="n">
        <x:v>0</x:v>
      </x:c>
    </x:row>
    <x:row r="306">
      <x:c r="A306" s="18" t="str">
        <x:v>A0427</x:v>
      </x:c>
      <x:c r="B306" s="18" t="str">
        <x:v>Active</x:v>
      </x:c>
      <x:c r="C306" s="18" t="n">
        <x:v>31</x:v>
      </x:c>
      <x:c r="D306" s="32" t="n">
        <x:v>1.3</x:v>
      </x:c>
      <x:c r="E306" s="24" t="n">
        <x:v>498000</x:v>
      </x:c>
      <x:c r="F306" s="24" t="n">
        <x:v>0</x:v>
      </x:c>
    </x:row>
    <x:row r="307">
      <x:c r="A307" s="18" t="str">
        <x:v>P0239</x:v>
      </x:c>
      <x:c r="B307" s="18" t="str">
        <x:v>Pensioner</x:v>
      </x:c>
      <x:c r="C307" s="18" t="n">
        <x:v>68</x:v>
      </x:c>
      <x:c r="D307" s="32" t="n">
        <x:v>23.8</x:v>
      </x:c>
      <x:c r="E307" s="24" t="n">
        <x:v>0</x:v>
      </x:c>
      <x:c r="F307" s="24" t="n">
        <x:v>461000</x:v>
      </x:c>
    </x:row>
    <x:row r="308">
      <x:c r="A308" s="18" t="str">
        <x:v>A0589</x:v>
      </x:c>
      <x:c r="B308" s="18" t="str">
        <x:v>Active</x:v>
      </x:c>
      <x:c r="C308" s="18" t="n">
        <x:v>37</x:v>
      </x:c>
      <x:c r="D308" s="32" t="n">
        <x:v>13.8</x:v>
      </x:c>
      <x:c r="E308" s="24" t="n">
        <x:v>718000</x:v>
      </x:c>
      <x:c r="F308" s="24" t="n">
        <x:v>0</x:v>
      </x:c>
    </x:row>
    <x:row r="309">
      <x:c r="A309" s="18" t="str">
        <x:v>A0109</x:v>
      </x:c>
      <x:c r="B309" s="18" t="str">
        <x:v>Active</x:v>
      </x:c>
      <x:c r="C309" s="18" t="n">
        <x:v>55</x:v>
      </x:c>
      <x:c r="D309" s="32" t="n">
        <x:v>24.8</x:v>
      </x:c>
      <x:c r="E309" s="24" t="n">
        <x:v>1950000</x:v>
      </x:c>
      <x:c r="F309" s="24" t="n">
        <x:v>0</x:v>
      </x:c>
    </x:row>
    <x:row r="310">
      <x:c r="A310" s="18" t="str">
        <x:v>A0110</x:v>
      </x:c>
      <x:c r="B310" s="18" t="str">
        <x:v>Active</x:v>
      </x:c>
      <x:c r="C310" s="18" t="n">
        <x:v>54</x:v>
      </x:c>
      <x:c r="D310" s="32" t="n">
        <x:v>4.6</x:v>
      </x:c>
      <x:c r="E310" s="24" t="n">
        <x:v>1653000</x:v>
      </x:c>
      <x:c r="F310" s="24" t="n">
        <x:v>0</x:v>
      </x:c>
    </x:row>
    <x:row r="311">
      <x:c r="A311" s="18" t="str">
        <x:v>A0569</x:v>
      </x:c>
      <x:c r="B311" s="18" t="str">
        <x:v>Active</x:v>
      </x:c>
      <x:c r="C311" s="18" t="n">
        <x:v>53</x:v>
      </x:c>
      <x:c r="D311" s="32" t="n">
        <x:v>22.4</x:v>
      </x:c>
      <x:c r="E311" s="24" t="n">
        <x:v>1725000</x:v>
      </x:c>
      <x:c r="F311" s="24" t="n">
        <x:v>0</x:v>
      </x:c>
    </x:row>
    <x:row r="312">
      <x:c r="A312" s="18" t="str">
        <x:v>A0416</x:v>
      </x:c>
      <x:c r="B312" s="18" t="str">
        <x:v>Active</x:v>
      </x:c>
      <x:c r="C312" s="18" t="n">
        <x:v>51</x:v>
      </x:c>
      <x:c r="D312" s="32" t="n">
        <x:v>1.7</x:v>
      </x:c>
      <x:c r="E312" s="24" t="n">
        <x:v>1621000</x:v>
      </x:c>
      <x:c r="F312" s="24" t="n">
        <x:v>0</x:v>
      </x:c>
    </x:row>
    <x:row r="313">
      <x:c r="A313" s="18" t="str">
        <x:v>P0007</x:v>
      </x:c>
      <x:c r="B313" s="18" t="str">
        <x:v>Pensioner</x:v>
      </x:c>
      <x:c r="C313" s="18" t="n">
        <x:v>83</x:v>
      </x:c>
      <x:c r="D313" s="32" t="n">
        <x:v>34.8</x:v>
      </x:c>
      <x:c r="E313" s="24" t="n">
        <x:v>0</x:v>
      </x:c>
      <x:c r="F313" s="24" t="n">
        <x:v>593000</x:v>
      </x:c>
    </x:row>
    <x:row r="314">
      <x:c r="A314" s="18" t="str">
        <x:v>P0103</x:v>
      </x:c>
      <x:c r="B314" s="18" t="str">
        <x:v>Pensioner</x:v>
      </x:c>
      <x:c r="C314" s="18" t="n">
        <x:v>71</x:v>
      </x:c>
      <x:c r="D314" s="32" t="n">
        <x:v>38.1</x:v>
      </x:c>
      <x:c r="E314" s="24" t="n">
        <x:v>0</x:v>
      </x:c>
      <x:c r="F314" s="24" t="n">
        <x:v>213000</x:v>
      </x:c>
    </x:row>
    <x:row r="315">
      <x:c r="A315" s="18" t="str">
        <x:v>A0074</x:v>
      </x:c>
      <x:c r="B315" s="18" t="str">
        <x:v>Active</x:v>
      </x:c>
      <x:c r="C315" s="18" t="n">
        <x:v>27</x:v>
      </x:c>
      <x:c r="D315" s="32" t="n">
        <x:v>6.6</x:v>
      </x:c>
      <x:c r="E315" s="24" t="n">
        <x:v>507000</x:v>
      </x:c>
      <x:c r="F315" s="24" t="n">
        <x:v>0</x:v>
      </x:c>
    </x:row>
    <x:row r="316">
      <x:c r="A316" s="18" t="str">
        <x:v>D0092</x:v>
      </x:c>
      <x:c r="B316" s="18" t="str">
        <x:v>Deferred</x:v>
      </x:c>
      <x:c r="C316" s="18" t="n">
        <x:v>41</x:v>
      </x:c>
      <x:c r="D316" s="32" t="n">
        <x:v>6.7</x:v>
      </x:c>
      <x:c r="E316" s="24" t="n">
        <x:v>753000</x:v>
      </x:c>
      <x:c r="F316" s="24" t="n">
        <x:v>0</x:v>
      </x:c>
    </x:row>
    <x:row r="317">
      <x:c r="A317" s="18" t="str">
        <x:v>D0048</x:v>
      </x:c>
      <x:c r="B317" s="18" t="str">
        <x:v>Deferred</x:v>
      </x:c>
      <x:c r="C317" s="18" t="n">
        <x:v>53</x:v>
      </x:c>
      <x:c r="D317" s="32" t="n">
        <x:v>22.7</x:v>
      </x:c>
      <x:c r="E317" s="24" t="n">
        <x:v>847000</x:v>
      </x:c>
      <x:c r="F317" s="24" t="n">
        <x:v>0</x:v>
      </x:c>
    </x:row>
    <x:row r="318">
      <x:c r="A318" s="18" t="str">
        <x:v>A0311</x:v>
      </x:c>
      <x:c r="B318" s="18" t="str">
        <x:v>Active</x:v>
      </x:c>
      <x:c r="C318" s="18" t="n">
        <x:v>54</x:v>
      </x:c>
      <x:c r="D318" s="32" t="n">
        <x:v>28.3</x:v>
      </x:c>
      <x:c r="E318" s="24" t="n">
        <x:v>1330000</x:v>
      </x:c>
      <x:c r="F318" s="24" t="n">
        <x:v>0</x:v>
      </x:c>
    </x:row>
    <x:row r="319">
      <x:c r="A319" s="18" t="str">
        <x:v>P0162</x:v>
      </x:c>
      <x:c r="B319" s="18" t="str">
        <x:v>Pensioner</x:v>
      </x:c>
      <x:c r="C319" s="18" t="n">
        <x:v>68</x:v>
      </x:c>
      <x:c r="D319" s="32" t="n">
        <x:v>16.9</x:v>
      </x:c>
      <x:c r="E319" s="24" t="n">
        <x:v>0</x:v>
      </x:c>
      <x:c r="F319" s="24" t="n">
        <x:v>346000</x:v>
      </x:c>
    </x:row>
    <x:row r="320">
      <x:c r="A320" s="18" t="str">
        <x:v>A0521</x:v>
      </x:c>
      <x:c r="B320" s="18" t="str">
        <x:v>Active</x:v>
      </x:c>
      <x:c r="C320" s="18" t="n">
        <x:v>30</x:v>
      </x:c>
      <x:c r="D320" s="32" t="n">
        <x:v>2.5</x:v>
      </x:c>
      <x:c r="E320" s="24" t="n">
        <x:v>564000</x:v>
      </x:c>
      <x:c r="F320" s="24" t="n">
        <x:v>0</x:v>
      </x:c>
    </x:row>
    <x:row r="321">
      <x:c r="A321" s="18" t="str">
        <x:v>D0025</x:v>
      </x:c>
      <x:c r="B321" s="18" t="str">
        <x:v>Deferred</x:v>
      </x:c>
      <x:c r="C321" s="18" t="n">
        <x:v>56</x:v>
      </x:c>
      <x:c r="D321" s="32" t="n">
        <x:v>23.2</x:v>
      </x:c>
      <x:c r="E321" s="24" t="n">
        <x:v>982000</x:v>
      </x:c>
      <x:c r="F321" s="24" t="n">
        <x:v>0</x:v>
      </x:c>
    </x:row>
    <x:row r="322">
      <x:c r="A322" s="18" t="str">
        <x:v>A0236</x:v>
      </x:c>
      <x:c r="B322" s="18" t="str">
        <x:v>Active</x:v>
      </x:c>
      <x:c r="C322" s="18" t="n">
        <x:v>34</x:v>
      </x:c>
      <x:c r="D322" s="32" t="n">
        <x:v>8.3</x:v>
      </x:c>
      <x:c r="E322" s="24" t="n">
        <x:v>746000</x:v>
      </x:c>
      <x:c r="F322" s="24" t="n">
        <x:v>0</x:v>
      </x:c>
    </x:row>
    <x:row r="323">
      <x:c r="A323" s="18" t="str">
        <x:v>A0265</x:v>
      </x:c>
      <x:c r="B323" s="18" t="str">
        <x:v>Active</x:v>
      </x:c>
      <x:c r="C323" s="18" t="n">
        <x:v>46</x:v>
      </x:c>
      <x:c r="D323" s="32" t="n">
        <x:v>2.2</x:v>
      </x:c>
      <x:c r="E323" s="24" t="n">
        <x:v>1345000</x:v>
      </x:c>
      <x:c r="F323" s="24" t="n">
        <x:v>0</x:v>
      </x:c>
    </x:row>
    <x:row r="324">
      <x:c r="A324" s="18" t="str">
        <x:v>A0578</x:v>
      </x:c>
      <x:c r="B324" s="18" t="str">
        <x:v>Active</x:v>
      </x:c>
      <x:c r="C324" s="18" t="n">
        <x:v>45</x:v>
      </x:c>
      <x:c r="D324" s="32" t="n">
        <x:v>18.9</x:v>
      </x:c>
      <x:c r="E324" s="24" t="n">
        <x:v>1011000</x:v>
      </x:c>
      <x:c r="F324" s="24" t="n">
        <x:v>0</x:v>
      </x:c>
    </x:row>
    <x:row r="325">
      <x:c r="A325" s="18" t="str">
        <x:v>D0013</x:v>
      </x:c>
      <x:c r="B325" s="18" t="str">
        <x:v>Deferred</x:v>
      </x:c>
      <x:c r="C325" s="18" t="n">
        <x:v>45</x:v>
      </x:c>
      <x:c r="D325" s="32" t="n">
        <x:v>16.4</x:v>
      </x:c>
      <x:c r="E325" s="24" t="n">
        <x:v>546000</x:v>
      </x:c>
      <x:c r="F325" s="24" t="n">
        <x:v>0</x:v>
      </x:c>
    </x:row>
    <x:row r="326">
      <x:c r="A326" s="18" t="str">
        <x:v>A0453</x:v>
      </x:c>
      <x:c r="B326" s="18" t="str">
        <x:v>Active</x:v>
      </x:c>
      <x:c r="C326" s="18" t="n">
        <x:v>27</x:v>
      </x:c>
      <x:c r="D326" s="32" t="n">
        <x:v>5.9</x:v>
      </x:c>
      <x:c r="E326" s="24" t="n">
        <x:v>537000</x:v>
      </x:c>
      <x:c r="F326" s="24" t="n">
        <x:v>0</x:v>
      </x:c>
    </x:row>
    <x:row r="327">
      <x:c r="A327" s="18" t="str">
        <x:v>D0108</x:v>
      </x:c>
      <x:c r="B327" s="18" t="str">
        <x:v>Deferred</x:v>
      </x:c>
      <x:c r="C327" s="18" t="n">
        <x:v>46</x:v>
      </x:c>
      <x:c r="D327" s="32" t="n">
        <x:v>9.5</x:v>
      </x:c>
      <x:c r="E327" s="24" t="n">
        <x:v>818000</x:v>
      </x:c>
      <x:c r="F327" s="24" t="n">
        <x:v>0</x:v>
      </x:c>
    </x:row>
    <x:row r="328">
      <x:c r="A328" s="18" t="str">
        <x:v>P0045</x:v>
      </x:c>
      <x:c r="B328" s="18" t="str">
        <x:v>Pensioner</x:v>
      </x:c>
      <x:c r="C328" s="18" t="n">
        <x:v>86</x:v>
      </x:c>
      <x:c r="D328" s="32" t="n">
        <x:v>36.1</x:v>
      </x:c>
      <x:c r="E328" s="24" t="n">
        <x:v>0</x:v>
      </x:c>
      <x:c r="F328" s="24" t="n">
        <x:v>311000</x:v>
      </x:c>
    </x:row>
    <x:row r="329">
      <x:c r="A329" s="18" t="str">
        <x:v>A0554</x:v>
      </x:c>
      <x:c r="B329" s="18" t="str">
        <x:v>Active</x:v>
      </x:c>
      <x:c r="C329" s="18" t="n">
        <x:v>32</x:v>
      </x:c>
      <x:c r="D329" s="32" t="n">
        <x:v>3</x:v>
      </x:c>
      <x:c r="E329" s="24" t="n">
        <x:v>769000</x:v>
      </x:c>
      <x:c r="F329" s="24" t="n">
        <x:v>0</x:v>
      </x:c>
    </x:row>
    <x:row r="330">
      <x:c r="A330" s="18" t="str">
        <x:v>D0056</x:v>
      </x:c>
      <x:c r="B330" s="18" t="str">
        <x:v>Deferred</x:v>
      </x:c>
      <x:c r="C330" s="18" t="n">
        <x:v>57</x:v>
      </x:c>
      <x:c r="D330" s="32" t="n">
        <x:v>17.3</x:v>
      </x:c>
      <x:c r="E330" s="24" t="n">
        <x:v>1392000</x:v>
      </x:c>
      <x:c r="F330" s="24" t="n">
        <x:v>0</x:v>
      </x:c>
    </x:row>
    <x:row r="331">
      <x:c r="A331" s="18" t="str">
        <x:v>A0571</x:v>
      </x:c>
      <x:c r="B331" s="18" t="str">
        <x:v>Active</x:v>
      </x:c>
      <x:c r="C331" s="18" t="n">
        <x:v>29</x:v>
      </x:c>
      <x:c r="D331" s="32" t="n">
        <x:v>2</x:v>
      </x:c>
      <x:c r="E331" s="24" t="n">
        <x:v>619000</x:v>
      </x:c>
      <x:c r="F331" s="24" t="n">
        <x:v>0</x:v>
      </x:c>
    </x:row>
    <x:row r="332">
      <x:c r="A332" s="18" t="str">
        <x:v>A0366</x:v>
      </x:c>
      <x:c r="B332" s="18" t="str">
        <x:v>Active</x:v>
      </x:c>
      <x:c r="C332" s="18" t="n">
        <x:v>30</x:v>
      </x:c>
      <x:c r="D332" s="32" t="n">
        <x:v>8.5</x:v>
      </x:c>
      <x:c r="E332" s="24" t="n">
        <x:v>478000</x:v>
      </x:c>
      <x:c r="F332" s="24" t="n">
        <x:v>0</x:v>
      </x:c>
    </x:row>
    <x:row r="333">
      <x:c r="A333" s="18" t="str">
        <x:v>A0300</x:v>
      </x:c>
      <x:c r="B333" s="18" t="str">
        <x:v>Active</x:v>
      </x:c>
      <x:c r="C333" s="18" t="n">
        <x:v>59</x:v>
      </x:c>
      <x:c r="D333" s="32" t="n">
        <x:v>23.8</x:v>
      </x:c>
      <x:c r="E333" s="24" t="n">
        <x:v>1923000</x:v>
      </x:c>
      <x:c r="F333" s="24" t="n">
        <x:v>0</x:v>
      </x:c>
    </x:row>
    <x:row r="334">
      <x:c r="A334" s="18" t="str">
        <x:v>P0068</x:v>
      </x:c>
      <x:c r="B334" s="18" t="str">
        <x:v>Pensioner</x:v>
      </x:c>
      <x:c r="C334" s="18" t="n">
        <x:v>65</x:v>
      </x:c>
      <x:c r="D334" s="32" t="n">
        <x:v>24.2</x:v>
      </x:c>
      <x:c r="E334" s="24" t="n">
        <x:v>0</x:v>
      </x:c>
      <x:c r="F334" s="24" t="n">
        <x:v>412000</x:v>
      </x:c>
    </x:row>
    <x:row r="335">
      <x:c r="A335" s="18" t="str">
        <x:v>A0340</x:v>
      </x:c>
      <x:c r="B335" s="18" t="str">
        <x:v>Active</x:v>
      </x:c>
      <x:c r="C335" s="18" t="n">
        <x:v>35</x:v>
      </x:c>
      <x:c r="D335" s="32" t="n">
        <x:v>7.9</x:v>
      </x:c>
      <x:c r="E335" s="24" t="n">
        <x:v>849000</x:v>
      </x:c>
      <x:c r="F335" s="24" t="n">
        <x:v>0</x:v>
      </x:c>
    </x:row>
    <x:row r="336">
      <x:c r="A336" s="18" t="str">
        <x:v>D0035</x:v>
      </x:c>
      <x:c r="B336" s="18" t="str">
        <x:v>Deferred</x:v>
      </x:c>
      <x:c r="C336" s="18" t="n">
        <x:v>42</x:v>
      </x:c>
      <x:c r="D336" s="32" t="n">
        <x:v>7.1</x:v>
      </x:c>
      <x:c r="E336" s="24" t="n">
        <x:v>795000</x:v>
      </x:c>
      <x:c r="F336" s="24" t="n">
        <x:v>0</x:v>
      </x:c>
    </x:row>
    <x:row r="337">
      <x:c r="A337" s="18" t="str">
        <x:v>A0029</x:v>
      </x:c>
      <x:c r="B337" s="18" t="str">
        <x:v>Active</x:v>
      </x:c>
      <x:c r="C337" s="18" t="n">
        <x:v>29</x:v>
      </x:c>
      <x:c r="D337" s="32" t="n">
        <x:v>1.4</x:v>
      </x:c>
      <x:c r="E337" s="24" t="n">
        <x:v>572000</x:v>
      </x:c>
      <x:c r="F337" s="24" t="n">
        <x:v>0</x:v>
      </x:c>
    </x:row>
    <x:row r="338">
      <x:c r="A338" s="18" t="str">
        <x:v>D0064</x:v>
      </x:c>
      <x:c r="B338" s="18" t="str">
        <x:v>Deferred</x:v>
      </x:c>
      <x:c r="C338" s="18" t="n">
        <x:v>55</x:v>
      </x:c>
      <x:c r="D338" s="32" t="n">
        <x:v>23.3</x:v>
      </x:c>
      <x:c r="E338" s="24" t="n">
        <x:v>1002000</x:v>
      </x:c>
      <x:c r="F338" s="24" t="n">
        <x:v>0</x:v>
      </x:c>
    </x:row>
    <x:row r="339">
      <x:c r="A339" s="18" t="str">
        <x:v>A0156</x:v>
      </x:c>
      <x:c r="B339" s="18" t="str">
        <x:v>Active</x:v>
      </x:c>
      <x:c r="C339" s="18" t="n">
        <x:v>32</x:v>
      </x:c>
      <x:c r="D339" s="32" t="n">
        <x:v>4.2</x:v>
      </x:c>
      <x:c r="E339" s="24" t="n">
        <x:v>559000</x:v>
      </x:c>
      <x:c r="F339" s="24" t="n">
        <x:v>0</x:v>
      </x:c>
    </x:row>
    <x:row r="340">
      <x:c r="A340" s="18" t="str">
        <x:v>A0212</x:v>
      </x:c>
      <x:c r="B340" s="18" t="str">
        <x:v>Active</x:v>
      </x:c>
      <x:c r="C340" s="18" t="n">
        <x:v>41</x:v>
      </x:c>
      <x:c r="D340" s="32" t="n">
        <x:v>4.8</x:v>
      </x:c>
      <x:c r="E340" s="24" t="n">
        <x:v>888000</x:v>
      </x:c>
      <x:c r="F340" s="24" t="n">
        <x:v>0</x:v>
      </x:c>
    </x:row>
    <x:row r="341">
      <x:c r="A341" s="18" t="str">
        <x:v>P0106</x:v>
      </x:c>
      <x:c r="B341" s="18" t="str">
        <x:v>Pensioner</x:v>
      </x:c>
      <x:c r="C341" s="18" t="n">
        <x:v>76</x:v>
      </x:c>
      <x:c r="D341" s="32" t="n">
        <x:v>25.5</x:v>
      </x:c>
      <x:c r="E341" s="24" t="n">
        <x:v>0</x:v>
      </x:c>
      <x:c r="F341" s="24" t="n">
        <x:v>437000</x:v>
      </x:c>
    </x:row>
    <x:row r="342">
      <x:c r="A342" s="18" t="str">
        <x:v>P0032</x:v>
      </x:c>
      <x:c r="B342" s="18" t="str">
        <x:v>Pensioner</x:v>
      </x:c>
      <x:c r="C342" s="18" t="n">
        <x:v>64</x:v>
      </x:c>
      <x:c r="D342" s="32" t="n">
        <x:v>15.3</x:v>
      </x:c>
      <x:c r="E342" s="24" t="n">
        <x:v>0</x:v>
      </x:c>
      <x:c r="F342" s="24" t="n">
        <x:v>338000</x:v>
      </x:c>
    </x:row>
    <x:row r="343">
      <x:c r="A343" s="18" t="str">
        <x:v>P0192</x:v>
      </x:c>
      <x:c r="B343" s="18" t="str">
        <x:v>Pensioner</x:v>
      </x:c>
      <x:c r="C343" s="18" t="n">
        <x:v>63</x:v>
      </x:c>
      <x:c r="D343" s="32" t="n">
        <x:v>29.7</x:v>
      </x:c>
      <x:c r="E343" s="24" t="n">
        <x:v>0</x:v>
      </x:c>
      <x:c r="F343" s="24" t="n">
        <x:v>361000</x:v>
      </x:c>
    </x:row>
    <x:row r="344">
      <x:c r="A344" s="18" t="str">
        <x:v>A0575</x:v>
      </x:c>
      <x:c r="B344" s="18" t="str">
        <x:v>Active</x:v>
      </x:c>
      <x:c r="C344" s="18" t="n">
        <x:v>37</x:v>
      </x:c>
      <x:c r="D344" s="32" t="n">
        <x:v>4.8</x:v>
      </x:c>
      <x:c r="E344" s="24" t="n">
        <x:v>606000</x:v>
      </x:c>
      <x:c r="F344" s="24" t="n">
        <x:v>0</x:v>
      </x:c>
    </x:row>
    <x:row r="345">
      <x:c r="A345" s="18" t="str">
        <x:v>D0045</x:v>
      </x:c>
      <x:c r="B345" s="18" t="str">
        <x:v>Deferred</x:v>
      </x:c>
      <x:c r="C345" s="18" t="n">
        <x:v>46</x:v>
      </x:c>
      <x:c r="D345" s="32" t="n">
        <x:v>16.4</x:v>
      </x:c>
      <x:c r="E345" s="24" t="n">
        <x:v>601000</x:v>
      </x:c>
      <x:c r="F345" s="24" t="n">
        <x:v>0</x:v>
      </x:c>
    </x:row>
    <x:row r="346">
      <x:c r="A346" s="18" t="str">
        <x:v>P0046</x:v>
      </x:c>
      <x:c r="B346" s="18" t="str">
        <x:v>Pensioner</x:v>
      </x:c>
      <x:c r="C346" s="18" t="n">
        <x:v>89</x:v>
      </x:c>
      <x:c r="D346" s="32" t="n">
        <x:v>32.2</x:v>
      </x:c>
      <x:c r="E346" s="24" t="n">
        <x:v>0</x:v>
      </x:c>
      <x:c r="F346" s="24" t="n">
        <x:v>865000</x:v>
      </x:c>
    </x:row>
    <x:row r="347">
      <x:c r="A347" s="18" t="str">
        <x:v>A0182</x:v>
      </x:c>
      <x:c r="B347" s="18" t="str">
        <x:v>Active</x:v>
      </x:c>
      <x:c r="C347" s="18" t="n">
        <x:v>50</x:v>
      </x:c>
      <x:c r="D347" s="32" t="n">
        <x:v>14.5</x:v>
      </x:c>
      <x:c r="E347" s="24" t="n">
        <x:v>1133000</x:v>
      </x:c>
      <x:c r="F347" s="24" t="n">
        <x:v>0</x:v>
      </x:c>
    </x:row>
    <x:row r="348">
      <x:c r="A348" s="18" t="str">
        <x:v>A0438</x:v>
      </x:c>
      <x:c r="B348" s="18" t="str">
        <x:v>Active</x:v>
      </x:c>
      <x:c r="C348" s="18" t="n">
        <x:v>27</x:v>
      </x:c>
      <x:c r="D348" s="32" t="n">
        <x:v>1.6</x:v>
      </x:c>
      <x:c r="E348" s="24" t="n">
        <x:v>546000</x:v>
      </x:c>
      <x:c r="F348" s="24" t="n">
        <x:v>0</x:v>
      </x:c>
    </x:row>
    <x:row r="349">
      <x:c r="A349" s="18" t="str">
        <x:v>D0023</x:v>
      </x:c>
      <x:c r="B349" s="18" t="str">
        <x:v>Deferred</x:v>
      </x:c>
      <x:c r="C349" s="18" t="n">
        <x:v>33</x:v>
      </x:c>
      <x:c r="D349" s="32" t="n">
        <x:v>2.6</x:v>
      </x:c>
      <x:c r="E349" s="24" t="n">
        <x:v>459000</x:v>
      </x:c>
      <x:c r="F349" s="24" t="n">
        <x:v>0</x:v>
      </x:c>
    </x:row>
    <x:row r="350">
      <x:c r="A350" s="18" t="str">
        <x:v>D0042</x:v>
      </x:c>
      <x:c r="B350" s="18" t="str">
        <x:v>Deferred</x:v>
      </x:c>
      <x:c r="C350" s="18" t="n">
        <x:v>48</x:v>
      </x:c>
      <x:c r="D350" s="32" t="n">
        <x:v>11.2</x:v>
      </x:c>
      <x:c r="E350" s="24" t="n">
        <x:v>889000</x:v>
      </x:c>
      <x:c r="F350" s="24" t="n">
        <x:v>0</x:v>
      </x:c>
    </x:row>
    <x:row r="351">
      <x:c r="A351" s="18" t="str">
        <x:v>A0286</x:v>
      </x:c>
      <x:c r="B351" s="18" t="str">
        <x:v>Active</x:v>
      </x:c>
      <x:c r="C351" s="18" t="n">
        <x:v>51</x:v>
      </x:c>
      <x:c r="D351" s="32" t="n">
        <x:v>3.8</x:v>
      </x:c>
      <x:c r="E351" s="24" t="n">
        <x:v>1660000</x:v>
      </x:c>
      <x:c r="F351" s="24" t="n">
        <x:v>0</x:v>
      </x:c>
    </x:row>
    <x:row r="352">
      <x:c r="A352" s="18" t="str">
        <x:v>A0338</x:v>
      </x:c>
      <x:c r="B352" s="18" t="str">
        <x:v>Active</x:v>
      </x:c>
      <x:c r="C352" s="18" t="n">
        <x:v>32</x:v>
      </x:c>
      <x:c r="D352" s="32" t="n">
        <x:v>7.3</x:v>
      </x:c>
      <x:c r="E352" s="24" t="n">
        <x:v>671000</x:v>
      </x:c>
      <x:c r="F352" s="24" t="n">
        <x:v>0</x:v>
      </x:c>
    </x:row>
    <x:row r="353">
      <x:c r="A353" s="18" t="str">
        <x:v>P0165</x:v>
      </x:c>
      <x:c r="B353" s="18" t="str">
        <x:v>Pensioner</x:v>
      </x:c>
      <x:c r="C353" s="18" t="n">
        <x:v>90</x:v>
      </x:c>
      <x:c r="D353" s="32" t="n">
        <x:v>23.2</x:v>
      </x:c>
      <x:c r="E353" s="24" t="n">
        <x:v>0</x:v>
      </x:c>
      <x:c r="F353" s="24" t="n">
        <x:v>625000</x:v>
      </x:c>
    </x:row>
    <x:row r="354">
      <x:c r="A354" s="18" t="str">
        <x:v>A0289</x:v>
      </x:c>
      <x:c r="B354" s="18" t="str">
        <x:v>Active</x:v>
      </x:c>
      <x:c r="C354" s="18" t="n">
        <x:v>41</x:v>
      </x:c>
      <x:c r="D354" s="32" t="n">
        <x:v>12.6</x:v>
      </x:c>
      <x:c r="E354" s="24" t="n">
        <x:v>1103000</x:v>
      </x:c>
      <x:c r="F354" s="24" t="n">
        <x:v>0</x:v>
      </x:c>
    </x:row>
    <x:row r="355">
      <x:c r="A355" s="18" t="str">
        <x:v>A0277</x:v>
      </x:c>
      <x:c r="B355" s="18" t="str">
        <x:v>Active</x:v>
      </x:c>
      <x:c r="C355" s="18" t="n">
        <x:v>28</x:v>
      </x:c>
      <x:c r="D355" s="32" t="n">
        <x:v>1</x:v>
      </x:c>
      <x:c r="E355" s="24" t="n">
        <x:v>595000</x:v>
      </x:c>
      <x:c r="F355" s="24" t="n">
        <x:v>0</x:v>
      </x:c>
    </x:row>
    <x:row r="356">
      <x:c r="A356" s="18" t="str">
        <x:v>P0193</x:v>
      </x:c>
      <x:c r="B356" s="18" t="str">
        <x:v>Pensioner</x:v>
      </x:c>
      <x:c r="C356" s="18" t="n">
        <x:v>77</x:v>
      </x:c>
      <x:c r="D356" s="32" t="n">
        <x:v>22.7</x:v>
      </x:c>
      <x:c r="E356" s="24" t="n">
        <x:v>0</x:v>
      </x:c>
      <x:c r="F356" s="24" t="n">
        <x:v>625000</x:v>
      </x:c>
    </x:row>
    <x:row r="357">
      <x:c r="A357" s="18" t="str">
        <x:v>A0033</x:v>
      </x:c>
      <x:c r="B357" s="18" t="str">
        <x:v>Active</x:v>
      </x:c>
      <x:c r="C357" s="18" t="n">
        <x:v>39</x:v>
      </x:c>
      <x:c r="D357" s="32" t="n">
        <x:v>11.9</x:v>
      </x:c>
      <x:c r="E357" s="24" t="n">
        <x:v>812000</x:v>
      </x:c>
      <x:c r="F357" s="24" t="n">
        <x:v>0</x:v>
      </x:c>
    </x:row>
    <x:row r="358">
      <x:c r="A358" s="18" t="str">
        <x:v>A0499</x:v>
      </x:c>
      <x:c r="B358" s="18" t="str">
        <x:v>Active</x:v>
      </x:c>
      <x:c r="C358" s="18" t="n">
        <x:v>37</x:v>
      </x:c>
      <x:c r="D358" s="32" t="n">
        <x:v>7.1</x:v>
      </x:c>
      <x:c r="E358" s="24" t="n">
        <x:v>835000</x:v>
      </x:c>
      <x:c r="F358" s="24" t="n">
        <x:v>0</x:v>
      </x:c>
    </x:row>
    <x:row r="359">
      <x:c r="A359" s="18" t="str">
        <x:v>A0495</x:v>
      </x:c>
      <x:c r="B359" s="18" t="str">
        <x:v>Active</x:v>
      </x:c>
      <x:c r="C359" s="18" t="n">
        <x:v>23</x:v>
      </x:c>
      <x:c r="D359" s="32" t="n">
        <x:v>1</x:v>
      </x:c>
      <x:c r="E359" s="24" t="n">
        <x:v>456000</x:v>
      </x:c>
      <x:c r="F359" s="24" t="n">
        <x:v>0</x:v>
      </x:c>
    </x:row>
    <x:row r="360">
      <x:c r="A360" s="18" t="str">
        <x:v>P0101</x:v>
      </x:c>
      <x:c r="B360" s="18" t="str">
        <x:v>Pensioner</x:v>
      </x:c>
      <x:c r="C360" s="18" t="n">
        <x:v>73</x:v>
      </x:c>
      <x:c r="D360" s="32" t="n">
        <x:v>18.9</x:v>
      </x:c>
      <x:c r="E360" s="24" t="n">
        <x:v>0</x:v>
      </x:c>
      <x:c r="F360" s="24" t="n">
        <x:v>406000</x:v>
      </x:c>
    </x:row>
    <x:row r="361">
      <x:c r="A361" s="18" t="str">
        <x:v>D0111</x:v>
      </x:c>
      <x:c r="B361" s="18" t="str">
        <x:v>Deferred</x:v>
      </x:c>
      <x:c r="C361" s="18" t="n">
        <x:v>44</x:v>
      </x:c>
      <x:c r="D361" s="32" t="n">
        <x:v>12.3</x:v>
      </x:c>
      <x:c r="E361" s="24" t="n">
        <x:v>655000</x:v>
      </x:c>
      <x:c r="F361" s="24" t="n">
        <x:v>0</x:v>
      </x:c>
    </x:row>
    <x:row r="362">
      <x:c r="A362" s="18" t="str">
        <x:v>P0116</x:v>
      </x:c>
      <x:c r="B362" s="18" t="str">
        <x:v>Pensioner</x:v>
      </x:c>
      <x:c r="C362" s="18" t="n">
        <x:v>76</x:v>
      </x:c>
      <x:c r="D362" s="32" t="n">
        <x:v>30.6</x:v>
      </x:c>
      <x:c r="E362" s="24" t="n">
        <x:v>0</x:v>
      </x:c>
      <x:c r="F362" s="24" t="n">
        <x:v>384000</x:v>
      </x:c>
    </x:row>
    <x:row r="363">
      <x:c r="A363" s="18" t="str">
        <x:v>A0565</x:v>
      </x:c>
      <x:c r="B363" s="18" t="str">
        <x:v>Active</x:v>
      </x:c>
      <x:c r="C363" s="18" t="n">
        <x:v>27</x:v>
      </x:c>
      <x:c r="D363" s="32" t="n">
        <x:v>5.7</x:v>
      </x:c>
      <x:c r="E363" s="24" t="n">
        <x:v>556000</x:v>
      </x:c>
      <x:c r="F363" s="24" t="n">
        <x:v>0</x:v>
      </x:c>
    </x:row>
    <x:row r="364">
      <x:c r="A364" s="18" t="str">
        <x:v>D0006</x:v>
      </x:c>
      <x:c r="B364" s="18" t="str">
        <x:v>Deferred</x:v>
      </x:c>
      <x:c r="C364" s="18" t="n">
        <x:v>51</x:v>
      </x:c>
      <x:c r="D364" s="32" t="n">
        <x:v>15.2</x:v>
      </x:c>
      <x:c r="E364" s="24" t="n">
        <x:v>906000</x:v>
      </x:c>
      <x:c r="F364" s="24" t="n">
        <x:v>0</x:v>
      </x:c>
    </x:row>
    <x:row r="365">
      <x:c r="A365" s="18" t="str">
        <x:v>D0089</x:v>
      </x:c>
      <x:c r="B365" s="18" t="str">
        <x:v>Deferred</x:v>
      </x:c>
      <x:c r="C365" s="18" t="n">
        <x:v>42</x:v>
      </x:c>
      <x:c r="D365" s="32" t="n">
        <x:v>9.5</x:v>
      </x:c>
      <x:c r="E365" s="24" t="n">
        <x:v>742000</x:v>
      </x:c>
      <x:c r="F365" s="24" t="n">
        <x:v>0</x:v>
      </x:c>
    </x:row>
    <x:row r="366">
      <x:c r="A366" s="18" t="str">
        <x:v>A0205</x:v>
      </x:c>
      <x:c r="B366" s="18" t="str">
        <x:v>Active</x:v>
      </x:c>
      <x:c r="C366" s="18" t="n">
        <x:v>54</x:v>
      </x:c>
      <x:c r="D366" s="32" t="n">
        <x:v>11.1</x:v>
      </x:c>
      <x:c r="E366" s="24" t="n">
        <x:v>1790000</x:v>
      </x:c>
      <x:c r="F366" s="24" t="n">
        <x:v>0</x:v>
      </x:c>
    </x:row>
    <x:row r="367">
      <x:c r="A367" s="18" t="str">
        <x:v>A0002</x:v>
      </x:c>
      <x:c r="B367" s="18" t="str">
        <x:v>Active</x:v>
      </x:c>
      <x:c r="C367" s="18" t="n">
        <x:v>45</x:v>
      </x:c>
      <x:c r="D367" s="32" t="n">
        <x:v>15.7</x:v>
      </x:c>
      <x:c r="E367" s="24" t="n">
        <x:v>1372000</x:v>
      </x:c>
      <x:c r="F367" s="24" t="n">
        <x:v>0</x:v>
      </x:c>
    </x:row>
    <x:row r="368">
      <x:c r="A368" s="18" t="str">
        <x:v>A0152</x:v>
      </x:c>
      <x:c r="B368" s="18" t="str">
        <x:v>Active</x:v>
      </x:c>
      <x:c r="C368" s="18" t="n">
        <x:v>25</x:v>
      </x:c>
      <x:c r="D368" s="32" t="n">
        <x:v>1.3</x:v>
      </x:c>
      <x:c r="E368" s="24" t="n">
        <x:v>337000</x:v>
      </x:c>
      <x:c r="F368" s="24" t="n">
        <x:v>0</x:v>
      </x:c>
    </x:row>
    <x:row r="369">
      <x:c r="A369" s="18" t="str">
        <x:v>A0363</x:v>
      </x:c>
      <x:c r="B369" s="18" t="str">
        <x:v>Active</x:v>
      </x:c>
      <x:c r="C369" s="18" t="n">
        <x:v>35</x:v>
      </x:c>
      <x:c r="D369" s="32" t="n">
        <x:v>14.8</x:v>
      </x:c>
      <x:c r="E369" s="24" t="n">
        <x:v>805000</x:v>
      </x:c>
      <x:c r="F369" s="24" t="n">
        <x:v>0</x:v>
      </x:c>
    </x:row>
    <x:row r="370">
      <x:c r="A370" s="18" t="str">
        <x:v>A0086</x:v>
      </x:c>
      <x:c r="B370" s="18" t="str">
        <x:v>Active</x:v>
      </x:c>
      <x:c r="C370" s="18" t="n">
        <x:v>37</x:v>
      </x:c>
      <x:c r="D370" s="32" t="n">
        <x:v>14.5</x:v>
      </x:c>
      <x:c r="E370" s="24" t="n">
        <x:v>811000</x:v>
      </x:c>
      <x:c r="F370" s="24" t="n">
        <x:v>0</x:v>
      </x:c>
    </x:row>
    <x:row r="371">
      <x:c r="A371" s="18" t="str">
        <x:v>A0344</x:v>
      </x:c>
      <x:c r="B371" s="18" t="str">
        <x:v>Active</x:v>
      </x:c>
      <x:c r="C371" s="18" t="n">
        <x:v>35</x:v>
      </x:c>
      <x:c r="D371" s="32" t="n">
        <x:v>7.6</x:v>
      </x:c>
      <x:c r="E371" s="24" t="n">
        <x:v>721000</x:v>
      </x:c>
      <x:c r="F371" s="24" t="n">
        <x:v>0</x:v>
      </x:c>
    </x:row>
    <x:row r="372">
      <x:c r="A372" s="18" t="str">
        <x:v>A0512</x:v>
      </x:c>
      <x:c r="B372" s="18" t="str">
        <x:v>Active</x:v>
      </x:c>
      <x:c r="C372" s="18" t="n">
        <x:v>54</x:v>
      </x:c>
      <x:c r="D372" s="32" t="n">
        <x:v>24</x:v>
      </x:c>
      <x:c r="E372" s="24" t="n">
        <x:v>1379000</x:v>
      </x:c>
      <x:c r="F372" s="24" t="n">
        <x:v>0</x:v>
      </x:c>
    </x:row>
    <x:row r="373">
      <x:c r="A373" s="18" t="str">
        <x:v>A0367</x:v>
      </x:c>
      <x:c r="B373" s="18" t="str">
        <x:v>Active</x:v>
      </x:c>
      <x:c r="C373" s="18" t="n">
        <x:v>36</x:v>
      </x:c>
      <x:c r="D373" s="32" t="n">
        <x:v>2</x:v>
      </x:c>
      <x:c r="E373" s="24" t="n">
        <x:v>772000</x:v>
      </x:c>
      <x:c r="F373" s="24" t="n">
        <x:v>0</x:v>
      </x:c>
    </x:row>
    <x:row r="374">
      <x:c r="A374" s="18" t="str">
        <x:v>P0245</x:v>
      </x:c>
      <x:c r="B374" s="18" t="str">
        <x:v>Pensioner</x:v>
      </x:c>
      <x:c r="C374" s="18" t="n">
        <x:v>77</x:v>
      </x:c>
      <x:c r="D374" s="32" t="n">
        <x:v>22.6</x:v>
      </x:c>
      <x:c r="E374" s="24" t="n">
        <x:v>0</x:v>
      </x:c>
      <x:c r="F374" s="24" t="n">
        <x:v>325000</x:v>
      </x:c>
    </x:row>
    <x:row r="375">
      <x:c r="A375" s="18" t="str">
        <x:v>P0137</x:v>
      </x:c>
      <x:c r="B375" s="18" t="str">
        <x:v>Pensioner</x:v>
      </x:c>
      <x:c r="C375" s="18" t="n">
        <x:v>89</x:v>
      </x:c>
      <x:c r="D375" s="32" t="n">
        <x:v>37</x:v>
      </x:c>
      <x:c r="E375" s="24" t="n">
        <x:v>0</x:v>
      </x:c>
      <x:c r="F375" s="24" t="n">
        <x:v>893000</x:v>
      </x:c>
    </x:row>
    <x:row r="376">
      <x:c r="A376" s="18" t="str">
        <x:v>A0159</x:v>
      </x:c>
      <x:c r="B376" s="18" t="str">
        <x:v>Active</x:v>
      </x:c>
      <x:c r="C376" s="18" t="n">
        <x:v>51</x:v>
      </x:c>
      <x:c r="D376" s="32" t="n">
        <x:v>5.8</x:v>
      </x:c>
      <x:c r="E376" s="24" t="n">
        <x:v>1338000</x:v>
      </x:c>
      <x:c r="F376" s="24" t="n">
        <x:v>0</x:v>
      </x:c>
    </x:row>
    <x:row r="377">
      <x:c r="A377" s="18" t="str">
        <x:v>A0131</x:v>
      </x:c>
      <x:c r="B377" s="18" t="str">
        <x:v>Active</x:v>
      </x:c>
      <x:c r="C377" s="18" t="n">
        <x:v>52</x:v>
      </x:c>
      <x:c r="D377" s="32" t="n">
        <x:v>19</x:v>
      </x:c>
      <x:c r="E377" s="24" t="n">
        <x:v>1287000</x:v>
      </x:c>
      <x:c r="F377" s="24" t="n">
        <x:v>0</x:v>
      </x:c>
    </x:row>
    <x:row r="378">
      <x:c r="A378" s="18" t="str">
        <x:v>A0228</x:v>
      </x:c>
      <x:c r="B378" s="18" t="str">
        <x:v>Active</x:v>
      </x:c>
      <x:c r="C378" s="18" t="n">
        <x:v>26</x:v>
      </x:c>
      <x:c r="D378" s="32" t="n">
        <x:v>1</x:v>
      </x:c>
      <x:c r="E378" s="24" t="n">
        <x:v>379000</x:v>
      </x:c>
      <x:c r="F378" s="24" t="n">
        <x:v>0</x:v>
      </x:c>
    </x:row>
    <x:row r="379">
      <x:c r="A379" s="18" t="str">
        <x:v>P0006</x:v>
      </x:c>
      <x:c r="B379" s="18" t="str">
        <x:v>Pensioner</x:v>
      </x:c>
      <x:c r="C379" s="18" t="n">
        <x:v>81</x:v>
      </x:c>
      <x:c r="D379" s="32" t="n">
        <x:v>29.9</x:v>
      </x:c>
      <x:c r="E379" s="24" t="n">
        <x:v>0</x:v>
      </x:c>
      <x:c r="F379" s="24" t="n">
        <x:v>541000</x:v>
      </x:c>
    </x:row>
    <x:row r="380">
      <x:c r="A380" s="18" t="str">
        <x:v>A0232</x:v>
      </x:c>
      <x:c r="B380" s="18" t="str">
        <x:v>Active</x:v>
      </x:c>
      <x:c r="C380" s="18" t="n">
        <x:v>51</x:v>
      </x:c>
      <x:c r="D380" s="32" t="n">
        <x:v>22.1</x:v>
      </x:c>
      <x:c r="E380" s="24" t="n">
        <x:v>1620000</x:v>
      </x:c>
      <x:c r="F380" s="24" t="n">
        <x:v>0</x:v>
      </x:c>
    </x:row>
    <x:row r="381">
      <x:c r="A381" s="18" t="str">
        <x:v>P0142</x:v>
      </x:c>
      <x:c r="B381" s="18" t="str">
        <x:v>Pensioner</x:v>
      </x:c>
      <x:c r="C381" s="18" t="n">
        <x:v>75</x:v>
      </x:c>
      <x:c r="D381" s="32" t="n">
        <x:v>15.1</x:v>
      </x:c>
      <x:c r="E381" s="24" t="n">
        <x:v>0</x:v>
      </x:c>
      <x:c r="F381" s="24" t="n">
        <x:v>372000</x:v>
      </x:c>
    </x:row>
    <x:row r="382">
      <x:c r="A382" s="18" t="str">
        <x:v>A0404</x:v>
      </x:c>
      <x:c r="B382" s="18" t="str">
        <x:v>Active</x:v>
      </x:c>
      <x:c r="C382" s="18" t="n">
        <x:v>33</x:v>
      </x:c>
      <x:c r="D382" s="32" t="n">
        <x:v>6.2</x:v>
      </x:c>
      <x:c r="E382" s="24" t="n">
        <x:v>678000</x:v>
      </x:c>
      <x:c r="F382" s="24" t="n">
        <x:v>0</x:v>
      </x:c>
    </x:row>
    <x:row r="383">
      <x:c r="A383" s="18" t="str">
        <x:v>P0242</x:v>
      </x:c>
      <x:c r="B383" s="18" t="str">
        <x:v>Pensioner</x:v>
      </x:c>
      <x:c r="C383" s="18" t="n">
        <x:v>75</x:v>
      </x:c>
      <x:c r="D383" s="32" t="n">
        <x:v>25.8</x:v>
      </x:c>
      <x:c r="E383" s="24" t="n">
        <x:v>0</x:v>
      </x:c>
      <x:c r="F383" s="24" t="n">
        <x:v>488000</x:v>
      </x:c>
    </x:row>
    <x:row r="384">
      <x:c r="A384" s="18" t="str">
        <x:v>A0288</x:v>
      </x:c>
      <x:c r="B384" s="18" t="str">
        <x:v>Active</x:v>
      </x:c>
      <x:c r="C384" s="18" t="n">
        <x:v>40</x:v>
      </x:c>
      <x:c r="D384" s="32" t="n">
        <x:v>17.9</x:v>
      </x:c>
      <x:c r="E384" s="24" t="n">
        <x:v>1005000</x:v>
      </x:c>
      <x:c r="F384" s="24" t="n">
        <x:v>0</x:v>
      </x:c>
    </x:row>
    <x:row r="385">
      <x:c r="A385" s="18" t="str">
        <x:v>P0210</x:v>
      </x:c>
      <x:c r="B385" s="18" t="str">
        <x:v>Pensioner</x:v>
      </x:c>
      <x:c r="C385" s="18" t="n">
        <x:v>84</x:v>
      </x:c>
      <x:c r="D385" s="32" t="n">
        <x:v>21.9</x:v>
      </x:c>
      <x:c r="E385" s="24" t="n">
        <x:v>0</x:v>
      </x:c>
      <x:c r="F385" s="24" t="n">
        <x:v>632000</x:v>
      </x:c>
    </x:row>
    <x:row r="386">
      <x:c r="A386" s="18" t="str">
        <x:v>P0200</x:v>
      </x:c>
      <x:c r="B386" s="18" t="str">
        <x:v>Pensioner</x:v>
      </x:c>
      <x:c r="C386" s="18" t="n">
        <x:v>74</x:v>
      </x:c>
      <x:c r="D386" s="32" t="n">
        <x:v>12.8</x:v>
      </x:c>
      <x:c r="E386" s="24" t="n">
        <x:v>0</x:v>
      </x:c>
      <x:c r="F386" s="24" t="n">
        <x:v>341000</x:v>
      </x:c>
    </x:row>
    <x:row r="387">
      <x:c r="A387" s="18" t="str">
        <x:v>A0531</x:v>
      </x:c>
      <x:c r="B387" s="18" t="str">
        <x:v>Active</x:v>
      </x:c>
      <x:c r="C387" s="18" t="n">
        <x:v>29</x:v>
      </x:c>
      <x:c r="D387" s="32" t="n">
        <x:v>2.9</x:v>
      </x:c>
      <x:c r="E387" s="24" t="n">
        <x:v>566000</x:v>
      </x:c>
      <x:c r="F387" s="24" t="n">
        <x:v>0</x:v>
      </x:c>
    </x:row>
    <x:row r="388">
      <x:c r="A388" s="18" t="str">
        <x:v>A0268</x:v>
      </x:c>
      <x:c r="B388" s="18" t="str">
        <x:v>Active</x:v>
      </x:c>
      <x:c r="C388" s="18" t="n">
        <x:v>29</x:v>
      </x:c>
      <x:c r="D388" s="32" t="n">
        <x:v>3</x:v>
      </x:c>
      <x:c r="E388" s="24" t="n">
        <x:v>672000</x:v>
      </x:c>
      <x:c r="F388" s="24" t="n">
        <x:v>0</x:v>
      </x:c>
    </x:row>
    <x:row r="389">
      <x:c r="A389" s="18" t="str">
        <x:v>D0068</x:v>
      </x:c>
      <x:c r="B389" s="18" t="str">
        <x:v>Deferred</x:v>
      </x:c>
      <x:c r="C389" s="18" t="n">
        <x:v>53</x:v>
      </x:c>
      <x:c r="D389" s="32" t="n">
        <x:v>3.3</x:v>
      </x:c>
      <x:c r="E389" s="24" t="n">
        <x:v>953000</x:v>
      </x:c>
      <x:c r="F389" s="24" t="n">
        <x:v>0</x:v>
      </x:c>
    </x:row>
    <x:row r="390">
      <x:c r="A390" s="18" t="str">
        <x:v>D0071</x:v>
      </x:c>
      <x:c r="B390" s="18" t="str">
        <x:v>Deferred</x:v>
      </x:c>
      <x:c r="C390" s="18" t="n">
        <x:v>57</x:v>
      </x:c>
      <x:c r="D390" s="32" t="n">
        <x:v>12.5</x:v>
      </x:c>
      <x:c r="E390" s="24" t="n">
        <x:v>1533000</x:v>
      </x:c>
      <x:c r="F390" s="24" t="n">
        <x:v>0</x:v>
      </x:c>
    </x:row>
    <x:row r="391">
      <x:c r="A391" s="18" t="str">
        <x:v>D0113</x:v>
      </x:c>
      <x:c r="B391" s="18" t="str">
        <x:v>Deferred</x:v>
      </x:c>
      <x:c r="C391" s="18" t="n">
        <x:v>46</x:v>
      </x:c>
      <x:c r="D391" s="32" t="n">
        <x:v>12.6</x:v>
      </x:c>
      <x:c r="E391" s="24" t="n">
        <x:v>568000</x:v>
      </x:c>
      <x:c r="F391" s="24" t="n">
        <x:v>0</x:v>
      </x:c>
    </x:row>
    <x:row r="392">
      <x:c r="A392" s="18" t="str">
        <x:v>A0307</x:v>
      </x:c>
      <x:c r="B392" s="18" t="str">
        <x:v>Active</x:v>
      </x:c>
      <x:c r="C392" s="18" t="n">
        <x:v>31</x:v>
      </x:c>
      <x:c r="D392" s="32" t="n">
        <x:v>6.5</x:v>
      </x:c>
      <x:c r="E392" s="24" t="n">
        <x:v>695000</x:v>
      </x:c>
      <x:c r="F392" s="24" t="n">
        <x:v>0</x:v>
      </x:c>
    </x:row>
    <x:row r="393">
      <x:c r="A393" s="18" t="str">
        <x:v>A0520</x:v>
      </x:c>
      <x:c r="B393" s="18" t="str">
        <x:v>Active</x:v>
      </x:c>
      <x:c r="C393" s="18" t="n">
        <x:v>23</x:v>
      </x:c>
      <x:c r="D393" s="32" t="n">
        <x:v>2.8</x:v>
      </x:c>
      <x:c r="E393" s="24" t="n">
        <x:v>507000</x:v>
      </x:c>
      <x:c r="F393" s="24" t="n">
        <x:v>0</x:v>
      </x:c>
    </x:row>
    <x:row r="394">
      <x:c r="A394" s="18" t="str">
        <x:v>A0179</x:v>
      </x:c>
      <x:c r="B394" s="18" t="str">
        <x:v>Active</x:v>
      </x:c>
      <x:c r="C394" s="18" t="n">
        <x:v>53</x:v>
      </x:c>
      <x:c r="D394" s="32" t="n">
        <x:v>21.5</x:v>
      </x:c>
      <x:c r="E394" s="24" t="n">
        <x:v>1277000</x:v>
      </x:c>
      <x:c r="F394" s="24" t="n">
        <x:v>0</x:v>
      </x:c>
    </x:row>
    <x:row r="395">
      <x:c r="A395" s="18" t="str">
        <x:v>P0216</x:v>
      </x:c>
      <x:c r="B395" s="18" t="str">
        <x:v>Pensioner</x:v>
      </x:c>
      <x:c r="C395" s="18" t="n">
        <x:v>78</x:v>
      </x:c>
      <x:c r="D395" s="32" t="n">
        <x:v>35.2</x:v>
      </x:c>
      <x:c r="E395" s="24" t="n">
        <x:v>0</x:v>
      </x:c>
      <x:c r="F395" s="24" t="n">
        <x:v>508000</x:v>
      </x:c>
    </x:row>
    <x:row r="396">
      <x:c r="A396" s="18" t="str">
        <x:v>A0478</x:v>
      </x:c>
      <x:c r="B396" s="18" t="str">
        <x:v>Active</x:v>
      </x:c>
      <x:c r="C396" s="18" t="n">
        <x:v>44</x:v>
      </x:c>
      <x:c r="D396" s="32" t="n">
        <x:v>14.7</x:v>
      </x:c>
      <x:c r="E396" s="24" t="n">
        <x:v>936000</x:v>
      </x:c>
      <x:c r="F396" s="24" t="n">
        <x:v>0</x:v>
      </x:c>
    </x:row>
    <x:row r="397">
      <x:c r="A397" s="18" t="str">
        <x:v>A0008</x:v>
      </x:c>
      <x:c r="B397" s="18" t="str">
        <x:v>Active</x:v>
      </x:c>
      <x:c r="C397" s="18" t="n">
        <x:v>31</x:v>
      </x:c>
      <x:c r="D397" s="32" t="n">
        <x:v>3.7</x:v>
      </x:c>
      <x:c r="E397" s="24" t="n">
        <x:v>518000</x:v>
      </x:c>
      <x:c r="F397" s="24" t="n">
        <x:v>0</x:v>
      </x:c>
    </x:row>
    <x:row r="398">
      <x:c r="A398" s="18" t="str">
        <x:v>P0034</x:v>
      </x:c>
      <x:c r="B398" s="18" t="str">
        <x:v>Pensioner</x:v>
      </x:c>
      <x:c r="C398" s="18" t="n">
        <x:v>60</x:v>
      </x:c>
      <x:c r="D398" s="32" t="n">
        <x:v>27.2</x:v>
      </x:c>
      <x:c r="E398" s="24" t="n">
        <x:v>0</x:v>
      </x:c>
      <x:c r="F398" s="24" t="n">
        <x:v>164000</x:v>
      </x:c>
    </x:row>
    <x:row r="399">
      <x:c r="A399" s="18" t="str">
        <x:v>P0081</x:v>
      </x:c>
      <x:c r="B399" s="18" t="str">
        <x:v>Pensioner</x:v>
      </x:c>
      <x:c r="C399" s="18" t="n">
        <x:v>67</x:v>
      </x:c>
      <x:c r="D399" s="32" t="n">
        <x:v>39.3</x:v>
      </x:c>
      <x:c r="E399" s="24" t="n">
        <x:v>0</x:v>
      </x:c>
      <x:c r="F399" s="24" t="n">
        <x:v>432000</x:v>
      </x:c>
    </x:row>
    <x:row r="400">
      <x:c r="A400" s="18" t="str">
        <x:v>P0167</x:v>
      </x:c>
      <x:c r="B400" s="18" t="str">
        <x:v>Pensioner</x:v>
      </x:c>
      <x:c r="C400" s="18" t="n">
        <x:v>76</x:v>
      </x:c>
      <x:c r="D400" s="32" t="n">
        <x:v>19.3</x:v>
      </x:c>
      <x:c r="E400" s="24" t="n">
        <x:v>0</x:v>
      </x:c>
      <x:c r="F400" s="24" t="n">
        <x:v>495000</x:v>
      </x:c>
    </x:row>
    <x:row r="401">
      <x:c r="A401" s="18" t="str">
        <x:v>A0378</x:v>
      </x:c>
      <x:c r="B401" s="18" t="str">
        <x:v>Active</x:v>
      </x:c>
      <x:c r="C401" s="18" t="n">
        <x:v>39</x:v>
      </x:c>
      <x:c r="D401" s="32" t="n">
        <x:v>5.6</x:v>
      </x:c>
      <x:c r="E401" s="24" t="n">
        <x:v>842000</x:v>
      </x:c>
      <x:c r="F401" s="24" t="n">
        <x:v>0</x:v>
      </x:c>
    </x:row>
    <x:row r="402">
      <x:c r="A402" s="18" t="str">
        <x:v>A0296</x:v>
      </x:c>
      <x:c r="B402" s="18" t="str">
        <x:v>Active</x:v>
      </x:c>
      <x:c r="C402" s="18" t="n">
        <x:v>31</x:v>
      </x:c>
      <x:c r="D402" s="32" t="n">
        <x:v>8.1</x:v>
      </x:c>
      <x:c r="E402" s="24" t="n">
        <x:v>445000</x:v>
      </x:c>
      <x:c r="F402" s="24" t="n">
        <x:v>0</x:v>
      </x:c>
    </x:row>
    <x:row r="403">
      <x:c r="A403" s="18" t="str">
        <x:v>A0221</x:v>
      </x:c>
      <x:c r="B403" s="18" t="str">
        <x:v>Active</x:v>
      </x:c>
      <x:c r="C403" s="18" t="n">
        <x:v>57</x:v>
      </x:c>
      <x:c r="D403" s="32" t="n">
        <x:v>25</x:v>
      </x:c>
      <x:c r="E403" s="24" t="n">
        <x:v>1421000</x:v>
      </x:c>
      <x:c r="F403" s="24" t="n">
        <x:v>0</x:v>
      </x:c>
    </x:row>
    <x:row r="404">
      <x:c r="A404" s="18" t="str">
        <x:v>A0449</x:v>
      </x:c>
      <x:c r="B404" s="18" t="str">
        <x:v>Active</x:v>
      </x:c>
      <x:c r="C404" s="18" t="n">
        <x:v>32</x:v>
      </x:c>
      <x:c r="D404" s="32" t="n">
        <x:v>8</x:v>
      </x:c>
      <x:c r="E404" s="24" t="n">
        <x:v>454000</x:v>
      </x:c>
      <x:c r="F404" s="24" t="n">
        <x:v>0</x:v>
      </x:c>
    </x:row>
    <x:row r="405">
      <x:c r="A405" s="18" t="str">
        <x:v>A0545</x:v>
      </x:c>
      <x:c r="B405" s="18" t="str">
        <x:v>Active</x:v>
      </x:c>
      <x:c r="C405" s="18" t="n">
        <x:v>28</x:v>
      </x:c>
      <x:c r="D405" s="32" t="n">
        <x:v>5</x:v>
      </x:c>
      <x:c r="E405" s="24" t="n">
        <x:v>619000</x:v>
      </x:c>
      <x:c r="F405" s="24" t="n">
        <x:v>0</x:v>
      </x:c>
    </x:row>
    <x:row r="406">
      <x:c r="A406" s="18" t="str">
        <x:v>A0400</x:v>
      </x:c>
      <x:c r="B406" s="18" t="str">
        <x:v>Active</x:v>
      </x:c>
      <x:c r="C406" s="18" t="n">
        <x:v>43</x:v>
      </x:c>
      <x:c r="D406" s="32" t="n">
        <x:v>15.9</x:v>
      </x:c>
      <x:c r="E406" s="24" t="n">
        <x:v>1269000</x:v>
      </x:c>
      <x:c r="F406" s="24" t="n">
        <x:v>0</x:v>
      </x:c>
    </x:row>
    <x:row r="407">
      <x:c r="A407" s="18" t="str">
        <x:v>A0551</x:v>
      </x:c>
      <x:c r="B407" s="18" t="str">
        <x:v>Active</x:v>
      </x:c>
      <x:c r="C407" s="18" t="n">
        <x:v>39</x:v>
      </x:c>
      <x:c r="D407" s="32" t="n">
        <x:v>8.6</x:v>
      </x:c>
      <x:c r="E407" s="24" t="n">
        <x:v>642000</x:v>
      </x:c>
      <x:c r="F407" s="24" t="n">
        <x:v>0</x:v>
      </x:c>
    </x:row>
    <x:row r="408">
      <x:c r="A408" s="18" t="str">
        <x:v>P0195</x:v>
      </x:c>
      <x:c r="B408" s="18" t="str">
        <x:v>Pensioner</x:v>
      </x:c>
      <x:c r="C408" s="18" t="n">
        <x:v>88</x:v>
      </x:c>
      <x:c r="D408" s="32" t="n">
        <x:v>36.2</x:v>
      </x:c>
      <x:c r="E408" s="24" t="n">
        <x:v>0</x:v>
      </x:c>
      <x:c r="F408" s="24" t="n">
        <x:v>705000</x:v>
      </x:c>
    </x:row>
    <x:row r="409">
      <x:c r="A409" s="18" t="str">
        <x:v>A0574</x:v>
      </x:c>
      <x:c r="B409" s="18" t="str">
        <x:v>Active</x:v>
      </x:c>
      <x:c r="C409" s="18" t="n">
        <x:v>50</x:v>
      </x:c>
      <x:c r="D409" s="32" t="n">
        <x:v>9.1</x:v>
      </x:c>
      <x:c r="E409" s="24" t="n">
        <x:v>1334000</x:v>
      </x:c>
      <x:c r="F409" s="24" t="n">
        <x:v>0</x:v>
      </x:c>
    </x:row>
    <x:row r="410">
      <x:c r="A410" s="18" t="str">
        <x:v>A0492</x:v>
      </x:c>
      <x:c r="B410" s="18" t="str">
        <x:v>Active</x:v>
      </x:c>
      <x:c r="C410" s="18" t="n">
        <x:v>58</x:v>
      </x:c>
      <x:c r="D410" s="32" t="n">
        <x:v>4.6</x:v>
      </x:c>
      <x:c r="E410" s="24" t="n">
        <x:v>2228000</x:v>
      </x:c>
      <x:c r="F410" s="24" t="n">
        <x:v>0</x:v>
      </x:c>
    </x:row>
    <x:row r="411">
      <x:c r="A411" s="18" t="str">
        <x:v>A0063</x:v>
      </x:c>
      <x:c r="B411" s="18" t="str">
        <x:v>Active</x:v>
      </x:c>
      <x:c r="C411" s="18" t="n">
        <x:v>49</x:v>
      </x:c>
      <x:c r="D411" s="32" t="n">
        <x:v>22.3</x:v>
      </x:c>
      <x:c r="E411" s="24" t="n">
        <x:v>1301000</x:v>
      </x:c>
      <x:c r="F411" s="24" t="n">
        <x:v>0</x:v>
      </x:c>
    </x:row>
    <x:row r="412">
      <x:c r="A412" s="18" t="str">
        <x:v>A0539</x:v>
      </x:c>
      <x:c r="B412" s="18" t="str">
        <x:v>Active</x:v>
      </x:c>
      <x:c r="C412" s="18" t="n">
        <x:v>37</x:v>
      </x:c>
      <x:c r="D412" s="32" t="n">
        <x:v>6.8</x:v>
      </x:c>
      <x:c r="E412" s="24" t="n">
        <x:v>660000</x:v>
      </x:c>
      <x:c r="F412" s="24" t="n">
        <x:v>0</x:v>
      </x:c>
    </x:row>
    <x:row r="413">
      <x:c r="A413" s="18" t="str">
        <x:v>P0136</x:v>
      </x:c>
      <x:c r="B413" s="18" t="str">
        <x:v>Pensioner</x:v>
      </x:c>
      <x:c r="C413" s="18" t="n">
        <x:v>78</x:v>
      </x:c>
      <x:c r="D413" s="32" t="n">
        <x:v>17.3</x:v>
      </x:c>
      <x:c r="E413" s="24" t="n">
        <x:v>0</x:v>
      </x:c>
      <x:c r="F413" s="24" t="n">
        <x:v>316000</x:v>
      </x:c>
    </x:row>
    <x:row r="414">
      <x:c r="A414" s="18" t="str">
        <x:v>A0282</x:v>
      </x:c>
      <x:c r="B414" s="18" t="str">
        <x:v>Active</x:v>
      </x:c>
      <x:c r="C414" s="18" t="n">
        <x:v>53</x:v>
      </x:c>
      <x:c r="D414" s="32" t="n">
        <x:v>14.1</x:v>
      </x:c>
      <x:c r="E414" s="24" t="n">
        <x:v>1663000</x:v>
      </x:c>
      <x:c r="F414" s="24" t="n">
        <x:v>0</x:v>
      </x:c>
    </x:row>
    <x:row r="415">
      <x:c r="A415" s="18" t="str">
        <x:v>A0598</x:v>
      </x:c>
      <x:c r="B415" s="18" t="str">
        <x:v>Active</x:v>
      </x:c>
      <x:c r="C415" s="18" t="n">
        <x:v>26</x:v>
      </x:c>
      <x:c r="D415" s="32" t="n">
        <x:v>1.4</x:v>
      </x:c>
      <x:c r="E415" s="24" t="n">
        <x:v>428000</x:v>
      </x:c>
      <x:c r="F415" s="24" t="n">
        <x:v>0</x:v>
      </x:c>
    </x:row>
    <x:row r="416">
      <x:c r="A416" s="18" t="str">
        <x:v>P0231</x:v>
      </x:c>
      <x:c r="B416" s="18" t="str">
        <x:v>Pensioner</x:v>
      </x:c>
      <x:c r="C416" s="18" t="n">
        <x:v>65</x:v>
      </x:c>
      <x:c r="D416" s="32" t="n">
        <x:v>20.1</x:v>
      </x:c>
      <x:c r="E416" s="24" t="n">
        <x:v>0</x:v>
      </x:c>
      <x:c r="F416" s="24" t="n">
        <x:v>196000</x:v>
      </x:c>
    </x:row>
    <x:row r="417">
      <x:c r="A417" s="18" t="str">
        <x:v>A0242</x:v>
      </x:c>
      <x:c r="B417" s="18" t="str">
        <x:v>Active</x:v>
      </x:c>
      <x:c r="C417" s="18" t="n">
        <x:v>39</x:v>
      </x:c>
      <x:c r="D417" s="32" t="n">
        <x:v>12.6</x:v>
      </x:c>
      <x:c r="E417" s="24" t="n">
        <x:v>994000</x:v>
      </x:c>
      <x:c r="F417" s="24" t="n">
        <x:v>0</x:v>
      </x:c>
    </x:row>
    <x:row r="418">
      <x:c r="A418" s="18" t="str">
        <x:v>P0058</x:v>
      </x:c>
      <x:c r="B418" s="18" t="str">
        <x:v>Pensioner</x:v>
      </x:c>
      <x:c r="C418" s="18" t="n">
        <x:v>70</x:v>
      </x:c>
      <x:c r="D418" s="32" t="n">
        <x:v>25.2</x:v>
      </x:c>
      <x:c r="E418" s="24" t="n">
        <x:v>0</x:v>
      </x:c>
      <x:c r="F418" s="24" t="n">
        <x:v>351000</x:v>
      </x:c>
    </x:row>
    <x:row r="419">
      <x:c r="A419" s="18" t="str">
        <x:v>P0249</x:v>
      </x:c>
      <x:c r="B419" s="18" t="str">
        <x:v>Pensioner</x:v>
      </x:c>
      <x:c r="C419" s="18" t="n">
        <x:v>86</x:v>
      </x:c>
      <x:c r="D419" s="32" t="n">
        <x:v>19.8</x:v>
      </x:c>
      <x:c r="E419" s="24" t="n">
        <x:v>0</x:v>
      </x:c>
      <x:c r="F419" s="24" t="n">
        <x:v>356000</x:v>
      </x:c>
    </x:row>
    <x:row r="420">
      <x:c r="A420" s="18" t="str">
        <x:v>A0403</x:v>
      </x:c>
      <x:c r="B420" s="18" t="str">
        <x:v>Active</x:v>
      </x:c>
      <x:c r="C420" s="18" t="n">
        <x:v>38</x:v>
      </x:c>
      <x:c r="D420" s="32" t="n">
        <x:v>2.8</x:v>
      </x:c>
      <x:c r="E420" s="24" t="n">
        <x:v>1024000</x:v>
      </x:c>
      <x:c r="F420" s="24" t="n">
        <x:v>0</x:v>
      </x:c>
    </x:row>
    <x:row r="421">
      <x:c r="A421" s="18" t="str">
        <x:v>A0543</x:v>
      </x:c>
      <x:c r="B421" s="18" t="str">
        <x:v>Active</x:v>
      </x:c>
      <x:c r="C421" s="18" t="n">
        <x:v>32</x:v>
      </x:c>
      <x:c r="D421" s="32" t="n">
        <x:v>6.6</x:v>
      </x:c>
      <x:c r="E421" s="24" t="n">
        <x:v>736000</x:v>
      </x:c>
      <x:c r="F421" s="24" t="n">
        <x:v>0</x:v>
      </x:c>
    </x:row>
    <x:row r="422">
      <x:c r="A422" s="18" t="str">
        <x:v>A0020</x:v>
      </x:c>
      <x:c r="B422" s="18" t="str">
        <x:v>Active</x:v>
      </x:c>
      <x:c r="C422" s="18" t="n">
        <x:v>54</x:v>
      </x:c>
      <x:c r="D422" s="32" t="n">
        <x:v>25.6</x:v>
      </x:c>
      <x:c r="E422" s="24" t="n">
        <x:v>1650000</x:v>
      </x:c>
      <x:c r="F422" s="24" t="n">
        <x:v>0</x:v>
      </x:c>
    </x:row>
    <x:row r="423">
      <x:c r="A423" s="18" t="str">
        <x:v>A0057</x:v>
      </x:c>
      <x:c r="B423" s="18" t="str">
        <x:v>Active</x:v>
      </x:c>
      <x:c r="C423" s="18" t="n">
        <x:v>50</x:v>
      </x:c>
      <x:c r="D423" s="32" t="n">
        <x:v>1</x:v>
      </x:c>
      <x:c r="E423" s="24" t="n">
        <x:v>1533000</x:v>
      </x:c>
      <x:c r="F423" s="24" t="n">
        <x:v>0</x:v>
      </x:c>
    </x:row>
    <x:row r="424">
      <x:c r="A424" s="18" t="str">
        <x:v>P0070</x:v>
      </x:c>
      <x:c r="B424" s="18" t="str">
        <x:v>Pensioner</x:v>
      </x:c>
      <x:c r="C424" s="18" t="n">
        <x:v>79</x:v>
      </x:c>
      <x:c r="D424" s="32" t="n">
        <x:v>12.4</x:v>
      </x:c>
      <x:c r="E424" s="24" t="n">
        <x:v>0</x:v>
      </x:c>
      <x:c r="F424" s="24" t="n">
        <x:v>636000</x:v>
      </x:c>
    </x:row>
    <x:row r="425">
      <x:c r="A425" s="18" t="str">
        <x:v>P0015</x:v>
      </x:c>
      <x:c r="B425" s="18" t="str">
        <x:v>Pensioner</x:v>
      </x:c>
      <x:c r="C425" s="18" t="n">
        <x:v>82</x:v>
      </x:c>
      <x:c r="D425" s="32" t="n">
        <x:v>36.2</x:v>
      </x:c>
      <x:c r="E425" s="24" t="n">
        <x:v>0</x:v>
      </x:c>
      <x:c r="F425" s="24" t="n">
        <x:v>528000</x:v>
      </x:c>
    </x:row>
    <x:row r="426">
      <x:c r="A426" s="18" t="str">
        <x:v>A0127</x:v>
      </x:c>
      <x:c r="B426" s="18" t="str">
        <x:v>Active</x:v>
      </x:c>
      <x:c r="C426" s="18" t="n">
        <x:v>23</x:v>
      </x:c>
      <x:c r="D426" s="32" t="n">
        <x:v>2.8</x:v>
      </x:c>
      <x:c r="E426" s="24" t="n">
        <x:v>480000</x:v>
      </x:c>
      <x:c r="F426" s="24" t="n">
        <x:v>0</x:v>
      </x:c>
    </x:row>
    <x:row r="427">
      <x:c r="A427" s="18" t="str">
        <x:v>A0054</x:v>
      </x:c>
      <x:c r="B427" s="18" t="str">
        <x:v>Active</x:v>
      </x:c>
      <x:c r="C427" s="18" t="n">
        <x:v>46</x:v>
      </x:c>
      <x:c r="D427" s="32" t="n">
        <x:v>14.7</x:v>
      </x:c>
      <x:c r="E427" s="24" t="n">
        <x:v>1382000</x:v>
      </x:c>
      <x:c r="F427" s="24" t="n">
        <x:v>0</x:v>
      </x:c>
    </x:row>
    <x:row r="428">
      <x:c r="A428" s="18" t="str">
        <x:v>P0010</x:v>
      </x:c>
      <x:c r="B428" s="18" t="str">
        <x:v>Pensioner</x:v>
      </x:c>
      <x:c r="C428" s="18" t="n">
        <x:v>80</x:v>
      </x:c>
      <x:c r="D428" s="32" t="n">
        <x:v>25.3</x:v>
      </x:c>
      <x:c r="E428" s="24" t="n">
        <x:v>0</x:v>
      </x:c>
      <x:c r="F428" s="24" t="n">
        <x:v>467000</x:v>
      </x:c>
    </x:row>
    <x:row r="429">
      <x:c r="A429" s="18" t="str">
        <x:v>A0049</x:v>
      </x:c>
      <x:c r="B429" s="18" t="str">
        <x:v>Active</x:v>
      </x:c>
      <x:c r="C429" s="18" t="n">
        <x:v>47</x:v>
      </x:c>
      <x:c r="D429" s="32" t="n">
        <x:v>16.9</x:v>
      </x:c>
      <x:c r="E429" s="24" t="n">
        <x:v>1185000</x:v>
      </x:c>
      <x:c r="F429" s="24" t="n">
        <x:v>0</x:v>
      </x:c>
    </x:row>
    <x:row r="430">
      <x:c r="A430" s="18" t="str">
        <x:v>A0324</x:v>
      </x:c>
      <x:c r="B430" s="18" t="str">
        <x:v>Active</x:v>
      </x:c>
      <x:c r="C430" s="18" t="n">
        <x:v>59</x:v>
      </x:c>
      <x:c r="D430" s="32" t="n">
        <x:v>1.9</x:v>
      </x:c>
      <x:c r="E430" s="24" t="n">
        <x:v>1544000</x:v>
      </x:c>
      <x:c r="F430" s="24" t="n">
        <x:v>0</x:v>
      </x:c>
    </x:row>
    <x:row r="431">
      <x:c r="A431" s="18" t="str">
        <x:v>A0572</x:v>
      </x:c>
      <x:c r="B431" s="18" t="str">
        <x:v>Active</x:v>
      </x:c>
      <x:c r="C431" s="18" t="n">
        <x:v>40</x:v>
      </x:c>
      <x:c r="D431" s="32" t="n">
        <x:v>11.1</x:v>
      </x:c>
      <x:c r="E431" s="24" t="n">
        <x:v>879000</x:v>
      </x:c>
      <x:c r="F431" s="24" t="n">
        <x:v>0</x:v>
      </x:c>
    </x:row>
    <x:row r="432">
      <x:c r="A432" s="18" t="str">
        <x:v>A0383</x:v>
      </x:c>
      <x:c r="B432" s="18" t="str">
        <x:v>Active</x:v>
      </x:c>
      <x:c r="C432" s="18" t="n">
        <x:v>38</x:v>
      </x:c>
      <x:c r="D432" s="32" t="n">
        <x:v>3.6</x:v>
      </x:c>
      <x:c r="E432" s="24" t="n">
        <x:v>696000</x:v>
      </x:c>
      <x:c r="F432" s="24" t="n">
        <x:v>0</x:v>
      </x:c>
    </x:row>
    <x:row r="433">
      <x:c r="A433" s="18" t="str">
        <x:v>A0161</x:v>
      </x:c>
      <x:c r="B433" s="18" t="str">
        <x:v>Active</x:v>
      </x:c>
      <x:c r="C433" s="18" t="n">
        <x:v>26</x:v>
      </x:c>
      <x:c r="D433" s="32" t="n">
        <x:v>3.5</x:v>
      </x:c>
      <x:c r="E433" s="24" t="n">
        <x:v>475000</x:v>
      </x:c>
      <x:c r="F433" s="24" t="n">
        <x:v>0</x:v>
      </x:c>
    </x:row>
    <x:row r="434">
      <x:c r="A434" s="18" t="str">
        <x:v>D0076</x:v>
      </x:c>
      <x:c r="B434" s="18" t="str">
        <x:v>Deferred</x:v>
      </x:c>
      <x:c r="C434" s="18" t="n">
        <x:v>52</x:v>
      </x:c>
      <x:c r="D434" s="32" t="n">
        <x:v>10.9</x:v>
      </x:c>
      <x:c r="E434" s="24" t="n">
        <x:v>721000</x:v>
      </x:c>
      <x:c r="F434" s="24" t="n">
        <x:v>0</x:v>
      </x:c>
    </x:row>
    <x:row r="435">
      <x:c r="A435" s="18" t="str">
        <x:v>P0237</x:v>
      </x:c>
      <x:c r="B435" s="18" t="str">
        <x:v>Pensioner</x:v>
      </x:c>
      <x:c r="C435" s="18" t="n">
        <x:v>67</x:v>
      </x:c>
      <x:c r="D435" s="32" t="n">
        <x:v>26.3</x:v>
      </x:c>
      <x:c r="E435" s="24" t="n">
        <x:v>0</x:v>
      </x:c>
      <x:c r="F435" s="24" t="n">
        <x:v>271000</x:v>
      </x:c>
    </x:row>
    <x:row r="436">
      <x:c r="A436" s="18" t="str">
        <x:v>P0188</x:v>
      </x:c>
      <x:c r="B436" s="18" t="str">
        <x:v>Pensioner</x:v>
      </x:c>
      <x:c r="C436" s="18" t="n">
        <x:v>83</x:v>
      </x:c>
      <x:c r="D436" s="32" t="n">
        <x:v>26.3</x:v>
      </x:c>
      <x:c r="E436" s="24" t="n">
        <x:v>0</x:v>
      </x:c>
      <x:c r="F436" s="24" t="n">
        <x:v>767000</x:v>
      </x:c>
    </x:row>
    <x:row r="437">
      <x:c r="A437" s="18" t="str">
        <x:v>A0562</x:v>
      </x:c>
      <x:c r="B437" s="18" t="str">
        <x:v>Active</x:v>
      </x:c>
      <x:c r="C437" s="18" t="n">
        <x:v>24</x:v>
      </x:c>
      <x:c r="D437" s="32" t="n">
        <x:v>1.5</x:v>
      </x:c>
      <x:c r="E437" s="24" t="n">
        <x:v>343000</x:v>
      </x:c>
      <x:c r="F437" s="24" t="n">
        <x:v>0</x:v>
      </x:c>
    </x:row>
    <x:row r="438">
      <x:c r="A438" s="18" t="str">
        <x:v>A0024</x:v>
      </x:c>
      <x:c r="B438" s="18" t="str">
        <x:v>Active</x:v>
      </x:c>
      <x:c r="C438" s="18" t="n">
        <x:v>46</x:v>
      </x:c>
      <x:c r="D438" s="32" t="n">
        <x:v>10.9</x:v>
      </x:c>
      <x:c r="E438" s="24" t="n">
        <x:v>1150000</x:v>
      </x:c>
      <x:c r="F438" s="24" t="n">
        <x:v>0</x:v>
      </x:c>
    </x:row>
    <x:row r="439">
      <x:c r="A439" s="18" t="str">
        <x:v>P0102</x:v>
      </x:c>
      <x:c r="B439" s="18" t="str">
        <x:v>Pensioner</x:v>
      </x:c>
      <x:c r="C439" s="18" t="n">
        <x:v>78</x:v>
      </x:c>
      <x:c r="D439" s="32" t="n">
        <x:v>14.5</x:v>
      </x:c>
      <x:c r="E439" s="24" t="n">
        <x:v>0</x:v>
      </x:c>
      <x:c r="F439" s="24" t="n">
        <x:v>270000</x:v>
      </x:c>
    </x:row>
    <x:row r="440">
      <x:c r="A440" s="18" t="str">
        <x:v>D0091</x:v>
      </x:c>
      <x:c r="B440" s="18" t="str">
        <x:v>Deferred</x:v>
      </x:c>
      <x:c r="C440" s="18" t="n">
        <x:v>37</x:v>
      </x:c>
      <x:c r="D440" s="32" t="n">
        <x:v>7.1</x:v>
      </x:c>
      <x:c r="E440" s="24" t="n">
        <x:v>544000</x:v>
      </x:c>
      <x:c r="F440" s="24" t="n">
        <x:v>0</x:v>
      </x:c>
    </x:row>
    <x:row r="441">
      <x:c r="A441" s="18" t="str">
        <x:v>A0447</x:v>
      </x:c>
      <x:c r="B441" s="18" t="str">
        <x:v>Active</x:v>
      </x:c>
      <x:c r="C441" s="18" t="n">
        <x:v>26</x:v>
      </x:c>
      <x:c r="D441" s="32" t="n">
        <x:v>1</x:v>
      </x:c>
      <x:c r="E441" s="24" t="n">
        <x:v>472000</x:v>
      </x:c>
      <x:c r="F441" s="24" t="n">
        <x:v>0</x:v>
      </x:c>
    </x:row>
    <x:row r="442">
      <x:c r="A442" s="18" t="str">
        <x:v>A0136</x:v>
      </x:c>
      <x:c r="B442" s="18" t="str">
        <x:v>Active</x:v>
      </x:c>
      <x:c r="C442" s="18" t="n">
        <x:v>57</x:v>
      </x:c>
      <x:c r="D442" s="32" t="n">
        <x:v>24.8</x:v>
      </x:c>
      <x:c r="E442" s="24" t="n">
        <x:v>2133000</x:v>
      </x:c>
      <x:c r="F442" s="24" t="n">
        <x:v>0</x:v>
      </x:c>
    </x:row>
    <x:row r="443">
      <x:c r="A443" s="18" t="str">
        <x:v>P0128</x:v>
      </x:c>
      <x:c r="B443" s="18" t="str">
        <x:v>Pensioner</x:v>
      </x:c>
      <x:c r="C443" s="18" t="n">
        <x:v>61</x:v>
      </x:c>
      <x:c r="D443" s="32" t="n">
        <x:v>22.5</x:v>
      </x:c>
      <x:c r="E443" s="24" t="n">
        <x:v>0</x:v>
      </x:c>
      <x:c r="F443" s="24" t="n">
        <x:v>242000</x:v>
      </x:c>
    </x:row>
    <x:row r="444">
      <x:c r="A444" s="18" t="str">
        <x:v>A0023</x:v>
      </x:c>
      <x:c r="B444" s="18" t="str">
        <x:v>Active</x:v>
      </x:c>
      <x:c r="C444" s="18" t="n">
        <x:v>57</x:v>
      </x:c>
      <x:c r="D444" s="32" t="n">
        <x:v>27.4</x:v>
      </x:c>
      <x:c r="E444" s="24" t="n">
        <x:v>1769000</x:v>
      </x:c>
      <x:c r="F444" s="24" t="n">
        <x:v>0</x:v>
      </x:c>
    </x:row>
    <x:row r="445">
      <x:c r="A445" s="18" t="str">
        <x:v>A0145</x:v>
      </x:c>
      <x:c r="B445" s="18" t="str">
        <x:v>Active</x:v>
      </x:c>
      <x:c r="C445" s="18" t="n">
        <x:v>36</x:v>
      </x:c>
      <x:c r="D445" s="32" t="n">
        <x:v>12.5</x:v>
      </x:c>
      <x:c r="E445" s="24" t="n">
        <x:v>928000</x:v>
      </x:c>
      <x:c r="F445" s="24" t="n">
        <x:v>0</x:v>
      </x:c>
    </x:row>
    <x:row r="446">
      <x:c r="A446" s="18" t="str">
        <x:v>P0183</x:v>
      </x:c>
      <x:c r="B446" s="18" t="str">
        <x:v>Pensioner</x:v>
      </x:c>
      <x:c r="C446" s="18" t="n">
        <x:v>74</x:v>
      </x:c>
      <x:c r="D446" s="32" t="n">
        <x:v>18.8</x:v>
      </x:c>
      <x:c r="E446" s="24" t="n">
        <x:v>0</x:v>
      </x:c>
      <x:c r="F446" s="24" t="n">
        <x:v>409000</x:v>
      </x:c>
    </x:row>
    <x:row r="447">
      <x:c r="A447" s="18" t="str">
        <x:v>D0063</x:v>
      </x:c>
      <x:c r="B447" s="18" t="str">
        <x:v>Deferred</x:v>
      </x:c>
      <x:c r="C447" s="18" t="n">
        <x:v>41</x:v>
      </x:c>
      <x:c r="D447" s="32" t="n">
        <x:v>6.1</x:v>
      </x:c>
      <x:c r="E447" s="24" t="n">
        <x:v>500000</x:v>
      </x:c>
      <x:c r="F447" s="24" t="n">
        <x:v>0</x:v>
      </x:c>
    </x:row>
    <x:row r="448">
      <x:c r="A448" s="18" t="str">
        <x:v>D0097</x:v>
      </x:c>
      <x:c r="B448" s="18" t="str">
        <x:v>Deferred</x:v>
      </x:c>
      <x:c r="C448" s="18" t="n">
        <x:v>53</x:v>
      </x:c>
      <x:c r="D448" s="32" t="n">
        <x:v>5.3</x:v>
      </x:c>
      <x:c r="E448" s="24" t="n">
        <x:v>1114000</x:v>
      </x:c>
      <x:c r="F448" s="24" t="n">
        <x:v>0</x:v>
      </x:c>
    </x:row>
    <x:row r="449">
      <x:c r="A449" s="18" t="str">
        <x:v>P0221</x:v>
      </x:c>
      <x:c r="B449" s="18" t="str">
        <x:v>Pensioner</x:v>
      </x:c>
      <x:c r="C449" s="18" t="n">
        <x:v>71</x:v>
      </x:c>
      <x:c r="D449" s="32" t="n">
        <x:v>13.6</x:v>
      </x:c>
      <x:c r="E449" s="24" t="n">
        <x:v>0</x:v>
      </x:c>
      <x:c r="F449" s="24" t="n">
        <x:v>467000</x:v>
      </x:c>
    </x:row>
    <x:row r="450">
      <x:c r="A450" s="18" t="str">
        <x:v>A0067</x:v>
      </x:c>
      <x:c r="B450" s="18" t="str">
        <x:v>Active</x:v>
      </x:c>
      <x:c r="C450" s="18" t="n">
        <x:v>47</x:v>
      </x:c>
      <x:c r="D450" s="32" t="n">
        <x:v>1.6</x:v>
      </x:c>
      <x:c r="E450" s="24" t="n">
        <x:v>1036000</x:v>
      </x:c>
      <x:c r="F450" s="24" t="n">
        <x:v>0</x:v>
      </x:c>
    </x:row>
    <x:row r="451">
      <x:c r="A451" s="18" t="str">
        <x:v>P0050</x:v>
      </x:c>
      <x:c r="B451" s="18" t="str">
        <x:v>Pensioner</x:v>
      </x:c>
      <x:c r="C451" s="18" t="n">
        <x:v>70</x:v>
      </x:c>
      <x:c r="D451" s="32" t="n">
        <x:v>28.6</x:v>
      </x:c>
      <x:c r="E451" s="24" t="n">
        <x:v>0</x:v>
      </x:c>
      <x:c r="F451" s="24" t="n">
        <x:v>351000</x:v>
      </x:c>
    </x:row>
    <x:row r="452">
      <x:c r="A452" s="18" t="str">
        <x:v>P0241</x:v>
      </x:c>
      <x:c r="B452" s="18" t="str">
        <x:v>Pensioner</x:v>
      </x:c>
      <x:c r="C452" s="18" t="n">
        <x:v>64</x:v>
      </x:c>
      <x:c r="D452" s="32" t="n">
        <x:v>21.1</x:v>
      </x:c>
      <x:c r="E452" s="24" t="n">
        <x:v>0</x:v>
      </x:c>
      <x:c r="F452" s="24" t="n">
        <x:v>249000</x:v>
      </x:c>
    </x:row>
    <x:row r="453">
      <x:c r="A453" s="18" t="str">
        <x:v>A0465</x:v>
      </x:c>
      <x:c r="B453" s="18" t="str">
        <x:v>Active</x:v>
      </x:c>
      <x:c r="C453" s="18" t="n">
        <x:v>51</x:v>
      </x:c>
      <x:c r="D453" s="32" t="n">
        <x:v>1.8</x:v>
      </x:c>
      <x:c r="E453" s="24" t="n">
        <x:v>1557000</x:v>
      </x:c>
      <x:c r="F453" s="24" t="n">
        <x:v>0</x:v>
      </x:c>
    </x:row>
    <x:row r="454">
      <x:c r="A454" s="18" t="str">
        <x:v>A0358</x:v>
      </x:c>
      <x:c r="B454" s="18" t="str">
        <x:v>Active</x:v>
      </x:c>
      <x:c r="C454" s="18" t="n">
        <x:v>26</x:v>
      </x:c>
      <x:c r="D454" s="32" t="n">
        <x:v>2.2</x:v>
      </x:c>
      <x:c r="E454" s="24" t="n">
        <x:v>448000</x:v>
      </x:c>
      <x:c r="F454" s="24" t="n">
        <x:v>0</x:v>
      </x:c>
    </x:row>
    <x:row r="455">
      <x:c r="A455" s="18" t="str">
        <x:v>A0081</x:v>
      </x:c>
      <x:c r="B455" s="18" t="str">
        <x:v>Active</x:v>
      </x:c>
      <x:c r="C455" s="18" t="n">
        <x:v>25</x:v>
      </x:c>
      <x:c r="D455" s="32" t="n">
        <x:v>1</x:v>
      </x:c>
      <x:c r="E455" s="24" t="n">
        <x:v>526000</x:v>
      </x:c>
      <x:c r="F455" s="24" t="n">
        <x:v>0</x:v>
      </x:c>
    </x:row>
    <x:row r="456">
      <x:c r="A456" s="18" t="str">
        <x:v>A0303</x:v>
      </x:c>
      <x:c r="B456" s="18" t="str">
        <x:v>Active</x:v>
      </x:c>
      <x:c r="C456" s="18" t="n">
        <x:v>51</x:v>
      </x:c>
      <x:c r="D456" s="32" t="n">
        <x:v>9.9</x:v>
      </x:c>
      <x:c r="E456" s="24" t="n">
        <x:v>1538000</x:v>
      </x:c>
      <x:c r="F456" s="24" t="n">
        <x:v>0</x:v>
      </x:c>
    </x:row>
    <x:row r="457">
      <x:c r="A457" s="18" t="str">
        <x:v>P0214</x:v>
      </x:c>
      <x:c r="B457" s="18" t="str">
        <x:v>Pensioner</x:v>
      </x:c>
      <x:c r="C457" s="18" t="n">
        <x:v>75</x:v>
      </x:c>
      <x:c r="D457" s="32" t="n">
        <x:v>24.3</x:v>
      </x:c>
      <x:c r="E457" s="24" t="n">
        <x:v>0</x:v>
      </x:c>
      <x:c r="F457" s="24" t="n">
        <x:v>519000</x:v>
      </x:c>
    </x:row>
    <x:row r="458">
      <x:c r="A458" s="18" t="str">
        <x:v>D0021</x:v>
      </x:c>
      <x:c r="B458" s="18" t="str">
        <x:v>Deferred</x:v>
      </x:c>
      <x:c r="C458" s="18" t="n">
        <x:v>55</x:v>
      </x:c>
      <x:c r="D458" s="32" t="n">
        <x:v>10.6</x:v>
      </x:c>
      <x:c r="E458" s="24" t="n">
        <x:v>1175000</x:v>
      </x:c>
      <x:c r="F458" s="24" t="n">
        <x:v>0</x:v>
      </x:c>
    </x:row>
    <x:row r="459">
      <x:c r="A459" s="18" t="str">
        <x:v>A0541</x:v>
      </x:c>
      <x:c r="B459" s="18" t="str">
        <x:v>Active</x:v>
      </x:c>
      <x:c r="C459" s="18" t="n">
        <x:v>42</x:v>
      </x:c>
      <x:c r="D459" s="32" t="n">
        <x:v>10.6</x:v>
      </x:c>
      <x:c r="E459" s="24" t="n">
        <x:v>1038000</x:v>
      </x:c>
      <x:c r="F459" s="24" t="n">
        <x:v>0</x:v>
      </x:c>
    </x:row>
    <x:row r="460">
      <x:c r="A460" s="18" t="str">
        <x:v>A0308</x:v>
      </x:c>
      <x:c r="B460" s="18" t="str">
        <x:v>Active</x:v>
      </x:c>
      <x:c r="C460" s="18" t="n">
        <x:v>56</x:v>
      </x:c>
      <x:c r="D460" s="32" t="n">
        <x:v>4</x:v>
      </x:c>
      <x:c r="E460" s="24" t="n">
        <x:v>1576000</x:v>
      </x:c>
      <x:c r="F460" s="24" t="n">
        <x:v>0</x:v>
      </x:c>
    </x:row>
    <x:row r="461">
      <x:c r="A461" s="18" t="str">
        <x:v>P0057</x:v>
      </x:c>
      <x:c r="B461" s="18" t="str">
        <x:v>Pensioner</x:v>
      </x:c>
      <x:c r="C461" s="18" t="n">
        <x:v>72</x:v>
      </x:c>
      <x:c r="D461" s="32" t="n">
        <x:v>13.5</x:v>
      </x:c>
      <x:c r="E461" s="24" t="n">
        <x:v>0</x:v>
      </x:c>
      <x:c r="F461" s="24" t="n">
        <x:v>476000</x:v>
      </x:c>
    </x:row>
    <x:row r="462">
      <x:c r="A462" s="18" t="str">
        <x:v>P0120</x:v>
      </x:c>
      <x:c r="B462" s="18" t="str">
        <x:v>Pensioner</x:v>
      </x:c>
      <x:c r="C462" s="18" t="n">
        <x:v>68</x:v>
      </x:c>
      <x:c r="D462" s="32" t="n">
        <x:v>20.1</x:v>
      </x:c>
      <x:c r="E462" s="24" t="n">
        <x:v>0</x:v>
      </x:c>
      <x:c r="F462" s="24" t="n">
        <x:v>463000</x:v>
      </x:c>
    </x:row>
    <x:row r="463">
      <x:c r="A463" s="18" t="str">
        <x:v>D0019</x:v>
      </x:c>
      <x:c r="B463" s="18" t="str">
        <x:v>Deferred</x:v>
      </x:c>
      <x:c r="C463" s="18" t="n">
        <x:v>46</x:v>
      </x:c>
      <x:c r="D463" s="32" t="n">
        <x:v>7</x:v>
      </x:c>
      <x:c r="E463" s="24" t="n">
        <x:v>593000</x:v>
      </x:c>
      <x:c r="F463" s="24" t="n">
        <x:v>0</x:v>
      </x:c>
    </x:row>
    <x:row r="464">
      <x:c r="A464" s="18" t="str">
        <x:v>A0137</x:v>
      </x:c>
      <x:c r="B464" s="18" t="str">
        <x:v>Active</x:v>
      </x:c>
      <x:c r="C464" s="18" t="n">
        <x:v>28</x:v>
      </x:c>
      <x:c r="D464" s="32" t="n">
        <x:v>1.9</x:v>
      </x:c>
      <x:c r="E464" s="24" t="n">
        <x:v>412000</x:v>
      </x:c>
      <x:c r="F464" s="24" t="n">
        <x:v>0</x:v>
      </x:c>
    </x:row>
    <x:row r="465">
      <x:c r="A465" s="18" t="str">
        <x:v>A0246</x:v>
      </x:c>
      <x:c r="B465" s="18" t="str">
        <x:v>Active</x:v>
      </x:c>
      <x:c r="C465" s="18" t="n">
        <x:v>48</x:v>
      </x:c>
      <x:c r="D465" s="32" t="n">
        <x:v>3</x:v>
      </x:c>
      <x:c r="E465" s="24" t="n">
        <x:v>1180000</x:v>
      </x:c>
      <x:c r="F465" s="24" t="n">
        <x:v>0</x:v>
      </x:c>
    </x:row>
    <x:row r="466">
      <x:c r="A466" s="18" t="str">
        <x:v>P0027</x:v>
      </x:c>
      <x:c r="B466" s="18" t="str">
        <x:v>Pensioner</x:v>
      </x:c>
      <x:c r="C466" s="18" t="n">
        <x:v>85</x:v>
      </x:c>
      <x:c r="D466" s="32" t="n">
        <x:v>12.4</x:v>
      </x:c>
      <x:c r="E466" s="24" t="n">
        <x:v>0</x:v>
      </x:c>
      <x:c r="F466" s="24" t="n">
        <x:v>819000</x:v>
      </x:c>
    </x:row>
    <x:row r="467">
      <x:c r="A467" s="18" t="str">
        <x:v>A0482</x:v>
      </x:c>
      <x:c r="B467" s="18" t="str">
        <x:v>Active</x:v>
      </x:c>
      <x:c r="C467" s="18" t="n">
        <x:v>53</x:v>
      </x:c>
      <x:c r="D467" s="32" t="n">
        <x:v>2.2</x:v>
      </x:c>
      <x:c r="E467" s="24" t="n">
        <x:v>1445000</x:v>
      </x:c>
      <x:c r="F467" s="24" t="n">
        <x:v>0</x:v>
      </x:c>
    </x:row>
    <x:row r="468">
      <x:c r="A468" s="18" t="str">
        <x:v>A0294</x:v>
      </x:c>
      <x:c r="B468" s="18" t="str">
        <x:v>Active</x:v>
      </x:c>
      <x:c r="C468" s="18" t="n">
        <x:v>46</x:v>
      </x:c>
      <x:c r="D468" s="32" t="n">
        <x:v>15.4</x:v>
      </x:c>
      <x:c r="E468" s="24" t="n">
        <x:v>967000</x:v>
      </x:c>
      <x:c r="F468" s="24" t="n">
        <x:v>0</x:v>
      </x:c>
    </x:row>
    <x:row r="469">
      <x:c r="A469" s="18" t="str">
        <x:v>A0580</x:v>
      </x:c>
      <x:c r="B469" s="18" t="str">
        <x:v>Active</x:v>
      </x:c>
      <x:c r="C469" s="18" t="n">
        <x:v>25</x:v>
      </x:c>
      <x:c r="D469" s="32" t="n">
        <x:v>1.1</x:v>
      </x:c>
      <x:c r="E469" s="24" t="n">
        <x:v>584000</x:v>
      </x:c>
      <x:c r="F469" s="24" t="n">
        <x:v>0</x:v>
      </x:c>
    </x:row>
    <x:row r="470">
      <x:c r="A470" s="18" t="str">
        <x:v>A0244</x:v>
      </x:c>
      <x:c r="B470" s="18" t="str">
        <x:v>Active</x:v>
      </x:c>
      <x:c r="C470" s="18" t="n">
        <x:v>50</x:v>
      </x:c>
      <x:c r="D470" s="32" t="n">
        <x:v>10</x:v>
      </x:c>
      <x:c r="E470" s="24" t="n">
        <x:v>1177000</x:v>
      </x:c>
      <x:c r="F470" s="24" t="n">
        <x:v>0</x:v>
      </x:c>
    </x:row>
    <x:row r="471">
      <x:c r="A471" s="18" t="str">
        <x:v>P0247</x:v>
      </x:c>
      <x:c r="B471" s="18" t="str">
        <x:v>Pensioner</x:v>
      </x:c>
      <x:c r="C471" s="18" t="n">
        <x:v>66</x:v>
      </x:c>
      <x:c r="D471" s="32" t="n">
        <x:v>35.3</x:v>
      </x:c>
      <x:c r="E471" s="24" t="n">
        <x:v>0</x:v>
      </x:c>
      <x:c r="F471" s="24" t="n">
        <x:v>214000</x:v>
      </x:c>
    </x:row>
    <x:row r="472">
      <x:c r="A472" s="18" t="str">
        <x:v>D0029</x:v>
      </x:c>
      <x:c r="B472" s="18" t="str">
        <x:v>Deferred</x:v>
      </x:c>
      <x:c r="C472" s="18" t="n">
        <x:v>50</x:v>
      </x:c>
      <x:c r="D472" s="32" t="n">
        <x:v>11.1</x:v>
      </x:c>
      <x:c r="E472" s="24" t="n">
        <x:v>995000</x:v>
      </x:c>
      <x:c r="F472" s="24" t="n">
        <x:v>0</x:v>
      </x:c>
    </x:row>
    <x:row r="473">
      <x:c r="A473" s="18" t="str">
        <x:v>D0100</x:v>
      </x:c>
      <x:c r="B473" s="18" t="str">
        <x:v>Deferred</x:v>
      </x:c>
      <x:c r="C473" s="18" t="n">
        <x:v>47</x:v>
      </x:c>
      <x:c r="D473" s="32" t="n">
        <x:v>2.5</x:v>
      </x:c>
      <x:c r="E473" s="24" t="n">
        <x:v>942000</x:v>
      </x:c>
      <x:c r="F473" s="24" t="n">
        <x:v>0</x:v>
      </x:c>
    </x:row>
    <x:row r="474">
      <x:c r="A474" s="18" t="str">
        <x:v>D0080</x:v>
      </x:c>
      <x:c r="B474" s="18" t="str">
        <x:v>Deferred</x:v>
      </x:c>
      <x:c r="C474" s="18" t="n">
        <x:v>40</x:v>
      </x:c>
      <x:c r="D474" s="32" t="n">
        <x:v>15.6</x:v>
      </x:c>
      <x:c r="E474" s="24" t="n">
        <x:v>668000</x:v>
      </x:c>
      <x:c r="F474" s="24" t="n">
        <x:v>0</x:v>
      </x:c>
    </x:row>
    <x:row r="475">
      <x:c r="A475" s="18" t="str">
        <x:v>A0466</x:v>
      </x:c>
      <x:c r="B475" s="18" t="str">
        <x:v>Active</x:v>
      </x:c>
      <x:c r="C475" s="18" t="n">
        <x:v>42</x:v>
      </x:c>
      <x:c r="D475" s="32" t="n">
        <x:v>14.9</x:v>
      </x:c>
      <x:c r="E475" s="24" t="n">
        <x:v>773000</x:v>
      </x:c>
      <x:c r="F475" s="24" t="n">
        <x:v>0</x:v>
      </x:c>
    </x:row>
    <x:row r="476">
      <x:c r="A476" s="18" t="str">
        <x:v>P0085</x:v>
      </x:c>
      <x:c r="B476" s="18" t="str">
        <x:v>Pensioner</x:v>
      </x:c>
      <x:c r="C476" s="18" t="n">
        <x:v>82</x:v>
      </x:c>
      <x:c r="D476" s="32" t="n">
        <x:v>13.7</x:v>
      </x:c>
      <x:c r="E476" s="24" t="n">
        <x:v>0</x:v>
      </x:c>
      <x:c r="F476" s="24" t="n">
        <x:v>419000</x:v>
      </x:c>
    </x:row>
    <x:row r="477">
      <x:c r="A477" s="18" t="str">
        <x:v>A0502</x:v>
      </x:c>
      <x:c r="B477" s="18" t="str">
        <x:v>Active</x:v>
      </x:c>
      <x:c r="C477" s="18" t="n">
        <x:v>37</x:v>
      </x:c>
      <x:c r="D477" s="32" t="n">
        <x:v>5.2</x:v>
      </x:c>
      <x:c r="E477" s="24" t="n">
        <x:v>979000</x:v>
      </x:c>
      <x:c r="F477" s="24" t="n">
        <x:v>0</x:v>
      </x:c>
    </x:row>
    <x:row r="478">
      <x:c r="A478" s="18" t="str">
        <x:v>P0047</x:v>
      </x:c>
      <x:c r="B478" s="18" t="str">
        <x:v>Pensioner</x:v>
      </x:c>
      <x:c r="C478" s="18" t="n">
        <x:v>70</x:v>
      </x:c>
      <x:c r="D478" s="32" t="n">
        <x:v>30.7</x:v>
      </x:c>
      <x:c r="E478" s="24" t="n">
        <x:v>0</x:v>
      </x:c>
      <x:c r="F478" s="24" t="n">
        <x:v>277000</x:v>
      </x:c>
    </x:row>
    <x:row r="479">
      <x:c r="A479" s="18" t="str">
        <x:v>P0232</x:v>
      </x:c>
      <x:c r="B479" s="18" t="str">
        <x:v>Pensioner</x:v>
      </x:c>
      <x:c r="C479" s="18" t="n">
        <x:v>83</x:v>
      </x:c>
      <x:c r="D479" s="32" t="n">
        <x:v>21.1</x:v>
      </x:c>
      <x:c r="E479" s="24" t="n">
        <x:v>0</x:v>
      </x:c>
      <x:c r="F479" s="24" t="n">
        <x:v>790000</x:v>
      </x:c>
    </x:row>
    <x:row r="480">
      <x:c r="A480" s="18" t="str">
        <x:v>A0455</x:v>
      </x:c>
      <x:c r="B480" s="18" t="str">
        <x:v>Active</x:v>
      </x:c>
      <x:c r="C480" s="18" t="n">
        <x:v>41</x:v>
      </x:c>
      <x:c r="D480" s="32" t="n">
        <x:v>14</x:v>
      </x:c>
      <x:c r="E480" s="24" t="n">
        <x:v>736000</x:v>
      </x:c>
      <x:c r="F480" s="24" t="n">
        <x:v>0</x:v>
      </x:c>
    </x:row>
    <x:row r="481">
      <x:c r="A481" s="18" t="str">
        <x:v>A0563</x:v>
      </x:c>
      <x:c r="B481" s="18" t="str">
        <x:v>Active</x:v>
      </x:c>
      <x:c r="C481" s="18" t="n">
        <x:v>46</x:v>
      </x:c>
      <x:c r="D481" s="32" t="n">
        <x:v>23.5</x:v>
      </x:c>
      <x:c r="E481" s="24" t="n">
        <x:v>1448000</x:v>
      </x:c>
      <x:c r="F481" s="24" t="n">
        <x:v>0</x:v>
      </x:c>
    </x:row>
    <x:row r="482">
      <x:c r="A482" s="18" t="str">
        <x:v>A0204</x:v>
      </x:c>
      <x:c r="B482" s="18" t="str">
        <x:v>Active</x:v>
      </x:c>
      <x:c r="C482" s="18" t="n">
        <x:v>42</x:v>
      </x:c>
      <x:c r="D482" s="32" t="n">
        <x:v>7.6</x:v>
      </x:c>
      <x:c r="E482" s="24" t="n">
        <x:v>1113000</x:v>
      </x:c>
      <x:c r="F482" s="24" t="n">
        <x:v>0</x:v>
      </x:c>
    </x:row>
    <x:row r="483">
      <x:c r="A483" s="18" t="str">
        <x:v>D0054</x:v>
      </x:c>
      <x:c r="B483" s="18" t="str">
        <x:v>Deferred</x:v>
      </x:c>
      <x:c r="C483" s="18" t="n">
        <x:v>49</x:v>
      </x:c>
      <x:c r="D483" s="32" t="n">
        <x:v>9.1</x:v>
      </x:c>
      <x:c r="E483" s="24" t="n">
        <x:v>882000</x:v>
      </x:c>
      <x:c r="F483" s="24" t="n">
        <x:v>0</x:v>
      </x:c>
    </x:row>
    <x:row r="484">
      <x:c r="A484" s="18" t="str">
        <x:v>A0061</x:v>
      </x:c>
      <x:c r="B484" s="18" t="str">
        <x:v>Active</x:v>
      </x:c>
      <x:c r="C484" s="18" t="n">
        <x:v>52</x:v>
      </x:c>
      <x:c r="D484" s="32" t="n">
        <x:v>5.5</x:v>
      </x:c>
      <x:c r="E484" s="24" t="n">
        <x:v>1485000</x:v>
      </x:c>
      <x:c r="F484" s="24" t="n">
        <x:v>0</x:v>
      </x:c>
    </x:row>
    <x:row r="485">
      <x:c r="A485" s="18" t="str">
        <x:v>D0123</x:v>
      </x:c>
      <x:c r="B485" s="18" t="str">
        <x:v>Deferred</x:v>
      </x:c>
      <x:c r="C485" s="18" t="n">
        <x:v>57</x:v>
      </x:c>
      <x:c r="D485" s="32" t="n">
        <x:v>8.9</x:v>
      </x:c>
      <x:c r="E485" s="24" t="n">
        <x:v>1167000</x:v>
      </x:c>
      <x:c r="F485" s="24" t="n">
        <x:v>0</x:v>
      </x:c>
    </x:row>
    <x:row r="486">
      <x:c r="A486" s="18" t="str">
        <x:v>P0248</x:v>
      </x:c>
      <x:c r="B486" s="18" t="str">
        <x:v>Pensioner</x:v>
      </x:c>
      <x:c r="C486" s="18" t="n">
        <x:v>60</x:v>
      </x:c>
      <x:c r="D486" s="32" t="n">
        <x:v>14.8</x:v>
      </x:c>
      <x:c r="E486" s="24" t="n">
        <x:v>0</x:v>
      </x:c>
      <x:c r="F486" s="24" t="n">
        <x:v>206000</x:v>
      </x:c>
    </x:row>
    <x:row r="487">
      <x:c r="A487" s="18" t="str">
        <x:v>A0462</x:v>
      </x:c>
      <x:c r="B487" s="18" t="str">
        <x:v>Active</x:v>
      </x:c>
      <x:c r="C487" s="18" t="n">
        <x:v>48</x:v>
      </x:c>
      <x:c r="D487" s="32" t="n">
        <x:v>9.9</x:v>
      </x:c>
      <x:c r="E487" s="24" t="n">
        <x:v>1541000</x:v>
      </x:c>
      <x:c r="F487" s="24" t="n">
        <x:v>0</x:v>
      </x:c>
    </x:row>
    <x:row r="488">
      <x:c r="A488" s="18" t="str">
        <x:v>P0234</x:v>
      </x:c>
      <x:c r="B488" s="18" t="str">
        <x:v>Pensioner</x:v>
      </x:c>
      <x:c r="C488" s="18" t="n">
        <x:v>77</x:v>
      </x:c>
      <x:c r="D488" s="32" t="n">
        <x:v>31.3</x:v>
      </x:c>
      <x:c r="E488" s="24" t="n">
        <x:v>0</x:v>
      </x:c>
      <x:c r="F488" s="24" t="n">
        <x:v>404000</x:v>
      </x:c>
    </x:row>
    <x:row r="489">
      <x:c r="A489" s="18" t="str">
        <x:v>D0043</x:v>
      </x:c>
      <x:c r="B489" s="18" t="str">
        <x:v>Deferred</x:v>
      </x:c>
      <x:c r="C489" s="18" t="n">
        <x:v>55</x:v>
      </x:c>
      <x:c r="D489" s="32" t="n">
        <x:v>19.5</x:v>
      </x:c>
      <x:c r="E489" s="24" t="n">
        <x:v>1387000</x:v>
      </x:c>
      <x:c r="F489" s="24" t="n">
        <x:v>0</x:v>
      </x:c>
    </x:row>
    <x:row r="490">
      <x:c r="A490" s="18" t="str">
        <x:v>P0092</x:v>
      </x:c>
      <x:c r="B490" s="18" t="str">
        <x:v>Pensioner</x:v>
      </x:c>
      <x:c r="C490" s="18" t="n">
        <x:v>88</x:v>
      </x:c>
      <x:c r="D490" s="32" t="n">
        <x:v>26.2</x:v>
      </x:c>
      <x:c r="E490" s="24" t="n">
        <x:v>0</x:v>
      </x:c>
      <x:c r="F490" s="24" t="n">
        <x:v>375000</x:v>
      </x:c>
    </x:row>
    <x:row r="491">
      <x:c r="A491" s="18" t="str">
        <x:v>D0087</x:v>
      </x:c>
      <x:c r="B491" s="18" t="str">
        <x:v>Deferred</x:v>
      </x:c>
      <x:c r="C491" s="18" t="n">
        <x:v>55</x:v>
      </x:c>
      <x:c r="D491" s="32" t="n">
        <x:v>24.7</x:v>
      </x:c>
      <x:c r="E491" s="24" t="n">
        <x:v>989000</x:v>
      </x:c>
      <x:c r="F491" s="24" t="n">
        <x:v>0</x:v>
      </x:c>
    </x:row>
    <x:row r="492">
      <x:c r="A492" s="18" t="str">
        <x:v>A0247</x:v>
      </x:c>
      <x:c r="B492" s="18" t="str">
        <x:v>Active</x:v>
      </x:c>
      <x:c r="C492" s="18" t="n">
        <x:v>39</x:v>
      </x:c>
      <x:c r="D492" s="32" t="n">
        <x:v>9</x:v>
      </x:c>
      <x:c r="E492" s="24" t="n">
        <x:v>784000</x:v>
      </x:c>
      <x:c r="F492" s="24" t="n">
        <x:v>0</x:v>
      </x:c>
    </x:row>
    <x:row r="493">
      <x:c r="A493" s="18" t="str">
        <x:v>A0275</x:v>
      </x:c>
      <x:c r="B493" s="18" t="str">
        <x:v>Active</x:v>
      </x:c>
      <x:c r="C493" s="18" t="n">
        <x:v>48</x:v>
      </x:c>
      <x:c r="D493" s="32" t="n">
        <x:v>13.1</x:v>
      </x:c>
      <x:c r="E493" s="24" t="n">
        <x:v>1237000</x:v>
      </x:c>
      <x:c r="F493" s="24" t="n">
        <x:v>0</x:v>
      </x:c>
    </x:row>
    <x:row r="494">
      <x:c r="A494" s="18" t="str">
        <x:v>A0509</x:v>
      </x:c>
      <x:c r="B494" s="18" t="str">
        <x:v>Active</x:v>
      </x:c>
      <x:c r="C494" s="18" t="n">
        <x:v>34</x:v>
      </x:c>
      <x:c r="D494" s="32" t="n">
        <x:v>7.7</x:v>
      </x:c>
      <x:c r="E494" s="24" t="n">
        <x:v>551000</x:v>
      </x:c>
      <x:c r="F494" s="24" t="n">
        <x:v>0</x:v>
      </x:c>
    </x:row>
    <x:row r="495">
      <x:c r="A495" s="18" t="str">
        <x:v>D0034</x:v>
      </x:c>
      <x:c r="B495" s="18" t="str">
        <x:v>Deferred</x:v>
      </x:c>
      <x:c r="C495" s="18" t="n">
        <x:v>43</x:v>
      </x:c>
      <x:c r="D495" s="32" t="n">
        <x:v>11.8</x:v>
      </x:c>
      <x:c r="E495" s="24" t="n">
        <x:v>728000</x:v>
      </x:c>
      <x:c r="F495" s="24" t="n">
        <x:v>0</x:v>
      </x:c>
    </x:row>
    <x:row r="496">
      <x:c r="A496" s="18" t="str">
        <x:v>A0188</x:v>
      </x:c>
      <x:c r="B496" s="18" t="str">
        <x:v>Active</x:v>
      </x:c>
      <x:c r="C496" s="18" t="n">
        <x:v>48</x:v>
      </x:c>
      <x:c r="D496" s="32" t="n">
        <x:v>1.5</x:v>
      </x:c>
      <x:c r="E496" s="24" t="n">
        <x:v>944000</x:v>
      </x:c>
      <x:c r="F496" s="24" t="n">
        <x:v>0</x:v>
      </x:c>
    </x:row>
    <x:row r="497">
      <x:c r="A497" s="18" t="str">
        <x:v>D0052</x:v>
      </x:c>
      <x:c r="B497" s="18" t="str">
        <x:v>Deferred</x:v>
      </x:c>
      <x:c r="C497" s="18" t="n">
        <x:v>37</x:v>
      </x:c>
      <x:c r="D497" s="32" t="n">
        <x:v>14.5</x:v>
      </x:c>
      <x:c r="E497" s="24" t="n">
        <x:v>567000</x:v>
      </x:c>
      <x:c r="F497" s="24" t="n">
        <x:v>0</x:v>
      </x:c>
    </x:row>
    <x:row r="498">
      <x:c r="A498" s="18" t="str">
        <x:v>A0604</x:v>
      </x:c>
      <x:c r="B498" s="18" t="str">
        <x:v>Active</x:v>
      </x:c>
      <x:c r="C498" s="18" t="n">
        <x:v>38</x:v>
      </x:c>
      <x:c r="D498" s="32" t="n">
        <x:v>4.3</x:v>
      </x:c>
      <x:c r="E498" s="24" t="n">
        <x:v>726000</x:v>
      </x:c>
      <x:c r="F498" s="24" t="n">
        <x:v>0</x:v>
      </x:c>
    </x:row>
    <x:row r="499">
      <x:c r="A499" s="18" t="str">
        <x:v>A0357</x:v>
      </x:c>
      <x:c r="B499" s="18" t="str">
        <x:v>Active</x:v>
      </x:c>
      <x:c r="C499" s="18" t="n">
        <x:v>53</x:v>
      </x:c>
      <x:c r="D499" s="32" t="n">
        <x:v>4.2</x:v>
      </x:c>
      <x:c r="E499" s="24" t="n">
        <x:v>1840000</x:v>
      </x:c>
      <x:c r="F499" s="24" t="n">
        <x:v>0</x:v>
      </x:c>
    </x:row>
    <x:row r="500">
      <x:c r="A500" s="18" t="str">
        <x:v>A0164</x:v>
      </x:c>
      <x:c r="B500" s="18" t="str">
        <x:v>Active</x:v>
      </x:c>
      <x:c r="C500" s="18" t="n">
        <x:v>36</x:v>
      </x:c>
      <x:c r="D500" s="32" t="n">
        <x:v>4.3</x:v>
      </x:c>
      <x:c r="E500" s="24" t="n">
        <x:v>935000</x:v>
      </x:c>
      <x:c r="F500" s="24" t="n">
        <x:v>0</x:v>
      </x:c>
    </x:row>
    <x:row r="501">
      <x:c r="A501" s="18" t="str">
        <x:v>A0566</x:v>
      </x:c>
      <x:c r="B501" s="18" t="str">
        <x:v>Active</x:v>
      </x:c>
      <x:c r="C501" s="18" t="n">
        <x:v>33</x:v>
      </x:c>
      <x:c r="D501" s="32" t="n">
        <x:v>2.8</x:v>
      </x:c>
      <x:c r="E501" s="24" t="n">
        <x:v>768000</x:v>
      </x:c>
      <x:c r="F501" s="24" t="n">
        <x:v>0</x:v>
      </x:c>
    </x:row>
    <x:row r="502">
      <x:c r="A502" s="18" t="str">
        <x:v>D0032</x:v>
      </x:c>
      <x:c r="B502" s="18" t="str">
        <x:v>Deferred</x:v>
      </x:c>
      <x:c r="C502" s="18" t="n">
        <x:v>42</x:v>
      </x:c>
      <x:c r="D502" s="32" t="n">
        <x:v>4</x:v>
      </x:c>
      <x:c r="E502" s="24" t="n">
        <x:v>479000</x:v>
      </x:c>
      <x:c r="F502" s="24" t="n">
        <x:v>0</x:v>
      </x:c>
    </x:row>
    <x:row r="503">
      <x:c r="A503" s="18" t="str">
        <x:v>A0012</x:v>
      </x:c>
      <x:c r="B503" s="18" t="str">
        <x:v>Active</x:v>
      </x:c>
      <x:c r="C503" s="18" t="n">
        <x:v>36</x:v>
      </x:c>
      <x:c r="D503" s="32" t="n">
        <x:v>5.2</x:v>
      </x:c>
      <x:c r="E503" s="24" t="n">
        <x:v>538000</x:v>
      </x:c>
      <x:c r="F503" s="24" t="n">
        <x:v>0</x:v>
      </x:c>
    </x:row>
    <x:row r="504">
      <x:c r="A504" s="18" t="str">
        <x:v>A0507</x:v>
      </x:c>
      <x:c r="B504" s="18" t="str">
        <x:v>Active</x:v>
      </x:c>
      <x:c r="C504" s="18" t="n">
        <x:v>58</x:v>
      </x:c>
      <x:c r="D504" s="32" t="n">
        <x:v>9.4</x:v>
      </x:c>
      <x:c r="E504" s="24" t="n">
        <x:v>1416000</x:v>
      </x:c>
      <x:c r="F504" s="24" t="n">
        <x:v>0</x:v>
      </x:c>
    </x:row>
    <x:row r="505">
      <x:c r="A505" s="18" t="str">
        <x:v>P0118</x:v>
      </x:c>
      <x:c r="B505" s="18" t="str">
        <x:v>Pensioner</x:v>
      </x:c>
      <x:c r="C505" s="18" t="n">
        <x:v>65</x:v>
      </x:c>
      <x:c r="D505" s="32" t="n">
        <x:v>15.1</x:v>
      </x:c>
      <x:c r="E505" s="24" t="n">
        <x:v>0</x:v>
      </x:c>
      <x:c r="F505" s="24" t="n">
        <x:v>204000</x:v>
      </x:c>
    </x:row>
    <x:row r="506">
      <x:c r="A506" s="18" t="str">
        <x:v>D0109</x:v>
      </x:c>
      <x:c r="B506" s="18" t="str">
        <x:v>Deferred</x:v>
      </x:c>
      <x:c r="C506" s="18" t="n">
        <x:v>32</x:v>
      </x:c>
      <x:c r="D506" s="32" t="n">
        <x:v>3.8</x:v>
      </x:c>
      <x:c r="E506" s="24" t="n">
        <x:v>503000</x:v>
      </x:c>
      <x:c r="F506" s="24" t="n">
        <x:v>0</x:v>
      </x:c>
    </x:row>
    <x:row r="507">
      <x:c r="A507" s="18" t="str">
        <x:v>A0525</x:v>
      </x:c>
      <x:c r="B507" s="18" t="str">
        <x:v>Active</x:v>
      </x:c>
      <x:c r="C507" s="18" t="n">
        <x:v>31</x:v>
      </x:c>
      <x:c r="D507" s="32" t="n">
        <x:v>5.3</x:v>
      </x:c>
      <x:c r="E507" s="24" t="n">
        <x:v>430000</x:v>
      </x:c>
      <x:c r="F507" s="24" t="n">
        <x:v>0</x:v>
      </x:c>
    </x:row>
    <x:row r="508">
      <x:c r="A508" s="18" t="str">
        <x:v>A0397</x:v>
      </x:c>
      <x:c r="B508" s="18" t="str">
        <x:v>Active</x:v>
      </x:c>
      <x:c r="C508" s="18" t="n">
        <x:v>40</x:v>
      </x:c>
      <x:c r="D508" s="32" t="n">
        <x:v>10.9</x:v>
      </x:c>
      <x:c r="E508" s="24" t="n">
        <x:v>891000</x:v>
      </x:c>
      <x:c r="F508" s="24" t="n">
        <x:v>0</x:v>
      </x:c>
    </x:row>
    <x:row r="509">
      <x:c r="A509" s="18" t="str">
        <x:v>P0150</x:v>
      </x:c>
      <x:c r="B509" s="18" t="str">
        <x:v>Pensioner</x:v>
      </x:c>
      <x:c r="C509" s="18" t="n">
        <x:v>70</x:v>
      </x:c>
      <x:c r="D509" s="32" t="n">
        <x:v>32.1</x:v>
      </x:c>
      <x:c r="E509" s="24" t="n">
        <x:v>0</x:v>
      </x:c>
      <x:c r="F509" s="24" t="n">
        <x:v>346000</x:v>
      </x:c>
    </x:row>
    <x:row r="510">
      <x:c r="A510" s="18" t="str">
        <x:v>P0199</x:v>
      </x:c>
      <x:c r="B510" s="18" t="str">
        <x:v>Pensioner</x:v>
      </x:c>
      <x:c r="C510" s="18" t="n">
        <x:v>61</x:v>
      </x:c>
      <x:c r="D510" s="32" t="n">
        <x:v>33.4</x:v>
      </x:c>
      <x:c r="E510" s="24" t="n">
        <x:v>0</x:v>
      </x:c>
      <x:c r="F510" s="24" t="n">
        <x:v>300000</x:v>
      </x:c>
    </x:row>
    <x:row r="511">
      <x:c r="A511" s="18" t="str">
        <x:v>P0089</x:v>
      </x:c>
      <x:c r="B511" s="18" t="str">
        <x:v>Pensioner</x:v>
      </x:c>
      <x:c r="C511" s="18" t="n">
        <x:v>83</x:v>
      </x:c>
      <x:c r="D511" s="32" t="n">
        <x:v>19.3</x:v>
      </x:c>
      <x:c r="E511" s="24" t="n">
        <x:v>0</x:v>
      </x:c>
      <x:c r="F511" s="24" t="n">
        <x:v>706000</x:v>
      </x:c>
    </x:row>
    <x:row r="512">
      <x:c r="A512" s="18" t="str">
        <x:v>A0106</x:v>
      </x:c>
      <x:c r="B512" s="18" t="str">
        <x:v>Active</x:v>
      </x:c>
      <x:c r="C512" s="18" t="n">
        <x:v>58</x:v>
      </x:c>
      <x:c r="D512" s="32" t="n">
        <x:v>20.9</x:v>
      </x:c>
      <x:c r="E512" s="24" t="n">
        <x:v>2507000</x:v>
      </x:c>
      <x:c r="F512" s="24" t="n">
        <x:v>0</x:v>
      </x:c>
    </x:row>
    <x:row r="513">
      <x:c r="A513" s="18" t="str">
        <x:v>A0519</x:v>
      </x:c>
      <x:c r="B513" s="18" t="str">
        <x:v>Active</x:v>
      </x:c>
      <x:c r="C513" s="18" t="n">
        <x:v>56</x:v>
      </x:c>
      <x:c r="D513" s="32" t="n">
        <x:v>5.1</x:v>
      </x:c>
      <x:c r="E513" s="24" t="n">
        <x:v>1593000</x:v>
      </x:c>
      <x:c r="F513" s="24" t="n">
        <x:v>0</x:v>
      </x:c>
    </x:row>
    <x:row r="514">
      <x:c r="A514" s="18" t="str">
        <x:v>D0107</x:v>
      </x:c>
      <x:c r="B514" s="18" t="str">
        <x:v>Deferred</x:v>
      </x:c>
      <x:c r="C514" s="18" t="n">
        <x:v>36</x:v>
      </x:c>
      <x:c r="D514" s="32" t="n">
        <x:v>5.4</x:v>
      </x:c>
      <x:c r="E514" s="24" t="n">
        <x:v>528000</x:v>
      </x:c>
      <x:c r="F514" s="24" t="n">
        <x:v>0</x:v>
      </x:c>
    </x:row>
    <x:row r="515">
      <x:c r="A515" s="18" t="str">
        <x:v>A0530</x:v>
      </x:c>
      <x:c r="B515" s="18" t="str">
        <x:v>Active</x:v>
      </x:c>
      <x:c r="C515" s="18" t="n">
        <x:v>54</x:v>
      </x:c>
      <x:c r="D515" s="32" t="n">
        <x:v>11.9</x:v>
      </x:c>
      <x:c r="E515" s="24" t="n">
        <x:v>2063000</x:v>
      </x:c>
      <x:c r="F515" s="24" t="n">
        <x:v>0</x:v>
      </x:c>
    </x:row>
    <x:row r="516">
      <x:c r="A516" s="18" t="str">
        <x:v>A0143</x:v>
      </x:c>
      <x:c r="B516" s="18" t="str">
        <x:v>Active</x:v>
      </x:c>
      <x:c r="C516" s="18" t="n">
        <x:v>59</x:v>
      </x:c>
      <x:c r="D516" s="32" t="n">
        <x:v>16.4</x:v>
      </x:c>
      <x:c r="E516" s="24" t="n">
        <x:v>2317000</x:v>
      </x:c>
      <x:c r="F516" s="24" t="n">
        <x:v>0</x:v>
      </x:c>
    </x:row>
    <x:row r="517">
      <x:c r="A517" s="18" t="str">
        <x:v>D0040</x:v>
      </x:c>
      <x:c r="B517" s="18" t="str">
        <x:v>Deferred</x:v>
      </x:c>
      <x:c r="C517" s="18" t="n">
        <x:v>36</x:v>
      </x:c>
      <x:c r="D517" s="32" t="n">
        <x:v>6.5</x:v>
      </x:c>
      <x:c r="E517" s="24" t="n">
        <x:v>628000</x:v>
      </x:c>
      <x:c r="F517" s="24" t="n">
        <x:v>0</x:v>
      </x:c>
    </x:row>
    <x:row r="518">
      <x:c r="A518" s="18" t="str">
        <x:v>D0130</x:v>
      </x:c>
      <x:c r="B518" s="18" t="str">
        <x:v>Deferred</x:v>
      </x:c>
      <x:c r="C518" s="18" t="n">
        <x:v>47</x:v>
      </x:c>
      <x:c r="D518" s="32" t="n">
        <x:v>16.5</x:v>
      </x:c>
      <x:c r="E518" s="24" t="n">
        <x:v>747000</x:v>
      </x:c>
      <x:c r="F518" s="24" t="n">
        <x:v>0</x:v>
      </x:c>
    </x:row>
    <x:row r="519">
      <x:c r="A519" s="18" t="str">
        <x:v>A0411</x:v>
      </x:c>
      <x:c r="B519" s="18" t="str">
        <x:v>Active</x:v>
      </x:c>
      <x:c r="C519" s="18" t="n">
        <x:v>33</x:v>
      </x:c>
      <x:c r="D519" s="32" t="n">
        <x:v>2.1</x:v>
      </x:c>
      <x:c r="E519" s="24" t="n">
        <x:v>830000</x:v>
      </x:c>
      <x:c r="F519" s="24" t="n">
        <x:v>0</x:v>
      </x:c>
    </x:row>
    <x:row r="520">
      <x:c r="A520" s="18" t="str">
        <x:v>A0273</x:v>
      </x:c>
      <x:c r="B520" s="18" t="str">
        <x:v>Active</x:v>
      </x:c>
      <x:c r="C520" s="18" t="n">
        <x:v>51</x:v>
      </x:c>
      <x:c r="D520" s="32" t="n">
        <x:v>19</x:v>
      </x:c>
      <x:c r="E520" s="24" t="n">
        <x:v>1088000</x:v>
      </x:c>
      <x:c r="F520" s="24" t="n">
        <x:v>0</x:v>
      </x:c>
    </x:row>
    <x:row r="521">
      <x:c r="A521" s="18" t="str">
        <x:v>A0080</x:v>
      </x:c>
      <x:c r="B521" s="18" t="str">
        <x:v>Active</x:v>
      </x:c>
      <x:c r="C521" s="18" t="n">
        <x:v>44</x:v>
      </x:c>
      <x:c r="D521" s="32" t="n">
        <x:v>21.4</x:v>
      </x:c>
      <x:c r="E521" s="24" t="n">
        <x:v>1049000</x:v>
      </x:c>
      <x:c r="F521" s="24" t="n">
        <x:v>0</x:v>
      </x:c>
    </x:row>
    <x:row r="522">
      <x:c r="A522" s="18" t="str">
        <x:v>A0129</x:v>
      </x:c>
      <x:c r="B522" s="18" t="str">
        <x:v>Active</x:v>
      </x:c>
      <x:c r="C522" s="18" t="n">
        <x:v>38</x:v>
      </x:c>
      <x:c r="D522" s="32" t="n">
        <x:v>7.1</x:v>
      </x:c>
      <x:c r="E522" s="24" t="n">
        <x:v>925000</x:v>
      </x:c>
      <x:c r="F522" s="24" t="n">
        <x:v>0</x:v>
      </x:c>
    </x:row>
    <x:row r="523">
      <x:c r="A523" s="18" t="str">
        <x:v>P0170</x:v>
      </x:c>
      <x:c r="B523" s="18" t="str">
        <x:v>Pensioner</x:v>
      </x:c>
      <x:c r="C523" s="18" t="n">
        <x:v>74</x:v>
      </x:c>
      <x:c r="D523" s="32" t="n">
        <x:v>36.7</x:v>
      </x:c>
      <x:c r="E523" s="24" t="n">
        <x:v>0</x:v>
      </x:c>
      <x:c r="F523" s="24" t="n">
        <x:v>382000</x:v>
      </x:c>
    </x:row>
    <x:row r="524">
      <x:c r="A524" s="18" t="str">
        <x:v>A0078</x:v>
      </x:c>
      <x:c r="B524" s="18" t="str">
        <x:v>Active</x:v>
      </x:c>
      <x:c r="C524" s="18" t="n">
        <x:v>52</x:v>
      </x:c>
      <x:c r="D524" s="32" t="n">
        <x:v>29.3</x:v>
      </x:c>
      <x:c r="E524" s="24" t="n">
        <x:v>1193000</x:v>
      </x:c>
      <x:c r="F524" s="24" t="n">
        <x:v>0</x:v>
      </x:c>
    </x:row>
    <x:row r="525">
      <x:c r="A525" s="18" t="str">
        <x:v>D0079</x:v>
      </x:c>
      <x:c r="B525" s="18" t="str">
        <x:v>Deferred</x:v>
      </x:c>
      <x:c r="C525" s="18" t="n">
        <x:v>57</x:v>
      </x:c>
      <x:c r="D525" s="32" t="n">
        <x:v>22.2</x:v>
      </x:c>
      <x:c r="E525" s="24" t="n">
        <x:v>1220000</x:v>
      </x:c>
      <x:c r="F525" s="24" t="n">
        <x:v>0</x:v>
      </x:c>
    </x:row>
    <x:row r="526">
      <x:c r="A526" s="18" t="str">
        <x:v>D0033</x:v>
      </x:c>
      <x:c r="B526" s="18" t="str">
        <x:v>Deferred</x:v>
      </x:c>
      <x:c r="C526" s="18" t="n">
        <x:v>43</x:v>
      </x:c>
      <x:c r="D526" s="32" t="n">
        <x:v>5.8</x:v>
      </x:c>
      <x:c r="E526" s="24" t="n">
        <x:v>738000</x:v>
      </x:c>
      <x:c r="F526" s="24" t="n">
        <x:v>0</x:v>
      </x:c>
    </x:row>
    <x:row r="527">
      <x:c r="A527" s="18" t="str">
        <x:v>A0276</x:v>
      </x:c>
      <x:c r="B527" s="18" t="str">
        <x:v>Active</x:v>
      </x:c>
      <x:c r="C527" s="18" t="n">
        <x:v>30</x:v>
      </x:c>
      <x:c r="D527" s="32" t="n">
        <x:v>1.9</x:v>
      </x:c>
      <x:c r="E527" s="24" t="n">
        <x:v>585000</x:v>
      </x:c>
      <x:c r="F527" s="24" t="n">
        <x:v>0</x:v>
      </x:c>
    </x:row>
    <x:row r="528">
      <x:c r="A528" s="18" t="str">
        <x:v>A0076</x:v>
      </x:c>
      <x:c r="B528" s="18" t="str">
        <x:v>Active</x:v>
      </x:c>
      <x:c r="C528" s="18" t="n">
        <x:v>27</x:v>
      </x:c>
      <x:c r="D528" s="32" t="n">
        <x:v>1.1</x:v>
      </x:c>
      <x:c r="E528" s="24" t="n">
        <x:v>563000</x:v>
      </x:c>
      <x:c r="F528" s="24" t="n">
        <x:v>0</x:v>
      </x:c>
    </x:row>
    <x:row r="529">
      <x:c r="A529" s="18" t="str">
        <x:v>A0309</x:v>
      </x:c>
      <x:c r="B529" s="18" t="str">
        <x:v>Active</x:v>
      </x:c>
      <x:c r="C529" s="18" t="n">
        <x:v>38</x:v>
      </x:c>
      <x:c r="D529" s="32" t="n">
        <x:v>14.3</x:v>
      </x:c>
      <x:c r="E529" s="24" t="n">
        <x:v>621000</x:v>
      </x:c>
      <x:c r="F529" s="24" t="n">
        <x:v>0</x:v>
      </x:c>
    </x:row>
    <x:row r="530">
      <x:c r="A530" s="18" t="str">
        <x:v>A0584</x:v>
      </x:c>
      <x:c r="B530" s="18" t="str">
        <x:v>Active</x:v>
      </x:c>
      <x:c r="C530" s="18" t="n">
        <x:v>57</x:v>
      </x:c>
      <x:c r="D530" s="32" t="n">
        <x:v>29.5</x:v>
      </x:c>
      <x:c r="E530" s="24" t="n">
        <x:v>2109000</x:v>
      </x:c>
      <x:c r="F530" s="24" t="n">
        <x:v>0</x:v>
      </x:c>
    </x:row>
    <x:row r="531">
      <x:c r="A531" s="18" t="str">
        <x:v>D0057</x:v>
      </x:c>
      <x:c r="B531" s="18" t="str">
        <x:v>Deferred</x:v>
      </x:c>
      <x:c r="C531" s="18" t="n">
        <x:v>37</x:v>
      </x:c>
      <x:c r="D531" s="32" t="n">
        <x:v>6.2</x:v>
      </x:c>
      <x:c r="E531" s="24" t="n">
        <x:v>395000</x:v>
      </x:c>
      <x:c r="F531" s="24" t="n">
        <x:v>0</x:v>
      </x:c>
    </x:row>
    <x:row r="532">
      <x:c r="A532" s="18" t="str">
        <x:v>P0180</x:v>
      </x:c>
      <x:c r="B532" s="18" t="str">
        <x:v>Pensioner</x:v>
      </x:c>
      <x:c r="C532" s="18" t="n">
        <x:v>89</x:v>
      </x:c>
      <x:c r="D532" s="32" t="n">
        <x:v>29.7</x:v>
      </x:c>
      <x:c r="E532" s="24" t="n">
        <x:v>0</x:v>
      </x:c>
      <x:c r="F532" s="24" t="n">
        <x:v>794000</x:v>
      </x:c>
    </x:row>
    <x:row r="533">
      <x:c r="A533" s="18" t="str">
        <x:v>P0077</x:v>
      </x:c>
      <x:c r="B533" s="18" t="str">
        <x:v>Pensioner</x:v>
      </x:c>
      <x:c r="C533" s="18" t="n">
        <x:v>60</x:v>
      </x:c>
      <x:c r="D533" s="32" t="n">
        <x:v>22.8</x:v>
      </x:c>
      <x:c r="E533" s="24" t="n">
        <x:v>0</x:v>
      </x:c>
      <x:c r="F533" s="24" t="n">
        <x:v>141000</x:v>
      </x:c>
    </x:row>
    <x:row r="534">
      <x:c r="A534" s="18" t="str">
        <x:v>A0014</x:v>
      </x:c>
      <x:c r="B534" s="18" t="str">
        <x:v>Active</x:v>
      </x:c>
      <x:c r="C534" s="18" t="n">
        <x:v>58</x:v>
      </x:c>
      <x:c r="D534" s="32" t="n">
        <x:v>7.5</x:v>
      </x:c>
      <x:c r="E534" s="24" t="n">
        <x:v>1444000</x:v>
      </x:c>
      <x:c r="F534" s="24" t="n">
        <x:v>0</x:v>
      </x:c>
    </x:row>
    <x:row r="535">
      <x:c r="A535" s="18" t="str">
        <x:v>A0371</x:v>
      </x:c>
      <x:c r="B535" s="18" t="str">
        <x:v>Active</x:v>
      </x:c>
      <x:c r="C535" s="18" t="n">
        <x:v>36</x:v>
      </x:c>
      <x:c r="D535" s="32" t="n">
        <x:v>3.1</x:v>
      </x:c>
      <x:c r="E535" s="24" t="n">
        <x:v>914000</x:v>
      </x:c>
      <x:c r="F535" s="24" t="n">
        <x:v>0</x:v>
      </x:c>
    </x:row>
    <x:row r="536">
      <x:c r="A536" s="18" t="str">
        <x:v>A0007</x:v>
      </x:c>
      <x:c r="B536" s="18" t="str">
        <x:v>Active</x:v>
      </x:c>
      <x:c r="C536" s="18" t="n">
        <x:v>30</x:v>
      </x:c>
      <x:c r="D536" s="32" t="n">
        <x:v>1.5</x:v>
      </x:c>
      <x:c r="E536" s="24" t="n">
        <x:v>639000</x:v>
      </x:c>
      <x:c r="F536" s="24" t="n">
        <x:v>0</x:v>
      </x:c>
    </x:row>
    <x:row r="537">
      <x:c r="A537" s="18" t="str">
        <x:v>P0037</x:v>
      </x:c>
      <x:c r="B537" s="18" t="str">
        <x:v>Pensioner</x:v>
      </x:c>
      <x:c r="C537" s="18" t="n">
        <x:v>64</x:v>
      </x:c>
      <x:c r="D537" s="32" t="n">
        <x:v>19.2</x:v>
      </x:c>
      <x:c r="E537" s="24" t="n">
        <x:v>0</x:v>
      </x:c>
      <x:c r="F537" s="24" t="n">
        <x:v>278000</x:v>
      </x:c>
    </x:row>
    <x:row r="538">
      <x:c r="A538" s="18" t="str">
        <x:v>P0163</x:v>
      </x:c>
      <x:c r="B538" s="18" t="str">
        <x:v>Pensioner</x:v>
      </x:c>
      <x:c r="C538" s="18" t="n">
        <x:v>87</x:v>
      </x:c>
      <x:c r="D538" s="32" t="n">
        <x:v>33.1</x:v>
      </x:c>
      <x:c r="E538" s="24" t="n">
        <x:v>0</x:v>
      </x:c>
      <x:c r="F538" s="24" t="n">
        <x:v>451000</x:v>
      </x:c>
    </x:row>
    <x:row r="539">
      <x:c r="A539" s="18" t="str">
        <x:v>D0017</x:v>
      </x:c>
      <x:c r="B539" s="18" t="str">
        <x:v>Deferred</x:v>
      </x:c>
      <x:c r="C539" s="18" t="n">
        <x:v>48</x:v>
      </x:c>
      <x:c r="D539" s="32" t="n">
        <x:v>8.3</x:v>
      </x:c>
      <x:c r="E539" s="24" t="n">
        <x:v>860000</x:v>
      </x:c>
      <x:c r="F539" s="24" t="n">
        <x:v>0</x:v>
      </x:c>
    </x:row>
    <x:row r="540">
      <x:c r="A540" s="18" t="str">
        <x:v>A0442</x:v>
      </x:c>
      <x:c r="B540" s="18" t="str">
        <x:v>Active</x:v>
      </x:c>
      <x:c r="C540" s="18" t="n">
        <x:v>24</x:v>
      </x:c>
      <x:c r="D540" s="32" t="n">
        <x:v>1.8</x:v>
      </x:c>
      <x:c r="E540" s="24" t="n">
        <x:v>340000</x:v>
      </x:c>
      <x:c r="F540" s="24" t="n">
        <x:v>0</x:v>
      </x:c>
    </x:row>
    <x:row r="541">
      <x:c r="A541" s="18" t="str">
        <x:v>D0030</x:v>
      </x:c>
      <x:c r="B541" s="18" t="str">
        <x:v>Deferred</x:v>
      </x:c>
      <x:c r="C541" s="18" t="n">
        <x:v>54</x:v>
      </x:c>
      <x:c r="D541" s="32" t="n">
        <x:v>23.6</x:v>
      </x:c>
      <x:c r="E541" s="24" t="n">
        <x:v>1202000</x:v>
      </x:c>
      <x:c r="F541" s="24" t="n">
        <x:v>0</x:v>
      </x:c>
    </x:row>
    <x:row r="542">
      <x:c r="A542" s="18" t="str">
        <x:v>A0430</x:v>
      </x:c>
      <x:c r="B542" s="18" t="str">
        <x:v>Active</x:v>
      </x:c>
      <x:c r="C542" s="18" t="n">
        <x:v>46</x:v>
      </x:c>
      <x:c r="D542" s="32" t="n">
        <x:v>1.7</x:v>
      </x:c>
      <x:c r="E542" s="24" t="n">
        <x:v>1343000</x:v>
      </x:c>
      <x:c r="F542" s="24" t="n">
        <x:v>0</x:v>
      </x:c>
    </x:row>
    <x:row r="543">
      <x:c r="A543" s="18" t="str">
        <x:v>A0263</x:v>
      </x:c>
      <x:c r="B543" s="18" t="str">
        <x:v>Active</x:v>
      </x:c>
      <x:c r="C543" s="18" t="n">
        <x:v>51</x:v>
      </x:c>
      <x:c r="D543" s="32" t="n">
        <x:v>25.9</x:v>
      </x:c>
      <x:c r="E543" s="24" t="n">
        <x:v>1479000</x:v>
      </x:c>
      <x:c r="F543" s="24" t="n">
        <x:v>0</x:v>
      </x:c>
    </x:row>
    <x:row r="544">
      <x:c r="A544" s="18" t="str">
        <x:v>D0065</x:v>
      </x:c>
      <x:c r="B544" s="18" t="str">
        <x:v>Deferred</x:v>
      </x:c>
      <x:c r="C544" s="18" t="n">
        <x:v>36</x:v>
      </x:c>
      <x:c r="D544" s="32" t="n">
        <x:v>7.4</x:v>
      </x:c>
      <x:c r="E544" s="24" t="n">
        <x:v>384000</x:v>
      </x:c>
      <x:c r="F544" s="24" t="n">
        <x:v>0</x:v>
      </x:c>
    </x:row>
    <x:row r="545">
      <x:c r="A545" s="18" t="str">
        <x:v>A0225</x:v>
      </x:c>
      <x:c r="B545" s="18" t="str">
        <x:v>Active</x:v>
      </x:c>
      <x:c r="C545" s="18" t="n">
        <x:v>43</x:v>
      </x:c>
      <x:c r="D545" s="32" t="n">
        <x:v>7.8</x:v>
      </x:c>
      <x:c r="E545" s="24" t="n">
        <x:v>956000</x:v>
      </x:c>
      <x:c r="F545" s="24" t="n">
        <x:v>0</x:v>
      </x:c>
    </x:row>
    <x:row r="546">
      <x:c r="A546" s="18" t="str">
        <x:v>A0090</x:v>
      </x:c>
      <x:c r="B546" s="18" t="str">
        <x:v>Active</x:v>
      </x:c>
      <x:c r="C546" s="18" t="n">
        <x:v>25</x:v>
      </x:c>
      <x:c r="D546" s="32" t="n">
        <x:v>1</x:v>
      </x:c>
      <x:c r="E546" s="24" t="n">
        <x:v>561000</x:v>
      </x:c>
      <x:c r="F546" s="24" t="n">
        <x:v>0</x:v>
      </x:c>
    </x:row>
    <x:row r="547">
      <x:c r="A547" s="18" t="str">
        <x:v>A0384</x:v>
      </x:c>
      <x:c r="B547" s="18" t="str">
        <x:v>Active</x:v>
      </x:c>
      <x:c r="C547" s="18" t="n">
        <x:v>39</x:v>
      </x:c>
      <x:c r="D547" s="32" t="n">
        <x:v>17</x:v>
      </x:c>
      <x:c r="E547" s="24" t="n">
        <x:v>624000</x:v>
      </x:c>
      <x:c r="F547" s="24" t="n">
        <x:v>0</x:v>
      </x:c>
    </x:row>
    <x:row r="548">
      <x:c r="A548" s="18" t="str">
        <x:v>D0126</x:v>
      </x:c>
      <x:c r="B548" s="18" t="str">
        <x:v>Deferred</x:v>
      </x:c>
      <x:c r="C548" s="18" t="n">
        <x:v>36</x:v>
      </x:c>
      <x:c r="D548" s="32" t="n">
        <x:v>4.3</x:v>
      </x:c>
      <x:c r="E548" s="24" t="n">
        <x:v>523000</x:v>
      </x:c>
      <x:c r="F548" s="24" t="n">
        <x:v>0</x:v>
      </x:c>
    </x:row>
    <x:row r="549">
      <x:c r="A549" s="18" t="str">
        <x:v>A0117</x:v>
      </x:c>
      <x:c r="B549" s="18" t="str">
        <x:v>Active</x:v>
      </x:c>
      <x:c r="C549" s="18" t="n">
        <x:v>46</x:v>
      </x:c>
      <x:c r="D549" s="32" t="n">
        <x:v>21.6</x:v>
      </x:c>
      <x:c r="E549" s="24" t="n">
        <x:v>849000</x:v>
      </x:c>
      <x:c r="F549" s="24" t="n">
        <x:v>0</x:v>
      </x:c>
    </x:row>
    <x:row r="550">
      <x:c r="A550" s="18" t="str">
        <x:v>P0004</x:v>
      </x:c>
      <x:c r="B550" s="18" t="str">
        <x:v>Pensioner</x:v>
      </x:c>
      <x:c r="C550" s="18" t="n">
        <x:v>69</x:v>
      </x:c>
      <x:c r="D550" s="32" t="n">
        <x:v>38.9</x:v>
      </x:c>
      <x:c r="E550" s="24" t="n">
        <x:v>0</x:v>
      </x:c>
      <x:c r="F550" s="24" t="n">
        <x:v>178000</x:v>
      </x:c>
    </x:row>
    <x:row r="551">
      <x:c r="A551" s="18" t="str">
        <x:v>A0230</x:v>
      </x:c>
      <x:c r="B551" s="18" t="str">
        <x:v>Active</x:v>
      </x:c>
      <x:c r="C551" s="18" t="n">
        <x:v>25</x:v>
      </x:c>
      <x:c r="D551" s="32" t="n">
        <x:v>1.3</x:v>
      </x:c>
      <x:c r="E551" s="24" t="n">
        <x:v>520000</x:v>
      </x:c>
      <x:c r="F551" s="24" t="n">
        <x:v>0</x:v>
      </x:c>
    </x:row>
    <x:row r="552">
      <x:c r="A552" s="18" t="str">
        <x:v>D0051</x:v>
      </x:c>
      <x:c r="B552" s="18" t="str">
        <x:v>Deferred</x:v>
      </x:c>
      <x:c r="C552" s="18" t="n">
        <x:v>44</x:v>
      </x:c>
      <x:c r="D552" s="32" t="n">
        <x:v>10.9</x:v>
      </x:c>
      <x:c r="E552" s="24" t="n">
        <x:v>710000</x:v>
      </x:c>
      <x:c r="F552" s="24" t="n">
        <x:v>0</x:v>
      </x:c>
    </x:row>
    <x:row r="553">
      <x:c r="A553" s="18" t="str">
        <x:v>A0440</x:v>
      </x:c>
      <x:c r="B553" s="18" t="str">
        <x:v>Active</x:v>
      </x:c>
      <x:c r="C553" s="18" t="n">
        <x:v>55</x:v>
      </x:c>
      <x:c r="D553" s="32" t="n">
        <x:v>1.2</x:v>
      </x:c>
      <x:c r="E553" s="24" t="n">
        <x:v>1810000</x:v>
      </x:c>
      <x:c r="F553" s="24" t="n">
        <x:v>0</x:v>
      </x:c>
    </x:row>
    <x:row r="554">
      <x:c r="A554" s="18" t="str">
        <x:v>A0031</x:v>
      </x:c>
      <x:c r="B554" s="18" t="str">
        <x:v>Active</x:v>
      </x:c>
      <x:c r="C554" s="18" t="n">
        <x:v>57</x:v>
      </x:c>
      <x:c r="D554" s="32" t="n">
        <x:v>1.4</x:v>
      </x:c>
      <x:c r="E554" s="24" t="n">
        <x:v>2247000</x:v>
      </x:c>
      <x:c r="F554" s="24" t="n">
        <x:v>0</x:v>
      </x:c>
    </x:row>
    <x:row r="555">
      <x:c r="A555" s="18" t="str">
        <x:v>A0177</x:v>
      </x:c>
      <x:c r="B555" s="18" t="str">
        <x:v>Active</x:v>
      </x:c>
      <x:c r="C555" s="18" t="n">
        <x:v>55</x:v>
      </x:c>
      <x:c r="D555" s="32" t="n">
        <x:v>6.1</x:v>
      </x:c>
      <x:c r="E555" s="24" t="n">
        <x:v>2079000</x:v>
      </x:c>
      <x:c r="F555" s="24" t="n">
        <x:v>0</x:v>
      </x:c>
    </x:row>
    <x:row r="556">
      <x:c r="A556" s="18" t="str">
        <x:v>P0134</x:v>
      </x:c>
      <x:c r="B556" s="18" t="str">
        <x:v>Pensioner</x:v>
      </x:c>
      <x:c r="C556" s="18" t="n">
        <x:v>88</x:v>
      </x:c>
      <x:c r="D556" s="32" t="n">
        <x:v>21.5</x:v>
      </x:c>
      <x:c r="E556" s="24" t="n">
        <x:v>0</x:v>
      </x:c>
      <x:c r="F556" s="24" t="n">
        <x:v>555000</x:v>
      </x:c>
    </x:row>
    <x:row r="557">
      <x:c r="A557" s="18" t="str">
        <x:v>A0169</x:v>
      </x:c>
      <x:c r="B557" s="18" t="str">
        <x:v>Active</x:v>
      </x:c>
      <x:c r="C557" s="18" t="n">
        <x:v>57</x:v>
      </x:c>
      <x:c r="D557" s="32" t="n">
        <x:v>2.5</x:v>
      </x:c>
      <x:c r="E557" s="24" t="n">
        <x:v>1858000</x:v>
      </x:c>
      <x:c r="F557" s="24" t="n">
        <x:v>0</x:v>
      </x:c>
    </x:row>
    <x:row r="558">
      <x:c r="A558" s="18" t="str">
        <x:v>A0245</x:v>
      </x:c>
      <x:c r="B558" s="18" t="str">
        <x:v>Active</x:v>
      </x:c>
      <x:c r="C558" s="18" t="n">
        <x:v>57</x:v>
      </x:c>
      <x:c r="D558" s="32" t="n">
        <x:v>9.2</x:v>
      </x:c>
      <x:c r="E558" s="24" t="n">
        <x:v>2052000</x:v>
      </x:c>
      <x:c r="F558" s="24" t="n">
        <x:v>0</x:v>
      </x:c>
    </x:row>
    <x:row r="559">
      <x:c r="A559" s="18" t="str">
        <x:v>P0190</x:v>
      </x:c>
      <x:c r="B559" s="18" t="str">
        <x:v>Pensioner</x:v>
      </x:c>
      <x:c r="C559" s="18" t="n">
        <x:v>74</x:v>
      </x:c>
      <x:c r="D559" s="32" t="n">
        <x:v>31.4</x:v>
      </x:c>
      <x:c r="E559" s="24" t="n">
        <x:v>0</x:v>
      </x:c>
      <x:c r="F559" s="24" t="n">
        <x:v>444000</x:v>
      </x:c>
    </x:row>
    <x:row r="560">
      <x:c r="A560" s="18" t="str">
        <x:v>D0121</x:v>
      </x:c>
      <x:c r="B560" s="18" t="str">
        <x:v>Deferred</x:v>
      </x:c>
      <x:c r="C560" s="18" t="n">
        <x:v>50</x:v>
      </x:c>
      <x:c r="D560" s="32" t="n">
        <x:v>9.3</x:v>
      </x:c>
      <x:c r="E560" s="24" t="n">
        <x:v>986000</x:v>
      </x:c>
      <x:c r="F560" s="24" t="n">
        <x:v>0</x:v>
      </x:c>
    </x:row>
    <x:row r="561">
      <x:c r="A561" s="18" t="str">
        <x:v>A0515</x:v>
      </x:c>
      <x:c r="B561" s="18" t="str">
        <x:v>Active</x:v>
      </x:c>
      <x:c r="C561" s="18" t="n">
        <x:v>55</x:v>
      </x:c>
      <x:c r="D561" s="32" t="n">
        <x:v>14.2</x:v>
      </x:c>
      <x:c r="E561" s="24" t="n">
        <x:v>1475000</x:v>
      </x:c>
      <x:c r="F561" s="24" t="n">
        <x:v>0</x:v>
      </x:c>
    </x:row>
    <x:row r="562">
      <x:c r="A562" s="18" t="str">
        <x:v>D0004</x:v>
      </x:c>
      <x:c r="B562" s="18" t="str">
        <x:v>Deferred</x:v>
      </x:c>
      <x:c r="C562" s="18" t="n">
        <x:v>41</x:v>
      </x:c>
      <x:c r="D562" s="32" t="n">
        <x:v>10.8</x:v>
      </x:c>
      <x:c r="E562" s="24" t="n">
        <x:v>782000</x:v>
      </x:c>
      <x:c r="F562" s="24" t="n">
        <x:v>0</x:v>
      </x:c>
    </x:row>
    <x:row r="563">
      <x:c r="A563" s="18" t="str">
        <x:v>A0353</x:v>
      </x:c>
      <x:c r="B563" s="18" t="str">
        <x:v>Active</x:v>
      </x:c>
      <x:c r="C563" s="18" t="n">
        <x:v>34</x:v>
      </x:c>
      <x:c r="D563" s="32" t="n">
        <x:v>5.5</x:v>
      </x:c>
      <x:c r="E563" s="24" t="n">
        <x:v>702000</x:v>
      </x:c>
      <x:c r="F563" s="24" t="n">
        <x:v>0</x:v>
      </x:c>
    </x:row>
    <x:row r="564">
      <x:c r="A564" s="18" t="str">
        <x:v>A0206</x:v>
      </x:c>
      <x:c r="B564" s="18" t="str">
        <x:v>Active</x:v>
      </x:c>
      <x:c r="C564" s="18" t="n">
        <x:v>25</x:v>
      </x:c>
      <x:c r="D564" s="32" t="n">
        <x:v>1</x:v>
      </x:c>
      <x:c r="E564" s="24" t="n">
        <x:v>538000</x:v>
      </x:c>
      <x:c r="F564" s="24" t="n">
        <x:v>0</x:v>
      </x:c>
    </x:row>
    <x:row r="565">
      <x:c r="A565" s="18" t="str">
        <x:v>A0432</x:v>
      </x:c>
      <x:c r="B565" s="18" t="str">
        <x:v>Active</x:v>
      </x:c>
      <x:c r="C565" s="18" t="n">
        <x:v>26</x:v>
      </x:c>
      <x:c r="D565" s="32" t="n">
        <x:v>4.5</x:v>
      </x:c>
      <x:c r="E565" s="24" t="n">
        <x:v>433000</x:v>
      </x:c>
      <x:c r="F565" s="24" t="n">
        <x:v>0</x:v>
      </x:c>
    </x:row>
    <x:row r="566">
      <x:c r="A566" s="18" t="str">
        <x:v>D0008</x:v>
      </x:c>
      <x:c r="B566" s="18" t="str">
        <x:v>Deferred</x:v>
      </x:c>
      <x:c r="C566" s="18" t="n">
        <x:v>35</x:v>
      </x:c>
      <x:c r="D566" s="32" t="n">
        <x:v>4.2</x:v>
      </x:c>
      <x:c r="E566" s="24" t="n">
        <x:v>490000</x:v>
      </x:c>
      <x:c r="F566" s="24" t="n">
        <x:v>0</x:v>
      </x:c>
    </x:row>
    <x:row r="567">
      <x:c r="A567" s="18" t="str">
        <x:v>A0548</x:v>
      </x:c>
      <x:c r="B567" s="18" t="str">
        <x:v>Active</x:v>
      </x:c>
      <x:c r="C567" s="18" t="n">
        <x:v>33</x:v>
      </x:c>
      <x:c r="D567" s="32" t="n">
        <x:v>1.8</x:v>
      </x:c>
      <x:c r="E567" s="24" t="n">
        <x:v>706000</x:v>
      </x:c>
      <x:c r="F567" s="24" t="n">
        <x:v>0</x:v>
      </x:c>
    </x:row>
    <x:row r="568">
      <x:c r="A568" s="18" t="str">
        <x:v>A0429</x:v>
      </x:c>
      <x:c r="B568" s="18" t="str">
        <x:v>Active</x:v>
      </x:c>
      <x:c r="C568" s="18" t="n">
        <x:v>44</x:v>
      </x:c>
      <x:c r="D568" s="32" t="n">
        <x:v>12.7</x:v>
      </x:c>
      <x:c r="E568" s="24" t="n">
        <x:v>934000</x:v>
      </x:c>
      <x:c r="F568" s="24" t="n">
        <x:v>0</x:v>
      </x:c>
    </x:row>
    <x:row r="569">
      <x:c r="A569" s="18" t="str">
        <x:v>A0319</x:v>
      </x:c>
      <x:c r="B569" s="18" t="str">
        <x:v>Active</x:v>
      </x:c>
      <x:c r="C569" s="18" t="n">
        <x:v>53</x:v>
      </x:c>
      <x:c r="D569" s="32" t="n">
        <x:v>19.6</x:v>
      </x:c>
      <x:c r="E569" s="24" t="n">
        <x:v>1803000</x:v>
      </x:c>
      <x:c r="F569" s="24" t="n">
        <x:v>0</x:v>
      </x:c>
    </x:row>
    <x:row r="570">
      <x:c r="A570" s="18" t="str">
        <x:v>A0259</x:v>
      </x:c>
      <x:c r="B570" s="18" t="str">
        <x:v>Active</x:v>
      </x:c>
      <x:c r="C570" s="18" t="n">
        <x:v>38</x:v>
      </x:c>
      <x:c r="D570" s="32" t="n">
        <x:v>9.8</x:v>
      </x:c>
      <x:c r="E570" s="24" t="n">
        <x:v>615000</x:v>
      </x:c>
      <x:c r="F570" s="24" t="n">
        <x:v>0</x:v>
      </x:c>
    </x:row>
    <x:row r="571">
      <x:c r="A571" s="18" t="str">
        <x:v>A0126</x:v>
      </x:c>
      <x:c r="B571" s="18" t="str">
        <x:v>Active</x:v>
      </x:c>
      <x:c r="C571" s="18" t="n">
        <x:v>43</x:v>
      </x:c>
      <x:c r="D571" s="32" t="n">
        <x:v>7.5</x:v>
      </x:c>
      <x:c r="E571" s="24" t="n">
        <x:v>992000</x:v>
      </x:c>
      <x:c r="F571" s="24" t="n">
        <x:v>0</x:v>
      </x:c>
    </x:row>
    <x:row r="572">
      <x:c r="A572" s="18" t="str">
        <x:v>P0164</x:v>
      </x:c>
      <x:c r="B572" s="18" t="str">
        <x:v>Pensioner</x:v>
      </x:c>
      <x:c r="C572" s="18" t="n">
        <x:v>81</x:v>
      </x:c>
      <x:c r="D572" s="32" t="n">
        <x:v>15.6</x:v>
      </x:c>
      <x:c r="E572" s="24" t="n">
        <x:v>0</x:v>
      </x:c>
      <x:c r="F572" s="24" t="n">
        <x:v>429000</x:v>
      </x:c>
    </x:row>
    <x:row r="573">
      <x:c r="A573" s="18" t="str">
        <x:v>A0494</x:v>
      </x:c>
      <x:c r="B573" s="18" t="str">
        <x:v>Active</x:v>
      </x:c>
      <x:c r="C573" s="18" t="n">
        <x:v>23</x:v>
      </x:c>
      <x:c r="D573" s="32" t="n">
        <x:v>2.3</x:v>
      </x:c>
      <x:c r="E573" s="24" t="n">
        <x:v>425000</x:v>
      </x:c>
      <x:c r="F573" s="24" t="n">
        <x:v>0</x:v>
      </x:c>
    </x:row>
    <x:row r="574">
      <x:c r="A574" s="18" t="str">
        <x:v>A0133</x:v>
      </x:c>
      <x:c r="B574" s="18" t="str">
        <x:v>Active</x:v>
      </x:c>
      <x:c r="C574" s="18" t="n">
        <x:v>35</x:v>
      </x:c>
      <x:c r="D574" s="32" t="n">
        <x:v>11.4</x:v>
      </x:c>
      <x:c r="E574" s="24" t="n">
        <x:v>679000</x:v>
      </x:c>
      <x:c r="F574" s="24" t="n">
        <x:v>0</x:v>
      </x:c>
    </x:row>
    <x:row r="575">
      <x:c r="A575" s="18" t="str">
        <x:v>A0189</x:v>
      </x:c>
      <x:c r="B575" s="18" t="str">
        <x:v>Active</x:v>
      </x:c>
      <x:c r="C575" s="18" t="n">
        <x:v>57</x:v>
      </x:c>
      <x:c r="D575" s="32" t="n">
        <x:v>19.1</x:v>
      </x:c>
      <x:c r="E575" s="24" t="n">
        <x:v>1378000</x:v>
      </x:c>
      <x:c r="F575" s="24" t="n">
        <x:v>0</x:v>
      </x:c>
    </x:row>
    <x:row r="576">
      <x:c r="A576" s="18" t="str">
        <x:v>P0056</x:v>
      </x:c>
      <x:c r="B576" s="18" t="str">
        <x:v>Pensioner</x:v>
      </x:c>
      <x:c r="C576" s="18" t="n">
        <x:v>81</x:v>
      </x:c>
      <x:c r="D576" s="32" t="n">
        <x:v>35.5</x:v>
      </x:c>
      <x:c r="E576" s="24" t="n">
        <x:v>0</x:v>
      </x:c>
      <x:c r="F576" s="24" t="n">
        <x:v>612000</x:v>
      </x:c>
    </x:row>
    <x:row r="577">
      <x:c r="A577" s="18" t="str">
        <x:v>A0170</x:v>
      </x:c>
      <x:c r="B577" s="18" t="str">
        <x:v>Active</x:v>
      </x:c>
      <x:c r="C577" s="18" t="n">
        <x:v>32</x:v>
      </x:c>
      <x:c r="D577" s="32" t="n">
        <x:v>4</x:v>
      </x:c>
      <x:c r="E577" s="24" t="n">
        <x:v>574000</x:v>
      </x:c>
      <x:c r="F577" s="24" t="n">
        <x:v>0</x:v>
      </x:c>
    </x:row>
    <x:row r="578">
      <x:c r="A578" s="18" t="str">
        <x:v>D0050</x:v>
      </x:c>
      <x:c r="B578" s="18" t="str">
        <x:v>Deferred</x:v>
      </x:c>
      <x:c r="C578" s="18" t="n">
        <x:v>35</x:v>
      </x:c>
      <x:c r="D578" s="32" t="n">
        <x:v>9.5</x:v>
      </x:c>
      <x:c r="E578" s="24" t="n">
        <x:v>538000</x:v>
      </x:c>
      <x:c r="F578" s="24" t="n">
        <x:v>0</x:v>
      </x:c>
    </x:row>
    <x:row r="579">
      <x:c r="A579" s="18" t="str">
        <x:v>P0236</x:v>
      </x:c>
      <x:c r="B579" s="18" t="str">
        <x:v>Pensioner</x:v>
      </x:c>
      <x:c r="C579" s="18" t="n">
        <x:v>62</x:v>
      </x:c>
      <x:c r="D579" s="32" t="n">
        <x:v>29.7</x:v>
      </x:c>
      <x:c r="E579" s="24" t="n">
        <x:v>0</x:v>
      </x:c>
      <x:c r="F579" s="24" t="n">
        <x:v>184000</x:v>
      </x:c>
    </x:row>
    <x:row r="580">
      <x:c r="A580" s="18" t="str">
        <x:v>D0002</x:v>
      </x:c>
      <x:c r="B580" s="18" t="str">
        <x:v>Deferred</x:v>
      </x:c>
      <x:c r="C580" s="18" t="n">
        <x:v>49</x:v>
      </x:c>
      <x:c r="D580" s="32" t="n">
        <x:v>2.9</x:v>
      </x:c>
      <x:c r="E580" s="24" t="n">
        <x:v>803000</x:v>
      </x:c>
      <x:c r="F580" s="24" t="n">
        <x:v>0</x:v>
      </x:c>
    </x:row>
    <x:row r="581">
      <x:c r="A581" s="18" t="str">
        <x:v>A0203</x:v>
      </x:c>
      <x:c r="B581" s="18" t="str">
        <x:v>Active</x:v>
      </x:c>
      <x:c r="C581" s="18" t="n">
        <x:v>56</x:v>
      </x:c>
      <x:c r="D581" s="32" t="n">
        <x:v>24.1</x:v>
      </x:c>
      <x:c r="E581" s="24" t="n">
        <x:v>1966000</x:v>
      </x:c>
      <x:c r="F581" s="24" t="n">
        <x:v>0</x:v>
      </x:c>
    </x:row>
    <x:row r="582">
      <x:c r="A582" s="18" t="str">
        <x:v>D0083</x:v>
      </x:c>
      <x:c r="B582" s="18" t="str">
        <x:v>Deferred</x:v>
      </x:c>
      <x:c r="C582" s="18" t="n">
        <x:v>58</x:v>
      </x:c>
      <x:c r="D582" s="32" t="n">
        <x:v>17</x:v>
      </x:c>
      <x:c r="E582" s="24" t="n">
        <x:v>1164000</x:v>
      </x:c>
      <x:c r="F582" s="24" t="n">
        <x:v>0</x:v>
      </x:c>
    </x:row>
    <x:row r="583">
      <x:c r="A583" s="18" t="str">
        <x:v>A0373</x:v>
      </x:c>
      <x:c r="B583" s="18" t="str">
        <x:v>Active</x:v>
      </x:c>
      <x:c r="C583" s="18" t="n">
        <x:v>45</x:v>
      </x:c>
      <x:c r="D583" s="32" t="n">
        <x:v>4.5</x:v>
      </x:c>
      <x:c r="E583" s="24" t="n">
        <x:v>970000</x:v>
      </x:c>
      <x:c r="F583" s="24" t="n">
        <x:v>0</x:v>
      </x:c>
    </x:row>
    <x:row r="584">
      <x:c r="A584" s="18" t="str">
        <x:v>A0120</x:v>
      </x:c>
      <x:c r="B584" s="18" t="str">
        <x:v>Active</x:v>
      </x:c>
      <x:c r="C584" s="18" t="n">
        <x:v>51</x:v>
      </x:c>
      <x:c r="D584" s="32" t="n">
        <x:v>16.6</x:v>
      </x:c>
      <x:c r="E584" s="24" t="n">
        <x:v>1124000</x:v>
      </x:c>
      <x:c r="F584" s="24" t="n">
        <x:v>0</x:v>
      </x:c>
    </x:row>
    <x:row r="585">
      <x:c r="A585" s="18" t="str">
        <x:v>A0470</x:v>
      </x:c>
      <x:c r="B585" s="18" t="str">
        <x:v>Active</x:v>
      </x:c>
      <x:c r="C585" s="18" t="n">
        <x:v>36</x:v>
      </x:c>
      <x:c r="D585" s="32" t="n">
        <x:v>5.5</x:v>
      </x:c>
      <x:c r="E585" s="24" t="n">
        <x:v>735000</x:v>
      </x:c>
      <x:c r="F585" s="24" t="n">
        <x:v>0</x:v>
      </x:c>
    </x:row>
    <x:row r="586">
      <x:c r="A586" s="18" t="str">
        <x:v>D0038</x:v>
      </x:c>
      <x:c r="B586" s="18" t="str">
        <x:v>Deferred</x:v>
      </x:c>
      <x:c r="C586" s="18" t="n">
        <x:v>46</x:v>
      </x:c>
      <x:c r="D586" s="32" t="n">
        <x:v>13.5</x:v>
      </x:c>
      <x:c r="E586" s="24" t="n">
        <x:v>813000</x:v>
      </x:c>
      <x:c r="F586" s="24" t="n">
        <x:v>0</x:v>
      </x:c>
    </x:row>
    <x:row r="587">
      <x:c r="A587" s="18" t="str">
        <x:v>D0093</x:v>
      </x:c>
      <x:c r="B587" s="18" t="str">
        <x:v>Deferred</x:v>
      </x:c>
      <x:c r="C587" s="18" t="n">
        <x:v>37</x:v>
      </x:c>
      <x:c r="D587" s="32" t="n">
        <x:v>11</x:v>
      </x:c>
      <x:c r="E587" s="24" t="n">
        <x:v>481000</x:v>
      </x:c>
      <x:c r="F587" s="24" t="n">
        <x:v>0</x:v>
      </x:c>
    </x:row>
    <x:row r="588">
      <x:c r="A588" s="18" t="str">
        <x:v>A0526</x:v>
      </x:c>
      <x:c r="B588" s="18" t="str">
        <x:v>Active</x:v>
      </x:c>
      <x:c r="C588" s="18" t="n">
        <x:v>58</x:v>
      </x:c>
      <x:c r="D588" s="32" t="n">
        <x:v>7.9</x:v>
      </x:c>
      <x:c r="E588" s="24" t="n">
        <x:v>1977000</x:v>
      </x:c>
      <x:c r="F588" s="24" t="n">
        <x:v>0</x:v>
      </x:c>
    </x:row>
    <x:row r="589">
      <x:c r="A589" s="18" t="str">
        <x:v>A0458</x:v>
      </x:c>
      <x:c r="B589" s="18" t="str">
        <x:v>Active</x:v>
      </x:c>
      <x:c r="C589" s="18" t="n">
        <x:v>55</x:v>
      </x:c>
      <x:c r="D589" s="32" t="n">
        <x:v>2.5</x:v>
      </x:c>
      <x:c r="E589" s="24" t="n">
        <x:v>2194000</x:v>
      </x:c>
      <x:c r="F589" s="24" t="n">
        <x:v>0</x:v>
      </x:c>
    </x:row>
    <x:row r="590">
      <x:c r="A590" s="18" t="str">
        <x:v>A0527</x:v>
      </x:c>
      <x:c r="B590" s="18" t="str">
        <x:v>Active</x:v>
      </x:c>
      <x:c r="C590" s="18" t="n">
        <x:v>50</x:v>
      </x:c>
      <x:c r="D590" s="32" t="n">
        <x:v>8.6</x:v>
      </x:c>
      <x:c r="E590" s="24" t="n">
        <x:v>1388000</x:v>
      </x:c>
      <x:c r="F590" s="24" t="n">
        <x:v>0</x:v>
      </x:c>
    </x:row>
    <x:row r="591">
      <x:c r="A591" s="18" t="str">
        <x:v>A0163</x:v>
      </x:c>
      <x:c r="B591" s="18" t="str">
        <x:v>Active</x:v>
      </x:c>
      <x:c r="C591" s="18" t="n">
        <x:v>26</x:v>
      </x:c>
      <x:c r="D591" s="32" t="n">
        <x:v>3.9</x:v>
      </x:c>
      <x:c r="E591" s="24" t="n">
        <x:v>381000</x:v>
      </x:c>
      <x:c r="F591" s="24" t="n">
        <x:v>0</x:v>
      </x:c>
    </x:row>
    <x:row r="592">
      <x:c r="A592" s="18" t="str">
        <x:v>P0108</x:v>
      </x:c>
      <x:c r="B592" s="18" t="str">
        <x:v>Pensioner</x:v>
      </x:c>
      <x:c r="C592" s="18" t="n">
        <x:v>83</x:v>
      </x:c>
      <x:c r="D592" s="32" t="n">
        <x:v>12.7</x:v>
      </x:c>
      <x:c r="E592" s="24" t="n">
        <x:v>0</x:v>
      </x:c>
      <x:c r="F592" s="24" t="n">
        <x:v>684000</x:v>
      </x:c>
    </x:row>
    <x:row r="593">
      <x:c r="A593" s="18" t="str">
        <x:v>P0156</x:v>
      </x:c>
      <x:c r="B593" s="18" t="str">
        <x:v>Pensioner</x:v>
      </x:c>
      <x:c r="C593" s="18" t="n">
        <x:v>61</x:v>
      </x:c>
      <x:c r="D593" s="32" t="n">
        <x:v>32.8</x:v>
      </x:c>
      <x:c r="E593" s="24" t="n">
        <x:v>0</x:v>
      </x:c>
      <x:c r="F593" s="24" t="n">
        <x:v>267000</x:v>
      </x:c>
    </x:row>
    <x:row r="594">
      <x:c r="A594" s="18" t="str">
        <x:v>A0087</x:v>
      </x:c>
      <x:c r="B594" s="18" t="str">
        <x:v>Active</x:v>
      </x:c>
      <x:c r="C594" s="18" t="n">
        <x:v>27</x:v>
      </x:c>
      <x:c r="D594" s="32" t="n">
        <x:v>1.1</x:v>
      </x:c>
      <x:c r="E594" s="24" t="n">
        <x:v>489000</x:v>
      </x:c>
      <x:c r="F594" s="24" t="n">
        <x:v>0</x:v>
      </x:c>
    </x:row>
    <x:row r="595">
      <x:c r="A595" s="18" t="str">
        <x:v>P0084</x:v>
      </x:c>
      <x:c r="B595" s="18" t="str">
        <x:v>Pensioner</x:v>
      </x:c>
      <x:c r="C595" s="18" t="n">
        <x:v>74</x:v>
      </x:c>
      <x:c r="D595" s="32" t="n">
        <x:v>26.2</x:v>
      </x:c>
      <x:c r="E595" s="24" t="n">
        <x:v>0</x:v>
      </x:c>
      <x:c r="F595" s="24" t="n">
        <x:v>555000</x:v>
      </x:c>
    </x:row>
    <x:row r="596">
      <x:c r="A596" s="18" t="str">
        <x:v>P0172</x:v>
      </x:c>
      <x:c r="B596" s="18" t="str">
        <x:v>Pensioner</x:v>
      </x:c>
      <x:c r="C596" s="18" t="n">
        <x:v>82</x:v>
      </x:c>
      <x:c r="D596" s="32" t="n">
        <x:v>14.4</x:v>
      </x:c>
      <x:c r="E596" s="24" t="n">
        <x:v>0</x:v>
      </x:c>
      <x:c r="F596" s="24" t="n">
        <x:v>277000</x:v>
      </x:c>
    </x:row>
    <x:row r="597">
      <x:c r="A597" s="18" t="str">
        <x:v>A0505</x:v>
      </x:c>
      <x:c r="B597" s="18" t="str">
        <x:v>Active</x:v>
      </x:c>
      <x:c r="C597" s="18" t="n">
        <x:v>48</x:v>
      </x:c>
      <x:c r="D597" s="32" t="n">
        <x:v>4</x:v>
      </x:c>
      <x:c r="E597" s="24" t="n">
        <x:v>978000</x:v>
      </x:c>
      <x:c r="F597" s="24" t="n">
        <x:v>0</x:v>
      </x:c>
    </x:row>
    <x:row r="598">
      <x:c r="A598" s="18" t="str">
        <x:v>P0059</x:v>
      </x:c>
      <x:c r="B598" s="18" t="str">
        <x:v>Pensioner</x:v>
      </x:c>
      <x:c r="C598" s="18" t="n">
        <x:v>78</x:v>
      </x:c>
      <x:c r="D598" s="32" t="n">
        <x:v>16.3</x:v>
      </x:c>
      <x:c r="E598" s="24" t="n">
        <x:v>0</x:v>
      </x:c>
      <x:c r="F598" s="24" t="n">
        <x:v>556000</x:v>
      </x:c>
    </x:row>
    <x:row r="599">
      <x:c r="A599" s="18" t="str">
        <x:v>A0274</x:v>
      </x:c>
      <x:c r="B599" s="18" t="str">
        <x:v>Active</x:v>
      </x:c>
      <x:c r="C599" s="18" t="n">
        <x:v>26</x:v>
      </x:c>
      <x:c r="D599" s="32" t="n">
        <x:v>4.7</x:v>
      </x:c>
      <x:c r="E599" s="24" t="n">
        <x:v>502000</x:v>
      </x:c>
      <x:c r="F599" s="24" t="n">
        <x:v>0</x:v>
      </x:c>
    </x:row>
    <x:row r="600">
      <x:c r="A600" s="18" t="str">
        <x:v>A0255</x:v>
      </x:c>
      <x:c r="B600" s="18" t="str">
        <x:v>Active</x:v>
      </x:c>
      <x:c r="C600" s="18" t="n">
        <x:v>38</x:v>
      </x:c>
      <x:c r="D600" s="32" t="n">
        <x:v>7.3</x:v>
      </x:c>
      <x:c r="E600" s="24" t="n">
        <x:v>768000</x:v>
      </x:c>
      <x:c r="F600" s="24" t="n">
        <x:v>0</x:v>
      </x:c>
    </x:row>
    <x:row r="601">
      <x:c r="A601" s="18" t="str">
        <x:v>P0235</x:v>
      </x:c>
      <x:c r="B601" s="18" t="str">
        <x:v>Pensioner</x:v>
      </x:c>
      <x:c r="C601" s="18" t="n">
        <x:v>89</x:v>
      </x:c>
      <x:c r="D601" s="32" t="n">
        <x:v>20.5</x:v>
      </x:c>
      <x:c r="E601" s="24" t="n">
        <x:v>0</x:v>
      </x:c>
      <x:c r="F601" s="24" t="n">
        <x:v>538000</x:v>
      </x:c>
    </x:row>
    <x:row r="602">
      <x:c r="A602" s="18" t="str">
        <x:v>D0110</x:v>
      </x:c>
      <x:c r="B602" s="18" t="str">
        <x:v>Deferred</x:v>
      </x:c>
      <x:c r="C602" s="18" t="n">
        <x:v>56</x:v>
      </x:c>
      <x:c r="D602" s="32" t="n">
        <x:v>7.9</x:v>
      </x:c>
      <x:c r="E602" s="24" t="n">
        <x:v>1472000</x:v>
      </x:c>
      <x:c r="F602" s="24" t="n">
        <x:v>0</x:v>
      </x:c>
    </x:row>
    <x:row r="603">
      <x:c r="A603" s="18" t="str">
        <x:v>P0064</x:v>
      </x:c>
      <x:c r="B603" s="18" t="str">
        <x:v>Pensioner</x:v>
      </x:c>
      <x:c r="C603" s="18" t="n">
        <x:v>85</x:v>
      </x:c>
      <x:c r="D603" s="32" t="n">
        <x:v>39.8</x:v>
      </x:c>
      <x:c r="E603" s="24" t="n">
        <x:v>0</x:v>
      </x:c>
      <x:c r="F603" s="24" t="n">
        <x:v>395000</x:v>
      </x:c>
    </x:row>
    <x:row r="604">
      <x:c r="A604" s="18" t="str">
        <x:v>P0226</x:v>
      </x:c>
      <x:c r="B604" s="18" t="str">
        <x:v>Pensioner</x:v>
      </x:c>
      <x:c r="C604" s="18" t="n">
        <x:v>62</x:v>
      </x:c>
      <x:c r="D604" s="32" t="n">
        <x:v>34.1</x:v>
      </x:c>
      <x:c r="E604" s="24" t="n">
        <x:v>0</x:v>
      </x:c>
      <x:c r="F604" s="24" t="n">
        <x:v>372000</x:v>
      </x:c>
    </x:row>
    <x:row r="605">
      <x:c r="A605" s="18" t="str">
        <x:v>A0085</x:v>
      </x:c>
      <x:c r="B605" s="18" t="str">
        <x:v>Active</x:v>
      </x:c>
      <x:c r="C605" s="18" t="n">
        <x:v>58</x:v>
      </x:c>
      <x:c r="D605" s="32" t="n">
        <x:v>29.9</x:v>
      </x:c>
      <x:c r="E605" s="24" t="n">
        <x:v>1740000</x:v>
      </x:c>
      <x:c r="F605" s="24" t="n">
        <x:v>0</x:v>
      </x:c>
    </x:row>
    <x:row r="606">
      <x:c r="A606" s="18" t="str">
        <x:v>A0107</x:v>
      </x:c>
      <x:c r="B606" s="18" t="str">
        <x:v>Active</x:v>
      </x:c>
      <x:c r="C606" s="18" t="n">
        <x:v>29</x:v>
      </x:c>
      <x:c r="D606" s="32" t="n">
        <x:v>5.7</x:v>
      </x:c>
      <x:c r="E606" s="24" t="n">
        <x:v>588000</x:v>
      </x:c>
      <x:c r="F606" s="24" t="n">
        <x:v>0</x:v>
      </x:c>
    </x:row>
    <x:row r="607">
      <x:c r="A607" s="18" t="str">
        <x:v>P0144</x:v>
      </x:c>
      <x:c r="B607" s="18" t="str">
        <x:v>Pensioner</x:v>
      </x:c>
      <x:c r="C607" s="18" t="n">
        <x:v>61</x:v>
      </x:c>
      <x:c r="D607" s="32" t="n">
        <x:v>17.3</x:v>
      </x:c>
      <x:c r="E607" s="24" t="n">
        <x:v>0</x:v>
      </x:c>
      <x:c r="F607" s="24" t="n">
        <x:v>368000</x:v>
      </x:c>
    </x:row>
    <x:row r="608">
      <x:c r="A608" s="18" t="str">
        <x:v>A0295</x:v>
      </x:c>
      <x:c r="B608" s="18" t="str">
        <x:v>Active</x:v>
      </x:c>
      <x:c r="C608" s="18" t="n">
        <x:v>39</x:v>
      </x:c>
      <x:c r="D608" s="32" t="n">
        <x:v>8</x:v>
      </x:c>
      <x:c r="E608" s="24" t="n">
        <x:v>977000</x:v>
      </x:c>
      <x:c r="F608" s="24" t="n">
        <x:v>0</x:v>
      </x:c>
    </x:row>
    <x:row r="609">
      <x:c r="A609" s="18" t="str">
        <x:v>A0524</x:v>
      </x:c>
      <x:c r="B609" s="18" t="str">
        <x:v>Active</x:v>
      </x:c>
      <x:c r="C609" s="18" t="n">
        <x:v>57</x:v>
      </x:c>
      <x:c r="D609" s="32" t="n">
        <x:v>25.2</x:v>
      </x:c>
      <x:c r="E609" s="24" t="n">
        <x:v>1831000</x:v>
      </x:c>
      <x:c r="F609" s="24" t="n">
        <x:v>0</x:v>
      </x:c>
    </x:row>
    <x:row r="610">
      <x:c r="A610" s="18" t="str">
        <x:v>A0369</x:v>
      </x:c>
      <x:c r="B610" s="18" t="str">
        <x:v>Active</x:v>
      </x:c>
      <x:c r="C610" s="18" t="n">
        <x:v>43</x:v>
      </x:c>
      <x:c r="D610" s="32" t="n">
        <x:v>13.3</x:v>
      </x:c>
      <x:c r="E610" s="24" t="n">
        <x:v>1236000</x:v>
      </x:c>
      <x:c r="F610" s="24" t="n">
        <x:v>0</x:v>
      </x:c>
    </x:row>
    <x:row r="611">
      <x:c r="A611" s="18" t="str">
        <x:v>P0206</x:v>
      </x:c>
      <x:c r="B611" s="18" t="str">
        <x:v>Pensioner</x:v>
      </x:c>
      <x:c r="C611" s="18" t="n">
        <x:v>88</x:v>
      </x:c>
      <x:c r="D611" s="32" t="n">
        <x:v>20.5</x:v>
      </x:c>
      <x:c r="E611" s="24" t="n">
        <x:v>0</x:v>
      </x:c>
      <x:c r="F611" s="24" t="n">
        <x:v>917000</x:v>
      </x:c>
    </x:row>
    <x:row r="612">
      <x:c r="A612" s="18" t="str">
        <x:v>P0207</x:v>
      </x:c>
      <x:c r="B612" s="18" t="str">
        <x:v>Pensioner</x:v>
      </x:c>
      <x:c r="C612" s="18" t="n">
        <x:v>73</x:v>
      </x:c>
      <x:c r="D612" s="32" t="n">
        <x:v>16.6</x:v>
      </x:c>
      <x:c r="E612" s="24" t="n">
        <x:v>0</x:v>
      </x:c>
      <x:c r="F612" s="24" t="n">
        <x:v>241000</x:v>
      </x:c>
    </x:row>
    <x:row r="613">
      <x:c r="A613" s="18" t="str">
        <x:v>A0605</x:v>
      </x:c>
      <x:c r="B613" s="18" t="str">
        <x:v>Active</x:v>
      </x:c>
      <x:c r="C613" s="18" t="n">
        <x:v>50</x:v>
      </x:c>
      <x:c r="D613" s="32" t="n">
        <x:v>1.8</x:v>
      </x:c>
      <x:c r="E613" s="24" t="n">
        <x:v>1704000</x:v>
      </x:c>
      <x:c r="F613" s="24" t="n">
        <x:v>0</x:v>
      </x:c>
    </x:row>
    <x:row r="614">
      <x:c r="A614" s="18" t="str">
        <x:v>A0413</x:v>
      </x:c>
      <x:c r="B614" s="18" t="str">
        <x:v>Active</x:v>
      </x:c>
      <x:c r="C614" s="18" t="n">
        <x:v>42</x:v>
      </x:c>
      <x:c r="D614" s="32" t="n">
        <x:v>11.3</x:v>
      </x:c>
      <x:c r="E614" s="24" t="n">
        <x:v>1163000</x:v>
      </x:c>
      <x:c r="F614" s="24" t="n">
        <x:v>0</x:v>
      </x:c>
    </x:row>
    <x:row r="615">
      <x:c r="A615" s="18" t="str">
        <x:v>A0542</x:v>
      </x:c>
      <x:c r="B615" s="18" t="str">
        <x:v>Active</x:v>
      </x:c>
      <x:c r="C615" s="18" t="n">
        <x:v>49</x:v>
      </x:c>
      <x:c r="D615" s="32" t="n">
        <x:v>21.9</x:v>
      </x:c>
      <x:c r="E615" s="24" t="n">
        <x:v>1148000</x:v>
      </x:c>
      <x:c r="F615" s="24" t="n">
        <x:v>0</x:v>
      </x:c>
    </x:row>
    <x:row r="616">
      <x:c r="A616" s="18" t="str">
        <x:v>P0090</x:v>
      </x:c>
      <x:c r="B616" s="18" t="str">
        <x:v>Pensioner</x:v>
      </x:c>
      <x:c r="C616" s="18" t="n">
        <x:v>63</x:v>
      </x:c>
      <x:c r="D616" s="32" t="n">
        <x:v>25</x:v>
      </x:c>
      <x:c r="E616" s="24" t="n">
        <x:v>0</x:v>
      </x:c>
      <x:c r="F616" s="24" t="n">
        <x:v>164000</x:v>
      </x:c>
    </x:row>
    <x:row r="617">
      <x:c r="A617" s="18" t="str">
        <x:v>A0473</x:v>
      </x:c>
      <x:c r="B617" s="18" t="str">
        <x:v>Active</x:v>
      </x:c>
      <x:c r="C617" s="18" t="n">
        <x:v>58</x:v>
      </x:c>
      <x:c r="D617" s="32" t="n">
        <x:v>12.3</x:v>
      </x:c>
      <x:c r="E617" s="24" t="n">
        <x:v>1676000</x:v>
      </x:c>
      <x:c r="F617" s="24" t="n">
        <x:v>0</x:v>
      </x:c>
    </x:row>
    <x:row r="618">
      <x:c r="A618" s="18" t="str">
        <x:v>A0125</x:v>
      </x:c>
      <x:c r="B618" s="18" t="str">
        <x:v>Active</x:v>
      </x:c>
      <x:c r="C618" s="18" t="n">
        <x:v>25</x:v>
      </x:c>
      <x:c r="D618" s="32" t="n">
        <x:v>1</x:v>
      </x:c>
      <x:c r="E618" s="24" t="n">
        <x:v>368000</x:v>
      </x:c>
      <x:c r="F618" s="24" t="n">
        <x:v>0</x:v>
      </x:c>
    </x:row>
    <x:row r="619">
      <x:c r="A619" s="18" t="str">
        <x:v>D0114</x:v>
      </x:c>
      <x:c r="B619" s="18" t="str">
        <x:v>Deferred</x:v>
      </x:c>
      <x:c r="C619" s="18" t="n">
        <x:v>42</x:v>
      </x:c>
      <x:c r="D619" s="32" t="n">
        <x:v>13.4</x:v>
      </x:c>
      <x:c r="E619" s="24" t="n">
        <x:v>607000</x:v>
      </x:c>
      <x:c r="F619" s="24" t="n">
        <x:v>0</x:v>
      </x:c>
    </x:row>
    <x:row r="620">
      <x:c r="A620" s="18" t="str">
        <x:v>A0123</x:v>
      </x:c>
      <x:c r="B620" s="18" t="str">
        <x:v>Active</x:v>
      </x:c>
      <x:c r="C620" s="18" t="n">
        <x:v>42</x:v>
      </x:c>
      <x:c r="D620" s="32" t="n">
        <x:v>13.1</x:v>
      </x:c>
      <x:c r="E620" s="24" t="n">
        <x:v>787000</x:v>
      </x:c>
      <x:c r="F620" s="24" t="n">
        <x:v>0</x:v>
      </x:c>
    </x:row>
    <x:row r="621">
      <x:c r="A621" s="18" t="str">
        <x:v>A0379</x:v>
      </x:c>
      <x:c r="B621" s="18" t="str">
        <x:v>Active</x:v>
      </x:c>
      <x:c r="C621" s="18" t="n">
        <x:v>44</x:v>
      </x:c>
      <x:c r="D621" s="32" t="n">
        <x:v>3.9</x:v>
      </x:c>
      <x:c r="E621" s="24" t="n">
        <x:v>1365000</x:v>
      </x:c>
      <x:c r="F621" s="24" t="n">
        <x:v>0</x:v>
      </x:c>
    </x:row>
    <x:row r="622">
      <x:c r="A622" s="18" t="str">
        <x:v>A0272</x:v>
      </x:c>
      <x:c r="B622" s="18" t="str">
        <x:v>Active</x:v>
      </x:c>
      <x:c r="C622" s="18" t="n">
        <x:v>22</x:v>
      </x:c>
      <x:c r="D622" s="32" t="n">
        <x:v>1</x:v>
      </x:c>
      <x:c r="E622" s="24" t="n">
        <x:v>445000</x:v>
      </x:c>
      <x:c r="F622" s="24" t="n">
        <x:v>0</x:v>
      </x:c>
    </x:row>
    <x:row r="623">
      <x:c r="A623" s="18" t="str">
        <x:v>A0146</x:v>
      </x:c>
      <x:c r="B623" s="18" t="str">
        <x:v>Active</x:v>
      </x:c>
      <x:c r="C623" s="18" t="n">
        <x:v>30</x:v>
      </x:c>
      <x:c r="D623" s="32" t="n">
        <x:v>4.8</x:v>
      </x:c>
      <x:c r="E623" s="24" t="n">
        <x:v>682000</x:v>
      </x:c>
      <x:c r="F623" s="24" t="n">
        <x:v>0</x:v>
      </x:c>
    </x:row>
    <x:row r="624">
      <x:c r="A624" s="18" t="str">
        <x:v>D0024</x:v>
      </x:c>
      <x:c r="B624" s="18" t="str">
        <x:v>Deferred</x:v>
      </x:c>
      <x:c r="C624" s="18" t="n">
        <x:v>30</x:v>
      </x:c>
      <x:c r="D624" s="32" t="n">
        <x:v>2.6</x:v>
      </x:c>
      <x:c r="E624" s="24" t="n">
        <x:v>333000</x:v>
      </x:c>
      <x:c r="F624" s="24" t="n">
        <x:v>0</x:v>
      </x:c>
    </x:row>
    <x:row r="625">
      <x:c r="A625" s="18" t="str">
        <x:v>P0069</x:v>
      </x:c>
      <x:c r="B625" s="18" t="str">
        <x:v>Pensioner</x:v>
      </x:c>
      <x:c r="C625" s="18" t="n">
        <x:v>61</x:v>
      </x:c>
      <x:c r="D625" s="32" t="n">
        <x:v>20.5</x:v>
      </x:c>
      <x:c r="E625" s="24" t="n">
        <x:v>0</x:v>
      </x:c>
      <x:c r="F625" s="24" t="n">
        <x:v>240000</x:v>
      </x:c>
    </x:row>
    <x:row r="626">
      <x:c r="A626" s="18" t="str">
        <x:v>A0142</x:v>
      </x:c>
      <x:c r="B626" s="18" t="str">
        <x:v>Active</x:v>
      </x:c>
      <x:c r="C626" s="18" t="n">
        <x:v>39</x:v>
      </x:c>
      <x:c r="D626" s="32" t="n">
        <x:v>14.9</x:v>
      </x:c>
      <x:c r="E626" s="24" t="n">
        <x:v>857000</x:v>
      </x:c>
      <x:c r="F626" s="24" t="n">
        <x:v>0</x:v>
      </x:c>
    </x:row>
    <x:row r="627">
      <x:c r="A627" s="18" t="str">
        <x:v>A0468</x:v>
      </x:c>
      <x:c r="B627" s="18" t="str">
        <x:v>Active</x:v>
      </x:c>
      <x:c r="C627" s="18" t="n">
        <x:v>24</x:v>
      </x:c>
      <x:c r="D627" s="32" t="n">
        <x:v>1</x:v>
      </x:c>
      <x:c r="E627" s="24" t="n">
        <x:v>488000</x:v>
      </x:c>
      <x:c r="F627" s="24" t="n">
        <x:v>0</x:v>
      </x:c>
    </x:row>
    <x:row r="628">
      <x:c r="A628" s="18" t="str">
        <x:v>A0422</x:v>
      </x:c>
      <x:c r="B628" s="18" t="str">
        <x:v>Active</x:v>
      </x:c>
      <x:c r="C628" s="18" t="n">
        <x:v>48</x:v>
      </x:c>
      <x:c r="D628" s="32" t="n">
        <x:v>9.2</x:v>
      </x:c>
      <x:c r="E628" s="24" t="n">
        <x:v>1402000</x:v>
      </x:c>
      <x:c r="F628" s="24" t="n">
        <x:v>0</x:v>
      </x:c>
    </x:row>
    <x:row r="629">
      <x:c r="A629" s="18" t="str">
        <x:v>A0613</x:v>
      </x:c>
      <x:c r="B629" s="18" t="str">
        <x:v>Active</x:v>
      </x:c>
      <x:c r="C629" s="18" t="n">
        <x:v>58</x:v>
      </x:c>
      <x:c r="D629" s="32" t="n">
        <x:v>24.7</x:v>
      </x:c>
      <x:c r="E629" s="24" t="n">
        <x:v>1439000</x:v>
      </x:c>
      <x:c r="F629" s="24" t="n">
        <x:v>0</x:v>
      </x:c>
    </x:row>
    <x:row r="630">
      <x:c r="A630" s="18" t="str">
        <x:v>A0540</x:v>
      </x:c>
      <x:c r="B630" s="18" t="str">
        <x:v>Active</x:v>
      </x:c>
      <x:c r="C630" s="18" t="n">
        <x:v>27</x:v>
      </x:c>
      <x:c r="D630" s="32" t="n">
        <x:v>2.7</x:v>
      </x:c>
      <x:c r="E630" s="24" t="n">
        <x:v>391000</x:v>
      </x:c>
      <x:c r="F630" s="24" t="n">
        <x:v>0</x:v>
      </x:c>
    </x:row>
    <x:row r="631">
      <x:c r="A631" s="18" t="str">
        <x:v>A0198</x:v>
      </x:c>
      <x:c r="B631" s="18" t="str">
        <x:v>Active</x:v>
      </x:c>
      <x:c r="C631" s="18" t="n">
        <x:v>33</x:v>
      </x:c>
      <x:c r="D631" s="32" t="n">
        <x:v>2.6</x:v>
      </x:c>
      <x:c r="E631" s="24" t="n">
        <x:v>681000</x:v>
      </x:c>
      <x:c r="F631" s="24" t="n">
        <x:v>0</x:v>
      </x:c>
    </x:row>
    <x:row r="632">
      <x:c r="A632" s="18" t="str">
        <x:v>A0450</x:v>
      </x:c>
      <x:c r="B632" s="18" t="str">
        <x:v>Active</x:v>
      </x:c>
      <x:c r="C632" s="18" t="n">
        <x:v>22</x:v>
      </x:c>
      <x:c r="D632" s="32" t="n">
        <x:v>1.4</x:v>
      </x:c>
      <x:c r="E632" s="24" t="n">
        <x:v>562000</x:v>
      </x:c>
      <x:c r="F632" s="24" t="n">
        <x:v>0</x:v>
      </x:c>
    </x:row>
    <x:row r="633">
      <x:c r="A633" s="18" t="str">
        <x:v>P0171</x:v>
      </x:c>
      <x:c r="B633" s="18" t="str">
        <x:v>Pensioner</x:v>
      </x:c>
      <x:c r="C633" s="18" t="n">
        <x:v>87</x:v>
      </x:c>
      <x:c r="D633" s="32" t="n">
        <x:v>26.2</x:v>
      </x:c>
      <x:c r="E633" s="24" t="n">
        <x:v>0</x:v>
      </x:c>
      <x:c r="F633" s="24" t="n">
        <x:v>423000</x:v>
      </x:c>
    </x:row>
    <x:row r="634">
      <x:c r="A634" s="18" t="str">
        <x:v>A0446</x:v>
      </x:c>
      <x:c r="B634" s="18" t="str">
        <x:v>Active</x:v>
      </x:c>
      <x:c r="C634" s="18" t="n">
        <x:v>40</x:v>
      </x:c>
      <x:c r="D634" s="32" t="n">
        <x:v>18.5</x:v>
      </x:c>
      <x:c r="E634" s="24" t="n">
        <x:v>678000</x:v>
      </x:c>
      <x:c r="F634" s="24" t="n">
        <x:v>0</x:v>
      </x:c>
    </x:row>
    <x:row r="635">
      <x:c r="A635" s="18" t="str">
        <x:v>A0038</x:v>
      </x:c>
      <x:c r="B635" s="18" t="str">
        <x:v>Active</x:v>
      </x:c>
      <x:c r="C635" s="18" t="n">
        <x:v>39</x:v>
      </x:c>
      <x:c r="D635" s="32" t="n">
        <x:v>8.3</x:v>
      </x:c>
      <x:c r="E635" s="24" t="n">
        <x:v>698000</x:v>
      </x:c>
      <x:c r="F635" s="24" t="n">
        <x:v>0</x:v>
      </x:c>
    </x:row>
    <x:row r="636">
      <x:c r="A636" s="18" t="str">
        <x:v>D0122</x:v>
      </x:c>
      <x:c r="B636" s="18" t="str">
        <x:v>Deferred</x:v>
      </x:c>
      <x:c r="C636" s="18" t="n">
        <x:v>40</x:v>
      </x:c>
      <x:c r="D636" s="32" t="n">
        <x:v>13.9</x:v>
      </x:c>
      <x:c r="E636" s="24" t="n">
        <x:v>526000</x:v>
      </x:c>
      <x:c r="F636" s="24" t="n">
        <x:v>0</x:v>
      </x:c>
    </x:row>
    <x:row r="637">
      <x:c r="A637" s="18" t="str">
        <x:v>A0160</x:v>
      </x:c>
      <x:c r="B637" s="18" t="str">
        <x:v>Active</x:v>
      </x:c>
      <x:c r="C637" s="18" t="n">
        <x:v>50</x:v>
      </x:c>
      <x:c r="D637" s="32" t="n">
        <x:v>29.3</x:v>
      </x:c>
      <x:c r="E637" s="24" t="n">
        <x:v>1633000</x:v>
      </x:c>
      <x:c r="F637" s="24" t="n">
        <x:v>0</x:v>
      </x:c>
    </x:row>
    <x:row r="638">
      <x:c r="A638" s="18" t="str">
        <x:v>A0486</x:v>
      </x:c>
      <x:c r="B638" s="18" t="str">
        <x:v>Active</x:v>
      </x:c>
      <x:c r="C638" s="18" t="n">
        <x:v>23</x:v>
      </x:c>
      <x:c r="D638" s="32" t="n">
        <x:v>1.8</x:v>
      </x:c>
      <x:c r="E638" s="24" t="n">
        <x:v>507000</x:v>
      </x:c>
      <x:c r="F638" s="24" t="n">
        <x:v>0</x:v>
      </x:c>
    </x:row>
    <x:row r="639">
      <x:c r="A639" s="18" t="str">
        <x:v>A0019</x:v>
      </x:c>
      <x:c r="B639" s="18" t="str">
        <x:v>Active</x:v>
      </x:c>
      <x:c r="C639" s="18" t="n">
        <x:v>56</x:v>
      </x:c>
      <x:c r="D639" s="32" t="n">
        <x:v>2.8</x:v>
      </x:c>
      <x:c r="E639" s="24" t="n">
        <x:v>1546000</x:v>
      </x:c>
      <x:c r="F639" s="24" t="n">
        <x:v>0</x:v>
      </x:c>
    </x:row>
    <x:row r="640">
      <x:c r="A640" s="18" t="str">
        <x:v>A0099</x:v>
      </x:c>
      <x:c r="B640" s="18" t="str">
        <x:v>Active</x:v>
      </x:c>
      <x:c r="C640" s="18" t="n">
        <x:v>47</x:v>
      </x:c>
      <x:c r="D640" s="32" t="n">
        <x:v>12.8</x:v>
      </x:c>
      <x:c r="E640" s="24" t="n">
        <x:v>1327000</x:v>
      </x:c>
      <x:c r="F640" s="24" t="n">
        <x:v>0</x:v>
      </x:c>
    </x:row>
    <x:row r="641">
      <x:c r="A641" s="18" t="str">
        <x:v>P0159</x:v>
      </x:c>
      <x:c r="B641" s="18" t="str">
        <x:v>Pensioner</x:v>
      </x:c>
      <x:c r="C641" s="18" t="n">
        <x:v>90</x:v>
      </x:c>
      <x:c r="D641" s="32" t="n">
        <x:v>31.5</x:v>
      </x:c>
      <x:c r="E641" s="24" t="n">
        <x:v>0</x:v>
      </x:c>
      <x:c r="F641" s="24" t="n">
        <x:v>754000</x:v>
      </x:c>
    </x:row>
    <x:row r="642">
      <x:c r="A642" s="18" t="str">
        <x:v>A0084</x:v>
      </x:c>
      <x:c r="B642" s="18" t="str">
        <x:v>Active</x:v>
      </x:c>
      <x:c r="C642" s="18" t="n">
        <x:v>28</x:v>
      </x:c>
      <x:c r="D642" s="32" t="n">
        <x:v>1.4</x:v>
      </x:c>
      <x:c r="E642" s="24" t="n">
        <x:v>423000</x:v>
      </x:c>
      <x:c r="F642" s="24" t="n">
        <x:v>0</x:v>
      </x:c>
    </x:row>
    <x:row r="643">
      <x:c r="A643" s="18" t="str">
        <x:v>A0620</x:v>
      </x:c>
      <x:c r="B643" s="18" t="str">
        <x:v>Active</x:v>
      </x:c>
      <x:c r="C643" s="18" t="n">
        <x:v>31</x:v>
      </x:c>
      <x:c r="D643" s="32" t="n">
        <x:v>6.8</x:v>
      </x:c>
      <x:c r="E643" s="24" t="n">
        <x:v>656000</x:v>
      </x:c>
      <x:c r="F643" s="24" t="n">
        <x:v>0</x:v>
      </x:c>
    </x:row>
    <x:row r="644">
      <x:c r="A644" s="18" t="str">
        <x:v>D0105</x:v>
      </x:c>
      <x:c r="B644" s="18" t="str">
        <x:v>Deferred</x:v>
      </x:c>
      <x:c r="C644" s="18" t="n">
        <x:v>45</x:v>
      </x:c>
      <x:c r="D644" s="32" t="n">
        <x:v>17.8</x:v>
      </x:c>
      <x:c r="E644" s="24" t="n">
        <x:v>537000</x:v>
      </x:c>
      <x:c r="F644" s="24" t="n">
        <x:v>0</x:v>
      </x:c>
    </x:row>
    <x:row r="645">
      <x:c r="A645" s="18" t="str">
        <x:v>A0387</x:v>
      </x:c>
      <x:c r="B645" s="18" t="str">
        <x:v>Active</x:v>
      </x:c>
      <x:c r="C645" s="18" t="n">
        <x:v>37</x:v>
      </x:c>
      <x:c r="D645" s="32" t="n">
        <x:v>2.1</x:v>
      </x:c>
      <x:c r="E645" s="24" t="n">
        <x:v>765000</x:v>
      </x:c>
      <x:c r="F645" s="24" t="n">
        <x:v>0</x:v>
      </x:c>
    </x:row>
    <x:row r="646">
      <x:c r="A646" s="18" t="str">
        <x:v>D0095</x:v>
      </x:c>
      <x:c r="B646" s="18" t="str">
        <x:v>Deferred</x:v>
      </x:c>
      <x:c r="C646" s="18" t="n">
        <x:v>53</x:v>
      </x:c>
      <x:c r="D646" s="32" t="n">
        <x:v>15.1</x:v>
      </x:c>
      <x:c r="E646" s="24" t="n">
        <x:v>1129000</x:v>
      </x:c>
      <x:c r="F646" s="24" t="n">
        <x:v>0</x:v>
      </x:c>
    </x:row>
    <x:row r="647">
      <x:c r="A647" s="18" t="str">
        <x:v>A0408</x:v>
      </x:c>
      <x:c r="B647" s="18" t="str">
        <x:v>Active</x:v>
      </x:c>
      <x:c r="C647" s="18" t="n">
        <x:v>50</x:v>
      </x:c>
      <x:c r="D647" s="32" t="n">
        <x:v>4.7</x:v>
      </x:c>
      <x:c r="E647" s="24" t="n">
        <x:v>1023000</x:v>
      </x:c>
      <x:c r="F647" s="24" t="n">
        <x:v>0</x:v>
      </x:c>
    </x:row>
    <x:row r="648">
      <x:c r="A648" s="18" t="str">
        <x:v>A0238</x:v>
      </x:c>
      <x:c r="B648" s="18" t="str">
        <x:v>Active</x:v>
      </x:c>
      <x:c r="C648" s="18" t="n">
        <x:v>55</x:v>
      </x:c>
      <x:c r="D648" s="32" t="n">
        <x:v>13.8</x:v>
      </x:c>
      <x:c r="E648" s="24" t="n">
        <x:v>1815000</x:v>
      </x:c>
      <x:c r="F648" s="24" t="n">
        <x:v>0</x:v>
      </x:c>
    </x:row>
    <x:row r="649">
      <x:c r="A649" s="18" t="str">
        <x:v>A0194</x:v>
      </x:c>
      <x:c r="B649" s="18" t="str">
        <x:v>Active</x:v>
      </x:c>
      <x:c r="C649" s="18" t="n">
        <x:v>30</x:v>
      </x:c>
      <x:c r="D649" s="32" t="n">
        <x:v>5</x:v>
      </x:c>
      <x:c r="E649" s="24" t="n">
        <x:v>505000</x:v>
      </x:c>
      <x:c r="F649" s="24" t="n">
        <x:v>0</x:v>
      </x:c>
    </x:row>
    <x:row r="650">
      <x:c r="A650" s="18" t="str">
        <x:v>A0015</x:v>
      </x:c>
      <x:c r="B650" s="18" t="str">
        <x:v>Active</x:v>
      </x:c>
      <x:c r="C650" s="18" t="n">
        <x:v>39</x:v>
      </x:c>
      <x:c r="D650" s="32" t="n">
        <x:v>9.9</x:v>
      </x:c>
      <x:c r="E650" s="24" t="n">
        <x:v>991000</x:v>
      </x:c>
      <x:c r="F650" s="24" t="n">
        <x:v>0</x:v>
      </x:c>
    </x:row>
    <x:row r="651">
      <x:c r="A651" s="18" t="str">
        <x:v>A0477</x:v>
      </x:c>
      <x:c r="B651" s="18" t="str">
        <x:v>Active</x:v>
      </x:c>
      <x:c r="C651" s="18" t="n">
        <x:v>41</x:v>
      </x:c>
      <x:c r="D651" s="32" t="n">
        <x:v>3.6</x:v>
      </x:c>
      <x:c r="E651" s="24" t="n">
        <x:v>722000</x:v>
      </x:c>
      <x:c r="F651" s="24" t="n">
        <x:v>0</x:v>
      </x:c>
    </x:row>
    <x:row r="652">
      <x:c r="A652" s="18" t="str">
        <x:v>A0500</x:v>
      </x:c>
      <x:c r="B652" s="18" t="str">
        <x:v>Active</x:v>
      </x:c>
      <x:c r="C652" s="18" t="n">
        <x:v>33</x:v>
      </x:c>
      <x:c r="D652" s="32" t="n">
        <x:v>7.7</x:v>
      </x:c>
      <x:c r="E652" s="24" t="n">
        <x:v>713000</x:v>
      </x:c>
      <x:c r="F652" s="24" t="n">
        <x:v>0</x:v>
      </x:c>
    </x:row>
    <x:row r="653">
      <x:c r="A653" s="18" t="str">
        <x:v>P0169</x:v>
      </x:c>
      <x:c r="B653" s="18" t="str">
        <x:v>Pensioner</x:v>
      </x:c>
      <x:c r="C653" s="18" t="n">
        <x:v>83</x:v>
      </x:c>
      <x:c r="D653" s="32" t="n">
        <x:v>37.3</x:v>
      </x:c>
      <x:c r="E653" s="24" t="n">
        <x:v>0</x:v>
      </x:c>
      <x:c r="F653" s="24" t="n">
        <x:v>355000</x:v>
      </x:c>
    </x:row>
    <x:row r="654">
      <x:c r="A654" s="18" t="str">
        <x:v>A0154</x:v>
      </x:c>
      <x:c r="B654" s="18" t="str">
        <x:v>Active</x:v>
      </x:c>
      <x:c r="C654" s="18" t="n">
        <x:v>28</x:v>
      </x:c>
      <x:c r="D654" s="32" t="n">
        <x:v>3.4</x:v>
      </x:c>
      <x:c r="E654" s="24" t="n">
        <x:v>532000</x:v>
      </x:c>
      <x:c r="F654" s="24" t="n">
        <x:v>0</x:v>
      </x:c>
    </x:row>
    <x:row r="655">
      <x:c r="A655" s="18" t="str">
        <x:v>A0381</x:v>
      </x:c>
      <x:c r="B655" s="18" t="str">
        <x:v>Active</x:v>
      </x:c>
      <x:c r="C655" s="18" t="n">
        <x:v>34</x:v>
      </x:c>
      <x:c r="D655" s="32" t="n">
        <x:v>9.7</x:v>
      </x:c>
      <x:c r="E655" s="24" t="n">
        <x:v>725000</x:v>
      </x:c>
      <x:c r="F655" s="24" t="n">
        <x:v>0</x:v>
      </x:c>
    </x:row>
    <x:row r="656">
      <x:c r="A656" s="18" t="str">
        <x:v>A0134</x:v>
      </x:c>
      <x:c r="B656" s="18" t="str">
        <x:v>Active</x:v>
      </x:c>
      <x:c r="C656" s="18" t="n">
        <x:v>26</x:v>
      </x:c>
      <x:c r="D656" s="32" t="n">
        <x:v>1.1</x:v>
      </x:c>
      <x:c r="E656" s="24" t="n">
        <x:v>425000</x:v>
      </x:c>
      <x:c r="F656" s="24" t="n">
        <x:v>0</x:v>
      </x:c>
    </x:row>
    <x:row r="657">
      <x:c r="A657" s="18" t="str">
        <x:v>A0498</x:v>
      </x:c>
      <x:c r="B657" s="18" t="str">
        <x:v>Active</x:v>
      </x:c>
      <x:c r="C657" s="18" t="n">
        <x:v>41</x:v>
      </x:c>
      <x:c r="D657" s="32" t="n">
        <x:v>5.9</x:v>
      </x:c>
      <x:c r="E657" s="24" t="n">
        <x:v>855000</x:v>
      </x:c>
      <x:c r="F657" s="24" t="n">
        <x:v>0</x:v>
      </x:c>
    </x:row>
    <x:row r="658">
      <x:c r="A658" s="18" t="str">
        <x:v>A0523</x:v>
      </x:c>
      <x:c r="B658" s="18" t="str">
        <x:v>Active</x:v>
      </x:c>
      <x:c r="C658" s="18" t="n">
        <x:v>53</x:v>
      </x:c>
      <x:c r="D658" s="32" t="n">
        <x:v>1.6</x:v>
      </x:c>
      <x:c r="E658" s="24" t="n">
        <x:v>1533000</x:v>
      </x:c>
      <x:c r="F658" s="24" t="n">
        <x:v>0</x:v>
      </x:c>
    </x:row>
    <x:row r="659">
      <x:c r="A659" s="18" t="str">
        <x:v>P0018</x:v>
      </x:c>
      <x:c r="B659" s="18" t="str">
        <x:v>Pensioner</x:v>
      </x:c>
      <x:c r="C659" s="18" t="n">
        <x:v>69</x:v>
      </x:c>
      <x:c r="D659" s="32" t="n">
        <x:v>27.7</x:v>
      </x:c>
      <x:c r="E659" s="24" t="n">
        <x:v>0</x:v>
      </x:c>
      <x:c r="F659" s="24" t="n">
        <x:v>472000</x:v>
      </x:c>
    </x:row>
    <x:row r="660">
      <x:c r="A660" s="18" t="str">
        <x:v>A0399</x:v>
      </x:c>
      <x:c r="B660" s="18" t="str">
        <x:v>Active</x:v>
      </x:c>
      <x:c r="C660" s="18" t="n">
        <x:v>27</x:v>
      </x:c>
      <x:c r="D660" s="32" t="n">
        <x:v>5.1</x:v>
      </x:c>
      <x:c r="E660" s="24" t="n">
        <x:v>645000</x:v>
      </x:c>
      <x:c r="F660" s="24" t="n">
        <x:v>0</x:v>
      </x:c>
    </x:row>
    <x:row r="661">
      <x:c r="A661" s="18" t="str">
        <x:v>D0022</x:v>
      </x:c>
      <x:c r="B661" s="18" t="str">
        <x:v>Deferred</x:v>
      </x:c>
      <x:c r="C661" s="18" t="n">
        <x:v>58</x:v>
      </x:c>
      <x:c r="D661" s="32" t="n">
        <x:v>3</x:v>
      </x:c>
      <x:c r="E661" s="24" t="n">
        <x:v>1364000</x:v>
      </x:c>
      <x:c r="F661" s="24" t="n">
        <x:v>0</x:v>
      </x:c>
    </x:row>
    <x:row r="662">
      <x:c r="A662" s="18" t="str">
        <x:v>D0005</x:v>
      </x:c>
      <x:c r="B662" s="18" t="str">
        <x:v>Deferred</x:v>
      </x:c>
      <x:c r="C662" s="18" t="n">
        <x:v>58</x:v>
      </x:c>
      <x:c r="D662" s="32" t="n">
        <x:v>13.6</x:v>
      </x:c>
      <x:c r="E662" s="24" t="n">
        <x:v>1111000</x:v>
      </x:c>
      <x:c r="F662" s="24" t="n">
        <x:v>0</x:v>
      </x:c>
    </x:row>
    <x:row r="663">
      <x:c r="A663" s="18" t="str">
        <x:v>A0298</x:v>
      </x:c>
      <x:c r="B663" s="18" t="str">
        <x:v>Active</x:v>
      </x:c>
      <x:c r="C663" s="18" t="n">
        <x:v>25</x:v>
      </x:c>
      <x:c r="D663" s="32" t="n">
        <x:v>1</x:v>
      </x:c>
      <x:c r="E663" s="24" t="n">
        <x:v>343000</x:v>
      </x:c>
      <x:c r="F663" s="24" t="n">
        <x:v>0</x:v>
      </x:c>
    </x:row>
    <x:row r="664">
      <x:c r="A664" s="18" t="str">
        <x:v>P0205</x:v>
      </x:c>
      <x:c r="B664" s="18" t="str">
        <x:v>Pensioner</x:v>
      </x:c>
      <x:c r="C664" s="18" t="n">
        <x:v>75</x:v>
      </x:c>
      <x:c r="D664" s="32" t="n">
        <x:v>18.4</x:v>
      </x:c>
      <x:c r="E664" s="24" t="n">
        <x:v>0</x:v>
      </x:c>
      <x:c r="F664" s="24" t="n">
        <x:v>500000</x:v>
      </x:c>
    </x:row>
    <x:row r="665">
      <x:c r="A665" s="18" t="str">
        <x:v>A0147</x:v>
      </x:c>
      <x:c r="B665" s="18" t="str">
        <x:v>Active</x:v>
      </x:c>
      <x:c r="C665" s="18" t="n">
        <x:v>44</x:v>
      </x:c>
      <x:c r="D665" s="32" t="n">
        <x:v>1.3</x:v>
      </x:c>
      <x:c r="E665" s="24" t="n">
        <x:v>1282000</x:v>
      </x:c>
      <x:c r="F665" s="24" t="n">
        <x:v>0</x:v>
      </x:c>
    </x:row>
    <x:row r="666">
      <x:c r="A666" s="18" t="str">
        <x:v>A0323</x:v>
      </x:c>
      <x:c r="B666" s="18" t="str">
        <x:v>Active</x:v>
      </x:c>
      <x:c r="C666" s="18" t="n">
        <x:v>26</x:v>
      </x:c>
      <x:c r="D666" s="32" t="n">
        <x:v>1</x:v>
      </x:c>
      <x:c r="E666" s="24" t="n">
        <x:v>411000</x:v>
      </x:c>
      <x:c r="F666" s="24" t="n">
        <x:v>0</x:v>
      </x:c>
    </x:row>
    <x:row r="667">
      <x:c r="A667" s="18" t="str">
        <x:v>A0417</x:v>
      </x:c>
      <x:c r="B667" s="18" t="str">
        <x:v>Active</x:v>
      </x:c>
      <x:c r="C667" s="18" t="n">
        <x:v>35</x:v>
      </x:c>
      <x:c r="D667" s="32" t="n">
        <x:v>5.6</x:v>
      </x:c>
      <x:c r="E667" s="24" t="n">
        <x:v>827000</x:v>
      </x:c>
      <x:c r="F667" s="24" t="n">
        <x:v>0</x:v>
      </x:c>
    </x:row>
    <x:row r="668">
      <x:c r="A668" s="18" t="str">
        <x:v>A0072</x:v>
      </x:c>
      <x:c r="B668" s="18" t="str">
        <x:v>Active</x:v>
      </x:c>
      <x:c r="C668" s="18" t="n">
        <x:v>34</x:v>
      </x:c>
      <x:c r="D668" s="32" t="n">
        <x:v>8</x:v>
      </x:c>
      <x:c r="E668" s="24" t="n">
        <x:v>677000</x:v>
      </x:c>
      <x:c r="F668" s="24" t="n">
        <x:v>0</x:v>
      </x:c>
    </x:row>
    <x:row r="669">
      <x:c r="A669" s="18" t="str">
        <x:v>A0003</x:v>
      </x:c>
      <x:c r="B669" s="18" t="str">
        <x:v>Active</x:v>
      </x:c>
      <x:c r="C669" s="18" t="n">
        <x:v>53</x:v>
      </x:c>
      <x:c r="D669" s="32" t="n">
        <x:v>9.2</x:v>
      </x:c>
      <x:c r="E669" s="24" t="n">
        <x:v>1679000</x:v>
      </x:c>
      <x:c r="F669" s="24" t="n">
        <x:v>0</x:v>
      </x:c>
    </x:row>
    <x:row r="670">
      <x:c r="A670" s="18" t="str">
        <x:v>A0233</x:v>
      </x:c>
      <x:c r="B670" s="18" t="str">
        <x:v>Active</x:v>
      </x:c>
      <x:c r="C670" s="18" t="n">
        <x:v>32</x:v>
      </x:c>
      <x:c r="D670" s="32" t="n">
        <x:v>2.7</x:v>
      </x:c>
      <x:c r="E670" s="24" t="n">
        <x:v>557000</x:v>
      </x:c>
      <x:c r="F670" s="24" t="n">
        <x:v>0</x:v>
      </x:c>
    </x:row>
    <x:row r="671">
      <x:c r="A671" s="18" t="str">
        <x:v>A0595</x:v>
      </x:c>
      <x:c r="B671" s="18" t="str">
        <x:v>Active</x:v>
      </x:c>
      <x:c r="C671" s="18" t="n">
        <x:v>51</x:v>
      </x:c>
      <x:c r="D671" s="32" t="n">
        <x:v>23.4</x:v>
      </x:c>
      <x:c r="E671" s="24" t="n">
        <x:v>1585000</x:v>
      </x:c>
      <x:c r="F671" s="24" t="n">
        <x:v>0</x:v>
      </x:c>
    </x:row>
    <x:row r="672">
      <x:c r="A672" s="18" t="str">
        <x:v>A0113</x:v>
      </x:c>
      <x:c r="B672" s="18" t="str">
        <x:v>Active</x:v>
      </x:c>
      <x:c r="C672" s="18" t="n">
        <x:v>58</x:v>
      </x:c>
      <x:c r="D672" s="32" t="n">
        <x:v>26.8</x:v>
      </x:c>
      <x:c r="E672" s="24" t="n">
        <x:v>1508000</x:v>
      </x:c>
      <x:c r="F672" s="24" t="n">
        <x:v>0</x:v>
      </x:c>
    </x:row>
    <x:row r="673">
      <x:c r="A673" s="18" t="str">
        <x:v>A0140</x:v>
      </x:c>
      <x:c r="B673" s="18" t="str">
        <x:v>Active</x:v>
      </x:c>
      <x:c r="C673" s="18" t="n">
        <x:v>56</x:v>
      </x:c>
      <x:c r="D673" s="32" t="n">
        <x:v>2.3</x:v>
      </x:c>
      <x:c r="E673" s="24" t="n">
        <x:v>2030000</x:v>
      </x:c>
      <x:c r="F673" s="24" t="n">
        <x:v>0</x:v>
      </x:c>
    </x:row>
    <x:row r="674">
      <x:c r="A674" s="18" t="str">
        <x:v>A0322</x:v>
      </x:c>
      <x:c r="B674" s="18" t="str">
        <x:v>Active</x:v>
      </x:c>
      <x:c r="C674" s="18" t="n">
        <x:v>46</x:v>
      </x:c>
      <x:c r="D674" s="32" t="n">
        <x:v>17.7</x:v>
      </x:c>
      <x:c r="E674" s="24" t="n">
        <x:v>849000</x:v>
      </x:c>
      <x:c r="F674" s="24" t="n">
        <x:v>0</x:v>
      </x:c>
    </x:row>
    <x:row r="675">
      <x:c r="A675" s="18" t="str">
        <x:v>A0092</x:v>
      </x:c>
      <x:c r="B675" s="18" t="str">
        <x:v>Active</x:v>
      </x:c>
      <x:c r="C675" s="18" t="n">
        <x:v>45</x:v>
      </x:c>
      <x:c r="D675" s="32" t="n">
        <x:v>17.7</x:v>
      </x:c>
      <x:c r="E675" s="24" t="n">
        <x:v>1154000</x:v>
      </x:c>
      <x:c r="F675" s="24" t="n">
        <x:v>0</x:v>
      </x:c>
    </x:row>
    <x:row r="676">
      <x:c r="A676" s="18" t="str">
        <x:v>P0166</x:v>
      </x:c>
      <x:c r="B676" s="18" t="str">
        <x:v>Pensioner</x:v>
      </x:c>
      <x:c r="C676" s="18" t="n">
        <x:v>84</x:v>
      </x:c>
      <x:c r="D676" s="32" t="n">
        <x:v>28.8</x:v>
      </x:c>
      <x:c r="E676" s="24" t="n">
        <x:v>0</x:v>
      </x:c>
      <x:c r="F676" s="24" t="n">
        <x:v>536000</x:v>
      </x:c>
    </x:row>
    <x:row r="677">
      <x:c r="A677" s="18" t="str">
        <x:v>P0124</x:v>
      </x:c>
      <x:c r="B677" s="18" t="str">
        <x:v>Pensioner</x:v>
      </x:c>
      <x:c r="C677" s="18" t="n">
        <x:v>68</x:v>
      </x:c>
      <x:c r="D677" s="32" t="n">
        <x:v>32.4</x:v>
      </x:c>
      <x:c r="E677" s="24" t="n">
        <x:v>0</x:v>
      </x:c>
      <x:c r="F677" s="24" t="n">
        <x:v>212000</x:v>
      </x:c>
    </x:row>
    <x:row r="678">
      <x:c r="A678" s="18" t="str">
        <x:v>P0087</x:v>
      </x:c>
      <x:c r="B678" s="18" t="str">
        <x:v>Pensioner</x:v>
      </x:c>
      <x:c r="C678" s="18" t="n">
        <x:v>61</x:v>
      </x:c>
      <x:c r="D678" s="32" t="n">
        <x:v>23.8</x:v>
      </x:c>
      <x:c r="E678" s="24" t="n">
        <x:v>0</x:v>
      </x:c>
      <x:c r="F678" s="24" t="n">
        <x:v>252000</x:v>
      </x:c>
    </x:row>
    <x:row r="679">
      <x:c r="A679" s="18" t="str">
        <x:v>P0061</x:v>
      </x:c>
      <x:c r="B679" s="18" t="str">
        <x:v>Pensioner</x:v>
      </x:c>
      <x:c r="C679" s="18" t="n">
        <x:v>64</x:v>
      </x:c>
      <x:c r="D679" s="32" t="n">
        <x:v>15.2</x:v>
      </x:c>
      <x:c r="E679" s="24" t="n">
        <x:v>0</x:v>
      </x:c>
      <x:c r="F679" s="24" t="n">
        <x:v>270000</x:v>
      </x:c>
    </x:row>
    <x:row r="680">
      <x:c r="A680" s="18" t="str">
        <x:v>D0018</x:v>
      </x:c>
      <x:c r="B680" s="18" t="str">
        <x:v>Deferred</x:v>
      </x:c>
      <x:c r="C680" s="18" t="n">
        <x:v>40</x:v>
      </x:c>
      <x:c r="D680" s="32" t="n">
        <x:v>10</x:v>
      </x:c>
      <x:c r="E680" s="24" t="n">
        <x:v>445000</x:v>
      </x:c>
      <x:c r="F680" s="24" t="n">
        <x:v>0</x:v>
      </x:c>
    </x:row>
    <x:row r="681">
      <x:c r="A681" s="18" t="str">
        <x:v>A0555</x:v>
      </x:c>
      <x:c r="B681" s="18" t="str">
        <x:v>Active</x:v>
      </x:c>
      <x:c r="C681" s="18" t="n">
        <x:v>51</x:v>
      </x:c>
      <x:c r="D681" s="32" t="n">
        <x:v>15.5</x:v>
      </x:c>
      <x:c r="E681" s="24" t="n">
        <x:v>1602000</x:v>
      </x:c>
      <x:c r="F681" s="24" t="n">
        <x:v>0</x:v>
      </x:c>
    </x:row>
    <x:row r="682">
      <x:c r="A682" s="18" t="str">
        <x:v>A0222</x:v>
      </x:c>
      <x:c r="B682" s="18" t="str">
        <x:v>Active</x:v>
      </x:c>
      <x:c r="C682" s="18" t="n">
        <x:v>42</x:v>
      </x:c>
      <x:c r="D682" s="32" t="n">
        <x:v>7.1</x:v>
      </x:c>
      <x:c r="E682" s="24" t="n">
        <x:v>830000</x:v>
      </x:c>
      <x:c r="F682" s="24" t="n">
        <x:v>0</x:v>
      </x:c>
    </x:row>
    <x:row r="683">
      <x:c r="A683" s="18" t="str">
        <x:v>P0017</x:v>
      </x:c>
      <x:c r="B683" s="18" t="str">
        <x:v>Pensioner</x:v>
      </x:c>
      <x:c r="C683" s="18" t="n">
        <x:v>69</x:v>
      </x:c>
      <x:c r="D683" s="32" t="n">
        <x:v>15.8</x:v>
      </x:c>
      <x:c r="E683" s="24" t="n">
        <x:v>0</x:v>
      </x:c>
      <x:c r="F683" s="24" t="n">
        <x:v>305000</x:v>
      </x:c>
    </x:row>
    <x:row r="684">
      <x:c r="A684" s="18" t="str">
        <x:v>P0184</x:v>
      </x:c>
      <x:c r="B684" s="18" t="str">
        <x:v>Pensioner</x:v>
      </x:c>
      <x:c r="C684" s="18" t="n">
        <x:v>86</x:v>
      </x:c>
      <x:c r="D684" s="32" t="n">
        <x:v>36.2</x:v>
      </x:c>
      <x:c r="E684" s="24" t="n">
        <x:v>0</x:v>
      </x:c>
      <x:c r="F684" s="24" t="n">
        <x:v>383000</x:v>
      </x:c>
    </x:row>
    <x:row r="685">
      <x:c r="A685" s="18" t="str">
        <x:v>A0331</x:v>
      </x:c>
      <x:c r="B685" s="18" t="str">
        <x:v>Active</x:v>
      </x:c>
      <x:c r="C685" s="18" t="n">
        <x:v>41</x:v>
      </x:c>
      <x:c r="D685" s="32" t="n">
        <x:v>10.1</x:v>
      </x:c>
      <x:c r="E685" s="24" t="n">
        <x:v>1152000</x:v>
      </x:c>
      <x:c r="F685" s="24" t="n">
        <x:v>0</x:v>
      </x:c>
    </x:row>
    <x:row r="686">
      <x:c r="A686" s="18" t="str">
        <x:v>A0297</x:v>
      </x:c>
      <x:c r="B686" s="18" t="str">
        <x:v>Active</x:v>
      </x:c>
      <x:c r="C686" s="18" t="n">
        <x:v>51</x:v>
      </x:c>
      <x:c r="D686" s="32" t="n">
        <x:v>20.2</x:v>
      </x:c>
      <x:c r="E686" s="24" t="n">
        <x:v>1788000</x:v>
      </x:c>
      <x:c r="F686" s="24" t="n">
        <x:v>0</x:v>
      </x:c>
    </x:row>
    <x:row r="687">
      <x:c r="A687" s="18" t="str">
        <x:v>A0434</x:v>
      </x:c>
      <x:c r="B687" s="18" t="str">
        <x:v>Active</x:v>
      </x:c>
      <x:c r="C687" s="18" t="n">
        <x:v>39</x:v>
      </x:c>
      <x:c r="D687" s="32" t="n">
        <x:v>15</x:v>
      </x:c>
      <x:c r="E687" s="24" t="n">
        <x:v>620000</x:v>
      </x:c>
      <x:c r="F687" s="24" t="n">
        <x:v>0</x:v>
      </x:c>
    </x:row>
    <x:row r="688">
      <x:c r="A688" s="18" t="str">
        <x:v>A0157</x:v>
      </x:c>
      <x:c r="B688" s="18" t="str">
        <x:v>Active</x:v>
      </x:c>
      <x:c r="C688" s="18" t="n">
        <x:v>22</x:v>
      </x:c>
      <x:c r="D688" s="32" t="n">
        <x:v>1</x:v>
      </x:c>
      <x:c r="E688" s="24" t="n">
        <x:v>416000</x:v>
      </x:c>
      <x:c r="F688" s="24" t="n">
        <x:v>0</x:v>
      </x:c>
    </x:row>
    <x:row r="689">
      <x:c r="A689" s="18" t="str">
        <x:v>A0223</x:v>
      </x:c>
      <x:c r="B689" s="18" t="str">
        <x:v>Active</x:v>
      </x:c>
      <x:c r="C689" s="18" t="n">
        <x:v>24</x:v>
      </x:c>
      <x:c r="D689" s="32" t="n">
        <x:v>2.2</x:v>
      </x:c>
      <x:c r="E689" s="24" t="n">
        <x:v>328000</x:v>
      </x:c>
      <x:c r="F689" s="24" t="n">
        <x:v>0</x:v>
      </x:c>
    </x:row>
    <x:row r="690">
      <x:c r="A690" s="18" t="str">
        <x:v>A0153</x:v>
      </x:c>
      <x:c r="B690" s="18" t="str">
        <x:v>Active</x:v>
      </x:c>
      <x:c r="C690" s="18" t="n">
        <x:v>33</x:v>
      </x:c>
      <x:c r="D690" s="32" t="n">
        <x:v>1.6</x:v>
      </x:c>
      <x:c r="E690" s="24" t="n">
        <x:v>742000</x:v>
      </x:c>
      <x:c r="F690" s="24" t="n">
        <x:v>0</x:v>
      </x:c>
    </x:row>
    <x:row r="691">
      <x:c r="A691" s="18" t="str">
        <x:v>A0040</x:v>
      </x:c>
      <x:c r="B691" s="18" t="str">
        <x:v>Active</x:v>
      </x:c>
      <x:c r="C691" s="18" t="n">
        <x:v>38</x:v>
      </x:c>
      <x:c r="D691" s="32" t="n">
        <x:v>7.4</x:v>
      </x:c>
      <x:c r="E691" s="24" t="n">
        <x:v>1007000</x:v>
      </x:c>
      <x:c r="F691" s="24" t="n">
        <x:v>0</x:v>
      </x:c>
    </x:row>
    <x:row r="692">
      <x:c r="A692" s="18" t="str">
        <x:v>A0062</x:v>
      </x:c>
      <x:c r="B692" s="18" t="str">
        <x:v>Active</x:v>
      </x:c>
      <x:c r="C692" s="18" t="n">
        <x:v>55</x:v>
      </x:c>
      <x:c r="D692" s="32" t="n">
        <x:v>2.9</x:v>
      </x:c>
      <x:c r="E692" s="24" t="n">
        <x:v>1237000</x:v>
      </x:c>
      <x:c r="F692" s="24" t="n">
        <x:v>0</x:v>
      </x:c>
    </x:row>
    <x:row r="693">
      <x:c r="A693" s="18" t="str">
        <x:v>A0096</x:v>
      </x:c>
      <x:c r="B693" s="18" t="str">
        <x:v>Active</x:v>
      </x:c>
      <x:c r="C693" s="18" t="n">
        <x:v>33</x:v>
      </x:c>
      <x:c r="D693" s="32" t="n">
        <x:v>5.2</x:v>
      </x:c>
      <x:c r="E693" s="24" t="n">
        <x:v>527000</x:v>
      </x:c>
      <x:c r="F693" s="24" t="n">
        <x:v>0</x:v>
      </x:c>
    </x:row>
    <x:row r="694">
      <x:c r="A694" s="18" t="str">
        <x:v>A0451</x:v>
      </x:c>
      <x:c r="B694" s="18" t="str">
        <x:v>Active</x:v>
      </x:c>
      <x:c r="C694" s="18" t="n">
        <x:v>41</x:v>
      </x:c>
      <x:c r="D694" s="32" t="n">
        <x:v>8.3</x:v>
      </x:c>
      <x:c r="E694" s="24" t="n">
        <x:v>912000</x:v>
      </x:c>
      <x:c r="F694" s="24" t="n">
        <x:v>0</x:v>
      </x:c>
    </x:row>
    <x:row r="695">
      <x:c r="A695" s="18" t="str">
        <x:v>P0127</x:v>
      </x:c>
      <x:c r="B695" s="18" t="str">
        <x:v>Pensioner</x:v>
      </x:c>
      <x:c r="C695" s="18" t="n">
        <x:v>71</x:v>
      </x:c>
      <x:c r="D695" s="32" t="n">
        <x:v>15.3</x:v>
      </x:c>
      <x:c r="E695" s="24" t="n">
        <x:v>0</x:v>
      </x:c>
      <x:c r="F695" s="24" t="n">
        <x:v>230000</x:v>
      </x:c>
    </x:row>
    <x:row r="696">
      <x:c r="A696" s="18" t="str">
        <x:v>P0204</x:v>
      </x:c>
      <x:c r="B696" s="18" t="str">
        <x:v>Pensioner</x:v>
      </x:c>
      <x:c r="C696" s="18" t="n">
        <x:v>76</x:v>
      </x:c>
      <x:c r="D696" s="32" t="n">
        <x:v>37.4</x:v>
      </x:c>
      <x:c r="E696" s="24" t="n">
        <x:v>0</x:v>
      </x:c>
      <x:c r="F696" s="24" t="n">
        <x:v>526000</x:v>
      </x:c>
    </x:row>
    <x:row r="697">
      <x:c r="A697" s="18" t="str">
        <x:v>A0101</x:v>
      </x:c>
      <x:c r="B697" s="18" t="str">
        <x:v>Active</x:v>
      </x:c>
      <x:c r="C697" s="18" t="n">
        <x:v>34</x:v>
      </x:c>
      <x:c r="D697" s="32" t="n">
        <x:v>4.9</x:v>
      </x:c>
      <x:c r="E697" s="24" t="n">
        <x:v>799000</x:v>
      </x:c>
      <x:c r="F697" s="24" t="n">
        <x:v>0</x:v>
      </x:c>
    </x:row>
    <x:row r="698">
      <x:c r="A698" s="18" t="str">
        <x:v>A0351</x:v>
      </x:c>
      <x:c r="B698" s="18" t="str">
        <x:v>Active</x:v>
      </x:c>
      <x:c r="C698" s="18" t="n">
        <x:v>22</x:v>
      </x:c>
      <x:c r="D698" s="32" t="n">
        <x:v>1.6</x:v>
      </x:c>
      <x:c r="E698" s="24" t="n">
        <x:v>440000</x:v>
      </x:c>
      <x:c r="F698" s="24" t="n">
        <x:v>0</x:v>
      </x:c>
    </x:row>
    <x:row r="699">
      <x:c r="A699" s="18" t="str">
        <x:v>A0111</x:v>
      </x:c>
      <x:c r="B699" s="18" t="str">
        <x:v>Active</x:v>
      </x:c>
      <x:c r="C699" s="18" t="n">
        <x:v>39</x:v>
      </x:c>
      <x:c r="D699" s="32" t="n">
        <x:v>3.2</x:v>
      </x:c>
      <x:c r="E699" s="24" t="n">
        <x:v>629000</x:v>
      </x:c>
      <x:c r="F699" s="24" t="n">
        <x:v>0</x:v>
      </x:c>
    </x:row>
    <x:row r="700">
      <x:c r="A700" s="18" t="str">
        <x:v>A0377</x:v>
      </x:c>
      <x:c r="B700" s="18" t="str">
        <x:v>Active</x:v>
      </x:c>
      <x:c r="C700" s="18" t="n">
        <x:v>30</x:v>
      </x:c>
      <x:c r="D700" s="32" t="n">
        <x:v>7.6</x:v>
      </x:c>
      <x:c r="E700" s="24" t="n">
        <x:v>649000</x:v>
      </x:c>
      <x:c r="F700" s="24" t="n">
        <x:v>0</x:v>
      </x:c>
    </x:row>
    <x:row r="701">
      <x:c r="A701" s="18" t="str">
        <x:v>A0305</x:v>
      </x:c>
      <x:c r="B701" s="18" t="str">
        <x:v>Active</x:v>
      </x:c>
      <x:c r="C701" s="18" t="n">
        <x:v>35</x:v>
      </x:c>
      <x:c r="D701" s="32" t="n">
        <x:v>6.7</x:v>
      </x:c>
      <x:c r="E701" s="24" t="n">
        <x:v>914000</x:v>
      </x:c>
      <x:c r="F701" s="24" t="n">
        <x:v>0</x:v>
      </x:c>
    </x:row>
    <x:row r="702">
      <x:c r="A702" s="18" t="str">
        <x:v>A0533</x:v>
      </x:c>
      <x:c r="B702" s="18" t="str">
        <x:v>Active</x:v>
      </x:c>
      <x:c r="C702" s="18" t="n">
        <x:v>55</x:v>
      </x:c>
      <x:c r="D702" s="32" t="n">
        <x:v>28.4</x:v>
      </x:c>
      <x:c r="E702" s="24" t="n">
        <x:v>1658000</x:v>
      </x:c>
      <x:c r="F702" s="24" t="n">
        <x:v>0</x:v>
      </x:c>
    </x:row>
    <x:row r="703">
      <x:c r="A703" s="18" t="str">
        <x:v>A0549</x:v>
      </x:c>
      <x:c r="B703" s="18" t="str">
        <x:v>Active</x:v>
      </x:c>
      <x:c r="C703" s="18" t="n">
        <x:v>27</x:v>
      </x:c>
      <x:c r="D703" s="32" t="n">
        <x:v>1.7</x:v>
      </x:c>
      <x:c r="E703" s="24" t="n">
        <x:v>390000</x:v>
      </x:c>
      <x:c r="F703" s="24" t="n">
        <x:v>0</x:v>
      </x:c>
    </x:row>
    <x:row r="704">
      <x:c r="A704" s="18" t="str">
        <x:v>A0437</x:v>
      </x:c>
      <x:c r="B704" s="18" t="str">
        <x:v>Active</x:v>
      </x:c>
      <x:c r="C704" s="18" t="n">
        <x:v>35</x:v>
      </x:c>
      <x:c r="D704" s="32" t="n">
        <x:v>2.8</x:v>
      </x:c>
      <x:c r="E704" s="24" t="n">
        <x:v>513000</x:v>
      </x:c>
      <x:c r="F704" s="24" t="n">
        <x:v>0</x:v>
      </x:c>
    </x:row>
    <x:row r="705">
      <x:c r="A705" s="18" t="str">
        <x:v>A0359</x:v>
      </x:c>
      <x:c r="B705" s="18" t="str">
        <x:v>Active</x:v>
      </x:c>
      <x:c r="C705" s="18" t="n">
        <x:v>53</x:v>
      </x:c>
      <x:c r="D705" s="32" t="n">
        <x:v>24.3</x:v>
      </x:c>
      <x:c r="E705" s="24" t="n">
        <x:v>1233000</x:v>
      </x:c>
      <x:c r="F705" s="24" t="n">
        <x:v>0</x:v>
      </x:c>
    </x:row>
    <x:row r="706">
      <x:c r="A706" s="18" t="str">
        <x:v>P0038</x:v>
      </x:c>
      <x:c r="B706" s="18" t="str">
        <x:v>Pensioner</x:v>
      </x:c>
      <x:c r="C706" s="18" t="n">
        <x:v>87</x:v>
      </x:c>
      <x:c r="D706" s="32" t="n">
        <x:v>18.4</x:v>
      </x:c>
      <x:c r="E706" s="24" t="n">
        <x:v>0</x:v>
      </x:c>
      <x:c r="F706" s="24" t="n">
        <x:v>652000</x:v>
      </x:c>
    </x:row>
    <x:row r="707">
      <x:c r="A707" s="18" t="str">
        <x:v>A0070</x:v>
      </x:c>
      <x:c r="B707" s="18" t="str">
        <x:v>Active</x:v>
      </x:c>
      <x:c r="C707" s="18" t="n">
        <x:v>44</x:v>
      </x:c>
      <x:c r="D707" s="32" t="n">
        <x:v>2.3</x:v>
      </x:c>
      <x:c r="E707" s="24" t="n">
        <x:v>998000</x:v>
      </x:c>
      <x:c r="F707" s="24" t="n">
        <x:v>0</x:v>
      </x:c>
    </x:row>
    <x:row r="708">
      <x:c r="A708" s="18" t="str">
        <x:v>A0036</x:v>
      </x:c>
      <x:c r="B708" s="18" t="str">
        <x:v>Active</x:v>
      </x:c>
      <x:c r="C708" s="18" t="n">
        <x:v>25</x:v>
      </x:c>
      <x:c r="D708" s="32" t="n">
        <x:v>4.1</x:v>
      </x:c>
      <x:c r="E708" s="24" t="n">
        <x:v>532000</x:v>
      </x:c>
      <x:c r="F708" s="24" t="n">
        <x:v>0</x:v>
      </x:c>
    </x:row>
    <x:row r="709">
      <x:c r="A709" s="18" t="str">
        <x:v>A0166</x:v>
      </x:c>
      <x:c r="B709" s="18" t="str">
        <x:v>Active</x:v>
      </x:c>
      <x:c r="C709" s="18" t="n">
        <x:v>52</x:v>
      </x:c>
      <x:c r="D709" s="32" t="n">
        <x:v>15.4</x:v>
      </x:c>
      <x:c r="E709" s="24" t="n">
        <x:v>1194000</x:v>
      </x:c>
      <x:c r="F709" s="24" t="n">
        <x:v>0</x:v>
      </x:c>
    </x:row>
    <x:row r="710">
      <x:c r="A710" s="18" t="str">
        <x:v>A0178</x:v>
      </x:c>
      <x:c r="B710" s="18" t="str">
        <x:v>Active</x:v>
      </x:c>
      <x:c r="C710" s="18" t="n">
        <x:v>49</x:v>
      </x:c>
      <x:c r="D710" s="32" t="n">
        <x:v>13.7</x:v>
      </x:c>
      <x:c r="E710" s="24" t="n">
        <x:v>1391000</x:v>
      </x:c>
      <x:c r="F710" s="24" t="n">
        <x:v>0</x:v>
      </x:c>
    </x:row>
    <x:row r="711">
      <x:c r="A711" s="18" t="str">
        <x:v>A0312</x:v>
      </x:c>
      <x:c r="B711" s="18" t="str">
        <x:v>Active</x:v>
      </x:c>
      <x:c r="C711" s="18" t="n">
        <x:v>49</x:v>
      </x:c>
      <x:c r="D711" s="32" t="n">
        <x:v>17.2</x:v>
      </x:c>
      <x:c r="E711" s="24" t="n">
        <x:v>1276000</x:v>
      </x:c>
      <x:c r="F711" s="24" t="n">
        <x:v>0</x:v>
      </x:c>
    </x:row>
    <x:row r="712">
      <x:c r="A712" s="18" t="str">
        <x:v>A0376</x:v>
      </x:c>
      <x:c r="B712" s="18" t="str">
        <x:v>Active</x:v>
      </x:c>
      <x:c r="C712" s="18" t="n">
        <x:v>31</x:v>
      </x:c>
      <x:c r="D712" s="32" t="n">
        <x:v>4</x:v>
      </x:c>
      <x:c r="E712" s="24" t="n">
        <x:v>462000</x:v>
      </x:c>
      <x:c r="F712" s="24" t="n">
        <x:v>0</x:v>
      </x:c>
    </x:row>
    <x:row r="713">
      <x:c r="A713" s="18" t="str">
        <x:v>A0150</x:v>
      </x:c>
      <x:c r="B713" s="18" t="str">
        <x:v>Active</x:v>
      </x:c>
      <x:c r="C713" s="18" t="n">
        <x:v>34</x:v>
      </x:c>
      <x:c r="D713" s="32" t="n">
        <x:v>6.9</x:v>
      </x:c>
      <x:c r="E713" s="24" t="n">
        <x:v>605000</x:v>
      </x:c>
      <x:c r="F713" s="24" t="n">
        <x:v>0</x:v>
      </x:c>
    </x:row>
    <x:row r="714">
      <x:c r="A714" s="18" t="str">
        <x:v>P0148</x:v>
      </x:c>
      <x:c r="B714" s="18" t="str">
        <x:v>Pensioner</x:v>
      </x:c>
      <x:c r="C714" s="18" t="n">
        <x:v>87</x:v>
      </x:c>
      <x:c r="D714" s="32" t="n">
        <x:v>27</x:v>
      </x:c>
      <x:c r="E714" s="24" t="n">
        <x:v>0</x:v>
      </x:c>
      <x:c r="F714" s="24" t="n">
        <x:v>543000</x:v>
      </x:c>
    </x:row>
    <x:row r="715">
      <x:c r="A715" s="18" t="str">
        <x:v>A0148</x:v>
      </x:c>
      <x:c r="B715" s="18" t="str">
        <x:v>Active</x:v>
      </x:c>
      <x:c r="C715" s="18" t="n">
        <x:v>31</x:v>
      </x:c>
      <x:c r="D715" s="32" t="n">
        <x:v>2.6</x:v>
      </x:c>
      <x:c r="E715" s="24" t="n">
        <x:v>516000</x:v>
      </x:c>
      <x:c r="F715" s="24" t="n">
        <x:v>0</x:v>
      </x:c>
    </x:row>
    <x:row r="716">
      <x:c r="A716" s="18" t="str">
        <x:v>P0244</x:v>
      </x:c>
      <x:c r="B716" s="18" t="str">
        <x:v>Pensioner</x:v>
      </x:c>
      <x:c r="C716" s="18" t="n">
        <x:v>68</x:v>
      </x:c>
      <x:c r="D716" s="32" t="n">
        <x:v>29.6</x:v>
      </x:c>
      <x:c r="E716" s="24" t="n">
        <x:v>0</x:v>
      </x:c>
      <x:c r="F716" s="24" t="n">
        <x:v>269000</x:v>
      </x:c>
    </x:row>
    <x:row r="717">
      <x:c r="A717" s="18" t="str">
        <x:v>A0141</x:v>
      </x:c>
      <x:c r="B717" s="18" t="str">
        <x:v>Active</x:v>
      </x:c>
      <x:c r="C717" s="18" t="n">
        <x:v>44</x:v>
      </x:c>
      <x:c r="D717" s="32" t="n">
        <x:v>18.6</x:v>
      </x:c>
      <x:c r="E717" s="24" t="n">
        <x:v>1272000</x:v>
      </x:c>
      <x:c r="F717" s="24" t="n">
        <x:v>0</x:v>
      </x:c>
    </x:row>
    <x:row r="718">
      <x:c r="A718" s="18" t="str">
        <x:v>A0006</x:v>
      </x:c>
      <x:c r="B718" s="18" t="str">
        <x:v>Active</x:v>
      </x:c>
      <x:c r="C718" s="18" t="n">
        <x:v>29</x:v>
      </x:c>
      <x:c r="D718" s="32" t="n">
        <x:v>7.1</x:v>
      </x:c>
      <x:c r="E718" s="24" t="n">
        <x:v>594000</x:v>
      </x:c>
      <x:c r="F718" s="24" t="n">
        <x:v>0</x:v>
      </x:c>
    </x:row>
    <x:row r="719">
      <x:c r="A719" s="18" t="str">
        <x:v>A0060</x:v>
      </x:c>
      <x:c r="B719" s="18" t="str">
        <x:v>Active</x:v>
      </x:c>
      <x:c r="C719" s="18" t="n">
        <x:v>57</x:v>
      </x:c>
      <x:c r="D719" s="32" t="n">
        <x:v>29.7</x:v>
      </x:c>
      <x:c r="E719" s="24" t="n">
        <x:v>1734000</x:v>
      </x:c>
      <x:c r="F719" s="24" t="n">
        <x:v>0</x:v>
      </x:c>
    </x:row>
    <x:row r="720">
      <x:c r="A720" s="18" t="str">
        <x:v>A0104</x:v>
      </x:c>
      <x:c r="B720" s="18" t="str">
        <x:v>Active</x:v>
      </x:c>
      <x:c r="C720" s="18" t="n">
        <x:v>26</x:v>
      </x:c>
      <x:c r="D720" s="32" t="n">
        <x:v>1</x:v>
      </x:c>
      <x:c r="E720" s="24" t="n">
        <x:v>527000</x:v>
      </x:c>
      <x:c r="F720" s="24" t="n">
        <x:v>0</x:v>
      </x:c>
    </x:row>
    <x:row r="721">
      <x:c r="A721" s="18" t="str">
        <x:v>D0078</x:v>
      </x:c>
      <x:c r="B721" s="18" t="str">
        <x:v>Deferred</x:v>
      </x:c>
      <x:c r="C721" s="18" t="n">
        <x:v>58</x:v>
      </x:c>
      <x:c r="D721" s="32" t="n">
        <x:v>22.5</x:v>
      </x:c>
      <x:c r="E721" s="24" t="n">
        <x:v>1327000</x:v>
      </x:c>
      <x:c r="F721" s="24" t="n">
        <x:v>0</x:v>
      </x:c>
    </x:row>
    <x:row r="722">
      <x:c r="A722" s="18" t="str">
        <x:v>A0567</x:v>
      </x:c>
      <x:c r="B722" s="18" t="str">
        <x:v>Active</x:v>
      </x:c>
      <x:c r="C722" s="18" t="n">
        <x:v>33</x:v>
      </x:c>
      <x:c r="D722" s="32" t="n">
        <x:v>2.3</x:v>
      </x:c>
      <x:c r="E722" s="24" t="n">
        <x:v>624000</x:v>
      </x:c>
      <x:c r="F722" s="24" t="n">
        <x:v>0</x:v>
      </x:c>
    </x:row>
    <x:row r="723">
      <x:c r="A723" s="18" t="str">
        <x:v>D0103</x:v>
      </x:c>
      <x:c r="B723" s="18" t="str">
        <x:v>Deferred</x:v>
      </x:c>
      <x:c r="C723" s="18" t="n">
        <x:v>45</x:v>
      </x:c>
      <x:c r="D723" s="32" t="n">
        <x:v>13.3</x:v>
      </x:c>
      <x:c r="E723" s="24" t="n">
        <x:v>850000</x:v>
      </x:c>
      <x:c r="F723" s="24" t="n">
        <x:v>0</x:v>
      </x:c>
    </x:row>
    <x:row r="724">
      <x:c r="A724" s="18" t="str">
        <x:v>P0115</x:v>
      </x:c>
      <x:c r="B724" s="18" t="str">
        <x:v>Pensioner</x:v>
      </x:c>
      <x:c r="C724" s="18" t="n">
        <x:v>66</x:v>
      </x:c>
      <x:c r="D724" s="32" t="n">
        <x:v>17.4</x:v>
      </x:c>
      <x:c r="E724" s="24" t="n">
        <x:v>0</x:v>
      </x:c>
      <x:c r="F724" s="24" t="n">
        <x:v>278000</x:v>
      </x:c>
    </x:row>
    <x:row r="725">
      <x:c r="A725" s="18" t="str">
        <x:v>A0135</x:v>
      </x:c>
      <x:c r="B725" s="18" t="str">
        <x:v>Active</x:v>
      </x:c>
      <x:c r="C725" s="18" t="n">
        <x:v>42</x:v>
      </x:c>
      <x:c r="D725" s="32" t="n">
        <x:v>3.3</x:v>
      </x:c>
      <x:c r="E725" s="24" t="n">
        <x:v>967000</x:v>
      </x:c>
      <x:c r="F725" s="24" t="n">
        <x:v>0</x:v>
      </x:c>
    </x:row>
    <x:row r="726">
      <x:c r="A726" s="18" t="str">
        <x:v>P0202</x:v>
      </x:c>
      <x:c r="B726" s="18" t="str">
        <x:v>Pensioner</x:v>
      </x:c>
      <x:c r="C726" s="18" t="n">
        <x:v>88</x:v>
      </x:c>
      <x:c r="D726" s="32" t="n">
        <x:v>36.2</x:v>
      </x:c>
      <x:c r="E726" s="24" t="n">
        <x:v>0</x:v>
      </x:c>
      <x:c r="F726" s="24" t="n">
        <x:v>616000</x:v>
      </x:c>
    </x:row>
    <x:row r="727">
      <x:c r="A727" s="18" t="str">
        <x:v>A0149</x:v>
      </x:c>
      <x:c r="B727" s="18" t="str">
        <x:v>Active</x:v>
      </x:c>
      <x:c r="C727" s="18" t="n">
        <x:v>36</x:v>
      </x:c>
      <x:c r="D727" s="32" t="n">
        <x:v>2.1</x:v>
      </x:c>
      <x:c r="E727" s="24" t="n">
        <x:v>643000</x:v>
      </x:c>
      <x:c r="F727" s="24" t="n">
        <x:v>0</x:v>
      </x:c>
    </x:row>
    <x:row r="728">
      <x:c r="A728" s="18" t="str">
        <x:v>A0501</x:v>
      </x:c>
      <x:c r="B728" s="18" t="str">
        <x:v>Active</x:v>
      </x:c>
      <x:c r="C728" s="18" t="n">
        <x:v>44</x:v>
      </x:c>
      <x:c r="D728" s="32" t="n">
        <x:v>16.9</x:v>
      </x:c>
      <x:c r="E728" s="24" t="n">
        <x:v>1244000</x:v>
      </x:c>
      <x:c r="F728" s="24" t="n">
        <x:v>0</x:v>
      </x:c>
    </x:row>
    <x:row r="729">
      <x:c r="A729" s="18" t="str">
        <x:v>A0211</x:v>
      </x:c>
      <x:c r="B729" s="18" t="str">
        <x:v>Active</x:v>
      </x:c>
      <x:c r="C729" s="18" t="n">
        <x:v>43</x:v>
      </x:c>
      <x:c r="D729" s="32" t="n">
        <x:v>18.4</x:v>
      </x:c>
      <x:c r="E729" s="24" t="n">
        <x:v>1281000</x:v>
      </x:c>
      <x:c r="F729" s="24" t="n">
        <x:v>0</x:v>
      </x:c>
    </x:row>
    <x:row r="730">
      <x:c r="A730" s="18" t="str">
        <x:v>A0180</x:v>
      </x:c>
      <x:c r="B730" s="18" t="str">
        <x:v>Active</x:v>
      </x:c>
      <x:c r="C730" s="18" t="n">
        <x:v>25</x:v>
      </x:c>
      <x:c r="D730" s="32" t="n">
        <x:v>1</x:v>
      </x:c>
      <x:c r="E730" s="24" t="n">
        <x:v>360000</x:v>
      </x:c>
      <x:c r="F730" s="24" t="n">
        <x:v>0</x:v>
      </x:c>
    </x:row>
    <x:row r="731">
      <x:c r="A731" s="18" t="str">
        <x:v>P0008</x:v>
      </x:c>
      <x:c r="B731" s="18" t="str">
        <x:v>Pensioner</x:v>
      </x:c>
      <x:c r="C731" s="18" t="n">
        <x:v>72</x:v>
      </x:c>
      <x:c r="D731" s="32" t="n">
        <x:v>22.6</x:v>
      </x:c>
      <x:c r="E731" s="24" t="n">
        <x:v>0</x:v>
      </x:c>
      <x:c r="F731" s="24" t="n">
        <x:v>416000</x:v>
      </x:c>
    </x:row>
    <x:row r="732">
      <x:c r="A732" s="18" t="str">
        <x:v>A0591</x:v>
      </x:c>
      <x:c r="B732" s="18" t="str">
        <x:v>Active</x:v>
      </x:c>
      <x:c r="C732" s="18" t="n">
        <x:v>24</x:v>
      </x:c>
      <x:c r="D732" s="32" t="n">
        <x:v>1.2</x:v>
      </x:c>
      <x:c r="E732" s="24" t="n">
        <x:v>465000</x:v>
      </x:c>
      <x:c r="F732" s="24" t="n">
        <x:v>0</x:v>
      </x:c>
    </x:row>
    <x:row r="733">
      <x:c r="A733" s="18" t="str">
        <x:v>A0396</x:v>
      </x:c>
      <x:c r="B733" s="18" t="str">
        <x:v>Active</x:v>
      </x:c>
      <x:c r="C733" s="18" t="n">
        <x:v>34</x:v>
      </x:c>
      <x:c r="D733" s="32" t="n">
        <x:v>2.1</x:v>
      </x:c>
      <x:c r="E733" s="24" t="n">
        <x:v>767000</x:v>
      </x:c>
      <x:c r="F733" s="24" t="n">
        <x:v>0</x:v>
      </x:c>
    </x:row>
    <x:row r="734">
      <x:c r="A734" s="18" t="str">
        <x:v>D0070</x:v>
      </x:c>
      <x:c r="B734" s="18" t="str">
        <x:v>Deferred</x:v>
      </x:c>
      <x:c r="C734" s="18" t="n">
        <x:v>47</x:v>
      </x:c>
      <x:c r="D734" s="32" t="n">
        <x:v>10.5</x:v>
      </x:c>
      <x:c r="E734" s="24" t="n">
        <x:v>1011000</x:v>
      </x:c>
      <x:c r="F734" s="24" t="n">
        <x:v>0</x:v>
      </x:c>
    </x:row>
    <x:row r="735">
      <x:c r="A735" s="18" t="str">
        <x:v>A0254</x:v>
      </x:c>
      <x:c r="B735" s="18" t="str">
        <x:v>Active</x:v>
      </x:c>
      <x:c r="C735" s="18" t="n">
        <x:v>45</x:v>
      </x:c>
      <x:c r="D735" s="32" t="n">
        <x:v>2.7</x:v>
      </x:c>
      <x:c r="E735" s="24" t="n">
        <x:v>1336000</x:v>
      </x:c>
      <x:c r="F735" s="24" t="n">
        <x:v>0</x:v>
      </x:c>
    </x:row>
    <x:row r="736">
      <x:c r="A736" s="18" t="str">
        <x:v>A0301</x:v>
      </x:c>
      <x:c r="B736" s="18" t="str">
        <x:v>Active</x:v>
      </x:c>
      <x:c r="C736" s="18" t="n">
        <x:v>41</x:v>
      </x:c>
      <x:c r="D736" s="32" t="n">
        <x:v>6.3</x:v>
      </x:c>
      <x:c r="E736" s="24" t="n">
        <x:v>754000</x:v>
      </x:c>
      <x:c r="F736" s="24" t="n">
        <x:v>0</x:v>
      </x:c>
    </x:row>
    <x:row r="737">
      <x:c r="A737" s="18" t="str">
        <x:v>D0012</x:v>
      </x:c>
      <x:c r="B737" s="18" t="str">
        <x:v>Deferred</x:v>
      </x:c>
      <x:c r="C737" s="18" t="n">
        <x:v>30</x:v>
      </x:c>
      <x:c r="D737" s="32" t="n">
        <x:v>2.6</x:v>
      </x:c>
      <x:c r="E737" s="24" t="n">
        <x:v>434000</x:v>
      </x:c>
      <x:c r="F737" s="24" t="n">
        <x:v>0</x:v>
      </x:c>
    </x:row>
    <x:row r="738">
      <x:c r="A738" s="18" t="str">
        <x:v>A0088</x:v>
      </x:c>
      <x:c r="B738" s="18" t="str">
        <x:v>Active</x:v>
      </x:c>
      <x:c r="C738" s="18" t="n">
        <x:v>59</x:v>
      </x:c>
      <x:c r="D738" s="32" t="n">
        <x:v>18</x:v>
      </x:c>
      <x:c r="E738" s="24" t="n">
        <x:v>2098000</x:v>
      </x:c>
      <x:c r="F738" s="24" t="n">
        <x:v>0</x:v>
      </x:c>
    </x:row>
    <x:row r="739">
      <x:c r="A739" s="18" t="str">
        <x:v>A0480</x:v>
      </x:c>
      <x:c r="B739" s="18" t="str">
        <x:v>Active</x:v>
      </x:c>
      <x:c r="C739" s="18" t="n">
        <x:v>45</x:v>
      </x:c>
      <x:c r="D739" s="32" t="n">
        <x:v>5.5</x:v>
      </x:c>
      <x:c r="E739" s="24" t="n">
        <x:v>1253000</x:v>
      </x:c>
      <x:c r="F739" s="24" t="n">
        <x:v>0</x:v>
      </x:c>
    </x:row>
    <x:row r="740">
      <x:c r="A740" s="18" t="str">
        <x:v>A0552</x:v>
      </x:c>
      <x:c r="B740" s="18" t="str">
        <x:v>Active</x:v>
      </x:c>
      <x:c r="C740" s="18" t="n">
        <x:v>34</x:v>
      </x:c>
      <x:c r="D740" s="32" t="n">
        <x:v>3</x:v>
      </x:c>
      <x:c r="E740" s="24" t="n">
        <x:v>505000</x:v>
      </x:c>
      <x:c r="F740" s="24" t="n">
        <x:v>0</x:v>
      </x:c>
    </x:row>
    <x:row r="741">
      <x:c r="A741" s="18" t="str">
        <x:v>A0226</x:v>
      </x:c>
      <x:c r="B741" s="18" t="str">
        <x:v>Active</x:v>
      </x:c>
      <x:c r="C741" s="18" t="n">
        <x:v>45</x:v>
      </x:c>
      <x:c r="D741" s="32" t="n">
        <x:v>19.3</x:v>
      </x:c>
      <x:c r="E741" s="24" t="n">
        <x:v>1408000</x:v>
      </x:c>
      <x:c r="F741" s="24" t="n">
        <x:v>0</x:v>
      </x:c>
    </x:row>
    <x:row r="742">
      <x:c r="A742" s="18" t="str">
        <x:v>A0603</x:v>
      </x:c>
      <x:c r="B742" s="18" t="str">
        <x:v>Active</x:v>
      </x:c>
      <x:c r="C742" s="18" t="n">
        <x:v>27</x:v>
      </x:c>
      <x:c r="D742" s="32" t="n">
        <x:v>2</x:v>
      </x:c>
      <x:c r="E742" s="24" t="n">
        <x:v>363000</x:v>
      </x:c>
      <x:c r="F742" s="24" t="n">
        <x:v>0</x:v>
      </x:c>
    </x:row>
    <x:row r="743">
      <x:c r="A743" s="18" t="str">
        <x:v>A0035</x:v>
      </x:c>
      <x:c r="B743" s="18" t="str">
        <x:v>Active</x:v>
      </x:c>
      <x:c r="C743" s="18" t="n">
        <x:v>45</x:v>
      </x:c>
      <x:c r="D743" s="32" t="n">
        <x:v>8.9</x:v>
      </x:c>
      <x:c r="E743" s="24" t="n">
        <x:v>1217000</x:v>
      </x:c>
      <x:c r="F743" s="24" t="n">
        <x:v>0</x:v>
      </x:c>
    </x:row>
    <x:row r="744">
      <x:c r="A744" s="18" t="str">
        <x:v>P0109</x:v>
      </x:c>
      <x:c r="B744" s="18" t="str">
        <x:v>Pensioner</x:v>
      </x:c>
      <x:c r="C744" s="18" t="n">
        <x:v>83</x:v>
      </x:c>
      <x:c r="D744" s="32" t="n">
        <x:v>18.8</x:v>
      </x:c>
      <x:c r="E744" s="24" t="n">
        <x:v>0</x:v>
      </x:c>
      <x:c r="F744" s="24" t="n">
        <x:v>541000</x:v>
      </x:c>
    </x:row>
    <x:row r="745">
      <x:c r="A745" s="18" t="str">
        <x:v>D0062</x:v>
      </x:c>
      <x:c r="B745" s="18" t="str">
        <x:v>Deferred</x:v>
      </x:c>
      <x:c r="C745" s="18" t="n">
        <x:v>34</x:v>
      </x:c>
      <x:c r="D745" s="32" t="n">
        <x:v>3</x:v>
      </x:c>
      <x:c r="E745" s="24" t="n">
        <x:v>555000</x:v>
      </x:c>
      <x:c r="F745" s="24" t="n">
        <x:v>0</x:v>
      </x:c>
    </x:row>
    <x:row r="746">
      <x:c r="A746" s="18" t="str">
        <x:v>P0233</x:v>
      </x:c>
      <x:c r="B746" s="18" t="str">
        <x:v>Pensioner</x:v>
      </x:c>
      <x:c r="C746" s="18" t="n">
        <x:v>60</x:v>
      </x:c>
      <x:c r="D746" s="32" t="n">
        <x:v>37.6</x:v>
      </x:c>
      <x:c r="E746" s="24" t="n">
        <x:v>0</x:v>
      </x:c>
      <x:c r="F746" s="24" t="n">
        <x:v>168000</x:v>
      </x:c>
    </x:row>
    <x:row r="747">
      <x:c r="A747" s="18" t="str">
        <x:v>P0002</x:v>
      </x:c>
      <x:c r="B747" s="18" t="str">
        <x:v>Pensioner</x:v>
      </x:c>
      <x:c r="C747" s="18" t="n">
        <x:v>83</x:v>
      </x:c>
      <x:c r="D747" s="32" t="n">
        <x:v>18.7</x:v>
      </x:c>
      <x:c r="E747" s="24" t="n">
        <x:v>0</x:v>
      </x:c>
      <x:c r="F747" s="24" t="n">
        <x:v>642000</x:v>
      </x:c>
    </x:row>
    <x:row r="748">
      <x:c r="A748" s="18" t="str">
        <x:v>D0098</x:v>
      </x:c>
      <x:c r="B748" s="18" t="str">
        <x:v>Deferred</x:v>
      </x:c>
      <x:c r="C748" s="18" t="n">
        <x:v>43</x:v>
      </x:c>
      <x:c r="D748" s="32" t="n">
        <x:v>17.8</x:v>
      </x:c>
      <x:c r="E748" s="24" t="n">
        <x:v>822000</x:v>
      </x:c>
      <x:c r="F748" s="24" t="n">
        <x:v>0</x:v>
      </x:c>
    </x:row>
    <x:row r="749">
      <x:c r="A749" s="18" t="str">
        <x:v>A0122</x:v>
      </x:c>
      <x:c r="B749" s="18" t="str">
        <x:v>Active</x:v>
      </x:c>
      <x:c r="C749" s="18" t="n">
        <x:v>43</x:v>
      </x:c>
      <x:c r="D749" s="32" t="n">
        <x:v>15.1</x:v>
      </x:c>
      <x:c r="E749" s="24" t="n">
        <x:v>1290000</x:v>
      </x:c>
      <x:c r="F749" s="24" t="n">
        <x:v>0</x:v>
      </x:c>
    </x:row>
    <x:row r="750">
      <x:c r="A750" s="18" t="str">
        <x:v>A0341</x:v>
      </x:c>
      <x:c r="B750" s="18" t="str">
        <x:v>Active</x:v>
      </x:c>
      <x:c r="C750" s="18" t="n">
        <x:v>24</x:v>
      </x:c>
      <x:c r="D750" s="32" t="n">
        <x:v>1</x:v>
      </x:c>
      <x:c r="E750" s="24" t="n">
        <x:v>536000</x:v>
      </x:c>
      <x:c r="F750" s="24" t="n">
        <x:v>0</x:v>
      </x:c>
    </x:row>
    <x:row r="751">
      <x:c r="A751" s="18" t="str">
        <x:v>P0122</x:v>
      </x:c>
      <x:c r="B751" s="18" t="str">
        <x:v>Pensioner</x:v>
      </x:c>
      <x:c r="C751" s="18" t="n">
        <x:v>86</x:v>
      </x:c>
      <x:c r="D751" s="32" t="n">
        <x:v>30.9</x:v>
      </x:c>
      <x:c r="E751" s="24" t="n">
        <x:v>0</x:v>
      </x:c>
      <x:c r="F751" s="24" t="n">
        <x:v>400000</x:v>
      </x:c>
    </x:row>
    <x:row r="752">
      <x:c r="A752" s="18" t="str">
        <x:v>D0127</x:v>
      </x:c>
      <x:c r="B752" s="18" t="str">
        <x:v>Deferred</x:v>
      </x:c>
      <x:c r="C752" s="18" t="n">
        <x:v>44</x:v>
      </x:c>
      <x:c r="D752" s="32" t="n">
        <x:v>2.2</x:v>
      </x:c>
      <x:c r="E752" s="24" t="n">
        <x:v>803000</x:v>
      </x:c>
      <x:c r="F752" s="24" t="n">
        <x:v>0</x:v>
      </x:c>
    </x:row>
    <x:row r="753">
      <x:c r="A753" s="18" t="str">
        <x:v>D0096</x:v>
      </x:c>
      <x:c r="B753" s="18" t="str">
        <x:v>Deferred</x:v>
      </x:c>
      <x:c r="C753" s="18" t="n">
        <x:v>30</x:v>
      </x:c>
      <x:c r="D753" s="32" t="n">
        <x:v>2</x:v>
      </x:c>
      <x:c r="E753" s="24" t="n">
        <x:v>319000</x:v>
      </x:c>
      <x:c r="F753" s="24" t="n">
        <x:v>0</x:v>
      </x:c>
    </x:row>
    <x:row r="754">
      <x:c r="A754" s="18" t="str">
        <x:v>A0102</x:v>
      </x:c>
      <x:c r="B754" s="18" t="str">
        <x:v>Active</x:v>
      </x:c>
      <x:c r="C754" s="18" t="n">
        <x:v>51</x:v>
      </x:c>
      <x:c r="D754" s="32" t="n">
        <x:v>4.6</x:v>
      </x:c>
      <x:c r="E754" s="24" t="n">
        <x:v>1273000</x:v>
      </x:c>
      <x:c r="F754" s="24" t="n">
        <x:v>0</x:v>
      </x:c>
    </x:row>
    <x:row r="755">
      <x:c r="A755" s="18" t="str">
        <x:v>A0053</x:v>
      </x:c>
      <x:c r="B755" s="18" t="str">
        <x:v>Active</x:v>
      </x:c>
      <x:c r="C755" s="18" t="n">
        <x:v>43</x:v>
      </x:c>
      <x:c r="D755" s="32" t="n">
        <x:v>9.8</x:v>
      </x:c>
      <x:c r="E755" s="24" t="n">
        <x:v>1108000</x:v>
      </x:c>
      <x:c r="F755" s="24" t="n">
        <x:v>0</x:v>
      </x:c>
    </x:row>
    <x:row r="756">
      <x:c r="A756" s="18" t="str">
        <x:v>P0217</x:v>
      </x:c>
      <x:c r="B756" s="18" t="str">
        <x:v>Pensioner</x:v>
      </x:c>
      <x:c r="C756" s="18" t="n">
        <x:v>61</x:v>
      </x:c>
      <x:c r="D756" s="32" t="n">
        <x:v>17.8</x:v>
      </x:c>
      <x:c r="E756" s="24" t="n">
        <x:v>0</x:v>
      </x:c>
      <x:c r="F756" s="24" t="n">
        <x:v>231000</x:v>
      </x:c>
    </x:row>
    <x:row r="757">
      <x:c r="A757" s="18" t="str">
        <x:v>A0459</x:v>
      </x:c>
      <x:c r="B757" s="18" t="str">
        <x:v>Active</x:v>
      </x:c>
      <x:c r="C757" s="18" t="n">
        <x:v>28</x:v>
      </x:c>
      <x:c r="D757" s="32" t="n">
        <x:v>1.1</x:v>
      </x:c>
      <x:c r="E757" s="24" t="n">
        <x:v>447000</x:v>
      </x:c>
      <x:c r="F757" s="24" t="n">
        <x:v>0</x:v>
      </x:c>
    </x:row>
    <x:row r="758">
      <x:c r="A758" s="18" t="str">
        <x:v>A0124</x:v>
      </x:c>
      <x:c r="B758" s="18" t="str">
        <x:v>Active</x:v>
      </x:c>
      <x:c r="C758" s="18" t="n">
        <x:v>49</x:v>
      </x:c>
      <x:c r="D758" s="32" t="n">
        <x:v>10.7</x:v>
      </x:c>
      <x:c r="E758" s="24" t="n">
        <x:v>1295000</x:v>
      </x:c>
      <x:c r="F758" s="24" t="n">
        <x:v>0</x:v>
      </x:c>
    </x:row>
    <x:row r="759">
      <x:c r="A759" s="18" t="str">
        <x:v>P0062</x:v>
      </x:c>
      <x:c r="B759" s="18" t="str">
        <x:v>Pensioner</x:v>
      </x:c>
      <x:c r="C759" s="18" t="n">
        <x:v>78</x:v>
      </x:c>
      <x:c r="D759" s="32" t="n">
        <x:v>31.2</x:v>
      </x:c>
      <x:c r="E759" s="24" t="n">
        <x:v>0</x:v>
      </x:c>
      <x:c r="F759" s="24" t="n">
        <x:v>299000</x:v>
      </x:c>
    </x:row>
    <x:row r="760">
      <x:c r="A760" s="18" t="str">
        <x:v>P0052</x:v>
      </x:c>
      <x:c r="B760" s="18" t="str">
        <x:v>Pensioner</x:v>
      </x:c>
      <x:c r="C760" s="18" t="n">
        <x:v>69</x:v>
      </x:c>
      <x:c r="D760" s="32" t="n">
        <x:v>29.5</x:v>
      </x:c>
      <x:c r="E760" s="24" t="n">
        <x:v>0</x:v>
      </x:c>
      <x:c r="F760" s="24" t="n">
        <x:v>334000</x:v>
      </x:c>
    </x:row>
    <x:row r="761">
      <x:c r="A761" s="18" t="str">
        <x:v>A0343</x:v>
      </x:c>
      <x:c r="B761" s="18" t="str">
        <x:v>Active</x:v>
      </x:c>
      <x:c r="C761" s="18" t="n">
        <x:v>22</x:v>
      </x:c>
      <x:c r="D761" s="32" t="n">
        <x:v>1</x:v>
      </x:c>
      <x:c r="E761" s="24" t="n">
        <x:v>455000</x:v>
      </x:c>
      <x:c r="F761" s="24" t="n">
        <x:v>0</x:v>
      </x:c>
    </x:row>
    <x:row r="762">
      <x:c r="A762" s="18" t="str">
        <x:v>A0393</x:v>
      </x:c>
      <x:c r="B762" s="18" t="str">
        <x:v>Active</x:v>
      </x:c>
      <x:c r="C762" s="18" t="n">
        <x:v>41</x:v>
      </x:c>
      <x:c r="D762" s="32" t="n">
        <x:v>7.5</x:v>
      </x:c>
      <x:c r="E762" s="24" t="n">
        <x:v>1136000</x:v>
      </x:c>
      <x:c r="F762" s="24" t="n">
        <x:v>0</x:v>
      </x:c>
    </x:row>
    <x:row r="763">
      <x:c r="A763" s="18" t="str">
        <x:v>P0096</x:v>
      </x:c>
      <x:c r="B763" s="18" t="str">
        <x:v>Pensioner</x:v>
      </x:c>
      <x:c r="C763" s="18" t="n">
        <x:v>87</x:v>
      </x:c>
      <x:c r="D763" s="32" t="n">
        <x:v>17.5</x:v>
      </x:c>
      <x:c r="E763" s="24" t="n">
        <x:v>0</x:v>
      </x:c>
      <x:c r="F763" s="24" t="n">
        <x:v>451000</x:v>
      </x:c>
    </x:row>
    <x:row r="764">
      <x:c r="A764" s="18" t="str">
        <x:v>A0284</x:v>
      </x:c>
      <x:c r="B764" s="18" t="str">
        <x:v>Active</x:v>
      </x:c>
      <x:c r="C764" s="18" t="n">
        <x:v>34</x:v>
      </x:c>
      <x:c r="D764" s="32" t="n">
        <x:v>1.8</x:v>
      </x:c>
      <x:c r="E764" s="24" t="n">
        <x:v>666000</x:v>
      </x:c>
      <x:c r="F764" s="24" t="n">
        <x:v>0</x:v>
      </x:c>
    </x:row>
    <x:row r="765">
      <x:c r="A765" s="18" t="str">
        <x:v>P0176</x:v>
      </x:c>
      <x:c r="B765" s="18" t="str">
        <x:v>Pensioner</x:v>
      </x:c>
      <x:c r="C765" s="18" t="n">
        <x:v>81</x:v>
      </x:c>
      <x:c r="D765" s="32" t="n">
        <x:v>29.6</x:v>
      </x:c>
      <x:c r="E765" s="24" t="n">
        <x:v>0</x:v>
      </x:c>
      <x:c r="F765" s="24" t="n">
        <x:v>310000</x:v>
      </x:c>
    </x:row>
    <x:row r="766">
      <x:c r="A766" s="18" t="str">
        <x:v>A0017</x:v>
      </x:c>
      <x:c r="B766" s="18" t="str">
        <x:v>Active</x:v>
      </x:c>
      <x:c r="C766" s="18" t="n">
        <x:v>49</x:v>
      </x:c>
      <x:c r="D766" s="32" t="n">
        <x:v>2.6</x:v>
      </x:c>
      <x:c r="E766" s="24" t="n">
        <x:v>1428000</x:v>
      </x:c>
      <x:c r="F766" s="24" t="n">
        <x:v>0</x:v>
      </x:c>
    </x:row>
    <x:row r="767">
      <x:c r="A767" s="18" t="str">
        <x:v>P0246</x:v>
      </x:c>
      <x:c r="B767" s="18" t="str">
        <x:v>Pensioner</x:v>
      </x:c>
      <x:c r="C767" s="18" t="n">
        <x:v>83</x:v>
      </x:c>
      <x:c r="D767" s="32" t="n">
        <x:v>17.4</x:v>
      </x:c>
      <x:c r="E767" s="24" t="n">
        <x:v>0</x:v>
      </x:c>
      <x:c r="F767" s="24" t="n">
        <x:v>701000</x:v>
      </x:c>
    </x:row>
    <x:row r="768">
      <x:c r="A768" s="18" t="str">
        <x:v>A0587</x:v>
      </x:c>
      <x:c r="B768" s="18" t="str">
        <x:v>Active</x:v>
      </x:c>
      <x:c r="C768" s="18" t="n">
        <x:v>44</x:v>
      </x:c>
      <x:c r="D768" s="32" t="n">
        <x:v>21.7</x:v>
      </x:c>
      <x:c r="E768" s="24" t="n">
        <x:v>807000</x:v>
      </x:c>
      <x:c r="F768" s="24" t="n">
        <x:v>0</x:v>
      </x:c>
    </x:row>
    <x:row r="769">
      <x:c r="A769" s="18" t="str">
        <x:v>A0561</x:v>
      </x:c>
      <x:c r="B769" s="18" t="str">
        <x:v>Active</x:v>
      </x:c>
      <x:c r="C769" s="18" t="n">
        <x:v>29</x:v>
      </x:c>
      <x:c r="D769" s="32" t="n">
        <x:v>1.7</x:v>
      </x:c>
      <x:c r="E769" s="24" t="n">
        <x:v>472000</x:v>
      </x:c>
      <x:c r="F769" s="24" t="n">
        <x:v>0</x:v>
      </x:c>
    </x:row>
    <x:row r="770">
      <x:c r="A770" s="18" t="str">
        <x:v>A0267</x:v>
      </x:c>
      <x:c r="B770" s="18" t="str">
        <x:v>Active</x:v>
      </x:c>
      <x:c r="C770" s="18" t="n">
        <x:v>57</x:v>
      </x:c>
      <x:c r="D770" s="32" t="n">
        <x:v>31.2</x:v>
      </x:c>
      <x:c r="E770" s="24" t="n">
        <x:v>1845000</x:v>
      </x:c>
      <x:c r="F770" s="24" t="n">
        <x:v>0</x:v>
      </x:c>
    </x:row>
    <x:row r="771">
      <x:c r="A771" s="18" t="str">
        <x:v>A0483</x:v>
      </x:c>
      <x:c r="B771" s="18" t="str">
        <x:v>Active</x:v>
      </x:c>
      <x:c r="C771" s="18" t="n">
        <x:v>49</x:v>
      </x:c>
      <x:c r="D771" s="32" t="n">
        <x:v>24.6</x:v>
      </x:c>
      <x:c r="E771" s="24" t="n">
        <x:v>1164000</x:v>
      </x:c>
      <x:c r="F771" s="24" t="n">
        <x:v>0</x:v>
      </x:c>
    </x:row>
    <x:row r="772">
      <x:c r="A772" s="18" t="str">
        <x:v>P0185</x:v>
      </x:c>
      <x:c r="B772" s="18" t="str">
        <x:v>Pensioner</x:v>
      </x:c>
      <x:c r="C772" s="18" t="n">
        <x:v>73</x:v>
      </x:c>
      <x:c r="D772" s="32" t="n">
        <x:v>20.4</x:v>
      </x:c>
      <x:c r="E772" s="24" t="n">
        <x:v>0</x:v>
      </x:c>
      <x:c r="F772" s="24" t="n">
        <x:v>460000</x:v>
      </x:c>
    </x:row>
    <x:row r="773">
      <x:c r="A773" s="18" t="str">
        <x:v>A0103</x:v>
      </x:c>
      <x:c r="B773" s="18" t="str">
        <x:v>Active</x:v>
      </x:c>
      <x:c r="C773" s="18" t="n">
        <x:v>51</x:v>
      </x:c>
      <x:c r="D773" s="32" t="n">
        <x:v>14.7</x:v>
      </x:c>
      <x:c r="E773" s="24" t="n">
        <x:v>1505000</x:v>
      </x:c>
      <x:c r="F773" s="24" t="n">
        <x:v>0</x:v>
      </x:c>
    </x:row>
    <x:row r="774">
      <x:c r="A774" s="18" t="str">
        <x:v>A0380</x:v>
      </x:c>
      <x:c r="B774" s="18" t="str">
        <x:v>Active</x:v>
      </x:c>
      <x:c r="C774" s="18" t="n">
        <x:v>32</x:v>
      </x:c>
      <x:c r="D774" s="32" t="n">
        <x:v>7.6</x:v>
      </x:c>
      <x:c r="E774" s="24" t="n">
        <x:v>598000</x:v>
      </x:c>
      <x:c r="F774" s="24" t="n">
        <x:v>0</x:v>
      </x:c>
    </x:row>
    <x:row r="775">
      <x:c r="A775" s="18" t="str">
        <x:v>A0534</x:v>
      </x:c>
      <x:c r="B775" s="18" t="str">
        <x:v>Active</x:v>
      </x:c>
      <x:c r="C775" s="18" t="n">
        <x:v>29</x:v>
      </x:c>
      <x:c r="D775" s="32" t="n">
        <x:v>1.3</x:v>
      </x:c>
      <x:c r="E775" s="24" t="n">
        <x:v>496000</x:v>
      </x:c>
      <x:c r="F775" s="24" t="n">
        <x:v>0</x:v>
      </x:c>
    </x:row>
    <x:row r="776">
      <x:c r="A776" s="18" t="str">
        <x:v>A0199</x:v>
      </x:c>
      <x:c r="B776" s="18" t="str">
        <x:v>Active</x:v>
      </x:c>
      <x:c r="C776" s="18" t="n">
        <x:v>40</x:v>
      </x:c>
      <x:c r="D776" s="32" t="n">
        <x:v>9.3</x:v>
      </x:c>
      <x:c r="E776" s="24" t="n">
        <x:v>986000</x:v>
      </x:c>
      <x:c r="F776" s="24" t="n">
        <x:v>0</x:v>
      </x:c>
    </x:row>
    <x:row r="777">
      <x:c r="A777" s="18" t="str">
        <x:v>P0014</x:v>
      </x:c>
      <x:c r="B777" s="18" t="str">
        <x:v>Pensioner</x:v>
      </x:c>
      <x:c r="C777" s="18" t="n">
        <x:v>87</x:v>
      </x:c>
      <x:c r="D777" s="32" t="n">
        <x:v>14</x:v>
      </x:c>
      <x:c r="E777" s="24" t="n">
        <x:v>0</x:v>
      </x:c>
      <x:c r="F777" s="24" t="n">
        <x:v>435000</x:v>
      </x:c>
    </x:row>
    <x:row r="778">
      <x:c r="A778" s="18" t="str">
        <x:v>P0123</x:v>
      </x:c>
      <x:c r="B778" s="18" t="str">
        <x:v>Pensioner</x:v>
      </x:c>
      <x:c r="C778" s="18" t="n">
        <x:v>80</x:v>
      </x:c>
      <x:c r="D778" s="32" t="n">
        <x:v>16.6</x:v>
      </x:c>
      <x:c r="E778" s="24" t="n">
        <x:v>0</x:v>
      </x:c>
      <x:c r="F778" s="24" t="n">
        <x:v>695000</x:v>
      </x:c>
    </x:row>
    <x:row r="779">
      <x:c r="A779" s="18" t="str">
        <x:v>A0421</x:v>
      </x:c>
      <x:c r="B779" s="18" t="str">
        <x:v>Active</x:v>
      </x:c>
      <x:c r="C779" s="18" t="n">
        <x:v>49</x:v>
      </x:c>
      <x:c r="D779" s="32" t="n">
        <x:v>20.3</x:v>
      </x:c>
      <x:c r="E779" s="24" t="n">
        <x:v>1028000</x:v>
      </x:c>
      <x:c r="F779" s="24" t="n">
        <x:v>0</x:v>
      </x:c>
    </x:row>
    <x:row r="780">
      <x:c r="A780" s="18" t="str">
        <x:v>D0016</x:v>
      </x:c>
      <x:c r="B780" s="18" t="str">
        <x:v>Deferred</x:v>
      </x:c>
      <x:c r="C780" s="18" t="n">
        <x:v>30</x:v>
      </x:c>
      <x:c r="D780" s="32" t="n">
        <x:v>2.8</x:v>
      </x:c>
      <x:c r="E780" s="24" t="n">
        <x:v>311000</x:v>
      </x:c>
      <x:c r="F780" s="24" t="n">
        <x:v>0</x:v>
      </x:c>
    </x:row>
    <x:row r="781">
      <x:c r="A781" s="18" t="str">
        <x:v>A0098</x:v>
      </x:c>
      <x:c r="B781" s="18" t="str">
        <x:v>Active</x:v>
      </x:c>
      <x:c r="C781" s="18" t="n">
        <x:v>51</x:v>
      </x:c>
      <x:c r="D781" s="32" t="n">
        <x:v>22.5</x:v>
      </x:c>
      <x:c r="E781" s="24" t="n">
        <x:v>1308000</x:v>
      </x:c>
      <x:c r="F781" s="24" t="n">
        <x:v>0</x:v>
      </x:c>
    </x:row>
    <x:row r="782">
      <x:c r="A782" s="18" t="str">
        <x:v>A0093</x:v>
      </x:c>
      <x:c r="B782" s="18" t="str">
        <x:v>Active</x:v>
      </x:c>
      <x:c r="C782" s="18" t="n">
        <x:v>59</x:v>
      </x:c>
      <x:c r="D782" s="32" t="n">
        <x:v>23.1</x:v>
      </x:c>
      <x:c r="E782" s="24" t="n">
        <x:v>2136000</x:v>
      </x:c>
      <x:c r="F782" s="24" t="n">
        <x:v>0</x:v>
      </x:c>
    </x:row>
    <x:row r="783">
      <x:c r="A783" s="18" t="str">
        <x:v>A0414</x:v>
      </x:c>
      <x:c r="B783" s="18" t="str">
        <x:v>Active</x:v>
      </x:c>
      <x:c r="C783" s="18" t="n">
        <x:v>45</x:v>
      </x:c>
      <x:c r="D783" s="32" t="n">
        <x:v>12.8</x:v>
      </x:c>
      <x:c r="E783" s="24" t="n">
        <x:v>1277000</x:v>
      </x:c>
      <x:c r="F783" s="24" t="n">
        <x:v>0</x:v>
      </x:c>
    </x:row>
    <x:row r="784">
      <x:c r="A784" s="18" t="str">
        <x:v>A0347</x:v>
      </x:c>
      <x:c r="B784" s="18" t="str">
        <x:v>Active</x:v>
      </x:c>
      <x:c r="C784" s="18" t="n">
        <x:v>33</x:v>
      </x:c>
      <x:c r="D784" s="32" t="n">
        <x:v>2</x:v>
      </x:c>
      <x:c r="E784" s="24" t="n">
        <x:v>505000</x:v>
      </x:c>
      <x:c r="F784" s="24" t="n">
        <x:v>0</x:v>
      </x:c>
    </x:row>
    <x:row r="785">
      <x:c r="A785" s="18" t="str">
        <x:v>P0031</x:v>
      </x:c>
      <x:c r="B785" s="18" t="str">
        <x:v>Pensioner</x:v>
      </x:c>
      <x:c r="C785" s="18" t="n">
        <x:v>72</x:v>
      </x:c>
      <x:c r="D785" s="32" t="n">
        <x:v>24.4</x:v>
      </x:c>
      <x:c r="E785" s="24" t="n">
        <x:v>0</x:v>
      </x:c>
      <x:c r="F785" s="24" t="n">
        <x:v>400000</x:v>
      </x:c>
    </x:row>
    <x:row r="786">
      <x:c r="A786" s="18" t="str">
        <x:v>A0394</x:v>
      </x:c>
      <x:c r="B786" s="18" t="str">
        <x:v>Active</x:v>
      </x:c>
      <x:c r="C786" s="18" t="n">
        <x:v>41</x:v>
      </x:c>
      <x:c r="D786" s="32" t="n">
        <x:v>19.3</x:v>
      </x:c>
      <x:c r="E786" s="24" t="n">
        <x:v>684000</x:v>
      </x:c>
      <x:c r="F786" s="24" t="n">
        <x:v>0</x:v>
      </x:c>
    </x:row>
    <x:row r="787">
      <x:c r="A787" s="18" t="str">
        <x:v>A0599</x:v>
      </x:c>
      <x:c r="B787" s="18" t="str">
        <x:v>Active</x:v>
      </x:c>
      <x:c r="C787" s="18" t="n">
        <x:v>36</x:v>
      </x:c>
      <x:c r="D787" s="32" t="n">
        <x:v>10.1</x:v>
      </x:c>
      <x:c r="E787" s="24" t="n">
        <x:v>535000</x:v>
      </x:c>
      <x:c r="F787" s="24" t="n">
        <x:v>0</x:v>
      </x:c>
    </x:row>
    <x:row r="788">
      <x:c r="A788" s="18" t="str">
        <x:v>D0116</x:v>
      </x:c>
      <x:c r="B788" s="18" t="str">
        <x:v>Deferred</x:v>
      </x:c>
      <x:c r="C788" s="18" t="n">
        <x:v>42</x:v>
      </x:c>
      <x:c r="D788" s="32" t="n">
        <x:v>17.8</x:v>
      </x:c>
      <x:c r="E788" s="24" t="n">
        <x:v>712000</x:v>
      </x:c>
      <x:c r="F788" s="24" t="n">
        <x:v>0</x:v>
      </x:c>
    </x:row>
    <x:row r="789">
      <x:c r="A789" s="18" t="str">
        <x:v>P0088</x:v>
      </x:c>
      <x:c r="B789" s="18" t="str">
        <x:v>Pensioner</x:v>
      </x:c>
      <x:c r="C789" s="18" t="n">
        <x:v>86</x:v>
      </x:c>
      <x:c r="D789" s="32" t="n">
        <x:v>37.4</x:v>
      </x:c>
      <x:c r="E789" s="24" t="n">
        <x:v>0</x:v>
      </x:c>
      <x:c r="F789" s="24" t="n">
        <x:v>816000</x:v>
      </x:c>
    </x:row>
    <x:row r="790">
      <x:c r="A790" s="18" t="str">
        <x:v>A0165</x:v>
      </x:c>
      <x:c r="B790" s="18" t="str">
        <x:v>Active</x:v>
      </x:c>
      <x:c r="C790" s="18" t="n">
        <x:v>57</x:v>
      </x:c>
      <x:c r="D790" s="32" t="n">
        <x:v>18.9</x:v>
      </x:c>
      <x:c r="E790" s="24" t="n">
        <x:v>1709000</x:v>
      </x:c>
      <x:c r="F790" s="24" t="n">
        <x:v>0</x:v>
      </x:c>
    </x:row>
    <x:row r="791">
      <x:c r="A791" s="18" t="str">
        <x:v>P0074</x:v>
      </x:c>
      <x:c r="B791" s="18" t="str">
        <x:v>Pensioner</x:v>
      </x:c>
      <x:c r="C791" s="18" t="n">
        <x:v>76</x:v>
      </x:c>
      <x:c r="D791" s="32" t="n">
        <x:v>17</x:v>
      </x:c>
      <x:c r="E791" s="24" t="n">
        <x:v>0</x:v>
      </x:c>
      <x:c r="F791" s="24" t="n">
        <x:v>477000</x:v>
      </x:c>
    </x:row>
    <x:row r="792">
      <x:c r="A792" s="18" t="str">
        <x:v>P0220</x:v>
      </x:c>
      <x:c r="B792" s="18" t="str">
        <x:v>Pensioner</x:v>
      </x:c>
      <x:c r="C792" s="18" t="n">
        <x:v>89</x:v>
      </x:c>
      <x:c r="D792" s="32" t="n">
        <x:v>33.2</x:v>
      </x:c>
      <x:c r="E792" s="24" t="n">
        <x:v>0</x:v>
      </x:c>
      <x:c r="F792" s="24" t="n">
        <x:v>704000</x:v>
      </x:c>
    </x:row>
    <x:row r="793">
      <x:c r="A793" s="18" t="str">
        <x:v>D0117</x:v>
      </x:c>
      <x:c r="B793" s="18" t="str">
        <x:v>Deferred</x:v>
      </x:c>
      <x:c r="C793" s="18" t="n">
        <x:v>57</x:v>
      </x:c>
      <x:c r="D793" s="32" t="n">
        <x:v>6.1</x:v>
      </x:c>
      <x:c r="E793" s="24" t="n">
        <x:v>1479000</x:v>
      </x:c>
      <x:c r="F793" s="24" t="n">
        <x:v>0</x:v>
      </x:c>
    </x:row>
    <x:row r="794">
      <x:c r="A794" s="18" t="str">
        <x:v>A0269</x:v>
      </x:c>
      <x:c r="B794" s="18" t="str">
        <x:v>Active</x:v>
      </x:c>
      <x:c r="C794" s="18" t="n">
        <x:v>36</x:v>
      </x:c>
      <x:c r="D794" s="32" t="n">
        <x:v>8.6</x:v>
      </x:c>
      <x:c r="E794" s="24" t="n">
        <x:v>705000</x:v>
      </x:c>
      <x:c r="F794" s="24" t="n">
        <x:v>0</x:v>
      </x:c>
    </x:row>
    <x:row r="795">
      <x:c r="A795" s="18" t="str">
        <x:v>A0219</x:v>
      </x:c>
      <x:c r="B795" s="18" t="str">
        <x:v>Active</x:v>
      </x:c>
      <x:c r="C795" s="18" t="n">
        <x:v>28</x:v>
      </x:c>
      <x:c r="D795" s="32" t="n">
        <x:v>3.1</x:v>
      </x:c>
      <x:c r="E795" s="24" t="n">
        <x:v>665000</x:v>
      </x:c>
      <x:c r="F795" s="24" t="n">
        <x:v>0</x:v>
      </x:c>
    </x:row>
    <x:row r="796">
      <x:c r="A796" s="18" t="str">
        <x:v>A0472</x:v>
      </x:c>
      <x:c r="B796" s="18" t="str">
        <x:v>Active</x:v>
      </x:c>
      <x:c r="C796" s="18" t="n">
        <x:v>28</x:v>
      </x:c>
      <x:c r="D796" s="32" t="n">
        <x:v>4.1</x:v>
      </x:c>
      <x:c r="E796" s="24" t="n">
        <x:v>560000</x:v>
      </x:c>
      <x:c r="F796" s="24" t="n">
        <x:v>0</x:v>
      </x:c>
    </x:row>
    <x:row r="797">
      <x:c r="A797" s="18" t="str">
        <x:v>A0022</x:v>
      </x:c>
      <x:c r="B797" s="18" t="str">
        <x:v>Active</x:v>
      </x:c>
      <x:c r="C797" s="18" t="n">
        <x:v>40</x:v>
      </x:c>
      <x:c r="D797" s="32" t="n">
        <x:v>8.4</x:v>
      </x:c>
      <x:c r="E797" s="24" t="n">
        <x:v>723000</x:v>
      </x:c>
      <x:c r="F797" s="24" t="n">
        <x:v>0</x:v>
      </x:c>
    </x:row>
    <x:row r="798">
      <x:c r="A798" s="18" t="str">
        <x:v>A0059</x:v>
      </x:c>
      <x:c r="B798" s="18" t="str">
        <x:v>Active</x:v>
      </x:c>
      <x:c r="C798" s="18" t="n">
        <x:v>43</x:v>
      </x:c>
      <x:c r="D798" s="32" t="n">
        <x:v>9</x:v>
      </x:c>
      <x:c r="E798" s="24" t="n">
        <x:v>920000</x:v>
      </x:c>
      <x:c r="F798" s="24" t="n">
        <x:v>0</x:v>
      </x:c>
    </x:row>
    <x:row r="799">
      <x:c r="A799" s="18" t="str">
        <x:v>A0064</x:v>
      </x:c>
      <x:c r="B799" s="18" t="str">
        <x:v>Active</x:v>
      </x:c>
      <x:c r="C799" s="18" t="n">
        <x:v>49</x:v>
      </x:c>
      <x:c r="D799" s="32" t="n">
        <x:v>16.5</x:v>
      </x:c>
      <x:c r="E799" s="24" t="n">
        <x:v>1377000</x:v>
      </x:c>
      <x:c r="F799" s="24" t="n">
        <x:v>0</x:v>
      </x:c>
    </x:row>
    <x:row r="800">
      <x:c r="A800" s="18" t="str">
        <x:v>A0037</x:v>
      </x:c>
      <x:c r="B800" s="18" t="str">
        <x:v>Active</x:v>
      </x:c>
      <x:c r="C800" s="18" t="n">
        <x:v>43</x:v>
      </x:c>
      <x:c r="D800" s="32" t="n">
        <x:v>3.3</x:v>
      </x:c>
      <x:c r="E800" s="24" t="n">
        <x:v>934000</x:v>
      </x:c>
      <x:c r="F800" s="24" t="n">
        <x:v>0</x:v>
      </x:c>
    </x:row>
    <x:row r="801">
      <x:c r="A801" s="18" t="str">
        <x:v>A0001</x:v>
      </x:c>
      <x:c r="B801" s="18" t="str">
        <x:v>Active</x:v>
      </x:c>
      <x:c r="C801" s="18" t="n">
        <x:v>32</x:v>
      </x:c>
      <x:c r="D801" s="32" t="n">
        <x:v>1.8</x:v>
      </x:c>
      <x:c r="E801" s="24" t="n">
        <x:v>776000</x:v>
      </x:c>
      <x:c r="F801" s="24" t="n">
        <x:v>0</x:v>
      </x:c>
    </x:row>
    <x:row r="802">
      <x:c r="A802" s="18" t="str">
        <x:v>P0141</x:v>
      </x:c>
      <x:c r="B802" s="18" t="str">
        <x:v>Pensioner</x:v>
      </x:c>
      <x:c r="C802" s="18" t="n">
        <x:v>73</x:v>
      </x:c>
      <x:c r="D802" s="32" t="n">
        <x:v>26.4</x:v>
      </x:c>
      <x:c r="E802" s="24" t="n">
        <x:v>0</x:v>
      </x:c>
      <x:c r="F802" s="24" t="n">
        <x:v>298000</x:v>
      </x:c>
    </x:row>
    <x:row r="803">
      <x:c r="A803" s="18" t="str">
        <x:v>D0060</x:v>
      </x:c>
      <x:c r="B803" s="18" t="str">
        <x:v>Deferred</x:v>
      </x:c>
      <x:c r="C803" s="18" t="n">
        <x:v>45</x:v>
      </x:c>
      <x:c r="D803" s="32" t="n">
        <x:v>17</x:v>
      </x:c>
      <x:c r="E803" s="24" t="n">
        <x:v>623000</x:v>
      </x:c>
      <x:c r="F803" s="24" t="n">
        <x:v>0</x:v>
      </x:c>
    </x:row>
    <x:row r="804">
      <x:c r="A804" s="18" t="str">
        <x:v>P0001</x:v>
      </x:c>
      <x:c r="B804" s="18" t="str">
        <x:v>Pensioner</x:v>
      </x:c>
      <x:c r="C804" s="18" t="n">
        <x:v>76</x:v>
      </x:c>
      <x:c r="D804" s="32" t="n">
        <x:v>23.1</x:v>
      </x:c>
      <x:c r="E804" s="24" t="n">
        <x:v>0</x:v>
      </x:c>
      <x:c r="F804" s="24" t="n">
        <x:v>407000</x:v>
      </x:c>
    </x:row>
    <x:row r="805">
      <x:c r="A805" s="18" t="str">
        <x:v>A0243</x:v>
      </x:c>
      <x:c r="B805" s="18" t="str">
        <x:v>Active</x:v>
      </x:c>
      <x:c r="C805" s="18" t="n">
        <x:v>37</x:v>
      </x:c>
      <x:c r="D805" s="32" t="n">
        <x:v>4.8</x:v>
      </x:c>
      <x:c r="E805" s="24" t="n">
        <x:v>584000</x:v>
      </x:c>
      <x:c r="F805" s="24" t="n">
        <x:v>0</x:v>
      </x:c>
    </x:row>
    <x:row r="806">
      <x:c r="A806" s="18" t="str">
        <x:v>A0612</x:v>
      </x:c>
      <x:c r="B806" s="18" t="str">
        <x:v>Active</x:v>
      </x:c>
      <x:c r="C806" s="18" t="n">
        <x:v>24</x:v>
      </x:c>
      <x:c r="D806" s="32" t="n">
        <x:v>1.8</x:v>
      </x:c>
      <x:c r="E806" s="24" t="n">
        <x:v>487000</x:v>
      </x:c>
      <x:c r="F806" s="24" t="n">
        <x:v>0</x:v>
      </x:c>
    </x:row>
    <x:row r="807">
      <x:c r="A807" s="18" t="str">
        <x:v>A0557</x:v>
      </x:c>
      <x:c r="B807" s="18" t="str">
        <x:v>Active</x:v>
      </x:c>
      <x:c r="C807" s="18" t="n">
        <x:v>35</x:v>
      </x:c>
      <x:c r="D807" s="32" t="n">
        <x:v>11.3</x:v>
      </x:c>
      <x:c r="E807" s="24" t="n">
        <x:v>828000</x:v>
      </x:c>
      <x:c r="F807" s="24" t="n">
        <x:v>0</x:v>
      </x:c>
    </x:row>
    <x:row r="808">
      <x:c r="A808" s="18" t="str">
        <x:v>P0099</x:v>
      </x:c>
      <x:c r="B808" s="18" t="str">
        <x:v>Pensioner</x:v>
      </x:c>
      <x:c r="C808" s="18" t="n">
        <x:v>66</x:v>
      </x:c>
      <x:c r="D808" s="32" t="n">
        <x:v>39.2</x:v>
      </x:c>
      <x:c r="E808" s="24" t="n">
        <x:v>0</x:v>
      </x:c>
      <x:c r="F808" s="24" t="n">
        <x:v>181000</x:v>
      </x:c>
    </x:row>
    <x:row r="809">
      <x:c r="A809" s="18" t="str">
        <x:v>D0074</x:v>
      </x:c>
      <x:c r="B809" s="18" t="str">
        <x:v>Deferred</x:v>
      </x:c>
      <x:c r="C809" s="18" t="n">
        <x:v>53</x:v>
      </x:c>
      <x:c r="D809" s="32" t="n">
        <x:v>21.4</x:v>
      </x:c>
      <x:c r="E809" s="24" t="n">
        <x:v>1038000</x:v>
      </x:c>
      <x:c r="F809" s="24" t="n">
        <x:v>0</x:v>
      </x:c>
    </x:row>
    <x:row r="810">
      <x:c r="A810" s="18" t="str">
        <x:v>A0043</x:v>
      </x:c>
      <x:c r="B810" s="18" t="str">
        <x:v>Active</x:v>
      </x:c>
      <x:c r="C810" s="18" t="n">
        <x:v>33</x:v>
      </x:c>
      <x:c r="D810" s="32" t="n">
        <x:v>11.3</x:v>
      </x:c>
      <x:c r="E810" s="24" t="n">
        <x:v>641000</x:v>
      </x:c>
      <x:c r="F810" s="24" t="n">
        <x:v>0</x:v>
      </x:c>
    </x:row>
    <x:row r="811">
      <x:c r="A811" s="18" t="str">
        <x:v>A0105</x:v>
      </x:c>
      <x:c r="B811" s="18" t="str">
        <x:v>Active</x:v>
      </x:c>
      <x:c r="C811" s="18" t="n">
        <x:v>52</x:v>
      </x:c>
      <x:c r="D811" s="32" t="n">
        <x:v>16.9</x:v>
      </x:c>
      <x:c r="E811" s="24" t="n">
        <x:v>1875000</x:v>
      </x:c>
      <x:c r="F811" s="24" t="n">
        <x:v>0</x:v>
      </x:c>
    </x:row>
    <x:row r="812">
      <x:c r="A812" s="18" t="str">
        <x:v>A0132</x:v>
      </x:c>
      <x:c r="B812" s="18" t="str">
        <x:v>Active</x:v>
      </x:c>
      <x:c r="C812" s="18" t="n">
        <x:v>45</x:v>
      </x:c>
      <x:c r="D812" s="32" t="n">
        <x:v>8.5</x:v>
      </x:c>
      <x:c r="E812" s="24" t="n">
        <x:v>813000</x:v>
      </x:c>
      <x:c r="F812" s="24" t="n">
        <x:v>0</x:v>
      </x:c>
    </x:row>
    <x:row r="813">
      <x:c r="A813" s="18" t="str">
        <x:v>A0550</x:v>
      </x:c>
      <x:c r="B813" s="18" t="str">
        <x:v>Active</x:v>
      </x:c>
      <x:c r="C813" s="18" t="n">
        <x:v>26</x:v>
      </x:c>
      <x:c r="D813" s="32" t="n">
        <x:v>2.8</x:v>
      </x:c>
      <x:c r="E813" s="24" t="n">
        <x:v>383000</x:v>
      </x:c>
      <x:c r="F813" s="24" t="n">
        <x:v>0</x:v>
      </x:c>
    </x:row>
    <x:row r="814">
      <x:c r="A814" s="18" t="str">
        <x:v>A0167</x:v>
      </x:c>
      <x:c r="B814" s="18" t="str">
        <x:v>Active</x:v>
      </x:c>
      <x:c r="C814" s="18" t="n">
        <x:v>58</x:v>
      </x:c>
      <x:c r="D814" s="32" t="n">
        <x:v>25.9</x:v>
      </x:c>
      <x:c r="E814" s="24" t="n">
        <x:v>1841000</x:v>
      </x:c>
      <x:c r="F814" s="24" t="n">
        <x:v>0</x:v>
      </x:c>
    </x:row>
    <x:row r="815">
      <x:c r="A815" s="18" t="str">
        <x:v>A0193</x:v>
      </x:c>
      <x:c r="B815" s="18" t="str">
        <x:v>Active</x:v>
      </x:c>
      <x:c r="C815" s="18" t="n">
        <x:v>48</x:v>
      </x:c>
      <x:c r="D815" s="32" t="n">
        <x:v>14.5</x:v>
      </x:c>
      <x:c r="E815" s="24" t="n">
        <x:v>1453000</x:v>
      </x:c>
      <x:c r="F815" s="24" t="n">
        <x:v>0</x:v>
      </x:c>
    </x:row>
    <x:row r="816">
      <x:c r="A816" s="18" t="str">
        <x:v>P0130</x:v>
      </x:c>
      <x:c r="B816" s="18" t="str">
        <x:v>Pensioner</x:v>
      </x:c>
      <x:c r="C816" s="18" t="n">
        <x:v>74</x:v>
      </x:c>
      <x:c r="D816" s="32" t="n">
        <x:v>36.5</x:v>
      </x:c>
      <x:c r="E816" s="24" t="n">
        <x:v>0</x:v>
      </x:c>
      <x:c r="F816" s="24" t="n">
        <x:v>389000</x:v>
      </x:c>
    </x:row>
    <x:row r="817">
      <x:c r="A817" s="18" t="str">
        <x:v>A0010</x:v>
      </x:c>
      <x:c r="B817" s="18" t="str">
        <x:v>Active</x:v>
      </x:c>
      <x:c r="C817" s="18" t="n">
        <x:v>47</x:v>
      </x:c>
      <x:c r="D817" s="32" t="n">
        <x:v>5.3</x:v>
      </x:c>
      <x:c r="E817" s="24" t="n">
        <x:v>1471000</x:v>
      </x:c>
      <x:c r="F817" s="24" t="n">
        <x:v>0</x:v>
      </x:c>
    </x:row>
    <x:row r="818">
      <x:c r="A818" s="18" t="str">
        <x:v>A0419</x:v>
      </x:c>
      <x:c r="B818" s="18" t="str">
        <x:v>Active</x:v>
      </x:c>
      <x:c r="C818" s="18" t="n">
        <x:v>26</x:v>
      </x:c>
      <x:c r="D818" s="32" t="n">
        <x:v>2</x:v>
      </x:c>
      <x:c r="E818" s="24" t="n">
        <x:v>348000</x:v>
      </x:c>
      <x:c r="F818" s="24" t="n">
        <x:v>0</x:v>
      </x:c>
    </x:row>
    <x:row r="819">
      <x:c r="A819" s="18" t="str">
        <x:v>A0448</x:v>
      </x:c>
      <x:c r="B819" s="18" t="str">
        <x:v>Active</x:v>
      </x:c>
      <x:c r="C819" s="18" t="n">
        <x:v>40</x:v>
      </x:c>
      <x:c r="D819" s="32" t="n">
        <x:v>2.5</x:v>
      </x:c>
      <x:c r="E819" s="24" t="n">
        <x:v>1107000</x:v>
      </x:c>
      <x:c r="F819" s="24" t="n">
        <x:v>0</x:v>
      </x:c>
    </x:row>
    <x:row r="820">
      <x:c r="A820" s="18" t="str">
        <x:v>A0503</x:v>
      </x:c>
      <x:c r="B820" s="18" t="str">
        <x:v>Active</x:v>
      </x:c>
      <x:c r="C820" s="18" t="n">
        <x:v>57</x:v>
      </x:c>
      <x:c r="D820" s="32" t="n">
        <x:v>11.3</x:v>
      </x:c>
      <x:c r="E820" s="24" t="n">
        <x:v>2416000</x:v>
      </x:c>
      <x:c r="F820" s="24" t="n">
        <x:v>0</x:v>
      </x:c>
    </x:row>
    <x:row r="821">
      <x:c r="A821" s="18" t="str">
        <x:v>P0121</x:v>
      </x:c>
      <x:c r="B821" s="18" t="str">
        <x:v>Pensioner</x:v>
      </x:c>
      <x:c r="C821" s="18" t="n">
        <x:v>75</x:v>
      </x:c>
      <x:c r="D821" s="32" t="n">
        <x:v>24.3</x:v>
      </x:c>
      <x:c r="E821" s="24" t="n">
        <x:v>0</x:v>
      </x:c>
      <x:c r="F821" s="24" t="n">
        <x:v>311000</x:v>
      </x:c>
    </x:row>
    <x:row r="822">
      <x:c r="A822" s="18" t="str">
        <x:v>D0077</x:v>
      </x:c>
      <x:c r="B822" s="18" t="str">
        <x:v>Deferred</x:v>
      </x:c>
      <x:c r="C822" s="18" t="n">
        <x:v>37</x:v>
      </x:c>
      <x:c r="D822" s="32" t="n">
        <x:v>5.6</x:v>
      </x:c>
      <x:c r="E822" s="24" t="n">
        <x:v>435000</x:v>
      </x:c>
      <x:c r="F822" s="24" t="n">
        <x:v>0</x:v>
      </x:c>
    </x:row>
    <x:row r="823">
      <x:c r="A823" s="18" t="str">
        <x:v>A0260</x:v>
      </x:c>
      <x:c r="B823" s="18" t="str">
        <x:v>Active</x:v>
      </x:c>
      <x:c r="C823" s="18" t="n">
        <x:v>53</x:v>
      </x:c>
      <x:c r="D823" s="32" t="n">
        <x:v>1</x:v>
      </x:c>
      <x:c r="E823" s="24" t="n">
        <x:v>1435000</x:v>
      </x:c>
      <x:c r="F823" s="24" t="n">
        <x:v>0</x:v>
      </x:c>
    </x:row>
    <x:row r="824">
      <x:c r="A824" s="18" t="str">
        <x:v>P0025</x:v>
      </x:c>
      <x:c r="B824" s="18" t="str">
        <x:v>Pensioner</x:v>
      </x:c>
      <x:c r="C824" s="18" t="n">
        <x:v>86</x:v>
      </x:c>
      <x:c r="D824" s="32" t="n">
        <x:v>26</x:v>
      </x:c>
      <x:c r="E824" s="24" t="n">
        <x:v>0</x:v>
      </x:c>
      <x:c r="F824" s="24" t="n">
        <x:v>387000</x:v>
      </x:c>
    </x:row>
    <x:row r="825">
      <x:c r="A825" s="18" t="str">
        <x:v>A0476</x:v>
      </x:c>
      <x:c r="B825" s="18" t="str">
        <x:v>Active</x:v>
      </x:c>
      <x:c r="C825" s="18" t="n">
        <x:v>49</x:v>
      </x:c>
      <x:c r="D825" s="32" t="n">
        <x:v>3.8</x:v>
      </x:c>
      <x:c r="E825" s="24" t="n">
        <x:v>1466000</x:v>
      </x:c>
      <x:c r="F825" s="24" t="n">
        <x:v>0</x:v>
      </x:c>
    </x:row>
    <x:row r="826">
      <x:c r="A826" s="18" t="str">
        <x:v>A0055</x:v>
      </x:c>
      <x:c r="B826" s="18" t="str">
        <x:v>Active</x:v>
      </x:c>
      <x:c r="C826" s="18" t="n">
        <x:v>44</x:v>
      </x:c>
      <x:c r="D826" s="32" t="n">
        <x:v>3.2</x:v>
      </x:c>
      <x:c r="E826" s="24" t="n">
        <x:v>1105000</x:v>
      </x:c>
      <x:c r="F826" s="24" t="n">
        <x:v>0</x:v>
      </x:c>
    </x:row>
    <x:row r="827">
      <x:c r="A827" s="18" t="str">
        <x:v>A0187</x:v>
      </x:c>
      <x:c r="B827" s="18" t="str">
        <x:v>Active</x:v>
      </x:c>
      <x:c r="C827" s="18" t="n">
        <x:v>42</x:v>
      </x:c>
      <x:c r="D827" s="32" t="n">
        <x:v>17.1</x:v>
      </x:c>
      <x:c r="E827" s="24" t="n">
        <x:v>1079000</x:v>
      </x:c>
      <x:c r="F827" s="24" t="n">
        <x:v>0</x:v>
      </x:c>
    </x:row>
    <x:row r="828">
      <x:c r="A828" s="18" t="str">
        <x:v>A0467</x:v>
      </x:c>
      <x:c r="B828" s="18" t="str">
        <x:v>Active</x:v>
      </x:c>
      <x:c r="C828" s="18" t="n">
        <x:v>34</x:v>
      </x:c>
      <x:c r="D828" s="32" t="n">
        <x:v>7.9</x:v>
      </x:c>
      <x:c r="E828" s="24" t="n">
        <x:v>505000</x:v>
      </x:c>
      <x:c r="F828" s="24" t="n">
        <x:v>0</x:v>
      </x:c>
    </x:row>
    <x:row r="829">
      <x:c r="A829" s="18" t="str">
        <x:v>P0140</x:v>
      </x:c>
      <x:c r="B829" s="18" t="str">
        <x:v>Pensioner</x:v>
      </x:c>
      <x:c r="C829" s="18" t="n">
        <x:v>60</x:v>
      </x:c>
      <x:c r="D829" s="32" t="n">
        <x:v>25.1</x:v>
      </x:c>
      <x:c r="E829" s="24" t="n">
        <x:v>0</x:v>
      </x:c>
      <x:c r="F829" s="24" t="n">
        <x:v>200000</x:v>
      </x:c>
    </x:row>
    <x:row r="830">
      <x:c r="A830" s="18" t="str">
        <x:v>A0069</x:v>
      </x:c>
      <x:c r="B830" s="18" t="str">
        <x:v>Active</x:v>
      </x:c>
      <x:c r="C830" s="18" t="n">
        <x:v>53</x:v>
      </x:c>
      <x:c r="D830" s="32" t="n">
        <x:v>11.7</x:v>
      </x:c>
      <x:c r="E830" s="24" t="n">
        <x:v>1129000</x:v>
      </x:c>
      <x:c r="F830" s="24" t="n">
        <x:v>0</x:v>
      </x:c>
    </x:row>
    <x:row r="831">
      <x:c r="A831" s="18" t="str">
        <x:v>A0489</x:v>
      </x:c>
      <x:c r="B831" s="18" t="str">
        <x:v>Active</x:v>
      </x:c>
      <x:c r="C831" s="18" t="n">
        <x:v>40</x:v>
      </x:c>
      <x:c r="D831" s="32" t="n">
        <x:v>9.7</x:v>
      </x:c>
      <x:c r="E831" s="24" t="n">
        <x:v>863000</x:v>
      </x:c>
      <x:c r="F831" s="24" t="n">
        <x:v>0</x:v>
      </x:c>
    </x:row>
    <x:row r="832">
      <x:c r="A832" s="18" t="str">
        <x:v>P0229</x:v>
      </x:c>
      <x:c r="B832" s="18" t="str">
        <x:v>Pensioner</x:v>
      </x:c>
      <x:c r="C832" s="18" t="n">
        <x:v>82</x:v>
      </x:c>
      <x:c r="D832" s="32" t="n">
        <x:v>39.2</x:v>
      </x:c>
      <x:c r="E832" s="24" t="n">
        <x:v>0</x:v>
      </x:c>
      <x:c r="F832" s="24" t="n">
        <x:v>749000</x:v>
      </x:c>
    </x:row>
    <x:row r="833">
      <x:c r="A833" s="18" t="str">
        <x:v>A0573</x:v>
      </x:c>
      <x:c r="B833" s="18" t="str">
        <x:v>Active</x:v>
      </x:c>
      <x:c r="C833" s="18" t="n">
        <x:v>23</x:v>
      </x:c>
      <x:c r="D833" s="32" t="n">
        <x:v>1</x:v>
      </x:c>
      <x:c r="E833" s="24" t="n">
        <x:v>498000</x:v>
      </x:c>
      <x:c r="F833" s="24" t="n">
        <x:v>0</x:v>
      </x:c>
    </x:row>
    <x:row r="834">
      <x:c r="A834" s="18" t="str">
        <x:v>P0086</x:v>
      </x:c>
      <x:c r="B834" s="18" t="str">
        <x:v>Pensioner</x:v>
      </x:c>
      <x:c r="C834" s="18" t="n">
        <x:v>69</x:v>
      </x:c>
      <x:c r="D834" s="32" t="n">
        <x:v>28</x:v>
      </x:c>
      <x:c r="E834" s="24" t="n">
        <x:v>0</x:v>
      </x:c>
      <x:c r="F834" s="24" t="n">
        <x:v>419000</x:v>
      </x:c>
    </x:row>
    <x:row r="835">
      <x:c r="A835" s="18" t="str">
        <x:v>A0227</x:v>
      </x:c>
      <x:c r="B835" s="18" t="str">
        <x:v>Active</x:v>
      </x:c>
      <x:c r="C835" s="18" t="n">
        <x:v>46</x:v>
      </x:c>
      <x:c r="D835" s="32" t="n">
        <x:v>16.9</x:v>
      </x:c>
      <x:c r="E835" s="24" t="n">
        <x:v>1092000</x:v>
      </x:c>
      <x:c r="F835" s="24" t="n">
        <x:v>0</x:v>
      </x:c>
    </x:row>
    <x:row r="836">
      <x:c r="A836" s="18" t="str">
        <x:v>A0065</x:v>
      </x:c>
      <x:c r="B836" s="18" t="str">
        <x:v>Active</x:v>
      </x:c>
      <x:c r="C836" s="18" t="n">
        <x:v>38</x:v>
      </x:c>
      <x:c r="D836" s="32" t="n">
        <x:v>6.1</x:v>
      </x:c>
      <x:c r="E836" s="24" t="n">
        <x:v>737000</x:v>
      </x:c>
      <x:c r="F836" s="24" t="n">
        <x:v>0</x:v>
      </x:c>
    </x:row>
    <x:row r="837">
      <x:c r="A837" s="18" t="str">
        <x:v>A0196</x:v>
      </x:c>
      <x:c r="B837" s="18" t="str">
        <x:v>Active</x:v>
      </x:c>
      <x:c r="C837" s="18" t="n">
        <x:v>49</x:v>
      </x:c>
      <x:c r="D837" s="32" t="n">
        <x:v>19.6</x:v>
      </x:c>
      <x:c r="E837" s="24" t="n">
        <x:v>1697000</x:v>
      </x:c>
      <x:c r="F837" s="24" t="n">
        <x:v>0</x:v>
      </x:c>
    </x:row>
    <x:row r="838">
      <x:c r="A838" s="18" t="str">
        <x:v>A0454</x:v>
      </x:c>
      <x:c r="B838" s="18" t="str">
        <x:v>Active</x:v>
      </x:c>
      <x:c r="C838" s="18" t="n">
        <x:v>24</x:v>
      </x:c>
      <x:c r="D838" s="32" t="n">
        <x:v>1</x:v>
      </x:c>
      <x:c r="E838" s="24" t="n">
        <x:v>496000</x:v>
      </x:c>
      <x:c r="F838" s="24" t="n">
        <x:v>0</x:v>
      </x:c>
    </x:row>
    <x:row r="839">
      <x:c r="A839" s="18" t="str">
        <x:v>D0119</x:v>
      </x:c>
      <x:c r="B839" s="18" t="str">
        <x:v>Deferred</x:v>
      </x:c>
      <x:c r="C839" s="18" t="n">
        <x:v>48</x:v>
      </x:c>
      <x:c r="D839" s="32" t="n">
        <x:v>16.6</x:v>
      </x:c>
      <x:c r="E839" s="24" t="n">
        <x:v>808000</x:v>
      </x:c>
      <x:c r="F839" s="24" t="n">
        <x:v>0</x:v>
      </x:c>
    </x:row>
    <x:row r="840">
      <x:c r="A840" s="18" t="str">
        <x:v>P0117</x:v>
      </x:c>
      <x:c r="B840" s="18" t="str">
        <x:v>Pensioner</x:v>
      </x:c>
      <x:c r="C840" s="18" t="n">
        <x:v>81</x:v>
      </x:c>
      <x:c r="D840" s="32" t="n">
        <x:v>27.6</x:v>
      </x:c>
      <x:c r="E840" s="24" t="n">
        <x:v>0</x:v>
      </x:c>
      <x:c r="F840" s="24" t="n">
        <x:v>613000</x:v>
      </x:c>
    </x:row>
    <x:row r="841">
      <x:c r="A841" s="18" t="str">
        <x:v>P0011</x:v>
      </x:c>
      <x:c r="B841" s="18" t="str">
        <x:v>Pensioner</x:v>
      </x:c>
      <x:c r="C841" s="18" t="n">
        <x:v>61</x:v>
      </x:c>
      <x:c r="D841" s="32" t="n">
        <x:v>34.1</x:v>
      </x:c>
      <x:c r="E841" s="24" t="n">
        <x:v>0</x:v>
      </x:c>
      <x:c r="F841" s="24" t="n">
        <x:v>226000</x:v>
      </x:c>
    </x:row>
    <x:row r="842">
      <x:c r="A842" s="18" t="str">
        <x:v>A0144</x:v>
      </x:c>
      <x:c r="B842" s="18" t="str">
        <x:v>Active</x:v>
      </x:c>
      <x:c r="C842" s="18" t="n">
        <x:v>44</x:v>
      </x:c>
      <x:c r="D842" s="32" t="n">
        <x:v>8.1</x:v>
      </x:c>
      <x:c r="E842" s="24" t="n">
        <x:v>1178000</x:v>
      </x:c>
      <x:c r="F842" s="24" t="n">
        <x:v>0</x:v>
      </x:c>
    </x:row>
    <x:row r="843">
      <x:c r="A843" s="18" t="str">
        <x:v>P0147</x:v>
      </x:c>
      <x:c r="B843" s="18" t="str">
        <x:v>Pensioner</x:v>
      </x:c>
      <x:c r="C843" s="18" t="n">
        <x:v>85</x:v>
      </x:c>
      <x:c r="D843" s="32" t="n">
        <x:v>32.3</x:v>
      </x:c>
      <x:c r="E843" s="24" t="n">
        <x:v>0</x:v>
      </x:c>
      <x:c r="F843" s="24" t="n">
        <x:v>431000</x:v>
      </x:c>
    </x:row>
    <x:row r="844">
      <x:c r="A844" s="18" t="str">
        <x:v>A0220</x:v>
      </x:c>
      <x:c r="B844" s="18" t="str">
        <x:v>Active</x:v>
      </x:c>
      <x:c r="C844" s="18" t="n">
        <x:v>32</x:v>
      </x:c>
      <x:c r="D844" s="32" t="n">
        <x:v>2.1</x:v>
      </x:c>
      <x:c r="E844" s="24" t="n">
        <x:v>538000</x:v>
      </x:c>
      <x:c r="F844" s="24" t="n">
        <x:v>0</x:v>
      </x:c>
    </x:row>
    <x:row r="845">
      <x:c r="A845" s="18" t="str">
        <x:v>P0225</x:v>
      </x:c>
      <x:c r="B845" s="18" t="str">
        <x:v>Pensioner</x:v>
      </x:c>
      <x:c r="C845" s="18" t="n">
        <x:v>86</x:v>
      </x:c>
      <x:c r="D845" s="32" t="n">
        <x:v>17</x:v>
      </x:c>
      <x:c r="E845" s="24" t="n">
        <x:v>0</x:v>
      </x:c>
      <x:c r="F845" s="24" t="n">
        <x:v>744000</x:v>
      </x:c>
    </x:row>
    <x:row r="846">
      <x:c r="A846" s="18" t="str">
        <x:v>A0433</x:v>
      </x:c>
      <x:c r="B846" s="18" t="str">
        <x:v>Active</x:v>
      </x:c>
      <x:c r="C846" s="18" t="n">
        <x:v>28</x:v>
      </x:c>
      <x:c r="D846" s="32" t="n">
        <x:v>4.3</x:v>
      </x:c>
      <x:c r="E846" s="24" t="n">
        <x:v>521000</x:v>
      </x:c>
      <x:c r="F846" s="24" t="n">
        <x:v>0</x:v>
      </x:c>
    </x:row>
    <x:row r="847">
      <x:c r="A847" s="18" t="str">
        <x:v>P0113</x:v>
      </x:c>
      <x:c r="B847" s="18" t="str">
        <x:v>Pensioner</x:v>
      </x:c>
      <x:c r="C847" s="18" t="n">
        <x:v>79</x:v>
      </x:c>
      <x:c r="D847" s="32" t="n">
        <x:v>15.8</x:v>
      </x:c>
      <x:c r="E847" s="24" t="n">
        <x:v>0</x:v>
      </x:c>
      <x:c r="F847" s="24" t="n">
        <x:v>331000</x:v>
      </x:c>
    </x:row>
    <x:row r="848">
      <x:c r="A848" s="18" t="str">
        <x:v>A0210</x:v>
      </x:c>
      <x:c r="B848" s="18" t="str">
        <x:v>Active</x:v>
      </x:c>
      <x:c r="C848" s="18" t="n">
        <x:v>23</x:v>
      </x:c>
      <x:c r="D848" s="32" t="n">
        <x:v>1</x:v>
      </x:c>
      <x:c r="E848" s="24" t="n">
        <x:v>440000</x:v>
      </x:c>
      <x:c r="F848" s="24" t="n">
        <x:v>0</x:v>
      </x:c>
    </x:row>
    <x:row r="849">
      <x:c r="A849" s="18" t="str">
        <x:v>A0346</x:v>
      </x:c>
      <x:c r="B849" s="18" t="str">
        <x:v>Active</x:v>
      </x:c>
      <x:c r="C849" s="18" t="n">
        <x:v>36</x:v>
      </x:c>
      <x:c r="D849" s="32" t="n">
        <x:v>14.8</x:v>
      </x:c>
      <x:c r="E849" s="24" t="n">
        <x:v>578000</x:v>
      </x:c>
      <x:c r="F849" s="24" t="n">
        <x:v>0</x:v>
      </x:c>
    </x:row>
    <x:row r="850">
      <x:c r="A850" s="18" t="str">
        <x:v>A0348</x:v>
      </x:c>
      <x:c r="B850" s="18" t="str">
        <x:v>Active</x:v>
      </x:c>
      <x:c r="C850" s="18" t="n">
        <x:v>27</x:v>
      </x:c>
      <x:c r="D850" s="32" t="n">
        <x:v>3.1</x:v>
      </x:c>
      <x:c r="E850" s="24" t="n">
        <x:v>544000</x:v>
      </x:c>
      <x:c r="F850" s="24" t="n">
        <x:v>0</x:v>
      </x:c>
    </x:row>
    <x:row r="851">
      <x:c r="A851" s="18" t="str">
        <x:v>A0392</x:v>
      </x:c>
      <x:c r="B851" s="18" t="str">
        <x:v>Active</x:v>
      </x:c>
      <x:c r="C851" s="18" t="n">
        <x:v>52</x:v>
      </x:c>
      <x:c r="D851" s="32" t="n">
        <x:v>12.4</x:v>
      </x:c>
      <x:c r="E851" s="24" t="n">
        <x:v>1322000</x:v>
      </x:c>
      <x:c r="F851" s="24" t="n">
        <x:v>0</x:v>
      </x:c>
    </x:row>
    <x:row r="852">
      <x:c r="A852" s="18" t="str">
        <x:v>A0176</x:v>
      </x:c>
      <x:c r="B852" s="18" t="str">
        <x:v>Active</x:v>
      </x:c>
      <x:c r="C852" s="18" t="n">
        <x:v>39</x:v>
      </x:c>
      <x:c r="D852" s="32" t="n">
        <x:v>2.3</x:v>
      </x:c>
      <x:c r="E852" s="24" t="n">
        <x:v>812000</x:v>
      </x:c>
      <x:c r="F852" s="24" t="n">
        <x:v>0</x:v>
      </x:c>
    </x:row>
    <x:row r="853">
      <x:c r="A853" s="18" t="str">
        <x:v>A0005</x:v>
      </x:c>
      <x:c r="B853" s="18" t="str">
        <x:v>Active</x:v>
      </x:c>
      <x:c r="C853" s="18" t="n">
        <x:v>35</x:v>
      </x:c>
      <x:c r="D853" s="32" t="n">
        <x:v>5.5</x:v>
      </x:c>
      <x:c r="E853" s="24" t="n">
        <x:v>545000</x:v>
      </x:c>
      <x:c r="F853" s="24" t="n">
        <x:v>0</x:v>
      </x:c>
    </x:row>
    <x:row r="854">
      <x:c r="A854" s="18" t="str">
        <x:v>A0333</x:v>
      </x:c>
      <x:c r="B854" s="18" t="str">
        <x:v>Active</x:v>
      </x:c>
      <x:c r="C854" s="18" t="n">
        <x:v>27</x:v>
      </x:c>
      <x:c r="D854" s="32" t="n">
        <x:v>2.3</x:v>
      </x:c>
      <x:c r="E854" s="24" t="n">
        <x:v>537000</x:v>
      </x:c>
      <x:c r="F854" s="24" t="n">
        <x:v>0</x:v>
      </x:c>
    </x:row>
    <x:row r="855">
      <x:c r="A855" s="18" t="str">
        <x:v>P0131</x:v>
      </x:c>
      <x:c r="B855" s="18" t="str">
        <x:v>Pensioner</x:v>
      </x:c>
      <x:c r="C855" s="18" t="n">
        <x:v>63</x:v>
      </x:c>
      <x:c r="D855" s="32" t="n">
        <x:v>27.9</x:v>
      </x:c>
      <x:c r="E855" s="24" t="n">
        <x:v>0</x:v>
      </x:c>
      <x:c r="F855" s="24" t="n">
        <x:v>393000</x:v>
      </x:c>
    </x:row>
    <x:row r="856">
      <x:c r="A856" s="18" t="str">
        <x:v>P0042</x:v>
      </x:c>
      <x:c r="B856" s="18" t="str">
        <x:v>Pensioner</x:v>
      </x:c>
      <x:c r="C856" s="18" t="n">
        <x:v>85</x:v>
      </x:c>
      <x:c r="D856" s="32" t="n">
        <x:v>35.3</x:v>
      </x:c>
      <x:c r="E856" s="24" t="n">
        <x:v>0</x:v>
      </x:c>
      <x:c r="F856" s="24" t="n">
        <x:v>500000</x:v>
      </x:c>
    </x:row>
    <x:row r="857">
      <x:c r="A857" s="18" t="str">
        <x:v>A0372</x:v>
      </x:c>
      <x:c r="B857" s="18" t="str">
        <x:v>Active</x:v>
      </x:c>
      <x:c r="C857" s="18" t="n">
        <x:v>37</x:v>
      </x:c>
      <x:c r="D857" s="32" t="n">
        <x:v>10.3</x:v>
      </x:c>
      <x:c r="E857" s="24" t="n">
        <x:v>791000</x:v>
      </x:c>
      <x:c r="F857" s="24" t="n">
        <x:v>0</x:v>
      </x:c>
    </x:row>
    <x:row r="858">
      <x:c r="A858" s="18" t="str">
        <x:v>A0056</x:v>
      </x:c>
      <x:c r="B858" s="18" t="str">
        <x:v>Active</x:v>
      </x:c>
      <x:c r="C858" s="18" t="n">
        <x:v>55</x:v>
      </x:c>
      <x:c r="D858" s="32" t="n">
        <x:v>23.5</x:v>
      </x:c>
      <x:c r="E858" s="24" t="n">
        <x:v>1764000</x:v>
      </x:c>
      <x:c r="F858" s="24" t="n">
        <x:v>0</x:v>
      </x:c>
    </x:row>
    <x:row r="859">
      <x:c r="A859" s="18" t="str">
        <x:v>D0015</x:v>
      </x:c>
      <x:c r="B859" s="18" t="str">
        <x:v>Deferred</x:v>
      </x:c>
      <x:c r="C859" s="18" t="n">
        <x:v>31</x:v>
      </x:c>
      <x:c r="D859" s="32" t="n">
        <x:v>2.4</x:v>
      </x:c>
      <x:c r="E859" s="24" t="n">
        <x:v>467000</x:v>
      </x:c>
      <x:c r="F859" s="24" t="n">
        <x:v>0</x:v>
      </x:c>
    </x:row>
    <x:row r="860">
      <x:c r="A860" s="18" t="str">
        <x:v>A0616</x:v>
      </x:c>
      <x:c r="B860" s="18" t="str">
        <x:v>Active</x:v>
      </x:c>
      <x:c r="C860" s="18" t="n">
        <x:v>36</x:v>
      </x:c>
      <x:c r="D860" s="32" t="n">
        <x:v>12.8</x:v>
      </x:c>
      <x:c r="E860" s="24" t="n">
        <x:v>704000</x:v>
      </x:c>
      <x:c r="F860" s="24" t="n">
        <x:v>0</x:v>
      </x:c>
    </x:row>
    <x:row r="861">
      <x:c r="A861" s="18" t="str">
        <x:v>A0504</x:v>
      </x:c>
      <x:c r="B861" s="18" t="str">
        <x:v>Active</x:v>
      </x:c>
      <x:c r="C861" s="18" t="n">
        <x:v>46</x:v>
      </x:c>
      <x:c r="D861" s="32" t="n">
        <x:v>13.9</x:v>
      </x:c>
      <x:c r="E861" s="24" t="n">
        <x:v>1429000</x:v>
      </x:c>
      <x:c r="F861" s="24" t="n">
        <x:v>0</x:v>
      </x:c>
    </x:row>
    <x:row r="862">
      <x:c r="A862" s="18" t="str">
        <x:v>A0213</x:v>
      </x:c>
      <x:c r="B862" s="18" t="str">
        <x:v>Active</x:v>
      </x:c>
      <x:c r="C862" s="18" t="n">
        <x:v>32</x:v>
      </x:c>
      <x:c r="D862" s="32" t="n">
        <x:v>7.6</x:v>
      </x:c>
      <x:c r="E862" s="24" t="n">
        <x:v>716000</x:v>
      </x:c>
      <x:c r="F862" s="24" t="n">
        <x:v>0</x:v>
      </x:c>
    </x:row>
    <x:row r="863">
      <x:c r="A863" s="18" t="str">
        <x:v>A0487</x:v>
      </x:c>
      <x:c r="B863" s="18" t="str">
        <x:v>Active</x:v>
      </x:c>
      <x:c r="C863" s="18" t="n">
        <x:v>42</x:v>
      </x:c>
      <x:c r="D863" s="32" t="n">
        <x:v>2.3</x:v>
      </x:c>
      <x:c r="E863" s="24" t="n">
        <x:v>952000</x:v>
      </x:c>
      <x:c r="F863" s="24" t="n">
        <x:v>0</x:v>
      </x:c>
    </x:row>
    <x:row r="864">
      <x:c r="A864" s="18" t="str">
        <x:v>A0249</x:v>
      </x:c>
      <x:c r="B864" s="18" t="str">
        <x:v>Active</x:v>
      </x:c>
      <x:c r="C864" s="18" t="n">
        <x:v>34</x:v>
      </x:c>
      <x:c r="D864" s="32" t="n">
        <x:v>2.7</x:v>
      </x:c>
      <x:c r="E864" s="24" t="n">
        <x:v>807000</x:v>
      </x:c>
      <x:c r="F864" s="24" t="n">
        <x:v>0</x:v>
      </x:c>
    </x:row>
    <x:row r="865">
      <x:c r="A865" s="18" t="str">
        <x:v>A0241</x:v>
      </x:c>
      <x:c r="B865" s="18" t="str">
        <x:v>Active</x:v>
      </x:c>
      <x:c r="C865" s="18" t="n">
        <x:v>43</x:v>
      </x:c>
      <x:c r="D865" s="32" t="n">
        <x:v>19.8</x:v>
      </x:c>
      <x:c r="E865" s="24" t="n">
        <x:v>1250000</x:v>
      </x:c>
      <x:c r="F865" s="24" t="n">
        <x:v>0</x:v>
      </x:c>
    </x:row>
    <x:row r="866">
      <x:c r="A866" s="18" t="str">
        <x:v>A0174</x:v>
      </x:c>
      <x:c r="B866" s="18" t="str">
        <x:v>Active</x:v>
      </x:c>
      <x:c r="C866" s="18" t="n">
        <x:v>56</x:v>
      </x:c>
      <x:c r="D866" s="32" t="n">
        <x:v>8.3</x:v>
      </x:c>
      <x:c r="E866" s="24" t="n">
        <x:v>1558000</x:v>
      </x:c>
      <x:c r="F866" s="24" t="n">
        <x:v>0</x:v>
      </x:c>
    </x:row>
    <x:row r="867">
      <x:c r="A867" s="18" t="str">
        <x:v>A0493</x:v>
      </x:c>
      <x:c r="B867" s="18" t="str">
        <x:v>Active</x:v>
      </x:c>
      <x:c r="C867" s="18" t="n">
        <x:v>39</x:v>
      </x:c>
      <x:c r="D867" s="32" t="n">
        <x:v>8.5</x:v>
      </x:c>
      <x:c r="E867" s="24" t="n">
        <x:v>950000</x:v>
      </x:c>
      <x:c r="F867" s="24" t="n">
        <x:v>0</x:v>
      </x:c>
    </x:row>
    <x:row r="868">
      <x:c r="A868" s="18" t="str">
        <x:v>P0238</x:v>
      </x:c>
      <x:c r="B868" s="18" t="str">
        <x:v>Pensioner</x:v>
      </x:c>
      <x:c r="C868" s="18" t="n">
        <x:v>75</x:v>
      </x:c>
      <x:c r="D868" s="32" t="n">
        <x:v>29.1</x:v>
      </x:c>
      <x:c r="E868" s="24" t="n">
        <x:v>0</x:v>
      </x:c>
      <x:c r="F868" s="24" t="n">
        <x:v>497000</x:v>
      </x:c>
    </x:row>
    <x:row r="869">
      <x:c r="A869" s="18" t="str">
        <x:v>P0243</x:v>
      </x:c>
      <x:c r="B869" s="18" t="str">
        <x:v>Pensioner</x:v>
      </x:c>
      <x:c r="C869" s="18" t="n">
        <x:v>72</x:v>
      </x:c>
      <x:c r="D869" s="32" t="n">
        <x:v>31.9</x:v>
      </x:c>
      <x:c r="E869" s="24" t="n">
        <x:v>0</x:v>
      </x:c>
      <x:c r="F869" s="24" t="n">
        <x:v>211000</x:v>
      </x:c>
    </x:row>
    <x:row r="870">
      <x:c r="A870" s="18" t="str">
        <x:v>A0535</x:v>
      </x:c>
      <x:c r="B870" s="18" t="str">
        <x:v>Active</x:v>
      </x:c>
      <x:c r="C870" s="18" t="n">
        <x:v>26</x:v>
      </x:c>
      <x:c r="D870" s="32" t="n">
        <x:v>1</x:v>
      </x:c>
      <x:c r="E870" s="24" t="n">
        <x:v>465000</x:v>
      </x:c>
      <x:c r="F870" s="24" t="n">
        <x:v>0</x:v>
      </x:c>
    </x:row>
    <x:row r="871">
      <x:c r="A871" s="18" t="str">
        <x:v>A0469</x:v>
      </x:c>
      <x:c r="B871" s="18" t="str">
        <x:v>Active</x:v>
      </x:c>
      <x:c r="C871" s="18" t="n">
        <x:v>57</x:v>
      </x:c>
      <x:c r="D871" s="32" t="n">
        <x:v>23.7</x:v>
      </x:c>
      <x:c r="E871" s="24" t="n">
        <x:v>1416000</x:v>
      </x:c>
      <x:c r="F871" s="24" t="n">
        <x:v>0</x:v>
      </x:c>
    </x:row>
    <x:row r="872">
      <x:c r="A872" s="18" t="str">
        <x:v>P0043</x:v>
      </x:c>
      <x:c r="B872" s="18" t="str">
        <x:v>Pensioner</x:v>
      </x:c>
      <x:c r="C872" s="18" t="n">
        <x:v>84</x:v>
      </x:c>
      <x:c r="D872" s="32" t="n">
        <x:v>12.6</x:v>
      </x:c>
      <x:c r="E872" s="24" t="n">
        <x:v>0</x:v>
      </x:c>
      <x:c r="F872" s="24" t="n">
        <x:v>673000</x:v>
      </x:c>
    </x:row>
    <x:row r="873">
      <x:c r="A873" s="18" t="str">
        <x:v>A0576</x:v>
      </x:c>
      <x:c r="B873" s="18" t="str">
        <x:v>Active</x:v>
      </x:c>
      <x:c r="C873" s="18" t="n">
        <x:v>35</x:v>
      </x:c>
      <x:c r="D873" s="32" t="n">
        <x:v>3</x:v>
      </x:c>
      <x:c r="E873" s="24" t="n">
        <x:v>526000</x:v>
      </x:c>
      <x:c r="F873" s="24" t="n">
        <x:v>0</x:v>
      </x:c>
    </x:row>
    <x:row r="874">
      <x:c r="A874" s="18" t="str">
        <x:v>P0028</x:v>
      </x:c>
      <x:c r="B874" s="18" t="str">
        <x:v>Pensioner</x:v>
      </x:c>
      <x:c r="C874" s="18" t="n">
        <x:v>86</x:v>
      </x:c>
      <x:c r="D874" s="32" t="n">
        <x:v>20.4</x:v>
      </x:c>
      <x:c r="E874" s="24" t="n">
        <x:v>0</x:v>
      </x:c>
      <x:c r="F874" s="24" t="n">
        <x:v>659000</x:v>
      </x:c>
    </x:row>
    <x:row r="875">
      <x:c r="A875" s="18" t="str">
        <x:v>D0067</x:v>
      </x:c>
      <x:c r="B875" s="18" t="str">
        <x:v>Deferred</x:v>
      </x:c>
      <x:c r="C875" s="18" t="n">
        <x:v>31</x:v>
      </x:c>
      <x:c r="D875" s="32" t="n">
        <x:v>5</x:v>
      </x:c>
      <x:c r="E875" s="24" t="n">
        <x:v>536000</x:v>
      </x:c>
      <x:c r="F875" s="24" t="n">
        <x:v>0</x:v>
      </x:c>
    </x:row>
    <x:row r="876">
      <x:c r="A876" s="18" t="str">
        <x:v>P0039</x:v>
      </x:c>
      <x:c r="B876" s="18" t="str">
        <x:v>Pensioner</x:v>
      </x:c>
      <x:c r="C876" s="18" t="n">
        <x:v>63</x:v>
      </x:c>
      <x:c r="D876" s="32" t="n">
        <x:v>30.2</x:v>
      </x:c>
      <x:c r="E876" s="24" t="n">
        <x:v>0</x:v>
      </x:c>
      <x:c r="F876" s="24" t="n">
        <x:v>144000</x:v>
      </x:c>
    </x:row>
    <x:row r="877">
      <x:c r="A877" s="18" t="str">
        <x:v>A0027</x:v>
      </x:c>
      <x:c r="B877" s="18" t="str">
        <x:v>Active</x:v>
      </x:c>
      <x:c r="C877" s="18" t="n">
        <x:v>53</x:v>
      </x:c>
      <x:c r="D877" s="32" t="n">
        <x:v>28.1</x:v>
      </x:c>
      <x:c r="E877" s="24" t="n">
        <x:v>1154000</x:v>
      </x:c>
      <x:c r="F877" s="24" t="n">
        <x:v>0</x:v>
      </x:c>
    </x:row>
    <x:row r="878">
      <x:c r="A878" s="18" t="str">
        <x:v>A0608</x:v>
      </x:c>
      <x:c r="B878" s="18" t="str">
        <x:v>Active</x:v>
      </x:c>
      <x:c r="C878" s="18" t="n">
        <x:v>50</x:v>
      </x:c>
      <x:c r="D878" s="32" t="n">
        <x:v>15.1</x:v>
      </x:c>
      <x:c r="E878" s="24" t="n">
        <x:v>1424000</x:v>
      </x:c>
      <x:c r="F878" s="24" t="n">
        <x:v>0</x:v>
      </x:c>
    </x:row>
    <x:row r="879">
      <x:c r="A879" s="18" t="str">
        <x:v>D0099</x:v>
      </x:c>
      <x:c r="B879" s="18" t="str">
        <x:v>Deferred</x:v>
      </x:c>
      <x:c r="C879" s="18" t="n">
        <x:v>53</x:v>
      </x:c>
      <x:c r="D879" s="32" t="n">
        <x:v>8.2</x:v>
      </x:c>
      <x:c r="E879" s="24" t="n">
        <x:v>1093000</x:v>
      </x:c>
      <x:c r="F879" s="24" t="n">
        <x:v>0</x:v>
      </x:c>
    </x:row>
    <x:row r="880">
      <x:c r="A880" s="18" t="str">
        <x:v>A0474</x:v>
      </x:c>
      <x:c r="B880" s="18" t="str">
        <x:v>Active</x:v>
      </x:c>
      <x:c r="C880" s="18" t="n">
        <x:v>28</x:v>
      </x:c>
      <x:c r="D880" s="32" t="n">
        <x:v>4.2</x:v>
      </x:c>
      <x:c r="E880" s="24" t="n">
        <x:v>623000</x:v>
      </x:c>
      <x:c r="F880" s="24" t="n">
        <x:v>0</x:v>
      </x:c>
    </x:row>
    <x:row r="881">
      <x:c r="A881" s="18" t="str">
        <x:v>A0302</x:v>
      </x:c>
      <x:c r="B881" s="18" t="str">
        <x:v>Active</x:v>
      </x:c>
      <x:c r="C881" s="18" t="n">
        <x:v>45</x:v>
      </x:c>
      <x:c r="D881" s="32" t="n">
        <x:v>5.8</x:v>
      </x:c>
      <x:c r="E881" s="24" t="n">
        <x:v>855000</x:v>
      </x:c>
      <x:c r="F881" s="24" t="n">
        <x:v>0</x:v>
      </x:c>
    </x:row>
    <x:row r="882">
      <x:c r="A882" s="18" t="str">
        <x:v>P0041</x:v>
      </x:c>
      <x:c r="B882" s="18" t="str">
        <x:v>Pensioner</x:v>
      </x:c>
      <x:c r="C882" s="18" t="n">
        <x:v>84</x:v>
      </x:c>
      <x:c r="D882" s="32" t="n">
        <x:v>12.4</x:v>
      </x:c>
      <x:c r="E882" s="24" t="n">
        <x:v>0</x:v>
      </x:c>
      <x:c r="F882" s="24" t="n">
        <x:v>658000</x:v>
      </x:c>
    </x:row>
    <x:row r="883">
      <x:c r="A883" s="18" t="str">
        <x:v>A0461</x:v>
      </x:c>
      <x:c r="B883" s="18" t="str">
        <x:v>Active</x:v>
      </x:c>
      <x:c r="C883" s="18" t="n">
        <x:v>36</x:v>
      </x:c>
      <x:c r="D883" s="32" t="n">
        <x:v>10.5</x:v>
      </x:c>
      <x:c r="E883" s="24" t="n">
        <x:v>619000</x:v>
      </x:c>
      <x:c r="F883" s="24" t="n">
        <x:v>0</x:v>
      </x:c>
    </x:row>
    <x:row r="884">
      <x:c r="A884" s="18" t="str">
        <x:v>A0291</x:v>
      </x:c>
      <x:c r="B884" s="18" t="str">
        <x:v>Active</x:v>
      </x:c>
      <x:c r="C884" s="18" t="n">
        <x:v>50</x:v>
      </x:c>
      <x:c r="D884" s="32" t="n">
        <x:v>21.2</x:v>
      </x:c>
      <x:c r="E884" s="24" t="n">
        <x:v>1345000</x:v>
      </x:c>
      <x:c r="F884" s="24" t="n">
        <x:v>0</x:v>
      </x:c>
    </x:row>
    <x:row r="885">
      <x:c r="A885" s="18" t="str">
        <x:v>A0491</x:v>
      </x:c>
      <x:c r="B885" s="18" t="str">
        <x:v>Active</x:v>
      </x:c>
      <x:c r="C885" s="18" t="n">
        <x:v>34</x:v>
      </x:c>
      <x:c r="D885" s="32" t="n">
        <x:v>5.7</x:v>
      </x:c>
      <x:c r="E885" s="24" t="n">
        <x:v>546000</x:v>
      </x:c>
      <x:c r="F885" s="24" t="n">
        <x:v>0</x:v>
      </x:c>
    </x:row>
    <x:row r="886">
      <x:c r="A886" s="18" t="str">
        <x:v>D0088</x:v>
      </x:c>
      <x:c r="B886" s="18" t="str">
        <x:v>Deferred</x:v>
      </x:c>
      <x:c r="C886" s="18" t="n">
        <x:v>34</x:v>
      </x:c>
      <x:c r="D886" s="32" t="n">
        <x:v>3</x:v>
      </x:c>
      <x:c r="E886" s="24" t="n">
        <x:v>425000</x:v>
      </x:c>
      <x:c r="F886" s="24" t="n">
        <x:v>0</x:v>
      </x:c>
    </x:row>
    <x:row r="887">
      <x:c r="A887" s="18" t="str">
        <x:v>A0356</x:v>
      </x:c>
      <x:c r="B887" s="18" t="str">
        <x:v>Active</x:v>
      </x:c>
      <x:c r="C887" s="18" t="n">
        <x:v>45</x:v>
      </x:c>
      <x:c r="D887" s="32" t="n">
        <x:v>18.1</x:v>
      </x:c>
      <x:c r="E887" s="24" t="n">
        <x:v>1353000</x:v>
      </x:c>
      <x:c r="F887" s="24" t="n">
        <x:v>0</x:v>
      </x:c>
    </x:row>
    <x:row r="888">
      <x:c r="A888" s="18" t="str">
        <x:v>D0058</x:v>
      </x:c>
      <x:c r="B888" s="18" t="str">
        <x:v>Deferred</x:v>
      </x:c>
      <x:c r="C888" s="18" t="n">
        <x:v>59</x:v>
      </x:c>
      <x:c r="D888" s="32" t="n">
        <x:v>20.8</x:v>
      </x:c>
      <x:c r="E888" s="24" t="n">
        <x:v>1560000</x:v>
      </x:c>
      <x:c r="F888" s="24" t="n">
        <x:v>0</x:v>
      </x:c>
    </x:row>
    <x:row r="889">
      <x:c r="A889" s="18" t="str">
        <x:v>A0423</x:v>
      </x:c>
      <x:c r="B889" s="18" t="str">
        <x:v>Active</x:v>
      </x:c>
      <x:c r="C889" s="18" t="n">
        <x:v>50</x:v>
      </x:c>
      <x:c r="D889" s="32" t="n">
        <x:v>16.1</x:v>
      </x:c>
      <x:c r="E889" s="24" t="n">
        <x:v>1407000</x:v>
      </x:c>
      <x:c r="F889" s="24" t="n">
        <x:v>0</x:v>
      </x:c>
    </x:row>
    <x:row r="890">
      <x:c r="A890" s="18" t="str">
        <x:v>A0602</x:v>
      </x:c>
      <x:c r="B890" s="18" t="str">
        <x:v>Active</x:v>
      </x:c>
      <x:c r="C890" s="18" t="n">
        <x:v>57</x:v>
      </x:c>
      <x:c r="D890" s="32" t="n">
        <x:v>15.2</x:v>
      </x:c>
      <x:c r="E890" s="24" t="n">
        <x:v>2266000</x:v>
      </x:c>
      <x:c r="F890" s="24" t="n">
        <x:v>0</x:v>
      </x:c>
    </x:row>
    <x:row r="891">
      <x:c r="A891" s="18" t="str">
        <x:v>P0198</x:v>
      </x:c>
      <x:c r="B891" s="18" t="str">
        <x:v>Pensioner</x:v>
      </x:c>
      <x:c r="C891" s="18" t="n">
        <x:v>86</x:v>
      </x:c>
      <x:c r="D891" s="32" t="n">
        <x:v>34.8</x:v>
      </x:c>
      <x:c r="E891" s="24" t="n">
        <x:v>0</x:v>
      </x:c>
      <x:c r="F891" s="24" t="n">
        <x:v>482000</x:v>
      </x:c>
    </x:row>
    <x:row r="892">
      <x:c r="A892" s="18" t="str">
        <x:v>P0079</x:v>
      </x:c>
      <x:c r="B892" s="18" t="str">
        <x:v>Pensioner</x:v>
      </x:c>
      <x:c r="C892" s="18" t="n">
        <x:v>77</x:v>
      </x:c>
      <x:c r="D892" s="32" t="n">
        <x:v>23.7</x:v>
      </x:c>
      <x:c r="E892" s="24" t="n">
        <x:v>0</x:v>
      </x:c>
      <x:c r="F892" s="24" t="n">
        <x:v>312000</x:v>
      </x:c>
    </x:row>
    <x:row r="893">
      <x:c r="A893" s="18" t="str">
        <x:v>A0431</x:v>
      </x:c>
      <x:c r="B893" s="18" t="str">
        <x:v>Active</x:v>
      </x:c>
      <x:c r="C893" s="18" t="n">
        <x:v>42</x:v>
      </x:c>
      <x:c r="D893" s="32" t="n">
        <x:v>4.6</x:v>
      </x:c>
      <x:c r="E893" s="24" t="n">
        <x:v>1033000</x:v>
      </x:c>
      <x:c r="F893" s="24" t="n">
        <x:v>0</x:v>
      </x:c>
    </x:row>
    <x:row r="894">
      <x:c r="A894" s="18" t="str">
        <x:v>A0041</x:v>
      </x:c>
      <x:c r="B894" s="18" t="str">
        <x:v>Active</x:v>
      </x:c>
      <x:c r="C894" s="18" t="n">
        <x:v>54</x:v>
      </x:c>
      <x:c r="D894" s="32" t="n">
        <x:v>19.5</x:v>
      </x:c>
      <x:c r="E894" s="24" t="n">
        <x:v>1260000</x:v>
      </x:c>
      <x:c r="F894" s="24" t="n">
        <x:v>0</x:v>
      </x:c>
    </x:row>
    <x:row r="895">
      <x:c r="A895" s="18" t="str">
        <x:v>D0049</x:v>
      </x:c>
      <x:c r="B895" s="18" t="str">
        <x:v>Deferred</x:v>
      </x:c>
      <x:c r="C895" s="18" t="n">
        <x:v>37</x:v>
      </x:c>
      <x:c r="D895" s="32" t="n">
        <x:v>8</x:v>
      </x:c>
      <x:c r="E895" s="24" t="n">
        <x:v>595000</x:v>
      </x:c>
      <x:c r="F895" s="24" t="n">
        <x:v>0</x:v>
      </x:c>
    </x:row>
    <x:row r="896">
      <x:c r="A896" s="18" t="str">
        <x:v>A0094</x:v>
      </x:c>
      <x:c r="B896" s="18" t="str">
        <x:v>Active</x:v>
      </x:c>
      <x:c r="C896" s="18" t="n">
        <x:v>47</x:v>
      </x:c>
      <x:c r="D896" s="32" t="n">
        <x:v>12.2</x:v>
      </x:c>
      <x:c r="E896" s="24" t="n">
        <x:v>1116000</x:v>
      </x:c>
      <x:c r="F896" s="24" t="n">
        <x:v>0</x:v>
      </x:c>
    </x:row>
    <x:row r="897">
      <x:c r="A897" s="18" t="str">
        <x:v>A0355</x:v>
      </x:c>
      <x:c r="B897" s="18" t="str">
        <x:v>Active</x:v>
      </x:c>
      <x:c r="C897" s="18" t="n">
        <x:v>28</x:v>
      </x:c>
      <x:c r="D897" s="32" t="n">
        <x:v>1.5</x:v>
      </x:c>
      <x:c r="E897" s="24" t="n">
        <x:v>586000</x:v>
      </x:c>
      <x:c r="F897" s="24" t="n">
        <x:v>0</x:v>
      </x:c>
    </x:row>
    <x:row r="898">
      <x:c r="A898" s="18" t="str">
        <x:v>A0138</x:v>
      </x:c>
      <x:c r="B898" s="18" t="str">
        <x:v>Active</x:v>
      </x:c>
      <x:c r="C898" s="18" t="n">
        <x:v>44</x:v>
      </x:c>
      <x:c r="D898" s="32" t="n">
        <x:v>7.3</x:v>
      </x:c>
      <x:c r="E898" s="24" t="n">
        <x:v>1187000</x:v>
      </x:c>
      <x:c r="F898" s="24" t="n">
        <x:v>0</x:v>
      </x:c>
    </x:row>
    <x:row r="899">
      <x:c r="A899" s="18" t="str">
        <x:v>A0329</x:v>
      </x:c>
      <x:c r="B899" s="18" t="str">
        <x:v>Active</x:v>
      </x:c>
      <x:c r="C899" s="18" t="n">
        <x:v>29</x:v>
      </x:c>
      <x:c r="D899" s="32" t="n">
        <x:v>2.9</x:v>
      </x:c>
      <x:c r="E899" s="24" t="n">
        <x:v>482000</x:v>
      </x:c>
      <x:c r="F899" s="24" t="n">
        <x:v>0</x:v>
      </x:c>
    </x:row>
    <x:row r="900">
      <x:c r="A900" s="18" t="str">
        <x:v>A0601</x:v>
      </x:c>
      <x:c r="B900" s="18" t="str">
        <x:v>Active</x:v>
      </x:c>
      <x:c r="C900" s="18" t="n">
        <x:v>59</x:v>
      </x:c>
      <x:c r="D900" s="32" t="n">
        <x:v>11.1</x:v>
      </x:c>
      <x:c r="E900" s="24" t="n">
        <x:v>2092000</x:v>
      </x:c>
      <x:c r="F900" s="24" t="n">
        <x:v>0</x:v>
      </x:c>
    </x:row>
    <x:row r="901">
      <x:c r="A901" s="18" t="str">
        <x:v>A0375</x:v>
      </x:c>
      <x:c r="B901" s="18" t="str">
        <x:v>Active</x:v>
      </x:c>
      <x:c r="C901" s="18" t="n">
        <x:v>40</x:v>
      </x:c>
      <x:c r="D901" s="32" t="n">
        <x:v>12.5</x:v>
      </x:c>
      <x:c r="E901" s="24" t="n">
        <x:v>939000</x:v>
      </x:c>
      <x:c r="F901" s="24" t="n">
        <x:v>0</x:v>
      </x:c>
    </x:row>
    <x:row r="902">
      <x:c r="A902" s="18" t="str">
        <x:v>A0292</x:v>
      </x:c>
      <x:c r="B902" s="18" t="str">
        <x:v>Active</x:v>
      </x:c>
      <x:c r="C902" s="18" t="n">
        <x:v>32</x:v>
      </x:c>
      <x:c r="D902" s="32" t="n">
        <x:v>4.9</x:v>
      </x:c>
      <x:c r="E902" s="24" t="n">
        <x:v>636000</x:v>
      </x:c>
      <x:c r="F902" s="24" t="n">
        <x:v>0</x:v>
      </x:c>
    </x:row>
    <x:row r="903">
      <x:c r="A903" s="18" t="str">
        <x:v>A0175</x:v>
      </x:c>
      <x:c r="B903" s="18" t="str">
        <x:v>Active</x:v>
      </x:c>
      <x:c r="C903" s="18" t="n">
        <x:v>29</x:v>
      </x:c>
      <x:c r="D903" s="32" t="n">
        <x:v>2.9</x:v>
      </x:c>
      <x:c r="E903" s="24" t="n">
        <x:v>495000</x:v>
      </x:c>
      <x:c r="F903" s="24" t="n">
        <x:v>0</x:v>
      </x:c>
    </x:row>
    <x:row r="904">
      <x:c r="A904" s="18" t="str">
        <x:v>A0217</x:v>
      </x:c>
      <x:c r="B904" s="18" t="str">
        <x:v>Active</x:v>
      </x:c>
      <x:c r="C904" s="18" t="n">
        <x:v>46</x:v>
      </x:c>
      <x:c r="D904" s="32" t="n">
        <x:v>12.4</x:v>
      </x:c>
      <x:c r="E904" s="24" t="n">
        <x:v>964000</x:v>
      </x:c>
      <x:c r="F904" s="24" t="n">
        <x:v>0</x:v>
      </x:c>
    </x:row>
    <x:row r="905">
      <x:c r="A905" s="18" t="str">
        <x:v>A0568</x:v>
      </x:c>
      <x:c r="B905" s="18" t="str">
        <x:v>Active</x:v>
      </x:c>
      <x:c r="C905" s="18" t="n">
        <x:v>24</x:v>
      </x:c>
      <x:c r="D905" s="32" t="n">
        <x:v>1</x:v>
      </x:c>
      <x:c r="E905" s="24" t="n">
        <x:v>506000</x:v>
      </x:c>
      <x:c r="F905" s="24" t="n">
        <x:v>0</x:v>
      </x:c>
    </x:row>
    <x:row r="906">
      <x:c r="A906" s="18" t="str">
        <x:v>A0034</x:v>
      </x:c>
      <x:c r="B906" s="18" t="str">
        <x:v>Active</x:v>
      </x:c>
      <x:c r="C906" s="18" t="n">
        <x:v>42</x:v>
      </x:c>
      <x:c r="D906" s="32" t="n">
        <x:v>15.7</x:v>
      </x:c>
      <x:c r="E906" s="24" t="n">
        <x:v>1050000</x:v>
      </x:c>
      <x:c r="F906" s="24" t="n">
        <x:v>0</x:v>
      </x:c>
    </x:row>
    <x:row r="907">
      <x:c r="A907" s="18" t="str">
        <x:v>A0321</x:v>
      </x:c>
      <x:c r="B907" s="18" t="str">
        <x:v>Active</x:v>
      </x:c>
      <x:c r="C907" s="18" t="n">
        <x:v>54</x:v>
      </x:c>
      <x:c r="D907" s="32" t="n">
        <x:v>16.8</x:v>
      </x:c>
      <x:c r="E907" s="24" t="n">
        <x:v>1851000</x:v>
      </x:c>
      <x:c r="F907" s="24" t="n">
        <x:v>0</x:v>
      </x:c>
    </x:row>
    <x:row r="908">
      <x:c r="A908" s="18" t="str">
        <x:v>A0239</x:v>
      </x:c>
      <x:c r="B908" s="18" t="str">
        <x:v>Active</x:v>
      </x:c>
      <x:c r="C908" s="18" t="n">
        <x:v>50</x:v>
      </x:c>
      <x:c r="D908" s="32" t="n">
        <x:v>15.7</x:v>
      </x:c>
      <x:c r="E908" s="24" t="n">
        <x:v>1332000</x:v>
      </x:c>
      <x:c r="F908" s="24" t="n">
        <x:v>0</x:v>
      </x:c>
    </x:row>
    <x:row r="909">
      <x:c r="A909" s="18" t="str">
        <x:v>A0354</x:v>
      </x:c>
      <x:c r="B909" s="18" t="str">
        <x:v>Active</x:v>
      </x:c>
      <x:c r="C909" s="18" t="n">
        <x:v>43</x:v>
      </x:c>
      <x:c r="D909" s="32" t="n">
        <x:v>21.4</x:v>
      </x:c>
      <x:c r="E909" s="24" t="n">
        <x:v>989000</x:v>
      </x:c>
      <x:c r="F909" s="24" t="n">
        <x:v>0</x:v>
      </x:c>
    </x:row>
    <x:row r="910">
      <x:c r="A910" s="18" t="str">
        <x:v>D0081</x:v>
      </x:c>
      <x:c r="B910" s="18" t="str">
        <x:v>Deferred</x:v>
      </x:c>
      <x:c r="C910" s="18" t="n">
        <x:v>50</x:v>
      </x:c>
      <x:c r="D910" s="32" t="n">
        <x:v>15.2</x:v>
      </x:c>
      <x:c r="E910" s="24" t="n">
        <x:v>833000</x:v>
      </x:c>
      <x:c r="F910" s="24" t="n">
        <x:v>0</x:v>
      </x:c>
    </x:row>
    <x:row r="911">
      <x:c r="A911" s="18" t="str">
        <x:v>P0179</x:v>
      </x:c>
      <x:c r="B911" s="18" t="str">
        <x:v>Pensioner</x:v>
      </x:c>
      <x:c r="C911" s="18" t="n">
        <x:v>84</x:v>
      </x:c>
      <x:c r="D911" s="32" t="n">
        <x:v>27.8</x:v>
      </x:c>
      <x:c r="E911" s="24" t="n">
        <x:v>0</x:v>
      </x:c>
      <x:c r="F911" s="24" t="n">
        <x:v>363000</x:v>
      </x:c>
    </x:row>
    <x:row r="912">
      <x:c r="A912" s="18" t="str">
        <x:v>A0496</x:v>
      </x:c>
      <x:c r="B912" s="18" t="str">
        <x:v>Active</x:v>
      </x:c>
      <x:c r="C912" s="18" t="n">
        <x:v>30</x:v>
      </x:c>
      <x:c r="D912" s="32" t="n">
        <x:v>1.5</x:v>
      </x:c>
      <x:c r="E912" s="24" t="n">
        <x:v>659000</x:v>
      </x:c>
      <x:c r="F912" s="24" t="n">
        <x:v>0</x:v>
      </x:c>
    </x:row>
    <x:row r="913">
      <x:c r="A913" s="18" t="str">
        <x:v>A0617</x:v>
      </x:c>
      <x:c r="B913" s="18" t="str">
        <x:v>Active</x:v>
      </x:c>
      <x:c r="C913" s="18" t="n">
        <x:v>44</x:v>
      </x:c>
      <x:c r="D913" s="32" t="n">
        <x:v>17.9</x:v>
      </x:c>
      <x:c r="E913" s="24" t="n">
        <x:v>978000</x:v>
      </x:c>
      <x:c r="F913" s="24" t="n">
        <x:v>0</x:v>
      </x:c>
    </x:row>
    <x:row r="914">
      <x:c r="A914" s="18" t="str">
        <x:v>D0094</x:v>
      </x:c>
      <x:c r="B914" s="18" t="str">
        <x:v>Deferred</x:v>
      </x:c>
      <x:c r="C914" s="18" t="n">
        <x:v>38</x:v>
      </x:c>
      <x:c r="D914" s="32" t="n">
        <x:v>6.9</x:v>
      </x:c>
      <x:c r="E914" s="24" t="n">
        <x:v>481000</x:v>
      </x:c>
      <x:c r="F914" s="24" t="n">
        <x:v>0</x:v>
      </x:c>
    </x:row>
    <x:row r="915">
      <x:c r="A915" s="18" t="str">
        <x:v>A0186</x:v>
      </x:c>
      <x:c r="B915" s="18" t="str">
        <x:v>Active</x:v>
      </x:c>
      <x:c r="C915" s="18" t="n">
        <x:v>48</x:v>
      </x:c>
      <x:c r="D915" s="32" t="n">
        <x:v>6.5</x:v>
      </x:c>
      <x:c r="E915" s="24" t="n">
        <x:v>1536000</x:v>
      </x:c>
      <x:c r="F915" s="24" t="n">
        <x:v>0</x:v>
      </x:c>
    </x:row>
    <x:row r="916">
      <x:c r="A916" s="18" t="str">
        <x:v>A0262</x:v>
      </x:c>
      <x:c r="B916" s="18" t="str">
        <x:v>Active</x:v>
      </x:c>
      <x:c r="C916" s="18" t="n">
        <x:v>53</x:v>
      </x:c>
      <x:c r="D916" s="32" t="n">
        <x:v>11</x:v>
      </x:c>
      <x:c r="E916" s="24" t="n">
        <x:v>1814000</x:v>
      </x:c>
      <x:c r="F916" s="24" t="n">
        <x:v>0</x:v>
      </x:c>
    </x:row>
    <x:row r="917">
      <x:c r="A917" s="18" t="str">
        <x:v>P0049</x:v>
      </x:c>
      <x:c r="B917" s="18" t="str">
        <x:v>Pensioner</x:v>
      </x:c>
      <x:c r="C917" s="18" t="n">
        <x:v>63</x:v>
      </x:c>
      <x:c r="D917" s="32" t="n">
        <x:v>33.7</x:v>
      </x:c>
      <x:c r="E917" s="24" t="n">
        <x:v>0</x:v>
      </x:c>
      <x:c r="F917" s="24" t="n">
        <x:v>185000</x:v>
      </x:c>
    </x:row>
    <x:row r="918">
      <x:c r="A918" s="18" t="str">
        <x:v>D0047</x:v>
      </x:c>
      <x:c r="B918" s="18" t="str">
        <x:v>Deferred</x:v>
      </x:c>
      <x:c r="C918" s="18" t="n">
        <x:v>50</x:v>
      </x:c>
      <x:c r="D918" s="32" t="n">
        <x:v>4.9</x:v>
      </x:c>
      <x:c r="E918" s="24" t="n">
        <x:v>953000</x:v>
      </x:c>
      <x:c r="F918" s="24" t="n">
        <x:v>0</x:v>
      </x:c>
    </x:row>
    <x:row r="919">
      <x:c r="A919" s="18" t="str">
        <x:v>D0028</x:v>
      </x:c>
      <x:c r="B919" s="18" t="str">
        <x:v>Deferred</x:v>
      </x:c>
      <x:c r="C919" s="18" t="n">
        <x:v>51</x:v>
      </x:c>
      <x:c r="D919" s="32" t="n">
        <x:v>24.1</x:v>
      </x:c>
      <x:c r="E919" s="24" t="n">
        <x:v>816000</x:v>
      </x:c>
      <x:c r="F919" s="24" t="n">
        <x:v>0</x:v>
      </x:c>
    </x:row>
    <x:row r="920">
      <x:c r="A920" s="18" t="str">
        <x:v>A0251</x:v>
      </x:c>
      <x:c r="B920" s="18" t="str">
        <x:v>Active</x:v>
      </x:c>
      <x:c r="C920" s="18" t="n">
        <x:v>59</x:v>
      </x:c>
      <x:c r="D920" s="32" t="n">
        <x:v>11</x:v>
      </x:c>
      <x:c r="E920" s="24" t="n">
        <x:v>1989000</x:v>
      </x:c>
      <x:c r="F920" s="24" t="n">
        <x:v>0</x:v>
      </x:c>
    </x:row>
    <x:row r="921">
      <x:c r="A921" s="18" t="str">
        <x:v>D0027</x:v>
      </x:c>
      <x:c r="B921" s="18" t="str">
        <x:v>Deferred</x:v>
      </x:c>
      <x:c r="C921" s="18" t="n">
        <x:v>45</x:v>
      </x:c>
      <x:c r="D921" s="32" t="n">
        <x:v>7</x:v>
      </x:c>
      <x:c r="E921" s="24" t="n">
        <x:v>662000</x:v>
      </x:c>
      <x:c r="F921" s="24" t="n">
        <x:v>0</x:v>
      </x:c>
    </x:row>
    <x:row r="922">
      <x:c r="A922" s="18" t="str">
        <x:v>A0108</x:v>
      </x:c>
      <x:c r="B922" s="18" t="str">
        <x:v>Active</x:v>
      </x:c>
      <x:c r="C922" s="18" t="n">
        <x:v>44</x:v>
      </x:c>
      <x:c r="D922" s="32" t="n">
        <x:v>18.7</x:v>
      </x:c>
      <x:c r="E922" s="24" t="n">
        <x:v>1108000</x:v>
      </x:c>
      <x:c r="F922" s="24" t="n">
        <x:v>0</x:v>
      </x:c>
    </x:row>
    <x:row r="923">
      <x:c r="A923" s="18" t="str">
        <x:v>A0013</x:v>
      </x:c>
      <x:c r="B923" s="18" t="str">
        <x:v>Active</x:v>
      </x:c>
      <x:c r="C923" s="18" t="n">
        <x:v>38</x:v>
      </x:c>
      <x:c r="D923" s="32" t="n">
        <x:v>12.4</x:v>
      </x:c>
      <x:c r="E923" s="24" t="n">
        <x:v>605000</x:v>
      </x:c>
      <x:c r="F923" s="24" t="n">
        <x:v>0</x:v>
      </x:c>
    </x:row>
    <x:row r="924">
      <x:c r="A924" s="18" t="str">
        <x:v>A0577</x:v>
      </x:c>
      <x:c r="B924" s="18" t="str">
        <x:v>Active</x:v>
      </x:c>
      <x:c r="C924" s="18" t="n">
        <x:v>29</x:v>
      </x:c>
      <x:c r="D924" s="32" t="n">
        <x:v>1.9</x:v>
      </x:c>
      <x:c r="E924" s="24" t="n">
        <x:v>519000</x:v>
      </x:c>
      <x:c r="F924" s="24" t="n">
        <x:v>0</x:v>
      </x:c>
    </x:row>
    <x:row r="925">
      <x:c r="A925" s="18" t="str">
        <x:v>A0406</x:v>
      </x:c>
      <x:c r="B925" s="18" t="str">
        <x:v>Active</x:v>
      </x:c>
      <x:c r="C925" s="18" t="n">
        <x:v>31</x:v>
      </x:c>
      <x:c r="D925" s="32" t="n">
        <x:v>2.7</x:v>
      </x:c>
      <x:c r="E925" s="24" t="n">
        <x:v>615000</x:v>
      </x:c>
      <x:c r="F925" s="24" t="n">
        <x:v>0</x:v>
      </x:c>
    </x:row>
    <x:row r="926">
      <x:c r="A926" s="18" t="str">
        <x:v>A0116</x:v>
      </x:c>
      <x:c r="B926" s="18" t="str">
        <x:v>Active</x:v>
      </x:c>
      <x:c r="C926" s="18" t="n">
        <x:v>37</x:v>
      </x:c>
      <x:c r="D926" s="32" t="n">
        <x:v>7.5</x:v>
      </x:c>
      <x:c r="E926" s="24" t="n">
        <x:v>967000</x:v>
      </x:c>
      <x:c r="F926" s="24" t="n">
        <x:v>0</x:v>
      </x:c>
    </x:row>
    <x:row r="927">
      <x:c r="A927" s="18" t="str">
        <x:v>A0095</x:v>
      </x:c>
      <x:c r="B927" s="18" t="str">
        <x:v>Active</x:v>
      </x:c>
      <x:c r="C927" s="18" t="n">
        <x:v>37</x:v>
      </x:c>
      <x:c r="D927" s="32" t="n">
        <x:v>1.7</x:v>
      </x:c>
      <x:c r="E927" s="24" t="n">
        <x:v>878000</x:v>
      </x:c>
      <x:c r="F927" s="24" t="n">
        <x:v>0</x:v>
      </x:c>
    </x:row>
    <x:row r="928">
      <x:c r="A928" s="18" t="str">
        <x:v>A0162</x:v>
      </x:c>
      <x:c r="B928" s="18" t="str">
        <x:v>Active</x:v>
      </x:c>
      <x:c r="C928" s="18" t="n">
        <x:v>22</x:v>
      </x:c>
      <x:c r="D928" s="32" t="n">
        <x:v>1</x:v>
      </x:c>
      <x:c r="E928" s="24" t="n">
        <x:v>503000</x:v>
      </x:c>
      <x:c r="F928" s="24" t="n">
        <x:v>0</x:v>
      </x:c>
    </x:row>
    <x:row r="929">
      <x:c r="A929" s="18" t="str">
        <x:v>P0044</x:v>
      </x:c>
      <x:c r="B929" s="18" t="str">
        <x:v>Pensioner</x:v>
      </x:c>
      <x:c r="C929" s="18" t="n">
        <x:v>82</x:v>
      </x:c>
      <x:c r="D929" s="32" t="n">
        <x:v>22.3</x:v>
      </x:c>
      <x:c r="E929" s="24" t="n">
        <x:v>0</x:v>
      </x:c>
      <x:c r="F929" s="24" t="n">
        <x:v>334000</x:v>
      </x:c>
    </x:row>
    <x:row r="930">
      <x:c r="A930" s="18" t="str">
        <x:v>P0119</x:v>
      </x:c>
      <x:c r="B930" s="18" t="str">
        <x:v>Pensioner</x:v>
      </x:c>
      <x:c r="C930" s="18" t="n">
        <x:v>87</x:v>
      </x:c>
      <x:c r="D930" s="32" t="n">
        <x:v>14.4</x:v>
      </x:c>
      <x:c r="E930" s="24" t="n">
        <x:v>0</x:v>
      </x:c>
      <x:c r="F930" s="24" t="n">
        <x:v>383000</x:v>
      </x:c>
    </x:row>
    <x:row r="931">
      <x:c r="A931" s="18" t="str">
        <x:v>A0536</x:v>
      </x:c>
      <x:c r="B931" s="18" t="str">
        <x:v>Active</x:v>
      </x:c>
      <x:c r="C931" s="18" t="n">
        <x:v>27</x:v>
      </x:c>
      <x:c r="D931" s="32" t="n">
        <x:v>1.5</x:v>
      </x:c>
      <x:c r="E931" s="24" t="n">
        <x:v>429000</x:v>
      </x:c>
      <x:c r="F931" s="24" t="n">
        <x:v>0</x:v>
      </x:c>
    </x:row>
    <x:row r="932">
      <x:c r="A932" s="18" t="str">
        <x:v>P0080</x:v>
      </x:c>
      <x:c r="B932" s="18" t="str">
        <x:v>Pensioner</x:v>
      </x:c>
      <x:c r="C932" s="18" t="n">
        <x:v>61</x:v>
      </x:c>
      <x:c r="D932" s="32" t="n">
        <x:v>14.2</x:v>
      </x:c>
      <x:c r="E932" s="24" t="n">
        <x:v>0</x:v>
      </x:c>
      <x:c r="F932" s="24" t="n">
        <x:v>257000</x:v>
      </x:c>
    </x:row>
    <x:row r="933">
      <x:c r="A933" s="18" t="str">
        <x:v>D0053</x:v>
      </x:c>
      <x:c r="B933" s="18" t="str">
        <x:v>Deferred</x:v>
      </x:c>
      <x:c r="C933" s="18" t="n">
        <x:v>33</x:v>
      </x:c>
      <x:c r="D933" s="32" t="n">
        <x:v>5.8</x:v>
      </x:c>
      <x:c r="E933" s="24" t="n">
        <x:v>522000</x:v>
      </x:c>
      <x:c r="F933" s="24" t="n">
        <x:v>0</x:v>
      </x:c>
    </x:row>
    <x:row r="934">
      <x:c r="A934" s="18" t="str">
        <x:v>A0314</x:v>
      </x:c>
      <x:c r="B934" s="18" t="str">
        <x:v>Active</x:v>
      </x:c>
      <x:c r="C934" s="18" t="n">
        <x:v>31</x:v>
      </x:c>
      <x:c r="D934" s="32" t="n">
        <x:v>10</x:v>
      </x:c>
      <x:c r="E934" s="24" t="n">
        <x:v>553000</x:v>
      </x:c>
      <x:c r="F934" s="24" t="n">
        <x:v>0</x:v>
      </x:c>
    </x:row>
    <x:row r="935">
      <x:c r="A935" s="18" t="str">
        <x:v>A0306</x:v>
      </x:c>
      <x:c r="B935" s="18" t="str">
        <x:v>Active</x:v>
      </x:c>
      <x:c r="C935" s="18" t="n">
        <x:v>49</x:v>
      </x:c>
      <x:c r="D935" s="32" t="n">
        <x:v>16.1</x:v>
      </x:c>
      <x:c r="E935" s="24" t="n">
        <x:v>1587000</x:v>
      </x:c>
      <x:c r="F935" s="24" t="n">
        <x:v>0</x:v>
      </x:c>
    </x:row>
    <x:row r="936">
      <x:c r="A936" s="18" t="str">
        <x:v>A0597</x:v>
      </x:c>
      <x:c r="B936" s="18" t="str">
        <x:v>Active</x:v>
      </x:c>
      <x:c r="C936" s="18" t="n">
        <x:v>57</x:v>
      </x:c>
      <x:c r="D936" s="32" t="n">
        <x:v>32.2</x:v>
      </x:c>
      <x:c r="E936" s="24" t="n">
        <x:v>2332000</x:v>
      </x:c>
      <x:c r="F936" s="24" t="n">
        <x:v>0</x:v>
      </x:c>
    </x:row>
    <x:row r="937">
      <x:c r="A937" s="18" t="str">
        <x:v>A0360</x:v>
      </x:c>
      <x:c r="B937" s="18" t="str">
        <x:v>Active</x:v>
      </x:c>
      <x:c r="C937" s="18" t="n">
        <x:v>51</x:v>
      </x:c>
      <x:c r="D937" s="32" t="n">
        <x:v>23.2</x:v>
      </x:c>
      <x:c r="E937" s="24" t="n">
        <x:v>1180000</x:v>
      </x:c>
      <x:c r="F937" s="24" t="n">
        <x:v>0</x:v>
      </x:c>
    </x:row>
    <x:row r="938">
      <x:c r="A938" s="18" t="str">
        <x:v>A0418</x:v>
      </x:c>
      <x:c r="B938" s="18" t="str">
        <x:v>Active</x:v>
      </x:c>
      <x:c r="C938" s="18" t="n">
        <x:v>24</x:v>
      </x:c>
      <x:c r="D938" s="32" t="n">
        <x:v>1.8</x:v>
      </x:c>
      <x:c r="E938" s="24" t="n">
        <x:v>397000</x:v>
      </x:c>
      <x:c r="F938" s="24" t="n">
        <x:v>0</x:v>
      </x:c>
    </x:row>
    <x:row r="939">
      <x:c r="A939" s="18" t="str">
        <x:v>A0388</x:v>
      </x:c>
      <x:c r="B939" s="18" t="str">
        <x:v>Active</x:v>
      </x:c>
      <x:c r="C939" s="18" t="n">
        <x:v>52</x:v>
      </x:c>
      <x:c r="D939" s="32" t="n">
        <x:v>30</x:v>
      </x:c>
      <x:c r="E939" s="24" t="n">
        <x:v>1520000</x:v>
      </x:c>
      <x:c r="F939" s="24" t="n">
        <x:v>0</x:v>
      </x:c>
    </x:row>
    <x:row r="940">
      <x:c r="A940" s="18" t="str">
        <x:v>A0258</x:v>
      </x:c>
      <x:c r="B940" s="18" t="str">
        <x:v>Active</x:v>
      </x:c>
      <x:c r="C940" s="18" t="n">
        <x:v>44</x:v>
      </x:c>
      <x:c r="D940" s="32" t="n">
        <x:v>17.7</x:v>
      </x:c>
      <x:c r="E940" s="24" t="n">
        <x:v>1190000</x:v>
      </x:c>
      <x:c r="F940" s="24" t="n">
        <x:v>0</x:v>
      </x:c>
    </x:row>
    <x:row r="941">
      <x:c r="A941" s="18" t="str">
        <x:v>A0409</x:v>
      </x:c>
      <x:c r="B941" s="18" t="str">
        <x:v>Active</x:v>
      </x:c>
      <x:c r="C941" s="18" t="n">
        <x:v>55</x:v>
      </x:c>
      <x:c r="D941" s="32" t="n">
        <x:v>24.9</x:v>
      </x:c>
      <x:c r="E941" s="24" t="n">
        <x:v>2038000</x:v>
      </x:c>
      <x:c r="F941" s="24" t="n">
        <x:v>0</x:v>
      </x:c>
    </x:row>
    <x:row r="942">
      <x:c r="A942" s="18" t="str">
        <x:v>P0083</x:v>
      </x:c>
      <x:c r="B942" s="18" t="str">
        <x:v>Pensioner</x:v>
      </x:c>
      <x:c r="C942" s="18" t="n">
        <x:v>68</x:v>
      </x:c>
      <x:c r="D942" s="32" t="n">
        <x:v>25.1</x:v>
      </x:c>
      <x:c r="E942" s="24" t="n">
        <x:v>0</x:v>
      </x:c>
      <x:c r="F942" s="24" t="n">
        <x:v>321000</x:v>
      </x:c>
    </x:row>
    <x:row r="943">
      <x:c r="A943" s="18" t="str">
        <x:v>P0110</x:v>
      </x:c>
      <x:c r="B943" s="18" t="str">
        <x:v>Pensioner</x:v>
      </x:c>
      <x:c r="C943" s="18" t="n">
        <x:v>88</x:v>
      </x:c>
      <x:c r="D943" s="32" t="n">
        <x:v>39.2</x:v>
      </x:c>
      <x:c r="E943" s="24" t="n">
        <x:v>0</x:v>
      </x:c>
      <x:c r="F943" s="24" t="n">
        <x:v>590000</x:v>
      </x:c>
    </x:row>
    <x:row r="944">
      <x:c r="A944" s="18" t="str">
        <x:v>A0114</x:v>
      </x:c>
      <x:c r="B944" s="18" t="str">
        <x:v>Active</x:v>
      </x:c>
      <x:c r="C944" s="18" t="n">
        <x:v>43</x:v>
      </x:c>
      <x:c r="D944" s="32" t="n">
        <x:v>16.1</x:v>
      </x:c>
      <x:c r="E944" s="24" t="n">
        <x:v>834000</x:v>
      </x:c>
      <x:c r="F944" s="24" t="n">
        <x:v>0</x:v>
      </x:c>
    </x:row>
    <x:row r="945">
      <x:c r="A945" s="18" t="str">
        <x:v>A0506</x:v>
      </x:c>
      <x:c r="B945" s="18" t="str">
        <x:v>Active</x:v>
      </x:c>
      <x:c r="C945" s="18" t="n">
        <x:v>35</x:v>
      </x:c>
      <x:c r="D945" s="32" t="n">
        <x:v>8.8</x:v>
      </x:c>
      <x:c r="E945" s="24" t="n">
        <x:v>810000</x:v>
      </x:c>
      <x:c r="F945" s="24" t="n">
        <x:v>0</x:v>
      </x:c>
    </x:row>
    <x:row r="946">
      <x:c r="A946" s="18" t="str">
        <x:v>D0102</x:v>
      </x:c>
      <x:c r="B946" s="18" t="str">
        <x:v>Deferred</x:v>
      </x:c>
      <x:c r="C946" s="18" t="n">
        <x:v>36</x:v>
      </x:c>
      <x:c r="D946" s="32" t="n">
        <x:v>3.5</x:v>
      </x:c>
      <x:c r="E946" s="24" t="n">
        <x:v>598000</x:v>
      </x:c>
      <x:c r="F946" s="24" t="n">
        <x:v>0</x:v>
      </x:c>
    </x:row>
    <x:row r="947">
      <x:c r="A947" s="18" t="str">
        <x:v>D0073</x:v>
      </x:c>
      <x:c r="B947" s="18" t="str">
        <x:v>Deferred</x:v>
      </x:c>
      <x:c r="C947" s="18" t="n">
        <x:v>55</x:v>
      </x:c>
      <x:c r="D947" s="32" t="n">
        <x:v>3.6</x:v>
      </x:c>
      <x:c r="E947" s="24" t="n">
        <x:v>1176000</x:v>
      </x:c>
      <x:c r="F947" s="24" t="n">
        <x:v>0</x:v>
      </x:c>
    </x:row>
    <x:row r="948">
      <x:c r="A948" s="18" t="str">
        <x:v>A0231</x:v>
      </x:c>
      <x:c r="B948" s="18" t="str">
        <x:v>Active</x:v>
      </x:c>
      <x:c r="C948" s="18" t="n">
        <x:v>41</x:v>
      </x:c>
      <x:c r="D948" s="32" t="n">
        <x:v>4.6</x:v>
      </x:c>
      <x:c r="E948" s="24" t="n">
        <x:v>824000</x:v>
      </x:c>
      <x:c r="F948" s="24" t="n">
        <x:v>0</x:v>
      </x:c>
    </x:row>
    <x:row r="949">
      <x:c r="A949" s="18" t="str">
        <x:v>A0610</x:v>
      </x:c>
      <x:c r="B949" s="18" t="str">
        <x:v>Active</x:v>
      </x:c>
      <x:c r="C949" s="18" t="n">
        <x:v>47</x:v>
      </x:c>
      <x:c r="D949" s="32" t="n">
        <x:v>24.9</x:v>
      </x:c>
      <x:c r="E949" s="24" t="n">
        <x:v>1324000</x:v>
      </x:c>
      <x:c r="F949" s="24" t="n">
        <x:v>0</x:v>
      </x:c>
    </x:row>
    <x:row r="950">
      <x:c r="A950" s="18" t="str">
        <x:v>A0172</x:v>
      </x:c>
      <x:c r="B950" s="18" t="str">
        <x:v>Active</x:v>
      </x:c>
      <x:c r="C950" s="18" t="n">
        <x:v>30</x:v>
      </x:c>
      <x:c r="D950" s="32" t="n">
        <x:v>3</x:v>
      </x:c>
      <x:c r="E950" s="24" t="n">
        <x:v>657000</x:v>
      </x:c>
      <x:c r="F950" s="24" t="n">
        <x:v>0</x:v>
      </x:c>
    </x:row>
    <x:row r="951">
      <x:c r="A951" s="18" t="str">
        <x:v>P0227</x:v>
      </x:c>
      <x:c r="B951" s="18" t="str">
        <x:v>Pensioner</x:v>
      </x:c>
      <x:c r="C951" s="18" t="n">
        <x:v>84</x:v>
      </x:c>
      <x:c r="D951" s="32" t="n">
        <x:v>21.9</x:v>
      </x:c>
      <x:c r="E951" s="24" t="n">
        <x:v>0</x:v>
      </x:c>
      <x:c r="F951" s="24" t="n">
        <x:v>564000</x:v>
      </x:c>
    </x:row>
    <x:row r="952">
      <x:c r="A952" s="18" t="str">
        <x:v>A0364</x:v>
      </x:c>
      <x:c r="B952" s="18" t="str">
        <x:v>Active</x:v>
      </x:c>
      <x:c r="C952" s="18" t="n">
        <x:v>31</x:v>
      </x:c>
      <x:c r="D952" s="32" t="n">
        <x:v>4.3</x:v>
      </x:c>
      <x:c r="E952" s="24" t="n">
        <x:v>484000</x:v>
      </x:c>
      <x:c r="F952" s="24" t="n">
        <x:v>0</x:v>
      </x:c>
    </x:row>
    <x:row r="953">
      <x:c r="A953" s="18" t="str">
        <x:v>P0026</x:v>
      </x:c>
      <x:c r="B953" s="18" t="str">
        <x:v>Pensioner</x:v>
      </x:c>
      <x:c r="C953" s="18" t="n">
        <x:v>79</x:v>
      </x:c>
      <x:c r="D953" s="32" t="n">
        <x:v>12.5</x:v>
      </x:c>
      <x:c r="E953" s="24" t="n">
        <x:v>0</x:v>
      </x:c>
      <x:c r="F953" s="24" t="n">
        <x:v>552000</x:v>
      </x:c>
    </x:row>
    <x:row r="954">
      <x:c r="A954" s="18" t="str">
        <x:v>P0055</x:v>
      </x:c>
      <x:c r="B954" s="18" t="str">
        <x:v>Pensioner</x:v>
      </x:c>
      <x:c r="C954" s="18" t="n">
        <x:v>71</x:v>
      </x:c>
      <x:c r="D954" s="32" t="n">
        <x:v>37.3</x:v>
      </x:c>
      <x:c r="E954" s="24" t="n">
        <x:v>0</x:v>
      </x:c>
      <x:c r="F954" s="24" t="n">
        <x:v>374000</x:v>
      </x:c>
    </x:row>
    <x:row r="955">
      <x:c r="A955" s="18" t="str">
        <x:v>A0045</x:v>
      </x:c>
      <x:c r="B955" s="18" t="str">
        <x:v>Active</x:v>
      </x:c>
      <x:c r="C955" s="18" t="n">
        <x:v>42</x:v>
      </x:c>
      <x:c r="D955" s="32" t="n">
        <x:v>5.9</x:v>
      </x:c>
      <x:c r="E955" s="24" t="n">
        <x:v>847000</x:v>
      </x:c>
      <x:c r="F955" s="24" t="n">
        <x:v>0</x:v>
      </x:c>
    </x:row>
    <x:row r="956">
      <x:c r="A956" s="18" t="str">
        <x:v>P0189</x:v>
      </x:c>
      <x:c r="B956" s="18" t="str">
        <x:v>Pensioner</x:v>
      </x:c>
      <x:c r="C956" s="18" t="n">
        <x:v>78</x:v>
      </x:c>
      <x:c r="D956" s="32" t="n">
        <x:v>30.4</x:v>
      </x:c>
      <x:c r="E956" s="24" t="n">
        <x:v>0</x:v>
      </x:c>
      <x:c r="F956" s="24" t="n">
        <x:v>579000</x:v>
      </x:c>
    </x:row>
    <x:row r="957">
      <x:c r="A957" s="18" t="str">
        <x:v>D0086</x:v>
      </x:c>
      <x:c r="B957" s="18" t="str">
        <x:v>Deferred</x:v>
      </x:c>
      <x:c r="C957" s="18" t="n">
        <x:v>42</x:v>
      </x:c>
      <x:c r="D957" s="32" t="n">
        <x:v>12.9</x:v>
      </x:c>
      <x:c r="E957" s="24" t="n">
        <x:v>731000</x:v>
      </x:c>
      <x:c r="F957" s="24" t="n">
        <x:v>0</x:v>
      </x:c>
    </x:row>
    <x:row r="958">
      <x:c r="A958" s="18" t="str">
        <x:v>A0077</x:v>
      </x:c>
      <x:c r="B958" s="18" t="str">
        <x:v>Active</x:v>
      </x:c>
      <x:c r="C958" s="18" t="n">
        <x:v>35</x:v>
      </x:c>
      <x:c r="D958" s="32" t="n">
        <x:v>7.6</x:v>
      </x:c>
      <x:c r="E958" s="24" t="n">
        <x:v>917000</x:v>
      </x:c>
      <x:c r="F958" s="24" t="n">
        <x:v>0</x:v>
      </x:c>
    </x:row>
    <x:row r="959">
      <x:c r="A959" s="18" t="str">
        <x:v>A0171</x:v>
      </x:c>
      <x:c r="B959" s="18" t="str">
        <x:v>Active</x:v>
      </x:c>
      <x:c r="C959" s="18" t="n">
        <x:v>50</x:v>
      </x:c>
      <x:c r="D959" s="32" t="n">
        <x:v>21</x:v>
      </x:c>
      <x:c r="E959" s="24" t="n">
        <x:v>1271000</x:v>
      </x:c>
      <x:c r="F959" s="24" t="n">
        <x:v>0</x:v>
      </x:c>
    </x:row>
    <x:row r="960">
      <x:c r="A960" s="18" t="str">
        <x:v>A0047</x:v>
      </x:c>
      <x:c r="B960" s="18" t="str">
        <x:v>Active</x:v>
      </x:c>
      <x:c r="C960" s="18" t="n">
        <x:v>52</x:v>
      </x:c>
      <x:c r="D960" s="32" t="n">
        <x:v>16.5</x:v>
      </x:c>
      <x:c r="E960" s="24" t="n">
        <x:v>1756000</x:v>
      </x:c>
      <x:c r="F960" s="24" t="n">
        <x:v>0</x:v>
      </x:c>
    </x:row>
    <x:row r="961">
      <x:c r="A961" s="18" t="str">
        <x:v>P0082</x:v>
      </x:c>
      <x:c r="B961" s="18" t="str">
        <x:v>Pensioner</x:v>
      </x:c>
      <x:c r="C961" s="18" t="n">
        <x:v>65</x:v>
      </x:c>
      <x:c r="D961" s="32" t="n">
        <x:v>15.9</x:v>
      </x:c>
      <x:c r="E961" s="24" t="n">
        <x:v>0</x:v>
      </x:c>
      <x:c r="F961" s="24" t="n">
        <x:v>323000</x:v>
      </x:c>
    </x:row>
    <x:row r="962">
      <x:c r="A962" s="18" t="str">
        <x:v>P0149</x:v>
      </x:c>
      <x:c r="B962" s="18" t="str">
        <x:v>Pensioner</x:v>
      </x:c>
      <x:c r="C962" s="18" t="n">
        <x:v>74</x:v>
      </x:c>
      <x:c r="D962" s="32" t="n">
        <x:v>28.6</x:v>
      </x:c>
      <x:c r="E962" s="24" t="n">
        <x:v>0</x:v>
      </x:c>
      <x:c r="F962" s="24" t="n">
        <x:v>238000</x:v>
      </x:c>
    </x:row>
    <x:row r="963">
      <x:c r="A963" s="18" t="str">
        <x:v>A0328</x:v>
      </x:c>
      <x:c r="B963" s="18" t="str">
        <x:v>Active</x:v>
      </x:c>
      <x:c r="C963" s="18" t="n">
        <x:v>34</x:v>
      </x:c>
      <x:c r="D963" s="32" t="n">
        <x:v>3.9</x:v>
      </x:c>
      <x:c r="E963" s="24" t="n">
        <x:v>513000</x:v>
      </x:c>
      <x:c r="F963" s="24" t="n">
        <x:v>0</x:v>
      </x:c>
    </x:row>
    <x:row r="964">
      <x:c r="A964" s="18" t="str">
        <x:v>P0177</x:v>
      </x:c>
      <x:c r="B964" s="18" t="str">
        <x:v>Pensioner</x:v>
      </x:c>
      <x:c r="C964" s="18" t="n">
        <x:v>85</x:v>
      </x:c>
      <x:c r="D964" s="32" t="n">
        <x:v>19.6</x:v>
      </x:c>
      <x:c r="E964" s="24" t="n">
        <x:v>0</x:v>
      </x:c>
      <x:c r="F964" s="24" t="n">
        <x:v>645000</x:v>
      </x:c>
    </x:row>
    <x:row r="965">
      <x:c r="A965" s="18" t="str">
        <x:v>A0588</x:v>
      </x:c>
      <x:c r="B965" s="18" t="str">
        <x:v>Active</x:v>
      </x:c>
      <x:c r="C965" s="18" t="n">
        <x:v>51</x:v>
      </x:c>
      <x:c r="D965" s="32" t="n">
        <x:v>11.3</x:v>
      </x:c>
      <x:c r="E965" s="24" t="n">
        <x:v>1788000</x:v>
      </x:c>
      <x:c r="F965" s="24" t="n">
        <x:v>0</x:v>
      </x:c>
    </x:row>
    <x:row r="966">
      <x:c r="A966" s="18" t="str">
        <x:v>A0510</x:v>
      </x:c>
      <x:c r="B966" s="18" t="str">
        <x:v>Active</x:v>
      </x:c>
      <x:c r="C966" s="18" t="n">
        <x:v>30</x:v>
      </x:c>
      <x:c r="D966" s="32" t="n">
        <x:v>6.3</x:v>
      </x:c>
      <x:c r="E966" s="24" t="n">
        <x:v>680000</x:v>
      </x:c>
      <x:c r="F966" s="24" t="n">
        <x:v>0</x:v>
      </x:c>
    </x:row>
    <x:row r="967">
      <x:c r="A967" s="18" t="str">
        <x:v>P0036</x:v>
      </x:c>
      <x:c r="B967" s="18" t="str">
        <x:v>Pensioner</x:v>
      </x:c>
      <x:c r="C967" s="18" t="n">
        <x:v>66</x:v>
      </x:c>
      <x:c r="D967" s="32" t="n">
        <x:v>33.2</x:v>
      </x:c>
      <x:c r="E967" s="24" t="n">
        <x:v>0</x:v>
      </x:c>
      <x:c r="F967" s="24" t="n">
        <x:v>437000</x:v>
      </x:c>
    </x:row>
    <x:row r="968">
      <x:c r="A968" s="18" t="str">
        <x:v>D0020</x:v>
      </x:c>
      <x:c r="B968" s="18" t="str">
        <x:v>Deferred</x:v>
      </x:c>
      <x:c r="C968" s="18" t="n">
        <x:v>45</x:v>
      </x:c>
      <x:c r="D968" s="32" t="n">
        <x:v>6.7</x:v>
      </x:c>
      <x:c r="E968" s="24" t="n">
        <x:v>926000</x:v>
      </x:c>
      <x:c r="F968" s="24" t="n">
        <x:v>0</x:v>
      </x:c>
    </x:row>
    <x:row r="969">
      <x:c r="A969" s="18" t="str">
        <x:v>P0196</x:v>
      </x:c>
      <x:c r="B969" s="18" t="str">
        <x:v>Pensioner</x:v>
      </x:c>
      <x:c r="C969" s="18" t="n">
        <x:v>85</x:v>
      </x:c>
      <x:c r="D969" s="32" t="n">
        <x:v>33.7</x:v>
      </x:c>
      <x:c r="E969" s="24" t="n">
        <x:v>0</x:v>
      </x:c>
      <x:c r="F969" s="24" t="n">
        <x:v>386000</x:v>
      </x:c>
    </x:row>
    <x:row r="970">
      <x:c r="A970" s="18" t="str">
        <x:v>P0139</x:v>
      </x:c>
      <x:c r="B970" s="18" t="str">
        <x:v>Pensioner</x:v>
      </x:c>
      <x:c r="C970" s="18" t="n">
        <x:v>77</x:v>
      </x:c>
      <x:c r="D970" s="32" t="n">
        <x:v>24.9</x:v>
      </x:c>
      <x:c r="E970" s="24" t="n">
        <x:v>0</x:v>
      </x:c>
      <x:c r="F970" s="24" t="n">
        <x:v>345000</x:v>
      </x:c>
    </x:row>
    <x:row r="971">
      <x:c r="A971" s="18" t="str">
        <x:v>D0085</x:v>
      </x:c>
      <x:c r="B971" s="18" t="str">
        <x:v>Deferred</x:v>
      </x:c>
      <x:c r="C971" s="18" t="n">
        <x:v>41</x:v>
      </x:c>
      <x:c r="D971" s="32" t="n">
        <x:v>2.9</x:v>
      </x:c>
      <x:c r="E971" s="24" t="n">
        <x:v>574000</x:v>
      </x:c>
      <x:c r="F971" s="24" t="n">
        <x:v>0</x:v>
      </x:c>
    </x:row>
    <x:row r="972">
      <x:c r="A972" s="18" t="str">
        <x:v>A0279</x:v>
      </x:c>
      <x:c r="B972" s="18" t="str">
        <x:v>Active</x:v>
      </x:c>
      <x:c r="C972" s="18" t="n">
        <x:v>56</x:v>
      </x:c>
      <x:c r="D972" s="32" t="n">
        <x:v>9.6</x:v>
      </x:c>
      <x:c r="E972" s="24" t="n">
        <x:v>1742000</x:v>
      </x:c>
      <x:c r="F972" s="24" t="n">
        <x:v>0</x:v>
      </x:c>
    </x:row>
    <x:row r="973">
      <x:c r="A973" s="18" t="str">
        <x:v>A0532</x:v>
      </x:c>
      <x:c r="B973" s="18" t="str">
        <x:v>Active</x:v>
      </x:c>
      <x:c r="C973" s="18" t="n">
        <x:v>26</x:v>
      </x:c>
      <x:c r="D973" s="32" t="n">
        <x:v>3</x:v>
      </x:c>
      <x:c r="E973" s="24" t="n">
        <x:v>353000</x:v>
      </x:c>
      <x:c r="F973" s="24" t="n">
        <x:v>0</x:v>
      </x:c>
    </x:row>
    <x:row r="974">
      <x:c r="A974" s="18" t="str">
        <x:v>P0143</x:v>
      </x:c>
      <x:c r="B974" s="18" t="str">
        <x:v>Pensioner</x:v>
      </x:c>
      <x:c r="C974" s="18" t="n">
        <x:v>78</x:v>
      </x:c>
      <x:c r="D974" s="32" t="n">
        <x:v>33.4</x:v>
      </x:c>
      <x:c r="E974" s="24" t="n">
        <x:v>0</x:v>
      </x:c>
      <x:c r="F974" s="24" t="n">
        <x:v>644000</x:v>
      </x:c>
    </x:row>
    <x:row r="975">
      <x:c r="A975" s="18" t="str">
        <x:v>P0126</x:v>
      </x:c>
      <x:c r="B975" s="18" t="str">
        <x:v>Pensioner</x:v>
      </x:c>
      <x:c r="C975" s="18" t="n">
        <x:v>79</x:v>
      </x:c>
      <x:c r="D975" s="32" t="n">
        <x:v>23.6</x:v>
      </x:c>
      <x:c r="E975" s="24" t="n">
        <x:v>0</x:v>
      </x:c>
      <x:c r="F975" s="24" t="n">
        <x:v>322000</x:v>
      </x:c>
    </x:row>
    <x:row r="976">
      <x:c r="A976" s="18" t="str">
        <x:v>P0197</x:v>
      </x:c>
      <x:c r="B976" s="18" t="str">
        <x:v>Pensioner</x:v>
      </x:c>
      <x:c r="C976" s="18" t="n">
        <x:v>80</x:v>
      </x:c>
      <x:c r="D976" s="32" t="n">
        <x:v>30.1</x:v>
      </x:c>
      <x:c r="E976" s="24" t="n">
        <x:v>0</x:v>
      </x:c>
      <x:c r="F976" s="24" t="n">
        <x:v>650000</x:v>
      </x:c>
    </x:row>
    <x:row r="977">
      <x:c r="A977" s="18" t="str">
        <x:v>D0037</x:v>
      </x:c>
      <x:c r="B977" s="18" t="str">
        <x:v>Deferred</x:v>
      </x:c>
      <x:c r="C977" s="18" t="n">
        <x:v>51</x:v>
      </x:c>
      <x:c r="D977" s="32" t="n">
        <x:v>13.4</x:v>
      </x:c>
      <x:c r="E977" s="24" t="n">
        <x:v>1115000</x:v>
      </x:c>
      <x:c r="F977" s="24" t="n">
        <x:v>0</x:v>
      </x:c>
    </x:row>
    <x:row r="978">
      <x:c r="A978" s="18" t="str">
        <x:v>P0112</x:v>
      </x:c>
      <x:c r="B978" s="18" t="str">
        <x:v>Pensioner</x:v>
      </x:c>
      <x:c r="C978" s="18" t="n">
        <x:v>81</x:v>
      </x:c>
      <x:c r="D978" s="32" t="n">
        <x:v>36.9</x:v>
      </x:c>
      <x:c r="E978" s="24" t="n">
        <x:v>0</x:v>
      </x:c>
      <x:c r="F978" s="24" t="n">
        <x:v>263000</x:v>
      </x:c>
    </x:row>
    <x:row r="979">
      <x:c r="A979" s="18" t="str">
        <x:v>P0020</x:v>
      </x:c>
      <x:c r="B979" s="18" t="str">
        <x:v>Pensioner</x:v>
      </x:c>
      <x:c r="C979" s="18" t="n">
        <x:v>75</x:v>
      </x:c>
      <x:c r="D979" s="32" t="n">
        <x:v>38</x:v>
      </x:c>
      <x:c r="E979" s="24" t="n">
        <x:v>0</x:v>
      </x:c>
      <x:c r="F979" s="24" t="n">
        <x:v>308000</x:v>
      </x:c>
    </x:row>
    <x:row r="980">
      <x:c r="A980" s="18" t="str">
        <x:v>D0026</x:v>
      </x:c>
      <x:c r="B980" s="18" t="str">
        <x:v>Deferred</x:v>
      </x:c>
      <x:c r="C980" s="18" t="n">
        <x:v>39</x:v>
      </x:c>
      <x:c r="D980" s="32" t="n">
        <x:v>13.6</x:v>
      </x:c>
      <x:c r="E980" s="24" t="n">
        <x:v>675000</x:v>
      </x:c>
      <x:c r="F980" s="24" t="n">
        <x:v>0</x:v>
      </x:c>
    </x:row>
    <x:row r="981">
      <x:c r="A981" s="18" t="str">
        <x:v>A0299</x:v>
      </x:c>
      <x:c r="B981" s="18" t="str">
        <x:v>Active</x:v>
      </x:c>
      <x:c r="C981" s="18" t="n">
        <x:v>52</x:v>
      </x:c>
      <x:c r="D981" s="32" t="n">
        <x:v>13</x:v>
      </x:c>
      <x:c r="E981" s="24" t="n">
        <x:v>1442000</x:v>
      </x:c>
      <x:c r="F981" s="24" t="n">
        <x:v>0</x:v>
      </x:c>
    </x:row>
    <x:row r="982">
      <x:c r="A982" s="18" t="str">
        <x:v>P0161</x:v>
      </x:c>
      <x:c r="B982" s="18" t="str">
        <x:v>Pensioner</x:v>
      </x:c>
      <x:c r="C982" s="18" t="n">
        <x:v>77</x:v>
      </x:c>
      <x:c r="D982" s="32" t="n">
        <x:v>15.8</x:v>
      </x:c>
      <x:c r="E982" s="24" t="n">
        <x:v>0</x:v>
      </x:c>
      <x:c r="F982" s="24" t="n">
        <x:v>455000</x:v>
      </x:c>
    </x:row>
    <x:row r="983">
      <x:c r="A983" s="18" t="str">
        <x:v>D0082</x:v>
      </x:c>
      <x:c r="B983" s="18" t="str">
        <x:v>Deferred</x:v>
      </x:c>
      <x:c r="C983" s="18" t="n">
        <x:v>35</x:v>
      </x:c>
      <x:c r="D983" s="32" t="n">
        <x:v>12</x:v>
      </x:c>
      <x:c r="E983" s="24" t="n">
        <x:v>367000</x:v>
      </x:c>
      <x:c r="F983" s="24" t="n">
        <x:v>0</x:v>
      </x:c>
    </x:row>
    <x:row r="984">
      <x:c r="A984" s="18" t="str">
        <x:v>D0069</x:v>
      </x:c>
      <x:c r="B984" s="18" t="str">
        <x:v>Deferred</x:v>
      </x:c>
      <x:c r="C984" s="18" t="n">
        <x:v>32</x:v>
      </x:c>
      <x:c r="D984" s="32" t="n">
        <x:v>5.9</x:v>
      </x:c>
      <x:c r="E984" s="24" t="n">
        <x:v>384000</x:v>
      </x:c>
      <x:c r="F984" s="24" t="n">
        <x:v>0</x:v>
      </x:c>
    </x:row>
    <x:row r="985">
      <x:c r="A985" s="18" t="str">
        <x:v>P0213</x:v>
      </x:c>
      <x:c r="B985" s="18" t="str">
        <x:v>Pensioner</x:v>
      </x:c>
      <x:c r="C985" s="18" t="n">
        <x:v>67</x:v>
      </x:c>
      <x:c r="D985" s="32" t="n">
        <x:v>22.7</x:v>
      </x:c>
      <x:c r="E985" s="24" t="n">
        <x:v>0</x:v>
      </x:c>
      <x:c r="F985" s="24" t="n">
        <x:v>224000</x:v>
      </x:c>
    </x:row>
    <x:row r="986">
      <x:c r="A986" s="18" t="str">
        <x:v>A0073</x:v>
      </x:c>
      <x:c r="B986" s="18" t="str">
        <x:v>Active</x:v>
      </x:c>
      <x:c r="C986" s="18" t="n">
        <x:v>24</x:v>
      </x:c>
      <x:c r="D986" s="32" t="n">
        <x:v>1</x:v>
      </x:c>
      <x:c r="E986" s="24" t="n">
        <x:v>508000</x:v>
      </x:c>
      <x:c r="F986" s="24" t="n">
        <x:v>0</x:v>
      </x:c>
    </x:row>
    <x:row r="987">
      <x:c r="A987" s="18" t="str">
        <x:v>A0339</x:v>
      </x:c>
      <x:c r="B987" s="18" t="str">
        <x:v>Active</x:v>
      </x:c>
      <x:c r="C987" s="18" t="n">
        <x:v>33</x:v>
      </x:c>
      <x:c r="D987" s="32" t="n">
        <x:v>9.5</x:v>
      </x:c>
      <x:c r="E987" s="24" t="n">
        <x:v>732000</x:v>
      </x:c>
      <x:c r="F987" s="24" t="n">
        <x:v>0</x:v>
      </x:c>
    </x:row>
    <x:row r="988">
      <x:c r="A988" s="18" t="str">
        <x:v>A0391</x:v>
      </x:c>
      <x:c r="B988" s="18" t="str">
        <x:v>Active</x:v>
      </x:c>
      <x:c r="C988" s="18" t="n">
        <x:v>31</x:v>
      </x:c>
      <x:c r="D988" s="32" t="n">
        <x:v>6.7</x:v>
      </x:c>
      <x:c r="E988" s="24" t="n">
        <x:v>731000</x:v>
      </x:c>
      <x:c r="F988" s="24" t="n">
        <x:v>0</x:v>
      </x:c>
    </x:row>
    <x:row r="989">
      <x:c r="A989" s="18" t="str">
        <x:v>A0334</x:v>
      </x:c>
      <x:c r="B989" s="18" t="str">
        <x:v>Active</x:v>
      </x:c>
      <x:c r="C989" s="18" t="n">
        <x:v>51</x:v>
      </x:c>
      <x:c r="D989" s="32" t="n">
        <x:v>19.5</x:v>
      </x:c>
      <x:c r="E989" s="24" t="n">
        <x:v>1390000</x:v>
      </x:c>
      <x:c r="F989" s="24" t="n">
        <x:v>0</x:v>
      </x:c>
    </x:row>
    <x:row r="990">
      <x:c r="A990" s="18" t="str">
        <x:v>A0464</x:v>
      </x:c>
      <x:c r="B990" s="18" t="str">
        <x:v>Active</x:v>
      </x:c>
      <x:c r="C990" s="18" t="n">
        <x:v>56</x:v>
      </x:c>
      <x:c r="D990" s="32" t="n">
        <x:v>12.4</x:v>
      </x:c>
      <x:c r="E990" s="24" t="n">
        <x:v>1292000</x:v>
      </x:c>
      <x:c r="F990" s="24" t="n">
        <x:v>0</x:v>
      </x:c>
    </x:row>
    <x:row r="991">
      <x:c r="A991" s="18" t="str">
        <x:v>A0181</x:v>
      </x:c>
      <x:c r="B991" s="18" t="str">
        <x:v>Active</x:v>
      </x:c>
      <x:c r="C991" s="18" t="n">
        <x:v>27</x:v>
      </x:c>
      <x:c r="D991" s="32" t="n">
        <x:v>1.5</x:v>
      </x:c>
      <x:c r="E991" s="24" t="n">
        <x:v>384000</x:v>
      </x:c>
      <x:c r="F991" s="24" t="n">
        <x:v>0</x:v>
      </x:c>
    </x:row>
    <x:row r="992">
      <x:c r="A992" s="18" t="str">
        <x:v>P0065</x:v>
      </x:c>
      <x:c r="B992" s="18" t="str">
        <x:v>Pensioner</x:v>
      </x:c>
      <x:c r="C992" s="18" t="n">
        <x:v>81</x:v>
      </x:c>
      <x:c r="D992" s="32" t="n">
        <x:v>20.8</x:v>
      </x:c>
      <x:c r="E992" s="24" t="n">
        <x:v>0</x:v>
      </x:c>
      <x:c r="F992" s="24" t="n">
        <x:v>314000</x:v>
      </x:c>
    </x:row>
    <x:row r="993">
      <x:c r="A993" s="18" t="str">
        <x:v>A0257</x:v>
      </x:c>
      <x:c r="B993" s="18" t="str">
        <x:v>Active</x:v>
      </x:c>
      <x:c r="C993" s="18" t="n">
        <x:v>46</x:v>
      </x:c>
      <x:c r="D993" s="32" t="n">
        <x:v>10.8</x:v>
      </x:c>
      <x:c r="E993" s="24" t="n">
        <x:v>1290000</x:v>
      </x:c>
      <x:c r="F993" s="24" t="n">
        <x:v>0</x:v>
      </x:c>
    </x:row>
    <x:row r="994">
      <x:c r="A994" s="18" t="str">
        <x:v>P0022</x:v>
      </x:c>
      <x:c r="B994" s="18" t="str">
        <x:v>Pensioner</x:v>
      </x:c>
      <x:c r="C994" s="18" t="n">
        <x:v>84</x:v>
      </x:c>
      <x:c r="D994" s="32" t="n">
        <x:v>13.3</x:v>
      </x:c>
      <x:c r="E994" s="24" t="n">
        <x:v>0</x:v>
      </x:c>
      <x:c r="F994" s="24" t="n">
        <x:v>690000</x:v>
      </x:c>
    </x:row>
    <x:row r="995">
      <x:c r="A995" s="18" t="str">
        <x:v>A0016</x:v>
      </x:c>
      <x:c r="B995" s="18" t="str">
        <x:v>Active</x:v>
      </x:c>
      <x:c r="C995" s="18" t="n">
        <x:v>48</x:v>
      </x:c>
      <x:c r="D995" s="32" t="n">
        <x:v>20.9</x:v>
      </x:c>
      <x:c r="E995" s="24" t="n">
        <x:v>1040000</x:v>
      </x:c>
      <x:c r="F995" s="24" t="n">
        <x:v>0</x:v>
      </x:c>
    </x:row>
    <x:row r="996">
      <x:c r="A996" s="18" t="str">
        <x:v>A0190</x:v>
      </x:c>
      <x:c r="B996" s="18" t="str">
        <x:v>Active</x:v>
      </x:c>
      <x:c r="C996" s="18" t="n">
        <x:v>36</x:v>
      </x:c>
      <x:c r="D996" s="32" t="n">
        <x:v>14.9</x:v>
      </x:c>
      <x:c r="E996" s="24" t="n">
        <x:v>569000</x:v>
      </x:c>
      <x:c r="F996" s="24" t="n">
        <x:v>0</x:v>
      </x:c>
    </x:row>
    <x:row r="997">
      <x:c r="A997" s="18" t="str">
        <x:v>A0097</x:v>
      </x:c>
      <x:c r="B997" s="18" t="str">
        <x:v>Active</x:v>
      </x:c>
      <x:c r="C997" s="18" t="n">
        <x:v>42</x:v>
      </x:c>
      <x:c r="D997" s="32" t="n">
        <x:v>3.6</x:v>
      </x:c>
      <x:c r="E997" s="24" t="n">
        <x:v>1053000</x:v>
      </x:c>
      <x:c r="F997" s="24" t="n">
        <x:v>0</x:v>
      </x:c>
    </x:row>
    <x:row r="998">
      <x:c r="A998" s="18" t="str">
        <x:v>A0619</x:v>
      </x:c>
      <x:c r="B998" s="18" t="str">
        <x:v>Active</x:v>
      </x:c>
      <x:c r="C998" s="18" t="n">
        <x:v>28</x:v>
      </x:c>
      <x:c r="D998" s="32" t="n">
        <x:v>1.1</x:v>
      </x:c>
      <x:c r="E998" s="24" t="n">
        <x:v>621000</x:v>
      </x:c>
      <x:c r="F998" s="24" t="n">
        <x:v>0</x:v>
      </x:c>
    </x:row>
    <x:row r="999">
      <x:c r="A999" s="18" t="str">
        <x:v>A0382</x:v>
      </x:c>
      <x:c r="B999" s="18" t="str">
        <x:v>Active</x:v>
      </x:c>
      <x:c r="C999" s="18" t="n">
        <x:v>43</x:v>
      </x:c>
      <x:c r="D999" s="32" t="n">
        <x:v>12.3</x:v>
      </x:c>
      <x:c r="E999" s="24" t="n">
        <x:v>1007000</x:v>
      </x:c>
      <x:c r="F999" s="24" t="n">
        <x:v>0</x:v>
      </x:c>
    </x:row>
    <x:row r="1000">
      <x:c r="A1000" s="18" t="str">
        <x:v>A0529</x:v>
      </x:c>
      <x:c r="B1000" s="18" t="str">
        <x:v>Active</x:v>
      </x:c>
      <x:c r="C1000" s="18" t="n">
        <x:v>52</x:v>
      </x:c>
      <x:c r="D1000" s="32" t="n">
        <x:v>16.8</x:v>
      </x:c>
      <x:c r="E1000" s="24" t="n">
        <x:v>1926000</x:v>
      </x:c>
      <x:c r="F1000" s="24" t="n">
        <x:v>0</x:v>
      </x:c>
    </x:row>
    <x:row r="1001">
      <x:c r="A1001" s="18" t="str">
        <x:v>D0036</x:v>
      </x:c>
      <x:c r="B1001" s="18" t="str">
        <x:v>Deferred</x:v>
      </x:c>
      <x:c r="C1001" s="18" t="n">
        <x:v>57</x:v>
      </x:c>
      <x:c r="D1001" s="32" t="n">
        <x:v>20.3</x:v>
      </x:c>
      <x:c r="E1001" s="24" t="n">
        <x:v>1492000</x:v>
      </x:c>
      <x:c r="F1001" s="24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635e38048fe94f7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34" t="str">
        <x:v>Age</x:v>
      </x:c>
      <x:c r="B1" s="34" t="str">
        <x:v>Base qx</x:v>
      </x:c>
      <x:c r="C1" s="34" t="str">
        <x:v>Scaled qx</x:v>
      </x:c>
      <x:c r="D1" s="34" t="str">
        <x:v>px</x:v>
      </x:c>
      <x:c r="E1" s="34" t="str">
        <x:v>Increasing annuity factor</x:v>
      </x:c>
      <x:c r="F1" s="34" t="str">
        <x:v>l(x) from age 18</x:v>
      </x:c>
    </x:row>
    <x:row r="2">
      <x:c r="A2" t="n">
        <x:v>18</x:v>
      </x:c>
      <x:c r="B2" s="36" t="n">
        <x:v>0.00024213896768494704</x:v>
      </x:c>
      <x:c r="C2" s="37" t="n">
        <x:f>MIN(0.45,MAX(0.00005,B2*Assumptions!$B$16))</x:f>
        <x:v>0.00024213896768494704</x:v>
      </x:c>
      <x:c r="D2" s="37" t="n">
        <x:f>1-C2</x:f>
        <x:v>0.999757861032315</x:v>
      </x:c>
      <x:c r="E2" s="37" t="n">
        <x:f>D2/(1+Assumptions!$B$6)*(1+(1+Assumptions!$B$8)*E3)</x:f>
        <x:v>28.167947571711537</x:v>
      </x:c>
      <x:c r="F2" s="37" t="n">
        <x:v>1</x:v>
      </x:c>
    </x:row>
    <x:row r="3">
      <x:c r="A3" t="n">
        <x:v>19</x:v>
      </x:c>
      <x:c r="B3" s="36" t="n">
        <x:v>0.00024488419967788047</x:v>
      </x:c>
      <x:c r="C3" s="37" t="n">
        <x:f>MIN(0.45,MAX(0.00005,B3*Assumptions!$B$16))</x:f>
        <x:v>0.00024488419967788047</x:v>
      </x:c>
      <x:c r="D3" s="37" t="n">
        <x:f>1-C3</x:f>
        <x:v>0.9997551158003222</x:v>
      </x:c>
      <x:c r="E3" s="37" t="n">
        <x:f>D3/(1+Assumptions!$B$6)*(1+(1+Assumptions!$B$8)*E4)</x:f>
        <x:v>28.02524620016516</x:v>
      </x:c>
      <x:c r="F3" s="37" t="n">
        <x:f>F2*D2</x:f>
        <x:v>0.999757861032315</x:v>
      </x:c>
    </x:row>
    <x:row r="4">
      <x:c r="A4" t="n">
        <x:v>20</x:v>
      </x:c>
      <x:c r="B4" s="36" t="n">
        <x:v>0.0002479698404379376</x:v>
      </x:c>
      <x:c r="C4" s="37" t="n">
        <x:f>MIN(0.45,MAX(0.00005,B4*Assumptions!$B$16))</x:f>
        <x:v>0.0002479698404379376</x:v>
      </x:c>
      <x:c r="D4" s="37" t="n">
        <x:f>1-C4</x:f>
        <x:v>0.999752030159562</x:v>
      </x:c>
      <x:c r="E4" s="37" t="n">
        <x:f>D4/(1+Assumptions!$B$6)*(1+(1+Assumptions!$B$8)*E5)</x:f>
        <x:v>27.878452197648468</x:v>
      </x:c>
      <x:c r="F4" s="37" t="n">
        <x:f>F3*D3</x:f>
        <x:v>0.9995130361286445</x:v>
      </x:c>
    </x:row>
    <x:row r="5">
      <x:c r="A5" t="n">
        <x:v>21</x:v>
      </x:c>
      <x:c r="B5" s="36" t="n">
        <x:v>0.00025143810065224195</x:v>
      </x:c>
      <x:c r="C5" s="37" t="n">
        <x:f>MIN(0.45,MAX(0.00005,B5*Assumptions!$B$16))</x:f>
        <x:v>0.00025143810065224195</x:v>
      </x:c>
      <x:c r="D5" s="37" t="n">
        <x:f>1-C5</x:f>
        <x:v>0.9997485618993478</x:v>
      </x:c>
      <x:c r="E5" s="37" t="n">
        <x:f>D5/(1+Assumptions!$B$6)*(1+(1+Assumptions!$B$8)*E6)</x:f>
        <x:v>27.72745485790571</x:v>
      </x:c>
      <x:c r="F5" s="37" t="n">
        <x:f>F4*D4</x:f>
        <x:v>0.99926518704056</x:v>
      </x:c>
    </x:row>
    <x:row r="6">
      <x:c r="A6" t="n">
        <x:v>22</x:v>
      </x:c>
      <x:c r="B6" s="36" t="n">
        <x:v>0.0002553364251331199</x:v>
      </x:c>
      <x:c r="C6" s="37" t="n">
        <x:f>MIN(0.45,MAX(0.00005,B6*Assumptions!$B$16))</x:f>
        <x:v>0.0002553364251331199</x:v>
      </x:c>
      <x:c r="D6" s="37" t="n">
        <x:f>1-C6</x:f>
        <x:v>0.9997446635748669</x:v>
      </x:c>
      <x:c r="E6" s="37" t="n">
        <x:f>D6/(1+Assumptions!$B$6)*(1+(1+Assumptions!$B$8)*E7)</x:f>
        <x:v>27.57214124892339</x:v>
      </x:c>
      <x:c r="F6" s="37" t="n">
        <x:f>F5*D5</x:f>
        <x:v>0.9990139336998827</x:v>
      </x:c>
    </x:row>
    <x:row r="7">
      <x:c r="A7" t="n">
        <x:v>23</x:v>
      </x:c>
      <x:c r="B7" s="36" t="n">
        <x:v>0.0002597181418496268</x:v>
      </x:c>
      <x:c r="C7" s="37" t="n">
        <x:f>MIN(0.45,MAX(0.00005,B7*Assumptions!$B$16))</x:f>
        <x:v>0.0002597181418496268</x:v>
      </x:c>
      <x:c r="D7" s="37" t="n">
        <x:f>1-C7</x:f>
        <x:v>0.9997402818581503</x:v>
      </x:c>
      <x:c r="E7" s="37" t="n">
        <x:f>D7/(1+Assumptions!$B$6)*(1+(1+Assumptions!$B$8)*E8)</x:f>
        <x:v>27.41239625913813</x:v>
      </x:c>
      <x:c r="F7" s="37" t="n">
        <x:f>F6*D6</x:f>
        <x:v>0.9987588490533936</x:v>
      </x:c>
    </x:row>
    <x:row r="8">
      <x:c r="A8" t="n">
        <x:v>24</x:v>
      </x:c>
      <x:c r="B8" s="36" t="n">
        <x:v>0.0002646431914389805</x:v>
      </x:c>
      <x:c r="C8" s="37" t="n">
        <x:f>MIN(0.45,MAX(0.00005,B8*Assumptions!$B$16))</x:f>
        <x:v>0.0002646431914389805</x:v>
      </x:c>
      <x:c r="D8" s="37" t="n">
        <x:f>1-C8</x:f>
        <x:v>0.9997353568085611</x:v>
      </x:c>
      <x:c r="E8" s="37" t="n">
        <x:f>D8/(1+Assumptions!$B$6)*(1+(1+Assumptions!$B$8)*E9)</x:f>
        <x:v>27.248102656662372</x:v>
      </x:c>
      <x:c r="F8" s="37" t="n">
        <x:f>F7*D7</x:f>
        <x:v>0.9984994532609616</x:v>
      </x:c>
    </x:row>
    <x:row r="9">
      <x:c r="A9" t="n">
        <x:v>25</x:v>
      </x:c>
      <x:c r="B9" s="36" t="n">
        <x:v>0.0002701789471774141</x:v>
      </x:c>
      <x:c r="C9" s="37" t="n">
        <x:f>MIN(0.45,MAX(0.00005,B9*Assumptions!$B$16))</x:f>
        <x:v>0.0002701789471774141</x:v>
      </x:c>
      <x:c r="D9" s="37" t="n">
        <x:f>1-C9</x:f>
        <x:v>0.9997298210528226</x:v>
      </x:c>
      <x:c r="E9" s="37" t="n">
        <x:f>D9/(1+Assumptions!$B$6)*(1+(1+Assumptions!$B$8)*E10)</x:f>
        <x:v>27.079141163031434</x:v>
      </x:c>
      <x:c r="F9" s="37" t="n">
        <x:f>F8*D8</x:f>
        <x:v>0.9982352071790006</x:v>
      </x:c>
    </x:row>
    <x:row r="10">
      <x:c r="A10" t="n">
        <x:v>26</x:v>
      </x:c>
      <x:c r="B10" s="36" t="n">
        <x:v>0.0002764011366274135</x:v>
      </x:c>
      <x:c r="C10" s="37" t="n">
        <x:f>MIN(0.45,MAX(0.00005,B10*Assumptions!$B$16))</x:f>
        <x:v>0.0002764011366274135</x:v>
      </x:c>
      <x:c r="D10" s="37" t="n">
        <x:f>1-C10</x:f>
        <x:v>0.9997235988633726</x:v>
      </x:c>
      <x:c r="E10" s="37" t="n">
        <x:f>D10/(1+Assumptions!$B$6)*(1+(1+Assumptions!$B$8)*E11)</x:f>
        <x:v>26.90539054311029</x:v>
      </x:c>
      <x:c r="F10" s="37" t="n">
        <x:f>F9*D9</x:f>
        <x:v>0.9979655050416896</x:v>
      </x:c>
    </x:row>
    <x:row r="11">
      <x:c r="A11" t="n">
        <x:v>27</x:v>
      </x:c>
      <x:c r="B11" s="36" t="n">
        <x:v>0.00028339487756921274</x:v>
      </x:c>
      <x:c r="C11" s="37" t="n">
        <x:f>MIN(0.45,MAX(0.00005,B11*Assumptions!$B$16))</x:f>
        <x:v>0.00028339487756921274</x:v>
      </x:c>
      <x:c r="D11" s="37" t="n">
        <x:f>1-C11</x:f>
        <x:v>0.9997166051224308</x:v>
      </x:c>
      <x:c r="E11" s="37" t="n">
        <x:f>D11/(1+Assumptions!$B$6)*(1+(1+Assumptions!$B$8)*E12)</x:f>
        <x:v>26.726727712941457</x:v>
      </x:c>
      <x:c r="F11" s="37" t="n">
        <x:f>F10*D10</x:f>
        <x:v>0.9976896662417811</x:v>
      </x:c>
    </x:row>
    <x:row r="12">
      <x:c r="A12" t="n">
        <x:v>28</x:v>
      </x:c>
      <x:c r="B12" s="36" t="n">
        <x:v>0.00029125584238779513</x:v>
      </x:c>
      <x:c r="C12" s="37" t="n">
        <x:f>MIN(0.45,MAX(0.00005,B12*Assumptions!$B$16))</x:f>
        <x:v>0.00029125584238779513</x:v>
      </x:c>
      <x:c r="D12" s="37" t="n">
        <x:f>1-C12</x:f>
        <x:v>0.9997087441576122</x:v>
      </x:c>
      <x:c r="E12" s="37" t="n">
        <x:f>D12/(1+Assumptions!$B$6)*(1+(1+Assumptions!$B$8)*E13)</x:f>
        <x:v>26.543027867466364</x:v>
      </x:c>
      <x:c r="F12" s="37" t="n">
        <x:f>F11*D11</x:f>
        <x:v>0.9974069261009645</x:v>
      </x:c>
    </x:row>
    <x:row r="13">
      <x:c r="A13" t="n">
        <x:v>29</x:v>
      </x:c>
      <x:c r="B13" s="36" t="n">
        <x:v>0.0003000915668438817</x:v>
      </x:c>
      <x:c r="C13" s="37" t="n">
        <x:f>MIN(0.45,MAX(0.00005,B13*Assumptions!$B$16))</x:f>
        <x:v>0.0003000915668438817</x:v>
      </x:c>
      <x:c r="D13" s="37" t="n">
        <x:f>1-C13</x:f>
        <x:v>0.9996999084331561</x:v>
      </x:c>
      <x:c r="E13" s="37" t="n">
        <x:f>D13/(1+Assumptions!$B$6)*(1+(1+Assumptions!$B$8)*E14)</x:f>
        <x:v>26.35416463021117</x:v>
      </x:c>
      <x:c r="F13" s="37" t="n">
        <x:f>F12*D12</x:f>
        <x:v>0.9971164255064996</x:v>
      </x:c>
    </x:row>
    <x:row r="14">
      <x:c r="A14" t="n">
        <x:v>30</x:v>
      </x:c>
      <x:c r="B14" s="36" t="n">
        <x:v>0.0003100229211325231</x:v>
      </x:c>
      <x:c r="C14" s="37" t="n">
        <x:f>MIN(0.45,MAX(0.00005,B14*Assumptions!$B$16))</x:f>
        <x:v>0.0003100229211325231</x:v>
      </x:c>
      <x:c r="D14" s="37" t="n">
        <x:f>1-C14</x:f>
        <x:v>0.9996899770788675</x:v>
      </x:c>
      <x:c r="E14" s="37" t="n">
        <x:f>D14/(1+Assumptions!$B$6)*(1+(1+Assumptions!$B$8)*E15)</x:f>
        <x:v>26.160010227193712</x:v>
      </x:c>
      <x:c r="F14" s="37" t="n">
        <x:f>F13*D13</x:f>
        <x:v>0.9968171992760436</x:v>
      </x:c>
    </x:row>
    <x:row r="15">
      <x:c r="A15" t="n">
        <x:v>31</x:v>
      </x:c>
      <x:c r="B15" s="36" t="n">
        <x:v>0.0003211857633529559</x:v>
      </x:c>
      <x:c r="C15" s="37" t="n">
        <x:f>MIN(0.45,MAX(0.00005,B15*Assumptions!$B$16))</x:f>
        <x:v>0.0003211857633529559</x:v>
      </x:c>
      <x:c r="D15" s="37" t="n">
        <x:f>1-C15</x:f>
        <x:v>0.9996788142366471</x:v>
      </x:c>
      <x:c r="E15" s="37" t="n">
        <x:f>D15/(1+Assumptions!$B$6)*(1+(1+Assumptions!$B$8)*E16)</x:f>
        <x:v>25.96043568748004</x:v>
      </x:c>
      <x:c r="F15" s="37" t="n">
        <x:f>F14*D14</x:f>
        <x:v>0.996508163096089</x:v>
      </x:c>
    </x:row>
    <x:row r="16">
      <x:c r="A16" t="n">
        <x:v>32</x:v>
      </x:c>
      <x:c r="B16" s="36" t="n">
        <x:v>0.00033373279800872247</x:v>
      </x:c>
      <x:c r="C16" s="37" t="n">
        <x:f>MIN(0.45,MAX(0.00005,B16*Assumptions!$B$16))</x:f>
        <x:v>0.00033373279800872247</x:v>
      </x:c>
      <x:c r="D16" s="37" t="n">
        <x:f>1-C16</x:f>
        <x:v>0.9996662672019913</x:v>
      </x:c>
      <x:c r="E16" s="37" t="n">
        <x:f>D16/(1+Assumptions!$B$6)*(1+(1+Assumptions!$B$8)*E17)</x:f>
        <x:v>25.755311072995774</x:v>
      </x:c>
      <x:c r="F16" s="37" t="n">
        <x:f>F15*D15</x:f>
        <x:v>0.9961880988610375</x:v>
      </x:c>
    </x:row>
    <x:row r="17">
      <x:c r="A17" t="n">
        <x:v>33</x:v>
      </x:c>
      <x:c r="B17" s="36" t="n">
        <x:v>0.00034783566496180405</x:v>
      </x:c>
      <x:c r="C17" s="37" t="n">
        <x:f>MIN(0.45,MAX(0.00005,B17*Assumptions!$B$16))</x:f>
        <x:v>0.00034783566496180405</x:v>
      </x:c>
      <x:c r="D17" s="37" t="n">
        <x:f>1-C17</x:f>
        <x:v>0.9996521643350382</x:v>
      </x:c>
      <x:c r="E17" s="37" t="n">
        <x:f>D17/(1+Assumptions!$B$6)*(1+(1+Assumptions!$B$8)*E18)</x:f>
        <x:v>25.544505740377875</x:v>
      </x:c>
      <x:c r="F17" s="37" t="n">
        <x:f>F16*D16</x:f>
        <x:v>0.9958556382194617</x:v>
      </x:c>
    </x:row>
    <x:row r="18">
      <x:c r="A18" t="n">
        <x:v>34</x:v>
      </x:c>
      <x:c r="B18" s="36" t="n">
        <x:v>0.0003636872874170678</x:v>
      </x:c>
      <x:c r="C18" s="37" t="n">
        <x:f>MIN(0.45,MAX(0.00005,B18*Assumptions!$B$16))</x:f>
        <x:v>0.0003636872874170678</x:v>
      </x:c>
      <x:c r="D18" s="37" t="n">
        <x:f>1-C18</x:f>
        <x:v>0.9996363127125829</x:v>
      </x:c>
      <x:c r="E18" s="37" t="n">
        <x:f>D18/(1+Assumptions!$B$6)*(1+(1+Assumptions!$B$8)*E19)</x:f>
        <x:v>25.32788863783415</x:v>
      </x:c>
      <x:c r="F18" s="37" t="n">
        <x:f>F17*D17</x:f>
        <x:v>0.9955092441113357</x:v>
      </x:c>
    </x:row>
    <x:row r="19">
      <x:c r="A19" t="n">
        <x:v>35</x:v>
      </x:c>
      <x:c r="B19" s="36" t="n">
        <x:v>0.0003815045110567842</x:v>
      </x:c>
      <x:c r="C19" s="37" t="n">
        <x:f>MIN(0.45,MAX(0.00005,B19*Assumptions!$B$16))</x:f>
        <x:v>0.0003815045110567842</x:v>
      </x:c>
      <x:c r="D19" s="37" t="n">
        <x:f>1-C19</x:f>
        <x:v>0.9996184954889432</x:v>
      </x:c>
      <x:c r="E19" s="37" t="n">
        <x:f>D19/(1+Assumptions!$B$6)*(1+(1+Assumptions!$B$8)*E20)</x:f>
        <x:v>25.105328640158636</x:v>
      </x:c>
      <x:c r="F19" s="37" t="n">
        <x:f>F18*D18</x:f>
        <x:v>0.9951471900547462</x:v>
      </x:c>
    </x:row>
    <x:row r="20">
      <x:c r="A20" t="n">
        <x:v>36</x:v>
      </x:c>
      <x:c r="B20" s="36" t="n">
        <x:v>0.00040153107042782547</x:v>
      </x:c>
      <x:c r="C20" s="37" t="n">
        <x:f>MIN(0.45,MAX(0.00005,B20*Assumptions!$B$16))</x:f>
        <x:v>0.00040153107042782547</x:v>
      </x:c>
      <x:c r="D20" s="37" t="n">
        <x:f>1-C20</x:f>
        <x:v>0.9995984689295722</x:v>
      </x:c>
      <x:c r="E20" s="37" t="n">
        <x:f>D20/(1+Assumptions!$B$6)*(1+(1+Assumptions!$B$8)*E21)</x:f>
        <x:v>24.87669492522788</x:v>
      </x:c>
      <x:c r="F20" s="37" t="n">
        <x:f>F19*D19</x:f>
        <x:v>0.9947675369125748</x:v>
      </x:c>
    </x:row>
    <x:row r="21">
      <x:c r="A21" t="n">
        <x:v>37</x:v>
      </x:c>
      <x:c r="B21" s="36" t="n">
        <x:v>0.00042404092316087585</x:v>
      </x:c>
      <x:c r="C21" s="37" t="n">
        <x:f>MIN(0.45,MAX(0.00005,B21*Assumptions!$B$16))</x:f>
        <x:v>0.00042404092316087585</x:v>
      </x:c>
      <x:c r="D21" s="37" t="n">
        <x:f>1-C21</x:f>
        <x:v>0.9995759590768392</x:v>
      </x:c>
      <x:c r="E21" s="37" t="n">
        <x:f>D21/(1+Assumptions!$B$6)*(1+(1+Assumptions!$B$8)*E22)</x:f>
        <x:v>24.641857395472137</x:v>
      </x:c>
      <x:c r="F21" s="37" t="n">
        <x:f>F20*D20</x:f>
        <x:v>0.9943681068386514</x:v>
      </x:c>
    </x:row>
    <x:row r="22">
      <x:c r="A22" t="n">
        <x:v>38</x:v>
      </x:c>
      <x:c r="B22" s="36" t="n">
        <x:v>0.0004493419976328245</x:v>
      </x:c>
      <x:c r="C22" s="37" t="n">
        <x:f>MIN(0.45,MAX(0.00005,B22*Assumptions!$B$16))</x:f>
        <x:v>0.0004493419976328245</x:v>
      </x:c>
      <x:c r="D22" s="37" t="n">
        <x:f>1-C22</x:f>
        <x:v>0.9995506580023672</x:v>
      </x:c>
      <x:c r="E22" s="37" t="n">
        <x:f>D22/(1+Assumptions!$B$6)*(1+(1+Assumptions!$B$8)*E23)</x:f>
        <x:v>24.40068714797257</x:v>
      </x:c>
      <x:c r="F22" s="37" t="n">
        <x:f>F21*D21</x:f>
        <x:v>0.9939464540686659</x:v>
      </x:c>
    </x:row>
    <x:row r="23">
      <x:c r="A23" t="n">
        <x:v>39</x:v>
      </x:c>
      <x:c r="B23" s="36" t="n">
        <x:v>0.0004777804053392948</x:v>
      </x:c>
      <x:c r="C23" s="37" t="n">
        <x:f>MIN(0.45,MAX(0.00005,B23*Assumptions!$B$16))</x:f>
        <x:v>0.0004777804053392948</x:v>
      </x:c>
      <x:c r="D23" s="37" t="n">
        <x:f>1-C23</x:f>
        <x:v>0.9995222195946607</x:v>
      </x:c>
      <x:c r="E23" s="37" t="n">
        <x:f>D23/(1+Assumptions!$B$6)*(1+(1+Assumptions!$B$8)*E24)</x:f>
        <x:v>24.15305699697505</x:v>
      </x:c>
      <x:c r="F23" s="37" t="n">
        <x:f>F22*D22</x:f>
        <x:v>0.9934998321834546</x:v>
      </x:c>
    </x:row>
    <x:row r="24">
      <x:c r="A24" t="n">
        <x:v>40</x:v>
      </x:c>
      <x:c r="B24" s="36" t="n">
        <x:v>0.0005097451756013674</x:v>
      </x:c>
      <x:c r="C24" s="37" t="n">
        <x:f>MIN(0.45,MAX(0.00005,B24*Assumptions!$B$16))</x:f>
        <x:v>0.0005097451756013674</x:v>
      </x:c>
      <x:c r="D24" s="37" t="n">
        <x:f>1-C24</x:f>
        <x:v>0.9994902548243987</x:v>
      </x:c>
      <x:c r="E24" s="37" t="n">
        <x:f>D24/(1+Assumptions!$B$6)*(1+(1+Assumptions!$B$8)*E25)</x:f>
        <x:v>23.898842052726927</x:v>
      </x:c>
      <x:c r="F24" s="37" t="n">
        <x:f>F23*D23</x:f>
        <x:v>0.9930251574309295</x:v>
      </x:c>
    </x:row>
    <x:row r="25">
      <x:c r="A25" t="n">
        <x:v>41</x:v>
      </x:c>
      <x:c r="B25" s="36" t="n">
        <x:v>0.0005456735773759369</x:v>
      </x:c>
      <x:c r="C25" s="37" t="n">
        <x:f>MIN(0.45,MAX(0.00005,B25*Assumptions!$B$16))</x:f>
        <x:v>0.0005456735773759369</x:v>
      </x:c>
      <x:c r="D25" s="37" t="n">
        <x:f>1-C25</x:f>
        <x:v>0.9994543264226241</x:v>
      </x:c>
      <x:c r="E25" s="37" t="n">
        <x:f>D25/(1+Assumptions!$B$6)*(1+(1+Assumptions!$B$8)*E26)</x:f>
        <x:v>23.63792036062815</x:v>
      </x:c>
      <x:c r="F25" s="37" t="n">
        <x:f>F24*D24</x:f>
        <x:v>0.9925189676476783</x:v>
      </x:c>
    </x:row>
    <x:row r="26">
      <x:c r="A26" t="n">
        <x:v>42</x:v>
      </x:c>
      <x:c r="B26" s="36" t="n">
        <x:v>0.0005860571009705532</x:v>
      </x:c>
      <x:c r="C26" s="37" t="n">
        <x:f>MIN(0.45,MAX(0.00005,B26*Assumptions!$B$16))</x:f>
        <x:v>0.0005860571009705532</x:v>
      </x:c>
      <x:c r="D26" s="37" t="n">
        <x:f>1-C26</x:f>
        <x:v>0.9994139428990294</x:v>
      </x:c>
      <x:c r="E26" s="37" t="n">
        <x:f>D26/(1+Assumptions!$B$6)*(1+(1+Assumptions!$B$8)*E27)</x:f>
        <x:v>23.370173604733687</x:v>
      </x:c>
      <x:c r="F26" s="37" t="n">
        <x:f>F25*D25</x:f>
        <x:v>0.9919773762719886</x:v>
      </x:c>
    </x:row>
    <x:row r="27">
      <x:c r="A27" t="n">
        <x:v>43</x:v>
      </x:c>
      <x:c r="B27" s="36" t="n">
        <x:v>0.0006314481814909017</x:v>
      </x:c>
      <x:c r="C27" s="37" t="n">
        <x:f>MIN(0.45,MAX(0.00005,B27*Assumptions!$B$16))</x:f>
        <x:v>0.0006314481814909017</x:v>
      </x:c>
      <x:c r="D27" s="37" t="n">
        <x:f>1-C27</x:f>
        <x:v>0.9993685518185091</x:v>
      </x:c>
      <x:c r="E27" s="37" t="n">
        <x:f>D27/(1+Assumptions!$B$6)*(1+(1+Assumptions!$B$8)*E28)</x:f>
        <x:v>23.095487879640697</x:v>
      </x:c>
      <x:c r="F27" s="37" t="n">
        <x:f>F26*D26</x:f>
        <x:v>0.9913960208866222</x:v>
      </x:c>
    </x:row>
    <x:row r="28">
      <x:c r="A28" t="n">
        <x:v>44</x:v>
      </x:c>
      <x:c r="B28" s="36" t="n">
        <x:v>0.0006824677559957735</x:v>
      </x:c>
      <x:c r="C28" s="37" t="n">
        <x:f>MIN(0.45,MAX(0.00005,B28*Assumptions!$B$16))</x:f>
        <x:v>0.0006824677559957735</x:v>
      </x:c>
      <x:c r="D28" s="37" t="n">
        <x:f>1-C28</x:f>
        <x:v>0.9993175322440042</x:v>
      </x:c>
      <x:c r="E28" s="37" t="n">
        <x:f>D28/(1+Assumptions!$B$6)*(1+(1+Assumptions!$B$8)*E29)</x:f>
        <x:v>22.813754534730684</x:v>
      </x:c>
      <x:c r="F28" s="37" t="n">
        <x:f>F27*D27</x:f>
        <x:v>0.990770005672096</x:v>
      </x:c>
    </x:row>
    <x:row r="29">
      <x:c r="A29" t="n">
        <x:v>45</x:v>
      </x:c>
      <x:c r="B29" s="36" t="n">
        <x:v>0.0007398137577392496</x:v>
      </x:c>
      <x:c r="C29" s="37" t="n">
        <x:f>MIN(0.45,MAX(0.00005,B29*Assumptions!$B$16))</x:f>
        <x:v>0.0007398137577392496</x:v>
      </x:c>
      <x:c r="D29" s="37" t="n">
        <x:f>1-C29</x:f>
        <x:v>0.9992601862422608</x:v>
      </x:c>
      <x:c r="E29" s="37" t="n">
        <x:f>D29/(1+Assumptions!$B$6)*(1+(1+Assumptions!$B$8)*E30)</x:f>
        <x:v>22.52487109460121</x:v>
      </x:c>
      <x:c r="F29" s="37" t="n">
        <x:f>F28*D28</x:f>
        <x:v>0.9900938370896171</x:v>
      </x:c>
    </x:row>
    <x:row r="30">
      <x:c r="A30" t="n">
        <x:v>46</x:v>
      </x:c>
      <x:c r="B30" s="36" t="n">
        <x:v>0.0008042706636989166</x:v>
      </x:c>
      <x:c r="C30" s="37" t="n">
        <x:f>MIN(0.45,MAX(0.00005,B30*Assumptions!$B$16))</x:f>
        <x:v>0.0008042706636989166</x:v>
      </x:c>
      <x:c r="D30" s="37" t="n">
        <x:f>1-C30</x:f>
        <x:v>0.9991957293363011</x:v>
      </x:c>
      <x:c r="E30" s="37" t="n">
        <x:f>D30/(1+Assumptions!$B$6)*(1+(1+Assumptions!$B$8)*E31)</x:f>
        <x:v>22.22874225930012</x:v>
      </x:c>
      <x:c r="F30" s="37" t="n">
        <x:f>F29*D29</x:f>
        <x:v>0.9893613520474853</x:v>
      </x:c>
    </x:row>
    <x:row r="31">
      <x:c r="A31" t="n">
        <x:v>47</x:v>
      </x:c>
      <x:c r="B31" s="36" t="n">
        <x:v>0.0008767202259975823</x:v>
      </x:c>
      <x:c r="C31" s="37" t="n">
        <x:f>MIN(0.45,MAX(0.00005,B31*Assumptions!$B$16))</x:f>
        <x:v>0.0008767202259975823</x:v>
      </x:c>
      <x:c r="D31" s="37" t="n">
        <x:f>1-C31</x:f>
        <x:v>0.9991232797740024</x:v>
      </x:c>
      <x:c r="E31" s="37" t="n">
        <x:f>D31/(1+Assumptions!$B$6)*(1+(1+Assumptions!$B$8)*E32)</x:f>
        <x:v>21.925280987652428</x:v>
      </x:c>
      <x:c r="F31" s="37" t="n">
        <x:f>F30*D30</x:f>
        <x:v>0.9885656377362361</x:v>
      </x:c>
    </x:row>
    <x:row r="32">
      <x:c r="A32" t="n">
        <x:v>48</x:v>
      </x:c>
      <x:c r="B32" s="36" t="n">
        <x:v>0.0009581535340212827</x:v>
      </x:c>
      <x:c r="C32" s="37" t="n">
        <x:f>MIN(0.45,MAX(0.00005,B32*Assumptions!$B$16))</x:f>
        <x:v>0.0009581535340212827</x:v>
      </x:c>
      <x:c r="D32" s="37" t="n">
        <x:f>1-C32</x:f>
        <x:v>0.9990418464659787</x:v>
      </x:c>
      <x:c r="E32" s="37" t="n">
        <x:f>D32/(1+Assumptions!$B$6)*(1+(1+Assumptions!$B$8)*E33)</x:f>
        <x:v>21.614409666529415</x:v>
      </x:c>
      <x:c r="F32" s="37" t="n">
        <x:f>F31*D31</x:f>
        <x:v>0.9876989422469065</x:v>
      </x:c>
    </x:row>
    <x:row r="33">
      <x:c r="A33" t="n">
        <x:v>49</x:v>
      </x:c>
      <x:c r="B33" s="36" t="n">
        <x:v>0.0010496845722399216</x:v>
      </x:c>
      <x:c r="C33" s="37" t="n">
        <x:f>MIN(0.45,MAX(0.00005,B33*Assumptions!$B$16))</x:f>
        <x:v>0.0010496845722399216</x:v>
      </x:c>
      <x:c r="D33" s="37" t="n">
        <x:f>1-C33</x:f>
        <x:v>0.99895031542776</x:v>
      </x:c>
      <x:c r="E33" s="37" t="n">
        <x:f>D33/(1+Assumptions!$B$6)*(1+(1+Assumptions!$B$8)*E34)</x:f>
        <x:v>21.29606136833312</x:v>
      </x:c>
      <x:c r="F33" s="37" t="n">
        <x:f>F32*D32</x:f>
        <x:v>0.9867525750148435</x:v>
      </x:c>
    </x:row>
    <x:row r="34">
      <x:c r="A34" t="n">
        <x:v>50</x:v>
      </x:c>
      <x:c r="B34" s="36" t="n">
        <x:v>0.0011525654591976722</x:v>
      </x:c>
      <x:c r="C34" s="37" t="n">
        <x:f>MIN(0.45,MAX(0.00005,B34*Assumptions!$B$16))</x:f>
        <x:v>0.0011525654591976722</x:v>
      </x:c>
      <x:c r="D34" s="37" t="n">
        <x:f>1-C34</x:f>
        <x:v>0.9988474345408024</x:v>
      </x:c>
      <x:c r="E34" s="37" t="n">
        <x:f>D34/(1+Assumptions!$B$6)*(1+(1+Assumptions!$B$8)*E35)</x:f>
        <x:v>20.970181198238368</x:v>
      </x:c>
      <x:c r="F34" s="37" t="n">
        <x:f>F33*D33</x:f>
        <x:v>0.9857167960602323</x:v>
      </x:c>
    </x:row>
    <x:row r="35">
      <x:c r="A35" t="n">
        <x:v>51</x:v>
      </x:c>
      <x:c r="B35" s="36" t="n">
        <x:v>0.0012682035761381835</x:v>
      </x:c>
      <x:c r="C35" s="37" t="n">
        <x:f>MIN(0.45,MAX(0.00005,B35*Assumptions!$B$16))</x:f>
        <x:v>0.0012682035761381835</x:v>
      </x:c>
      <x:c r="D35" s="37" t="n">
        <x:f>1-C35</x:f>
        <x:v>0.9987317964238618</x:v>
      </x:c>
      <x:c r="E35" s="37" t="n">
        <x:f>D35/(1+Assumptions!$B$6)*(1+(1+Assumptions!$B$8)*E36)</x:f>
        <x:v>20.636727731828735</x:v>
      </x:c>
      <x:c r="F35" s="37" t="n">
        <x:f>F34*D34</x:f>
        <x:v>0.9845806929285423</x:v>
      </x:c>
    </x:row>
    <x:row r="36">
      <x:c r="A36" t="n">
        <x:v>52</x:v>
      </x:c>
      <x:c r="B36" s="36" t="n">
        <x:v>0.0013981808195793184</x:v>
      </x:c>
      <x:c r="C36" s="37" t="n">
        <x:f>MIN(0.45,MAX(0.00005,B36*Assumptions!$B$16))</x:f>
        <x:v>0.0013981808195793184</x:v>
      </x:c>
      <x:c r="D36" s="37" t="n">
        <x:f>1-C36</x:f>
        <x:v>0.9986018191804207</x:v>
      </x:c>
      <x:c r="E36" s="37" t="n">
        <x:f>D36/(1+Assumptions!$B$6)*(1+(1+Assumptions!$B$8)*E37)</x:f>
        <x:v>20.295674542661946</x:v>
      </x:c>
      <x:c r="F36" s="37" t="n">
        <x:f>F35*D35</x:f>
        <x:v>0.9833320441727738</x:v>
      </x:c>
    </x:row>
    <x:row r="37">
      <x:c r="A37" t="n">
        <x:v>53</x:v>
      </x:c>
      <x:c r="B37" s="36" t="n">
        <x:v>0.001544275241207154</x:v>
      </x:c>
      <x:c r="C37" s="37" t="n">
        <x:f>MIN(0.45,MAX(0.00005,B37*Assumptions!$B$16))</x:f>
        <x:v>0.001544275241207154</x:v>
      </x:c>
      <x:c r="D37" s="37" t="n">
        <x:f>1-C37</x:f>
        <x:v>0.9984557247587929</x:v>
      </x:c>
      <x:c r="E37" s="37" t="n">
        <x:f>D37/(1+Assumptions!$B$6)*(1+(1+Assumptions!$B$8)*E38)</x:f>
        <x:v>19.94701181798357</x:v>
      </x:c>
      <x:c r="F37" s="37" t="n">
        <x:f>F36*D36</x:f>
        <x:v>0.9819571681693336</x:v>
      </x:c>
    </x:row>
    <x:row r="38">
      <x:c r="A38" t="n">
        <x:v>54</x:v>
      </x:c>
      <x:c r="B38" s="36" t="n">
        <x:v>0.0017084853711168413</x:v>
      </x:c>
      <x:c r="C38" s="37" t="n">
        <x:f>MIN(0.45,MAX(0.00005,B38*Assumptions!$B$16))</x:f>
        <x:v>0.0017084853711168413</x:v>
      </x:c>
      <x:c r="D38" s="37" t="n">
        <x:f>1-C38</x:f>
        <x:v>0.9982915146288831</x:v>
      </x:c>
      <x:c r="E38" s="37" t="n">
        <x:f>D38/(1+Assumptions!$B$6)*(1+(1+Assumptions!$B$8)*E39)</x:f>
        <x:v>19.59074805925585</x:v>
      </x:c>
      <x:c r="F38" s="37" t="n">
        <x:f>F37*D37</x:f>
        <x:v>0.9804407560266039</x:v>
      </x:c>
    </x:row>
    <x:row r="39">
      <x:c r="A39" t="n">
        <x:v>55</x:v>
      </x:c>
      <x:c r="B39" s="36" t="n">
        <x:v>0.0018930575571353295</x:v>
      </x:c>
      <x:c r="C39" s="37" t="n">
        <x:f>MIN(0.45,MAX(0.00005,B39*Assumptions!$B$16))</x:f>
        <x:v>0.0018930575571353295</x:v>
      </x:c>
      <x:c r="D39" s="37" t="n">
        <x:f>1-C39</x:f>
        <x:v>0.9981069424428647</x:v>
      </x:c>
      <x:c r="E39" s="37" t="n">
        <x:f>D39/(1+Assumptions!$B$6)*(1+(1+Assumptions!$B$8)*E40)</x:f>
        <x:v>19.226911862362222</x:v>
      </x:c>
      <x:c r="F39" s="37" t="n">
        <x:f>F38*D38</x:f>
        <x:v>0.9787656873376857</x:v>
      </x:c>
    </x:row>
    <x:row r="40">
      <x:c r="A40" t="n">
        <x:v>56</x:v>
      </x:c>
      <x:c r="B40" s="36" t="n">
        <x:v>0.002100516694220111</x:v>
      </x:c>
      <x:c r="C40" s="37" t="n">
        <x:f>MIN(0.45,MAX(0.00005,B40*Assumptions!$B$16))</x:f>
        <x:v>0.002100516694220111</x:v>
      </x:c>
      <x:c r="D40" s="37" t="n">
        <x:f>1-C40</x:f>
        <x:v>0.9978994833057799</x:v>
      </x:c>
      <x:c r="E40" s="37" t="n">
        <x:f>D40/(1+Assumptions!$B$6)*(1+(1+Assumptions!$B$8)*E41)</x:f>
        <x:v>18.855553770271733</x:v>
      </x:c>
      <x:c r="F40" s="37" t="n">
        <x:f>F39*D39</x:f>
        <x:v>0.9769128275566064</x:v>
      </x:c>
    </x:row>
    <x:row r="41">
      <x:c r="A41" t="n">
        <x:v>57</x:v>
      </x:c>
      <x:c r="B41" s="36" t="n">
        <x:v>0.002333700764303405</x:v>
      </x:c>
      <x:c r="C41" s="37" t="n">
        <x:f>MIN(0.45,MAX(0.00005,B41*Assumptions!$B$16))</x:f>
        <x:v>0.002333700764303405</x:v>
      </x:c>
      <x:c r="D41" s="37" t="n">
        <x:f>1-C41</x:f>
        <x:v>0.9976662992356966</x:v>
      </x:c>
      <x:c r="E41" s="37" t="n">
        <x:f>D41/(1+Assumptions!$B$6)*(1+(1+Assumptions!$B$8)*E42)</x:f>
        <x:v>18.47674818858891</x:v>
      </x:c>
      <x:c r="F41" s="37" t="n">
        <x:f>F40*D40</x:f>
        <x:v>0.974860805853526</x:v>
      </x:c>
    </x:row>
    <x:row r="42">
      <x:c r="A42" t="n">
        <x:v>58</x:v>
      </x:c>
      <x:c r="B42" s="36" t="n">
        <x:v>0.002595799659077027</x:v>
      </x:c>
      <x:c r="C42" s="37" t="n">
        <x:f>MIN(0.45,MAX(0.00005,B42*Assumptions!$B$16))</x:f>
        <x:v>0.002595799659077027</x:v>
      </x:c>
      <x:c r="D42" s="37" t="n">
        <x:f>1-C42</x:f>
        <x:v>0.9974042003409229</x:v>
      </x:c>
      <x:c r="E42" s="37" t="n">
        <x:f>D42/(1+Assumptions!$B$6)*(1+(1+Assumptions!$B$8)*E43)</x:f>
        <x:v>18.090595351765778</x:v>
      </x:c>
      <x:c r="F42" s="37" t="n">
        <x:f>F41*D41</x:f>
        <x:v>0.9725857724458161</x:v>
      </x:c>
    </x:row>
    <x:row r="43">
      <x:c r="A43" t="n">
        <x:v>59</x:v>
      </x:c>
      <x:c r="B43" s="36" t="n">
        <x:v>0.002890398816802579</x:v>
      </x:c>
      <x:c r="C43" s="37" t="n">
        <x:f>MIN(0.45,MAX(0.00005,B43*Assumptions!$B$16))</x:f>
        <x:v>0.002890398816802579</x:v>
      </x:c>
      <x:c r="D43" s="37" t="n">
        <x:f>1-C43</x:f>
        <x:v>0.9971096011831975</x:v>
      </x:c>
      <x:c r="E43" s="37" t="n">
        <x:f>D43/(1+Assumptions!$B$6)*(1+(1+Assumptions!$B$8)*E44)</x:f>
        <x:v>17.69722332481387</x:v>
      </x:c>
      <x:c r="F43" s="37" t="n">
        <x:f>F42*D42</x:f>
        <x:v>0.970061134629278</x:v>
      </x:c>
    </x:row>
    <x:row r="44">
      <x:c r="A44" t="n">
        <x:v>60</x:v>
      </x:c>
      <x:c r="B44" s="36" t="n">
        <x:v>0.003221528270086099</x:v>
      </x:c>
      <x:c r="C44" s="37" t="n">
        <x:f>MIN(0.45,MAX(0.00005,B44*Assumptions!$B$16))</x:f>
        <x:v>0.003221528270086099</x:v>
      </x:c>
      <x:c r="D44" s="37" t="n">
        <x:f>1-C44</x:f>
        <x:v>0.9967784717299139</x:v>
      </x:c>
      <x:c r="E44" s="37" t="n">
        <x:f>D44/(1+Assumptions!$B$6)*(1+(1+Assumptions!$B$8)*E45)</x:f>
        <x:v>17.296790022132885</x:v>
      </x:c>
      <x:c r="F44" s="37" t="n">
        <x:f>F43*D43</x:f>
        <x:v>0.9672572710735194</x:v>
      </x:c>
    </x:row>
    <x:row r="45">
      <x:c r="A45" t="n">
        <x:v>61</x:v>
      </x:c>
      <x:c r="B45" s="36" t="n">
        <x:v>0.0035937177755767753</x:v>
      </x:c>
      <x:c r="C45" s="37" t="n">
        <x:f>MIN(0.45,MAX(0.00005,B45*Assumptions!$B$16))</x:f>
        <x:v>0.0035937177755767753</x:v>
      </x:c>
      <x:c r="D45" s="37" t="n">
        <x:f>1-C45</x:f>
        <x:v>0.9964062822244232</x:v>
      </x:c>
      <x:c r="E45" s="37" t="n">
        <x:f>D45/(1+Assumptions!$B$6)*(1+(1+Assumptions!$B$8)*E46)</x:f>
        <x:v>16.889485221588366</x:v>
      </x:c>
      <x:c r="F45" s="37" t="n">
        <x:f>F44*D44</x:f>
        <x:v>0.9641412244303097</x:v>
      </x:c>
    </x:row>
    <x:row r="46">
      <x:c r="A46" t="n">
        <x:v>62</x:v>
      </x:c>
      <x:c r="B46" s="36" t="n">
        <x:v>0.004012058779748296</x:v>
      </x:c>
      <x:c r="C46" s="37" t="n">
        <x:f>MIN(0.45,MAX(0.00005,B46*Assumptions!$B$16))</x:f>
        <x:v>0.004012058779748296</x:v>
      </x:c>
      <x:c r="D46" s="37" t="n">
        <x:f>1-C46</x:f>
        <x:v>0.9959879412202517</x:v>
      </x:c>
      <x:c r="E46" s="37" t="n">
        <x:f>D46/(1+Assumptions!$B$6)*(1+(1+Assumptions!$B$8)*E47)</x:f>
        <x:v>16.475532548255334</x:v>
      </x:c>
      <x:c r="F46" s="37" t="n">
        <x:f>F45*D45</x:f>
        <x:v>0.9606763729739081</x:v>
      </x:c>
    </x:row>
    <x:row r="47">
      <x:c r="A47" t="n">
        <x:v>63</x:v>
      </x:c>
      <x:c r="B47" s="36" t="n">
        <x:v>0.004482274068437085</x:v>
      </x:c>
      <x:c r="C47" s="37" t="n">
        <x:f>MIN(0.45,MAX(0.00005,B47*Assumptions!$B$16))</x:f>
        <x:v>0.004482274068437085</x:v>
      </x:c>
      <x:c r="D47" s="37" t="n">
        <x:f>1-C47</x:f>
        <x:v>0.995517725931563</x:v>
      </x:c>
      <x:c r="E47" s="37" t="n">
        <x:f>D47/(1+Assumptions!$B$6)*(1+(1+Assumptions!$B$8)*E48)</x:f>
        <x:v>16.055191398346196</x:v>
      </x:c>
      <x:c r="F47" s="37" t="n">
        <x:f>F46*D46</x:f>
        <x:v>0.9568220828972214</x:v>
      </x:c>
    </x:row>
    <x:row r="48">
      <x:c r="A48" t="n">
        <x:v>64</x:v>
      </x:c>
      <x:c r="B48" s="36" t="n">
        <x:v>0.0050107960529232835</x:v>
      </x:c>
      <x:c r="C48" s="37" t="n">
        <x:f>MIN(0.45,MAX(0.00005,B48*Assumptions!$B$16))</x:f>
        <x:v>0.0050107960529232835</x:v>
      </x:c>
      <x:c r="D48" s="37" t="n">
        <x:f>1-C48</x:f>
        <x:v>0.9949892039470767</x:v>
      </x:c>
      <x:c r="E48" s="37" t="n">
        <x:f>D48/(1+Assumptions!$B$6)*(1+(1+Assumptions!$B$8)*E49)</x:f>
        <x:v>15.628758769824573</x:v>
      </x:c>
      <x:c r="F48" s="37" t="n">
        <x:f>F47*D47</x:f>
        <x:v>0.9525333440869432</x:v>
      </x:c>
    </x:row>
    <x:row r="49">
      <x:c r="A49" t="n">
        <x:v>65</x:v>
      </x:c>
      <x:c r="B49" s="36" t="n">
        <x:v>0.005604854763485772</x:v>
      </x:c>
      <x:c r="C49" s="37" t="n">
        <x:f>MIN(0.45,MAX(0.00005,B49*Assumptions!$B$16))</x:f>
        <x:v>0.005604854763485772</x:v>
      </x:c>
      <x:c r="D49" s="37" t="n">
        <x:f>1-C49</x:f>
        <x:v>0.9943951452365142</x:v>
      </x:c>
      <x:c r="E49" s="37" t="n">
        <x:f>D49/(1+Assumptions!$B$6)*(1+(1+Assumptions!$B$8)*E50)</x:f>
        <x:v>15.196570962158528</x:v>
      </x:c>
      <x:c r="F49" s="37" t="n">
        <x:f>F48*D48</x:f>
        <x:v>0.9477603937661145</x:v>
      </x:c>
    </x:row>
    <x:row r="50">
      <x:c r="A50" t="n">
        <x:v>66</x:v>
      </x:c>
      <x:c r="B50" s="36" t="n">
        <x:v>0.006272576754158009</x:v>
      </x:c>
      <x:c r="C50" s="37" t="n">
        <x:f>MIN(0.45,MAX(0.00005,B50*Assumptions!$B$16))</x:f>
        <x:v>0.006272576754158009</x:v>
      </x:c>
      <x:c r="D50" s="37" t="n">
        <x:f>1-C50</x:f>
        <x:v>0.993727423245842</x:v>
      </x:c>
      <x:c r="E50" s="37" t="n">
        <x:f>D50/(1+Assumptions!$B$6)*(1+(1+Assumptions!$B$8)*E51)</x:f>
        <x:v>14.759005103694845</x:v>
      </x:c>
      <x:c r="F50" s="37" t="n">
        <x:f>F49*D49</x:f>
        <x:v>0.9424483344084713</x:v>
      </x:c>
    </x:row>
    <x:row r="51">
      <x:c r="A51" t="n">
        <x:v>67</x:v>
      </x:c>
      <x:c r="B51" s="36" t="n">
        <x:v>0.007023096271673602</x:v>
      </x:c>
      <x:c r="C51" s="37" t="n">
        <x:f>MIN(0.45,MAX(0.00005,B51*Assumptions!$B$16))</x:f>
        <x:v>0.007023096271673602</x:v>
      </x:c>
      <x:c r="D51" s="37" t="n">
        <x:f>1-C51</x:f>
        <x:v>0.9929769037283264</x:v>
      </x:c>
      <x:c r="E51" s="37" t="n">
        <x:f>D51/(1+Assumptions!$B$6)*(1+(1+Assumptions!$B$8)*E52)</x:f>
        <x:v>14.316480461373482</x:v>
      </x:c>
      <x:c r="F51" s="37" t="n">
        <x:f>F50*D50</x:f>
        <x:v>0.9365367548940657</x:v>
      </x:c>
    </x:row>
    <x:row r="52">
      <x:c r="A52" t="n">
        <x:v>68</x:v>
      </x:c>
      <x:c r="B52" s="36" t="n">
        <x:v>0.007866680209361128</x:v>
      </x:c>
      <x:c r="C52" s="37" t="n">
        <x:f>MIN(0.45,MAX(0.00005,B52*Assumptions!$B$16))</x:f>
        <x:v>0.007866680209361128</x:v>
      </x:c>
      <x:c r="D52" s="37" t="n">
        <x:f>1-C52</x:f>
        <x:v>0.9921333197906389</x:v>
      </x:c>
      <x:c r="E52" s="37" t="n">
        <x:f>D52/(1+Assumptions!$B$6)*(1+(1+Assumptions!$B$8)*E53)</x:f>
        <x:v>13.869459484105445</x:v>
      </x:c>
      <x:c r="F52" s="37" t="n">
        <x:f>F51*D51</x:f>
        <x:v>0.929959367102484</x:v>
      </x:c>
    </x:row>
    <x:row r="53">
      <x:c r="A53" t="n">
        <x:v>69</x:v>
      </x:c>
      <x:c r="B53" s="36" t="n">
        <x:v>0.00881486855532191</x:v>
      </x:c>
      <x:c r="C53" s="37" t="n">
        <x:f>MIN(0.45,MAX(0.00005,B53*Assumptions!$B$16))</x:f>
        <x:v>0.00881486855532191</x:v>
      </x:c>
      <x:c r="D53" s="37" t="n">
        <x:f>1-C53</x:f>
        <x:v>0.9911851314446781</x:v>
      </x:c>
      <x:c r="E53" s="37" t="n">
        <x:f>D53/(1+Assumptions!$B$6)*(1+(1+Assumptions!$B$8)*E54)</x:f>
        <x:v>13.418448528291036</x:v>
      </x:c>
      <x:c r="F53" s="37" t="n">
        <x:f>F52*D52</x:f>
        <x:v>0.9226436741537889</x:v>
      </x:c>
    </x:row>
    <x:row r="54">
      <x:c r="A54" t="n">
        <x:v>70</x:v>
      </x:c>
      <x:c r="B54" s="36" t="n">
        <x:v>0.009880632256181828</x:v>
      </x:c>
      <x:c r="C54" s="37" t="n">
        <x:f>MIN(0.45,MAX(0.00005,B54*Assumptions!$B$16))</x:f>
        <x:v>0.009880632256181828</x:v>
      </x:c>
      <x:c r="D54" s="37" t="n">
        <x:f>1-C54</x:f>
        <x:v>0.9901193677438181</x:v>
      </x:c>
      <x:c r="E54" s="37" t="n">
        <x:f>D54/(1+Assumptions!$B$6)*(1+(1+Assumptions!$B$8)*E55)</x:f>
        <x:v>12.963998211865617</x:v>
      </x:c>
      <x:c r="F54" s="37" t="n">
        <x:f>F53*D53</x:f>
        <x:v>0.914510691442724</x:v>
      </x:c>
    </x:row>
    <x:row r="55">
      <x:c r="A55" t="n">
        <x:v>71</x:v>
      </x:c>
      <x:c r="B55" s="36" t="n">
        <x:v>0.011078550655948375</x:v>
      </x:c>
      <x:c r="C55" s="37" t="n">
        <x:f>MIN(0.45,MAX(0.00005,B55*Assumptions!$B$16))</x:f>
        <x:v>0.011078550655948375</x:v>
      </x:c>
      <x:c r="D55" s="37" t="n">
        <x:f>1-C55</x:f>
        <x:v>0.9889214493440516</x:v>
      </x:c>
      <x:c r="E55" s="37" t="n">
        <x:f>D55/(1+Assumptions!$B$6)*(1+(1+Assumptions!$B$8)*E56)</x:f>
        <x:v>12.506703342154774</x:v>
      </x:c>
      <x:c r="F55" s="37" t="n">
        <x:f>F54*D54</x:f>
        <x:v>0.9054747476062318</x:v>
      </x:c>
    </x:row>
    <x:row r="56">
      <x:c r="A56" t="n">
        <x:v>72</x:v>
      </x:c>
      <x:c r="B56" s="36" t="n">
        <x:v>0.012425010937285975</x:v>
      </x:c>
      <x:c r="C56" s="37" t="n">
        <x:f>MIN(0.45,MAX(0.00005,B56*Assumptions!$B$16))</x:f>
        <x:v>0.012425010937285975</x:v>
      </x:c>
      <x:c r="D56" s="37" t="n">
        <x:f>1-C56</x:f>
        <x:v>0.987574989062714</x:v>
      </x:c>
      <x:c r="E56" s="37" t="n">
        <x:f>D56/(1+Assumptions!$B$6)*(1+(1+Assumptions!$B$8)*E57)</x:f>
        <x:v>12.047202362945457</x:v>
      </x:c>
      <x:c r="F56" s="37" t="n">
        <x:f>F55*D55</x:f>
        <x:v>0.895443399747194</x:v>
      </x:c>
    </x:row>
    <x:row r="57">
      <x:c r="A57" t="n">
        <x:v>73</x:v>
      </x:c>
      <x:c r="B57" s="36" t="n">
        <x:v>0.013938432293509438</x:v>
      </x:c>
      <x:c r="C57" s="37" t="n">
        <x:f>MIN(0.45,MAX(0.00005,B57*Assumptions!$B$16))</x:f>
        <x:v>0.013938432293509438</x:v>
      </x:c>
      <x:c r="D57" s="37" t="n">
        <x:f>1-C57</x:f>
        <x:v>0.9860615677064906</x:v>
      </x:c>
      <x:c r="E57" s="37" t="n">
        <x:f>D57/(1+Assumptions!$B$6)*(1+(1+Assumptions!$B$8)*E58)</x:f>
        <x:v>11.586176267789867</x:v>
      </x:c>
      <x:c r="F57" s="37" t="n">
        <x:f>F56*D56</x:f>
        <x:v>0.8843175057116146</x:v>
      </x:c>
    </x:row>
    <x:row r="58">
      <x:c r="A58" t="n">
        <x:v>74</x:v>
      </x:c>
      <x:c r="B58" s="36" t="n">
        <x:v>0.01563951789790461</x:v>
      </x:c>
      <x:c r="C58" s="37" t="n">
        <x:f>MIN(0.45,MAX(0.00005,B58*Assumptions!$B$16))</x:f>
        <x:v>0.01563951789790461</x:v>
      </x:c>
      <x:c r="D58" s="37" t="n">
        <x:f>1-C58</x:f>
        <x:v>0.9843604821020954</x:v>
      </x:c>
      <x:c r="E58" s="37" t="n">
        <x:f>D58/(1+Assumptions!$B$6)*(1+(1+Assumptions!$B$8)*E59)</x:f>
        <x:v>11.124346929912107</x:v>
      </x:c>
      <x:c r="F58" s="37" t="n">
        <x:f>F57*D57</x:f>
        <x:v>0.8719915060322881</x:v>
      </x:c>
    </x:row>
    <x:row r="59">
      <x:c r="A59" t="n">
        <x:v>75</x:v>
      </x:c>
      <x:c r="B59" s="36" t="n">
        <x:v>0.017551538117244785</x:v>
      </x:c>
      <x:c r="C59" s="37" t="n">
        <x:f>MIN(0.45,MAX(0.00005,B59*Assumptions!$B$16))</x:f>
        <x:v>0.017551538117244785</x:v>
      </x:c>
      <x:c r="D59" s="37" t="n">
        <x:f>1-C59</x:f>
        <x:v>0.9824484618827553</x:v>
      </x:c>
      <x:c r="E59" s="37" t="n">
        <x:f>D59/(1+Assumptions!$B$6)*(1+(1+Assumptions!$B$8)*E60)</x:f>
        <x:v>10.662474804432929</x:v>
      </x:c>
      <x:c r="F59" s="37" t="n">
        <x:f>F58*D58</x:f>
        <x:v>0.8583539792668754</x:v>
      </x:c>
    </x:row>
    <x:row r="60">
      <x:c r="A60" t="n">
        <x:v>76</x:v>
      </x:c>
      <x:c r="B60" s="36" t="n">
        <x:v>0.019700648843783142</x:v>
      </x:c>
      <x:c r="C60" s="37" t="n">
        <x:f>MIN(0.45,MAX(0.00005,B60*Assumptions!$B$16))</x:f>
        <x:v>0.019700648843783142</x:v>
      </x:c>
      <x:c r="D60" s="37" t="n">
        <x:f>1-C60</x:f>
        <x:v>0.9802993511562168</x:v>
      </x:c>
      <x:c r="E60" s="37" t="n">
        <x:f>D60/(1+Assumptions!$B$6)*(1+(1+Assumptions!$B$8)*E61)</x:f>
        <x:v>10.201355966192867</x:v>
      </x:c>
      <x:c r="F60" s="37" t="n">
        <x:f>F59*D59</x:f>
        <x:v>0.8432885466816842</x:v>
      </x:c>
    </x:row>
    <x:row r="61">
      <x:c r="A61" t="n">
        <x:v>77</x:v>
      </x:c>
      <x:c r="B61" s="36" t="n">
        <x:v>0.02211624930041225</x:v>
      </x:c>
      <x:c r="C61" s="37" t="n">
        <x:f>MIN(0.45,MAX(0.00005,B61*Assumptions!$B$16))</x:f>
        <x:v>0.02211624930041225</x:v>
      </x:c>
      <x:c r="D61" s="37" t="n">
        <x:f>1-C61</x:f>
        <x:v>0.9778837506995878</x:v>
      </x:c>
      <x:c r="E61" s="37" t="n">
        <x:f>D61/(1+Assumptions!$B$6)*(1+(1+Assumptions!$B$8)*E62)</x:f>
        <x:v>9.741818456431972</x:v>
      </x:c>
      <x:c r="F61" s="37" t="n">
        <x:f>F60*D60</x:f>
        <x:v>0.826675215149524</x:v>
      </x:c>
    </x:row>
    <x:row r="62">
      <x:c r="A62" t="n">
        <x:v>78</x:v>
      </x:c>
      <x:c r="B62" s="36" t="n">
        <x:v>0.024831384213663373</x:v>
      </x:c>
      <x:c r="C62" s="37" t="n">
        <x:f>MIN(0.45,MAX(0.00005,B62*Assumptions!$B$16))</x:f>
        <x:v>0.024831384213663373</x:v>
      </x:c>
      <x:c r="D62" s="37" t="n">
        <x:f>1-C62</x:f>
        <x:v>0.9751686157863366</x:v>
      </x:c>
      <x:c r="E62" s="37" t="n">
        <x:f>D62/(1+Assumptions!$B$6)*(1+(1+Assumptions!$B$8)*E63)</x:f>
        <x:v>9.284717924120388</x:v>
      </x:c>
      <x:c r="F62" s="37" t="n">
        <x:f>F61*D61</x:f>
        <x:v>0.8083922600008052</x:v>
      </x:c>
    </x:row>
    <x:row r="63">
      <x:c r="A63" t="n">
        <x:v>79</x:v>
      </x:c>
      <x:c r="B63" s="36" t="n">
        <x:v>0.02788319585615763</x:v>
      </x:c>
      <x:c r="C63" s="37" t="n">
        <x:f>MIN(0.45,MAX(0.00005,B63*Assumptions!$B$16))</x:f>
        <x:v>0.02788319585615763</x:v>
      </x:c>
      <x:c r="D63" s="37" t="n">
        <x:f>1-C63</x:f>
        <x:v>0.9721168041438424</x:v>
      </x:c>
      <x:c r="E63" s="37" t="n">
        <x:f>D63/(1+Assumptions!$B$6)*(1+(1+Assumptions!$B$8)*E64)</x:f>
        <x:v>8.83093256291476</x:v>
      </x:c>
      <x:c r="F63" s="37" t="n">
        <x:f>F62*D62</x:f>
        <x:v>0.7883187611973735</x:v>
      </x:c>
    </x:row>
    <x:row r="64">
      <x:c r="A64" t="n">
        <x:v>80</x:v>
      </x:c>
      <x:c r="B64" s="36" t="n">
        <x:v>0.031313432142321185</x:v>
      </x:c>
      <x:c r="C64" s="37" t="n">
        <x:f>MIN(0.45,MAX(0.00005,B64*Assumptions!$B$16))</x:f>
        <x:v>0.031313432142321185</x:v>
      </x:c>
      <x:c r="D64" s="37" t="n">
        <x:f>1-C64</x:f>
        <x:v>0.9686865678576788</x:v>
      </x:c>
      <x:c r="E64" s="37" t="n">
        <x:f>D64/(1+Assumptions!$B$6)*(1+(1+Assumptions!$B$8)*E65)</x:f>
        <x:v>8.381357362562298</x:v>
      </x:c>
      <x:c r="F64" s="37" t="n">
        <x:f>F63*D63</x:f>
        <x:v>0.7663379147818237</x:v>
      </x:c>
    </x:row>
    <x:row r="65">
      <x:c r="A65" t="n">
        <x:v>81</x:v>
      </x:c>
      <x:c r="B65" s="36" t="n">
        <x:v>0.03516901772796901</x:v>
      </x:c>
      <x:c r="C65" s="37" t="n">
        <x:f>MIN(0.45,MAX(0.00005,B65*Assumptions!$B$16))</x:f>
        <x:v>0.03516901772796901</x:v>
      </x:c>
      <x:c r="D65" s="37" t="n">
        <x:f>1-C65</x:f>
        <x:v>0.964830982272031</x:v>
      </x:c>
      <x:c r="E65" s="37" t="n">
        <x:f>D65/(1+Assumptions!$B$6)*(1+(1+Assumptions!$B$8)*E66)</x:f>
        <x:v>7.936897714048503</x:v>
      </x:c>
      <x:c r="F65" s="37" t="n">
        <x:f>F64*D64</x:f>
        <x:v>0.7423412444892151</x:v>
      </x:c>
    </x:row>
    <x:row r="66">
      <x:c r="A66" t="n">
        <x:v>82</x:v>
      </x:c>
      <x:c r="B66" s="36" t="n">
        <x:v>0.03950269592623717</x:v>
      </x:c>
      <x:c r="C66" s="37" t="n">
        <x:f>MIN(0.45,MAX(0.00005,B66*Assumptions!$B$16))</x:f>
        <x:v>0.03950269592623717</x:v>
      </x:c>
      <x:c r="D66" s="37" t="n">
        <x:f>1-C66</x:f>
        <x:v>0.9604973040737629</x:v>
      </x:c>
      <x:c r="E66" s="37" t="n">
        <x:f>D66/(1+Assumptions!$B$6)*(1+(1+Assumptions!$B$8)*E67)</x:f>
        <x:v>7.498462430808598</x:v>
      </x:c>
      <x:c r="F66" s="37" t="n">
        <x:f>F65*D65</x:f>
        <x:v>0.7162338321015713</x:v>
      </x:c>
    </x:row>
    <x:row r="67">
      <x:c r="A67" t="n">
        <x:v>83</x:v>
      </x:c>
      <x:c r="B67" s="36" t="n">
        <x:v>0.04437375022109059</x:v>
      </x:c>
      <x:c r="C67" s="37" t="n">
        <x:f>MIN(0.45,MAX(0.00005,B67*Assumptions!$B$16))</x:f>
        <x:v>0.04437375022109059</x:v>
      </x:c>
      <x:c r="D67" s="37" t="n">
        <x:f>1-C67</x:f>
        <x:v>0.9556262497789094</x:v>
      </x:c>
      <x:c r="E67" s="37" t="n">
        <x:f>D67/(1+Assumptions!$B$6)*(1+(1+Assumptions!$B$8)*E68)</x:f>
        <x:v>7.066956273830788</x:v>
      </x:c>
      <x:c r="F67" s="37" t="n">
        <x:f>F66*D66</x:f>
        <x:v>0.6879406648199794</x:v>
      </x:c>
    </x:row>
    <x:row r="68">
      <x:c r="A68" t="n">
        <x:v>84</x:v>
      </x:c>
      <x:c r="B68" s="36" t="n">
        <x:v>0.04984881524850582</x:v>
      </x:c>
      <x:c r="C68" s="37" t="n">
        <x:f>MIN(0.45,MAX(0.00005,B68*Assumptions!$B$16))</x:f>
        <x:v>0.04984881524850582</x:v>
      </x:c>
      <x:c r="D68" s="37" t="n">
        <x:f>1-C68</x:f>
        <x:v>0.9501511847514942</x:v>
      </x:c>
      <x:c r="E68" s="37" t="n">
        <x:f>D68/(1+Assumptions!$B$6)*(1+(1+Assumptions!$B$8)*E69)</x:f>
        <x:v>6.643272096517531</x:v>
      </x:c>
      <x:c r="F68" s="37" t="n">
        <x:f>F67*D67</x:f>
        <x:v>0.6574141575923267</x:v>
      </x:c>
    </x:row>
    <x:row r="69">
      <x:c r="A69" t="n">
        <x:v>85</x:v>
      </x:c>
      <x:c r="B69" s="36" t="n">
        <x:v>0.05600278833932055</x:v>
      </x:c>
      <x:c r="C69" s="37" t="n">
        <x:f>MIN(0.45,MAX(0.00005,B69*Assumptions!$B$16))</x:f>
        <x:v>0.05600278833932055</x:v>
      </x:c>
      <x:c r="D69" s="37" t="n">
        <x:f>1-C69</x:f>
        <x:v>0.9439972116606794</x:v>
      </x:c>
      <x:c r="E69" s="37" t="n">
        <x:f>D69/(1+Assumptions!$B$6)*(1+(1+Assumptions!$B$8)*E70)</x:f>
        <x:v>6.2282827560748935</x:v>
      </x:c>
      <x:c r="F69" s="37" t="n">
        <x:f>F68*D68</x:f>
        <x:v>0.6246428407087548</x:v>
      </x:c>
    </x:row>
    <x:row r="70">
      <x:c r="A70" t="n">
        <x:v>86</x:v>
      </x:c>
      <x:c r="B70" s="36" t="n">
        <x:v>0.0629198540933963</x:v>
      </x:c>
      <x:c r="C70" s="37" t="n">
        <x:f>MIN(0.45,MAX(0.00005,B70*Assumptions!$B$16))</x:f>
        <x:v>0.0629198540933963</x:v>
      </x:c>
      <x:c r="D70" s="37" t="n">
        <x:f>1-C70</x:f>
        <x:v>0.9370801459066037</x:v>
      </x:c>
      <x:c r="E70" s="37" t="n">
        <x:f>D70/(1+Assumptions!$B$6)*(1+(1+Assumptions!$B$8)*E71)</x:f>
        <x:v>5.822832972912483</x:v>
      </x:c>
      <x:c r="F70" s="37" t="n">
        <x:f>F69*D69</x:f>
        <x:v>0.5896610999128704</x:v>
      </x:c>
    </x:row>
    <x:row r="71">
      <x:c r="A71" t="n">
        <x:v>87</x:v>
      </x:c>
      <x:c r="B71" s="36" t="n">
        <x:v>0.07069463600097745</x:v>
      </x:c>
      <x:c r="C71" s="37" t="n">
        <x:f>MIN(0.45,MAX(0.00005,B71*Assumptions!$B$16))</x:f>
        <x:v>0.07069463600097745</x:v>
      </x:c>
      <x:c r="D71" s="37" t="n">
        <x:f>1-C71</x:f>
        <x:v>0.9293053639990225</x:v>
      </x:c>
      <x:c r="E71" s="37" t="n">
        <x:f>D71/(1+Assumptions!$B$6)*(1+(1+Assumptions!$B$8)*E72)</x:f>
        <x:v>5.427731360162463</x:v>
      </x:c>
      <x:c r="F71" s="37" t="n">
        <x:f>F70*D70</x:f>
        <x:v>0.552559709541801</x:v>
      </x:c>
    </x:row>
    <x:row r="72">
      <x:c r="A72" t="n">
        <x:v>88</x:v>
      </x:c>
      <x:c r="B72" s="36" t="n">
        <x:v>0.07943349086509867</x:v>
      </x:c>
      <x:c r="C72" s="37" t="n">
        <x:f>MIN(0.45,MAX(0.00005,B72*Assumptions!$B$16))</x:f>
        <x:v>0.07943349086509867</x:v>
      </x:c>
      <x:c r="D72" s="37" t="n">
        <x:f>1-C72</x:f>
        <x:v>0.9205665091349013</x:v>
      </x:c>
      <x:c r="E72" s="37" t="n">
        <x:f>D72/(1+Assumptions!$B$6)*(1+(1+Assumptions!$B$8)*E73)</x:f>
        <x:v>5.043742896221734</x:v>
      </x:c>
      <x:c r="F72" s="37" t="n">
        <x:f>F71*D71</x:f>
        <x:v>0.5134967020069375</x:v>
      </x:c>
    </x:row>
    <x:row r="73">
      <x:c r="A73" t="n">
        <x:v>89</x:v>
      </x:c>
      <x:c r="B73" s="36" t="n">
        <x:v>0.08925596373237091</x:v>
      </x:c>
      <x:c r="C73" s="37" t="n">
        <x:f>MIN(0.45,MAX(0.00005,B73*Assumptions!$B$16))</x:f>
        <x:v>0.08925596373237091</x:v>
      </x:c>
      <x:c r="D73" s="37" t="n">
        <x:f>1-C73</x:f>
        <x:v>0.9107440362676291</x:v>
      </x:c>
      <x:c r="E73" s="37" t="n">
        <x:f>D73/(1+Assumptions!$B$6)*(1+(1+Assumptions!$B$8)*E74)</x:f>
        <x:v>4.671582182389365</x:v>
      </x:c>
      <x:c r="F73" s="37" t="n">
        <x:f>F72*D72</x:f>
        <x:v>0.4727078664188112</x:v>
      </x:c>
    </x:row>
    <x:row r="74">
      <x:c r="A74" t="n">
        <x:v>90</x:v>
      </x:c>
      <x:c r="B74" s="36" t="n">
        <x:v>0.10029642323518491</x:v>
      </x:c>
      <x:c r="C74" s="37" t="n">
        <x:f>MIN(0.45,MAX(0.00005,B74*Assumptions!$B$16))</x:f>
        <x:v>0.10029642323518491</x:v>
      </x:c>
      <x:c r="D74" s="37" t="n">
        <x:f>1-C74</x:f>
        <x:v>0.899703576764815</x:v>
      </x:c>
      <x:c r="E74" s="37" t="n">
        <x:f>D74/(1+Assumptions!$B$6)*(1+(1+Assumptions!$B$8)*E75)</x:f>
        <x:v>4.311907930708722</x:v>
      </x:c>
      <x:c r="F74" s="37" t="n">
        <x:f>F73*D73</x:f>
        <x:v>0.43051587023772736</x:v>
      </x:c>
    </x:row>
    <x:row r="75">
      <x:c r="A75" t="n">
        <x:v>91</x:v>
      </x:c>
      <x:c r="B75" s="36" t="n">
        <x:v>0.11270589971634785</x:v>
      </x:c>
      <x:c r="C75" s="37" t="n">
        <x:f>MIN(0.45,MAX(0.00005,B75*Assumptions!$B$16))</x:f>
        <x:v>0.11270589971634785</x:v>
      </x:c>
      <x:c r="D75" s="37" t="n">
        <x:f>1-C75</x:f>
        <x:v>0.8872941002836522</x:v>
      </x:c>
      <x:c r="E75" s="37" t="n">
        <x:f>D75/(1+Assumptions!$B$6)*(1+(1+Assumptions!$B$8)*E76)</x:f>
        <x:v>3.9653192932479766</x:v>
      </x:c>
      <x:c r="F75" s="37" t="n">
        <x:f>F74*D74</x:f>
        <x:v>0.3873366683069003</x:v>
      </x:c>
    </x:row>
    <x:row r="76">
      <x:c r="A76" t="n">
        <x:v>92</x:v>
      </x:c>
      <x:c r="B76" s="36" t="n">
        <x:v>0.126654151281175</x:v>
      </x:c>
      <x:c r="C76" s="37" t="n">
        <x:f>MIN(0.45,MAX(0.00005,B76*Assumptions!$B$16))</x:f>
        <x:v>0.126654151281175</x:v>
      </x:c>
      <x:c r="D76" s="37" t="n">
        <x:f>1-C76</x:f>
        <x:v>0.873345848718825</x:v>
      </x:c>
      <x:c r="E76" s="37" t="n">
        <x:f>D76/(1+Assumptions!$B$6)*(1+(1+Assumptions!$B$8)*E77)</x:f>
        <x:v>3.632354928929406</x:v>
      </x:c>
      <x:c r="F76" s="37" t="n">
        <x:f>F75*D75</x:f>
        <x:v>0.3436815406122385</x:v>
      </x:c>
    </x:row>
    <x:row r="77">
      <x:c r="A77" t="n">
        <x:v>93</x:v>
      </x:c>
      <x:c r="B77" s="36" t="n">
        <x:v>0.14233198604004071</x:v>
      </x:c>
      <x:c r="C77" s="37" t="n">
        <x:f>MIN(0.45,MAX(0.00005,B77*Assumptions!$B$16))</x:f>
        <x:v>0.14233198604004071</x:v>
      </x:c>
      <x:c r="D77" s="37" t="n">
        <x:f>1-C77</x:f>
        <x:v>0.8576680139599593</x:v>
      </x:c>
      <x:c r="E77" s="37" t="n">
        <x:f>D77/(1+Assumptions!$B$6)*(1+(1+Assumptions!$B$8)*E78)</x:f>
        <x:v>3.3134962158088737</x:v>
      </x:c>
      <x:c r="F77" s="37" t="n">
        <x:f>F76*D76</x:f>
        <x:v>0.30015284677498877</x:v>
      </x:c>
    </x:row>
    <x:row r="78">
      <x:c r="A78" t="n">
        <x:v>94</x:v>
      </x:c>
      <x:c r="B78" s="36" t="n">
        <x:v>0.15995387230900576</x:v>
      </x:c>
      <x:c r="C78" s="37" t="n">
        <x:f>MIN(0.45,MAX(0.00005,B78*Assumptions!$B$16))</x:f>
        <x:v>0.15995387230900576</x:v>
      </x:c>
      <x:c r="D78" s="37" t="n">
        <x:f>1-C78</x:f>
        <x:v>0.8400461276909943</x:v>
      </x:c>
      <x:c r="E78" s="37" t="n">
        <x:f>D78/(1+Assumptions!$B$6)*(1+(1+Assumptions!$B$8)*E79)</x:f>
        <x:v>3.0091769712612053</x:v>
      </x:c>
      <x:c r="F78" s="37" t="n">
        <x:f>F77*D77</x:f>
        <x:v>0.2574314959779326</x:v>
      </x:c>
    </x:row>
    <x:row r="79">
      <x:c r="A79" t="n">
        <x:v>95</x:v>
      </x:c>
      <x:c r="B79" s="36" t="n">
        <x:v>0.1797608724753225</x:v>
      </x:c>
      <x:c r="C79" s="37" t="n">
        <x:f>MIN(0.45,MAX(0.00005,B79*Assumptions!$B$16))</x:f>
        <x:v>0.1797608724753225</x:v>
      </x:c>
      <x:c r="D79" s="37" t="n">
        <x:f>1-C79</x:f>
        <x:v>0.8202391275246775</x:v>
      </x:c>
      <x:c r="E79" s="37" t="n">
        <x:f>D79/(1+Assumptions!$B$6)*(1+(1+Assumptions!$B$8)*E80)</x:f>
        <x:v>2.7198038847359887</x:v>
      </x:c>
      <x:c r="F79" s="37" t="n">
        <x:f>F78*D78</x:f>
        <x:v>0.21625433134196204</x:v>
      </x:c>
    </x:row>
    <x:row r="80">
      <x:c r="A80" t="n">
        <x:v>96</x:v>
      </x:c>
      <x:c r="B80" s="36" t="n">
        <x:v>0.2020239406622625</x:v>
      </x:c>
      <x:c r="C80" s="37" t="n">
        <x:f>MIN(0.45,MAX(0.00005,B80*Assumptions!$B$16))</x:f>
        <x:v>0.2020239406622625</x:v>
      </x:c>
      <x:c r="D80" s="37" t="n">
        <x:f>1-C80</x:f>
        <x:v>0.7979760593377375</x:v>
      </x:c>
      <x:c r="E80" s="37" t="n">
        <x:f>D80/(1+Assumptions!$B$6)*(1+(1+Assumptions!$B$8)*E81)</x:f>
        <x:v>2.445795549295788</x:v>
      </x:c>
      <x:c r="F80" s="37" t="n">
        <x:f>F79*D79</x:f>
        <x:v>0.17738026406336346</x:v>
      </x:c>
    </x:row>
    <x:row r="81">
      <x:c r="A81" t="n">
        <x:v>97</x:v>
      </x:c>
      <x:c r="B81" s="36" t="n">
        <x:v>0.22704762930438308</x:v>
      </x:c>
      <x:c r="C81" s="37" t="n">
        <x:f>MIN(0.45,MAX(0.00005,B81*Assumptions!$B$16))</x:f>
        <x:v>0.22704762930438308</x:v>
      </x:c>
      <x:c r="D81" s="37" t="n">
        <x:f>1-C81</x:f>
        <x:v>0.772952370695617</x:v>
      </x:c>
      <x:c r="E81" s="37" t="n">
        <x:f>D81/(1+Assumptions!$B$6)*(1+(1+Assumptions!$B$8)*E82)</x:f>
        <x:v>2.1876556217524694</x:v>
      </x:c>
      <x:c r="F81" s="37" t="n">
        <x:f>F80*D80</x:f>
        <x:v>0.14154520412157007</x:v>
      </x:c>
    </x:row>
    <x:row r="82">
      <x:c r="A82" t="n">
        <x:v>98</x:v>
      </x:c>
      <x:c r="B82" s="36" t="n">
        <x:v>0.2551742553381266</x:v>
      </x:c>
      <x:c r="C82" s="37" t="n">
        <x:f>MIN(0.45,MAX(0.00005,B82*Assumptions!$B$16))</x:f>
        <x:v>0.2551742553381266</x:v>
      </x:c>
      <x:c r="D82" s="37" t="n">
        <x:f>1-C82</x:f>
        <x:v>0.7448257446618733</x:v>
      </x:c>
      <x:c r="E82" s="37" t="n">
        <x:f>D82/(1+Assumptions!$B$6)*(1+(1+Assumptions!$B$8)*E83)</x:f>
        <x:v>1.9461122081112694</x:v>
      </x:c>
      <x:c r="F82" s="37" t="n">
        <x:f>F81*D81</x:f>
        <x:v>0.1094077010863626</x:v>
      </x:c>
    </x:row>
    <x:row r="83">
      <x:c r="A83" t="n">
        <x:v>99</x:v>
      </x:c>
      <x:c r="B83" s="36" t="n">
        <x:v>0.28678858300005433</x:v>
      </x:c>
      <x:c r="C83" s="37" t="n">
        <x:f>MIN(0.45,MAX(0.00005,B83*Assumptions!$B$16))</x:f>
        <x:v>0.28678858300005433</x:v>
      </x:c>
      <x:c r="D83" s="37" t="n">
        <x:f>1-C83</x:f>
        <x:v>0.7132114169999457</x:v>
      </x:c>
      <x:c r="E83" s="37" t="n">
        <x:f>D83/(1+Assumptions!$B$6)*(1+(1+Assumptions!$B$8)*E84)</x:f>
        <x:v>1.722393279470538</x:v>
      </x:c>
      <x:c r="F83" s="37" t="n">
        <x:f>F82*D82</x:f>
        <x:v>0.08148967243339367</x:v>
      </x:c>
    </x:row>
    <x:row r="84">
      <x:c r="A84" t="n">
        <x:v>100</x:v>
      </x:c>
      <x:c r="B84" s="36" t="n">
        <x:v>0.32232308729206116</x:v>
      </x:c>
      <x:c r="C84" s="37" t="n">
        <x:f>MIN(0.45,MAX(0.00005,B84*Assumptions!$B$16))</x:f>
        <x:v>0.32232308729206116</x:v>
      </x:c>
      <x:c r="D84" s="37" t="n">
        <x:f>1-C84</x:f>
        <x:v>0.6776769127079388</x:v>
      </x:c>
      <x:c r="E84" s="37" t="n">
        <x:f>D84/(1+Assumptions!$B$6)*(1+(1+Assumptions!$B$8)*E85)</x:f>
        <x:v>1.5187986899992907</x:v>
      </x:c>
      <x:c r="F84" s="37" t="n">
        <x:f>F83*D83</x:f>
        <x:v>0.05811936474708211</x:v>
      </x:c>
    </x:row>
    <x:row r="85">
      <x:c r="A85" t="n">
        <x:v>101</x:v>
      </x:c>
      <x:c r="B85" s="36" t="n">
        <x:v>0.36226387011627675</x:v>
      </x:c>
      <x:c r="C85" s="37" t="n">
        <x:f>MIN(0.45,MAX(0.00005,B85*Assumptions!$B$16))</x:f>
        <x:v>0.36226387011627675</x:v>
      </x:c>
      <x:c r="D85" s="37" t="n">
        <x:f>1-C85</x:f>
        <x:v>0.6377361298837232</x:v>
      </x:c>
      <x:c r="E85" s="37" t="n">
        <x:f>D85/(1+Assumptions!$B$6)*(1+(1+Assumptions!$B$8)*E86)</x:f>
        <x:v>1.3399623349602428</x:v>
      </x:c>
      <x:c r="F85" s="37" t="n">
        <x:f>F84*D84</x:f>
        <x:v>0.03938615167034922</x:v>
      </x:c>
    </x:row>
    <x:row r="86">
      <x:c r="A86" t="n">
        <x:v>102</x:v>
      </x:c>
      <x:c r="B86" s="36" t="n">
        <x:v>0.40715731001069505</x:v>
      </x:c>
      <x:c r="C86" s="37" t="n">
        <x:f>MIN(0.45,MAX(0.00005,B86*Assumptions!$B$16))</x:f>
        <x:v>0.40715731001069505</x:v>
      </x:c>
      <x:c r="D86" s="37" t="n">
        <x:f>1-C86</x:f>
        <x:v>0.5928426899893049</x:v>
      </x:c>
      <x:c r="E86" s="37" t="n">
        <x:f>D86/(1+Assumptions!$B$6)*(1+(1+Assumptions!$B$8)*E87)</x:f>
        <x:v>1.1958420001520929</x:v>
      </x:c>
      <x:c r="F86" s="37" t="n">
        <x:f>F85*D85</x:f>
        <x:v>0.02511797193726185</x:v>
      </x:c>
    </x:row>
    <x:row r="87">
      <x:c r="A87" t="n">
        <x:v>103</x:v>
      </x:c>
      <x:c r="B87" s="36" t="n">
        <x:v>0.45</x:v>
      </x:c>
      <x:c r="C87" s="37" t="n">
        <x:f>MIN(0.45,MAX(0.00005,B87*Assumptions!$B$16))</x:f>
        <x:v>0.45</x:v>
      </x:c>
      <x:c r="D87" s="37" t="n">
        <x:f>1-C87</x:f>
        <x:v>0.55</x:v>
      </x:c>
      <x:c r="E87" s="37" t="n">
        <x:f>D87/(1+Assumptions!$B$6)*(1+(1+Assumptions!$B$8)*E88)</x:f>
        <x:v>1.109416087377251</x:v>
      </x:c>
      <x:c r="F87" s="37" t="n">
        <x:f>F86*D86</x:f>
        <x:v>0.014891006050362187</x:v>
      </x:c>
    </x:row>
    <x:row r="88">
      <x:c r="A88" t="n">
        <x:v>104</x:v>
      </x:c>
      <x:c r="B88" s="36" t="n">
        <x:v>0.45</x:v>
      </x:c>
      <x:c r="C88" s="37" t="n">
        <x:f>MIN(0.45,MAX(0.00005,B88*Assumptions!$B$16))</x:f>
        <x:v>0.45</x:v>
      </x:c>
      <x:c r="D88" s="37" t="n">
        <x:f>1-C88</x:f>
        <x:v>0.55</x:v>
      </x:c>
      <x:c r="E88" s="37" t="n">
        <x:f>D88/(1+Assumptions!$B$6)*(1+(1+Assumptions!$B$8)*E89)</x:f>
        <x:v>1.1094038349701756</x:v>
      </x:c>
      <x:c r="F88" s="37" t="n">
        <x:f>F87*D87</x:f>
        <x:v>0.008190053327699204</x:v>
      </x:c>
    </x:row>
    <x:row r="89">
      <x:c r="A89" t="n">
        <x:v>105</x:v>
      </x:c>
      <x:c r="B89" s="36" t="n">
        <x:v>0.45</x:v>
      </x:c>
      <x:c r="C89" s="37" t="n">
        <x:f>MIN(0.45,MAX(0.00005,B89*Assumptions!$B$16))</x:f>
        <x:v>0.45</x:v>
      </x:c>
      <x:c r="D89" s="37" t="n">
        <x:f>1-C89</x:f>
        <x:v>0.55</x:v>
      </x:c>
      <x:c r="E89" s="37" t="n">
        <x:f>D89/(1+Assumptions!$B$6)*(1+(1+Assumptions!$B$8)*E90)</x:f>
        <x:v>1.1093809121532487</x:v>
      </x:c>
      <x:c r="F89" s="37" t="n">
        <x:f>F88*D88</x:f>
        <x:v>0.004504529330234562</x:v>
      </x:c>
    </x:row>
    <x:row r="90">
      <x:c r="A90" t="n">
        <x:v>106</x:v>
      </x:c>
      <x:c r="B90" s="36" t="n">
        <x:v>0.45</x:v>
      </x:c>
      <x:c r="C90" s="37" t="n">
        <x:f>MIN(0.45,MAX(0.00005,B90*Assumptions!$B$16))</x:f>
        <x:v>0.45</x:v>
      </x:c>
      <x:c r="D90" s="37" t="n">
        <x:f>1-C90</x:f>
        <x:v>0.55</x:v>
      </x:c>
      <x:c r="E90" s="37" t="n">
        <x:f>D90/(1+Assumptions!$B$6)*(1+(1+Assumptions!$B$8)*E91)</x:f>
        <x:v>1.1093380262506984</x:v>
      </x:c>
      <x:c r="F90" s="37" t="n">
        <x:f>F89*D89</x:f>
        <x:v>0.0024774911316290094</x:v>
      </x:c>
    </x:row>
    <x:row r="91">
      <x:c r="A91" t="n">
        <x:v>107</x:v>
      </x:c>
      <x:c r="B91" s="36" t="n">
        <x:v>0.45</x:v>
      </x:c>
      <x:c r="C91" s="37" t="n">
        <x:f>MIN(0.45,MAX(0.00005,B91*Assumptions!$B$16))</x:f>
        <x:v>0.45</x:v>
      </x:c>
      <x:c r="D91" s="37" t="n">
        <x:f>1-C91</x:f>
        <x:v>0.55</x:v>
      </x:c>
      <x:c r="E91" s="37" t="n">
        <x:f>D91/(1+Assumptions!$B$6)*(1+(1+Assumptions!$B$8)*E92)</x:f>
        <x:v>1.1092577917558084</x:v>
      </x:c>
      <x:c r="F91" s="37" t="n">
        <x:f>F90*D90</x:f>
        <x:v>0.0013626201223959553</x:v>
      </x:c>
    </x:row>
    <x:row r="92">
      <x:c r="A92" t="n">
        <x:v>108</x:v>
      </x:c>
      <x:c r="B92" s="36" t="n">
        <x:v>0.45</x:v>
      </x:c>
      <x:c r="C92" s="37" t="n">
        <x:f>MIN(0.45,MAX(0.00005,B92*Assumptions!$B$16))</x:f>
        <x:v>0.45</x:v>
      </x:c>
      <x:c r="D92" s="37" t="n">
        <x:f>1-C92</x:f>
        <x:v>0.55</x:v>
      </x:c>
      <x:c r="E92" s="37" t="n">
        <x:f>D92/(1+Assumptions!$B$6)*(1+(1+Assumptions!$B$8)*E93)</x:f>
        <x:v>1.1091076824241297</x:v>
      </x:c>
      <x:c r="F92" s="37" t="n">
        <x:f>F91*D91</x:f>
        <x:v>0.0007494410673177755</x:v>
      </x:c>
    </x:row>
    <x:row r="93">
      <x:c r="A93" t="n">
        <x:v>109</x:v>
      </x:c>
      <x:c r="B93" s="36" t="n">
        <x:v>0.45</x:v>
      </x:c>
      <x:c r="C93" s="37" t="n">
        <x:f>MIN(0.45,MAX(0.00005,B93*Assumptions!$B$16))</x:f>
        <x:v>0.45</x:v>
      </x:c>
      <x:c r="D93" s="37" t="n">
        <x:f>1-C93</x:f>
        <x:v>0.55</x:v>
      </x:c>
      <x:c r="E93" s="37" t="n">
        <x:f>D93/(1+Assumptions!$B$6)*(1+(1+Assumptions!$B$8)*E94)</x:f>
        <x:v>1.108826845466312</x:v>
      </x:c>
      <x:c r="F93" s="37" t="n">
        <x:f>F92*D92</x:f>
        <x:v>0.0004121925870247765</x:v>
      </x:c>
    </x:row>
    <x:row r="94">
      <x:c r="A94" t="n">
        <x:v>110</x:v>
      </x:c>
      <x:c r="B94" s="36" t="n">
        <x:v>0.45</x:v>
      </x:c>
      <x:c r="C94" s="37" t="n">
        <x:f>MIN(0.45,MAX(0.00005,B94*Assumptions!$B$16))</x:f>
        <x:v>0.45</x:v>
      </x:c>
      <x:c r="D94" s="37" t="n">
        <x:f>1-C94</x:f>
        <x:v>0.55</x:v>
      </x:c>
      <x:c r="E94" s="37" t="n">
        <x:f>D94/(1+Assumptions!$B$6)*(1+(1+Assumptions!$B$8)*E95)</x:f>
        <x:v>1.1083014324490508</x:v>
      </x:c>
      <x:c r="F94" s="37" t="n">
        <x:f>F93*D93</x:f>
        <x:v>0.0002267059228636271</x:v>
      </x:c>
    </x:row>
    <x:row r="95">
      <x:c r="A95" t="n">
        <x:v>111</x:v>
      </x:c>
      <x:c r="B95" s="36" t="n">
        <x:v>0.45</x:v>
      </x:c>
      <x:c r="C95" s="37" t="n">
        <x:f>MIN(0.45,MAX(0.00005,B95*Assumptions!$B$16))</x:f>
        <x:v>0.45</x:v>
      </x:c>
      <x:c r="D95" s="37" t="n">
        <x:f>1-C95</x:f>
        <x:v>0.55</x:v>
      </x:c>
      <x:c r="E95" s="37" t="n">
        <x:f>D95/(1+Assumptions!$B$6)*(1+(1+Assumptions!$B$8)*E96)</x:f>
        <x:v>1.1073184463034502</x:v>
      </x:c>
      <x:c r="F95" s="37" t="n">
        <x:f>F94*D94</x:f>
        <x:v>0.0001246882575749949</x:v>
      </x:c>
    </x:row>
    <x:row r="96">
      <x:c r="A96" t="n">
        <x:v>112</x:v>
      </x:c>
      <x:c r="B96" s="36" t="n">
        <x:v>0.45</x:v>
      </x:c>
      <x:c r="C96" s="37" t="n">
        <x:f>MIN(0.45,MAX(0.00005,B96*Assumptions!$B$16))</x:f>
        <x:v>0.45</x:v>
      </x:c>
      <x:c r="D96" s="37" t="n">
        <x:f>1-C96</x:f>
        <x:v>0.55</x:v>
      </x:c>
      <x:c r="E96" s="37" t="n">
        <x:f>D96/(1+Assumptions!$B$6)*(1+(1+Assumptions!$B$8)*E97)</x:f>
        <x:v>1.1054793944895465</x:v>
      </x:c>
      <x:c r="F96" s="37" t="n">
        <x:f>F95*D95</x:f>
        <x:v>0.00006857854166624721</x:v>
      </x:c>
    </x:row>
    <x:row r="97">
      <x:c r="A97" t="n">
        <x:v>113</x:v>
      </x:c>
      <x:c r="B97" s="36" t="n">
        <x:v>0.45</x:v>
      </x:c>
      <x:c r="C97" s="37" t="n">
        <x:f>MIN(0.45,MAX(0.00005,B97*Assumptions!$B$16))</x:f>
        <x:v>0.45</x:v>
      </x:c>
      <x:c r="D97" s="37" t="n">
        <x:f>1-C97</x:f>
        <x:v>0.55</x:v>
      </x:c>
      <x:c r="E97" s="37" t="n">
        <x:f>D97/(1+Assumptions!$B$6)*(1+(1+Assumptions!$B$8)*E98)</x:f>
        <x:v>1.1020387441921247</x:v>
      </x:c>
      <x:c r="F97" s="37" t="n">
        <x:f>F96*D96</x:f>
        <x:v>0.00003771819791643597</x:v>
      </x:c>
    </x:row>
    <x:row r="98">
      <x:c r="A98" t="n">
        <x:v>114</x:v>
      </x:c>
      <x:c r="B98" s="36" t="n">
        <x:v>0.45</x:v>
      </x:c>
      <x:c r="C98" s="37" t="n">
        <x:f>MIN(0.45,MAX(0.00005,B98*Assumptions!$B$16))</x:f>
        <x:v>0.45</x:v>
      </x:c>
      <x:c r="D98" s="37" t="n">
        <x:f>1-C98</x:f>
        <x:v>0.55</x:v>
      </x:c>
      <x:c r="E98" s="37" t="n">
        <x:f>D98/(1+Assumptions!$B$6)*(1+(1+Assumptions!$B$8)*E99)</x:f>
        <x:v>1.0956016909347608</x:v>
      </x:c>
      <x:c r="F98" s="37" t="n">
        <x:f>F97*D97</x:f>
        <x:v>0.000020745008854039784</x:v>
      </x:c>
    </x:row>
    <x:row r="99">
      <x:c r="A99" t="n">
        <x:v>115</x:v>
      </x:c>
      <x:c r="B99" s="36" t="n">
        <x:v>0.45</x:v>
      </x:c>
      <x:c r="C99" s="37" t="n">
        <x:f>MIN(0.45,MAX(0.00005,B99*Assumptions!$B$16))</x:f>
        <x:v>0.45</x:v>
      </x:c>
      <x:c r="D99" s="37" t="n">
        <x:f>1-C99</x:f>
        <x:v>0.55</x:v>
      </x:c>
      <x:c r="E99" s="37" t="n">
        <x:f>D99/(1+Assumptions!$B$6)*(1+(1+Assumptions!$B$8)*E100)</x:f>
        <x:v>1.0835587190962148</x:v>
      </x:c>
      <x:c r="F99" s="37" t="n">
        <x:f>F98*D98</x:f>
        <x:v>0.000011409754869721881</x:v>
      </x:c>
    </x:row>
    <x:row r="100">
      <x:c r="A100" t="n">
        <x:v>116</x:v>
      </x:c>
      <x:c r="B100" s="36" t="n">
        <x:v>0.45</x:v>
      </x:c>
      <x:c r="C100" s="37" t="n">
        <x:f>MIN(0.45,MAX(0.00005,B100*Assumptions!$B$16))</x:f>
        <x:v>0.45</x:v>
      </x:c>
      <x:c r="D100" s="37" t="n">
        <x:f>1-C100</x:f>
        <x:v>0.55</x:v>
      </x:c>
      <x:c r="E100" s="37" t="n">
        <x:f>D100/(1+Assumptions!$B$6)*(1+(1+Assumptions!$B$8)*E101)</x:f>
        <x:v>1.0610277309397784</x:v>
      </x:c>
      <x:c r="F100" s="37" t="n">
        <x:f>F99*D99</x:f>
        <x:v>0.000006275365178347035</x:v>
      </x:c>
    </x:row>
    <x:row r="101">
      <x:c r="A101" t="n">
        <x:v>117</x:v>
      </x:c>
      <x:c r="B101" s="36" t="n">
        <x:v>0.45</x:v>
      </x:c>
      <x:c r="C101" s="37" t="n">
        <x:f>MIN(0.45,MAX(0.00005,B101*Assumptions!$B$16))</x:f>
        <x:v>0.45</x:v>
      </x:c>
      <x:c r="D101" s="37" t="n">
        <x:f>1-C101</x:f>
        <x:v>0.55</x:v>
      </x:c>
      <x:c r="E101" s="37" t="n">
        <x:f>D101/(1+Assumptions!$B$6)*(1+(1+Assumptions!$B$8)*E102)</x:f>
        <x:v>1.0188748940726642</x:v>
      </x:c>
      <x:c r="F101" s="37" t="n">
        <x:f>F100*D100</x:f>
        <x:v>0.0000034514508480908696</x:v>
      </x:c>
    </x:row>
    <x:row r="102">
      <x:c r="A102" t="n">
        <x:v>118</x:v>
      </x:c>
      <x:c r="B102" s="36" t="n">
        <x:v>0.45</x:v>
      </x:c>
      <x:c r="C102" s="37" t="n">
        <x:f>MIN(0.45,MAX(0.00005,B102*Assumptions!$B$16))</x:f>
        <x:v>0.45</x:v>
      </x:c>
      <x:c r="D102" s="37" t="n">
        <x:f>1-C102</x:f>
        <x:v>0.55</x:v>
      </x:c>
      <x:c r="E102" s="37" t="n">
        <x:f>D102/(1+Assumptions!$B$6)*(1+(1+Assumptions!$B$8)*E103)</x:f>
        <x:v>0.9400118791170616</x:v>
      </x:c>
      <x:c r="F102" s="37" t="n">
        <x:f>F101*D101</x:f>
        <x:v>0.0000018982979664499783</x:v>
      </x:c>
    </x:row>
    <x:row r="103">
      <x:c r="A103" t="n">
        <x:v>119</x:v>
      </x:c>
      <x:c r="B103" s="36" t="n">
        <x:v>0.45</x:v>
      </x:c>
      <x:c r="C103" s="37" t="n">
        <x:f>MIN(0.45,MAX(0.00005,B103*Assumptions!$B$16))</x:f>
        <x:v>0.45</x:v>
      </x:c>
      <x:c r="D103" s="37" t="n">
        <x:f>1-C103</x:f>
        <x:v>0.55</x:v>
      </x:c>
      <x:c r="E103" s="37" t="n">
        <x:f>D103/(1+Assumptions!$B$6)*(1+(1+Assumptions!$B$8)*E104)</x:f>
        <x:v>0.7924684255769359</x:v>
      </x:c>
      <x:c r="F103" s="37" t="n">
        <x:f>F102*D102</x:f>
        <x:v>0.0000010440638815474883</x:v>
      </x:c>
    </x:row>
    <x:row r="104">
      <x:c r="A104" t="n">
        <x:v>120</x:v>
      </x:c>
      <x:c r="B104" s="36" t="n">
        <x:v>0.45</x:v>
      </x:c>
      <x:c r="C104" s="37" t="n">
        <x:f>MIN(0.45,MAX(0.00005,B104*Assumptions!$B$16))</x:f>
        <x:v>0.45</x:v>
      </x:c>
      <x:c r="D104" s="37" t="n">
        <x:f>1-C104</x:f>
        <x:v>0.55</x:v>
      </x:c>
      <x:c r="E104" s="37" t="n">
        <x:f>D104/(1+Assumptions!$B$6)</x:f>
        <x:v>0.5164319248826291</x:v>
      </x:c>
      <x:c r="F104" s="37" t="n">
        <x:f>F103*D103</x:f>
        <x:v>5.742351348511186e-7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22" hidden="0" customWidth="1"/>
    <x:col min="6" max="6" width="22" hidden="0" customWidth="1"/>
    <x:col min="7" max="7" width="16" hidden="0" customWidth="1"/>
    <x:col min="8" max="8" width="23" hidden="0" customWidth="1"/>
    <x:col min="9" max="9" width="23" hidden="0" customWidth="1"/>
    <x:col min="10" max="10" width="23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20" hidden="0" customWidth="1"/>
  </x:cols>
  <x:sheetData>
    <x:row r="1">
      <x:c r="A1" s="40" t="str">
        <x:v>Member ID</x:v>
      </x:c>
      <x:c r="B1" s="40" t="str">
        <x:v>Status</x:v>
      </x:c>
      <x:c r="C1" s="40" t="str">
        <x:v>Age</x:v>
      </x:c>
      <x:c r="D1" s="40" t="str">
        <x:v>Service</x:v>
      </x:c>
      <x:c r="E1" s="40" t="str">
        <x:v>Pensionable salary</x:v>
      </x:c>
      <x:c r="F1" s="40" t="str">
        <x:v>Current pension</x:v>
      </x:c>
      <x:c r="G1" s="40" t="str">
        <x:v>Years to retirement</x:v>
      </x:c>
      <x:c r="H1" s="40" t="str">
        <x:v>Projected salary</x:v>
      </x:c>
      <x:c r="I1" s="40" t="str">
        <x:v>Projected service</x:v>
      </x:c>
      <x:c r="J1" s="40" t="str">
        <x:v>Annual pension at retirement</x:v>
      </x:c>
      <x:c r="K1" s="40" t="str">
        <x:v>Survival to retirement</x:v>
      </x:c>
      <x:c r="L1" s="40" t="str">
        <x:v>Annuity factor</x:v>
      </x:c>
      <x:c r="M1" s="40" t="str">
        <x:v>Spouse loading</x:v>
      </x:c>
      <x:c r="N1" s="40" t="str">
        <x:v>Discount factor</x:v>
      </x:c>
      <x:c r="O1" s="40" t="str">
        <x:v>PV liability</x:v>
      </x:c>
    </x:row>
    <x:row r="2">
      <x:c r="A2" s="42" t="str">
        <x:f>Members!A2</x:f>
        <x:v>A0215</x:v>
      </x:c>
      <x:c r="B2" s="42" t="str">
        <x:f>Members!B2</x:f>
        <x:v>Active</x:v>
      </x:c>
      <x:c r="C2" s="42" t="n">
        <x:f>Members!C2</x:f>
        <x:v>53</x:v>
      </x:c>
      <x:c r="D2" s="44" t="n">
        <x:f>Members!D2</x:f>
        <x:v>2.7</x:v>
      </x:c>
      <x:c r="E2" s="48" t="n">
        <x:f>Members!E2</x:f>
        <x:v>1852000</x:v>
      </x:c>
      <x:c r="F2" s="48" t="n">
        <x:f>Members!F2</x:f>
        <x:v>0</x:v>
      </x:c>
      <x:c r="G2" s="46" t="n">
        <x:f>MAX(0,Assumptions!$B$10-C2)</x:f>
        <x:v>7</x:v>
      </x:c>
      <x:c r="H2" s="50" t="n">
        <x:f>IF(B2="Active",E2*(1+Assumptions!$B$7)^G2,E2)</x:f>
        <x:v>2694065.8064197865</x:v>
      </x:c>
      <x:c r="I2" s="50" t="n">
        <x:f>IF(B2="Active",MIN(Assumptions!$B$12,D2+G2),IF(B2="Deferred",MIN(Assumptions!$B$12,D2),D2))</x:f>
        <x:v>9.7</x:v>
      </x:c>
      <x:c r="J2" s="50" t="n">
        <x:f>IF(B2="Active",H2*I2*Assumptions!$B$11,IF(B2="Deferred",E2*I2*Assumptions!$B$11*(1+Assumptions!$B$9)^G2,F2))</x:f>
        <x:v>435540.6387045321</x:v>
      </x:c>
      <x:c r="K2" s="37" t="n">
        <x:f>IF(B2="Pensioner",1,VLOOKUP(Assumptions!$B$10,Mortality!$A$2:$F$104,6,FALSE)/VLOOKUP(C2,Mortality!$A$2:$F$104,6,FALSE))</x:f>
        <x:v>0.9850300017431317</x:v>
      </x:c>
      <x:c r="L2" s="37" t="n">
        <x:f>VLOOKUP(IF(B2="Pensioner",C2,Assumptions!$B$10),Mortality!$A$2:$E$104,5,FALSE)</x:f>
        <x:v>17.296790022132885</x:v>
      </x:c>
      <x:c r="M2" s="37" t="n">
        <x:f>1+Assumptions!$B$13*Assumptions!$B$14*Assumptions!$B$15</x:f>
        <x:v>1.31875</x:v>
      </x:c>
      <x:c r="N2" s="37" t="n">
        <x:f>IF(B2="Pensioner",1,1/(1+Assumptions!$B$6)^G2)</x:f>
        <x:v>0.6435062148347594</x:v>
      </x:c>
      <x:c r="O2" s="50" t="n">
        <x:f>J2*K2*L2*M2*N2</x:f>
        <x:v>6297365.10684037</x:v>
      </x:c>
    </x:row>
    <x:row r="3">
      <x:c r="A3" s="42" t="str">
        <x:f>Members!A3</x:f>
        <x:v>P0250</x:v>
      </x:c>
      <x:c r="B3" s="42" t="str">
        <x:f>Members!B3</x:f>
        <x:v>Pensioner</x:v>
      </x:c>
      <x:c r="C3" s="42" t="n">
        <x:f>Members!C3</x:f>
        <x:v>75</x:v>
      </x:c>
      <x:c r="D3" s="44" t="n">
        <x:f>Members!D3</x:f>
        <x:v>20.3</x:v>
      </x:c>
      <x:c r="E3" s="48" t="n">
        <x:f>Members!E3</x:f>
        <x:v>0</x:v>
      </x:c>
      <x:c r="F3" s="48" t="n">
        <x:f>Members!F3</x:f>
        <x:v>434000</x:v>
      </x:c>
      <x:c r="G3" s="46" t="n">
        <x:f>MAX(0,Assumptions!$B$10-C3)</x:f>
        <x:v>0</x:v>
      </x:c>
      <x:c r="H3" s="50" t="n">
        <x:f>IF(B3="Active",E3*(1+Assumptions!$B$7)^G3,E3)</x:f>
        <x:v>0</x:v>
      </x:c>
      <x:c r="I3" s="50" t="n">
        <x:f>IF(B3="Active",MIN(Assumptions!$B$12,D3+G3),IF(B3="Deferred",MIN(Assumptions!$B$12,D3),D3))</x:f>
        <x:v>20.3</x:v>
      </x:c>
      <x:c r="J3" s="50" t="n">
        <x:f>IF(B3="Active",H3*I3*Assumptions!$B$11,IF(B3="Deferred",E3*I3*Assumptions!$B$11*(1+Assumptions!$B$9)^G3,F3))</x:f>
        <x:v>434000</x:v>
      </x:c>
      <x:c r="K3" s="37" t="n">
        <x:f>IF(B3="Pensioner",1,VLOOKUP(Assumptions!$B$10,Mortality!$A$2:$F$104,6,FALSE)/VLOOKUP(C3,Mortality!$A$2:$F$104,6,FALSE))</x:f>
        <x:v>1</x:v>
      </x:c>
      <x:c r="L3" s="37" t="n">
        <x:f>VLOOKUP(IF(B3="Pensioner",C3,Assumptions!$B$10),Mortality!$A$2:$E$104,5,FALSE)</x:f>
        <x:v>10.662474804432929</x:v>
      </x:c>
      <x:c r="M3" s="37" t="n">
        <x:f>1+Assumptions!$B$13*Assumptions!$B$14*Assumptions!$B$15</x:f>
        <x:v>1.31875</x:v>
      </x:c>
      <x:c r="N3" s="37" t="n">
        <x:f>IF(B3="Pensioner",1,1/(1+Assumptions!$B$6)^G3)</x:f>
        <x:v>1</x:v>
      </x:c>
      <x:c r="O3" s="50" t="n">
        <x:f>J3*K3*L3*M3*N3</x:f>
        <x:v>6102534.173382132</x:v>
      </x:c>
    </x:row>
    <x:row r="4">
      <x:c r="A4" s="42" t="str">
        <x:f>Members!A4</x:f>
        <x:v>P0219</x:v>
      </x:c>
      <x:c r="B4" s="42" t="str">
        <x:f>Members!B4</x:f>
        <x:v>Pensioner</x:v>
      </x:c>
      <x:c r="C4" s="42" t="n">
        <x:f>Members!C4</x:f>
        <x:v>67</x:v>
      </x:c>
      <x:c r="D4" s="44" t="n">
        <x:f>Members!D4</x:f>
        <x:v>25.7</x:v>
      </x:c>
      <x:c r="E4" s="48" t="n">
        <x:f>Members!E4</x:f>
        <x:v>0</x:v>
      </x:c>
      <x:c r="F4" s="48" t="n">
        <x:f>Members!F4</x:f>
        <x:v>275000</x:v>
      </x:c>
      <x:c r="G4" s="46" t="n">
        <x:f>MAX(0,Assumptions!$B$10-C4)</x:f>
        <x:v>0</x:v>
      </x:c>
      <x:c r="H4" s="50" t="n">
        <x:f>IF(B4="Active",E4*(1+Assumptions!$B$7)^G4,E4)</x:f>
        <x:v>0</x:v>
      </x:c>
      <x:c r="I4" s="50" t="n">
        <x:f>IF(B4="Active",MIN(Assumptions!$B$12,D4+G4),IF(B4="Deferred",MIN(Assumptions!$B$12,D4),D4))</x:f>
        <x:v>25.7</x:v>
      </x:c>
      <x:c r="J4" s="50" t="n">
        <x:f>IF(B4="Active",H4*I4*Assumptions!$B$11,IF(B4="Deferred",E4*I4*Assumptions!$B$11*(1+Assumptions!$B$9)^G4,F4))</x:f>
        <x:v>275000</x:v>
      </x:c>
      <x:c r="K4" s="37" t="n">
        <x:f>IF(B4="Pensioner",1,VLOOKUP(Assumptions!$B$10,Mortality!$A$2:$F$104,6,FALSE)/VLOOKUP(C4,Mortality!$A$2:$F$104,6,FALSE))</x:f>
        <x:v>1</x:v>
      </x:c>
      <x:c r="L4" s="37" t="n">
        <x:f>VLOOKUP(IF(B4="Pensioner",C4,Assumptions!$B$10),Mortality!$A$2:$E$104,5,FALSE)</x:f>
        <x:v>14.316480461373482</x:v>
      </x:c>
      <x:c r="M4" s="37" t="n">
        <x:f>1+Assumptions!$B$13*Assumptions!$B$14*Assumptions!$B$15</x:f>
        <x:v>1.31875</x:v>
      </x:c>
      <x:c r="N4" s="37" t="n">
        <x:f>IF(B4="Pensioner",1,1/(1+Assumptions!$B$6)^G4)</x:f>
        <x:v>1</x:v>
      </x:c>
      <x:c r="O4" s="50" t="n">
        <x:f>J4*K4*L4*M4*N4</x:f>
        <x:v>5191961.117319977</x:v>
      </x:c>
    </x:row>
    <x:row r="5">
      <x:c r="A5" s="42" t="str">
        <x:f>Members!A5</x:f>
        <x:v>A0121</x:v>
      </x:c>
      <x:c r="B5" s="42" t="str">
        <x:f>Members!B5</x:f>
        <x:v>Active</x:v>
      </x:c>
      <x:c r="C5" s="42" t="n">
        <x:f>Members!C5</x:f>
        <x:v>24</x:v>
      </x:c>
      <x:c r="D5" s="44" t="n">
        <x:f>Members!D5</x:f>
        <x:v>1.1</x:v>
      </x:c>
      <x:c r="E5" s="48" t="n">
        <x:f>Members!E5</x:f>
        <x:v>344000</x:v>
      </x:c>
      <x:c r="F5" s="48" t="n">
        <x:f>Members!F5</x:f>
        <x:v>0</x:v>
      </x:c>
      <x:c r="G5" s="46" t="n">
        <x:f>MAX(0,Assumptions!$B$10-C5)</x:f>
        <x:v>36</x:v>
      </x:c>
      <x:c r="H5" s="50" t="n">
        <x:f>IF(B5="Active",E5*(1+Assumptions!$B$7)^G5,E5)</x:f>
        <x:v>2363997.371839783</x:v>
      </x:c>
      <x:c r="I5" s="50" t="n">
        <x:f>IF(B5="Active",MIN(Assumptions!$B$12,D5+G5),IF(B5="Deferred",MIN(Assumptions!$B$12,D5),D5))</x:f>
        <x:v>37.1</x:v>
      </x:c>
      <x:c r="J5" s="50" t="n">
        <x:f>IF(B5="Active",H5*I5*Assumptions!$B$11,IF(B5="Deferred",E5*I5*Assumptions!$B$11*(1+Assumptions!$B$9)^G5,F5))</x:f>
        <x:v>1461738.3749209326</x:v>
      </x:c>
      <x:c r="K5" s="37" t="n">
        <x:f>IF(B5="Pensioner",1,VLOOKUP(Assumptions!$B$10,Mortality!$A$2:$F$104,6,FALSE)/VLOOKUP(C5,Mortality!$A$2:$F$104,6,FALSE))</x:f>
        <x:v>0.9687108670060764</x:v>
      </x:c>
      <x:c r="L5" s="37" t="n">
        <x:f>VLOOKUP(IF(B5="Pensioner",C5,Assumptions!$B$10),Mortality!$A$2:$E$104,5,FALSE)</x:f>
        <x:v>17.296790022132885</x:v>
      </x:c>
      <x:c r="M5" s="37" t="n">
        <x:f>1+Assumptions!$B$13*Assumptions!$B$14*Assumptions!$B$15</x:f>
        <x:v>1.31875</x:v>
      </x:c>
      <x:c r="N5" s="37" t="n">
        <x:f>IF(B5="Pensioner",1,1/(1+Assumptions!$B$6)^G5)</x:f>
        <x:v>0.10361296939205883</x:v>
      </x:c>
      <x:c r="O5" s="50" t="n">
        <x:f>J5*K5*L5*M5*N5</x:f>
        <x:v>3346616.333122811</x:v>
      </x:c>
    </x:row>
    <x:row r="6">
      <x:c r="A6" s="42" t="str">
        <x:f>Members!A6</x:f>
        <x:v>P0224</x:v>
      </x:c>
      <x:c r="B6" s="42" t="str">
        <x:f>Members!B6</x:f>
        <x:v>Pensioner</x:v>
      </x:c>
      <x:c r="C6" s="42" t="n">
        <x:f>Members!C6</x:f>
        <x:v>72</x:v>
      </x:c>
      <x:c r="D6" s="44" t="n">
        <x:f>Members!D6</x:f>
        <x:v>26</x:v>
      </x:c>
      <x:c r="E6" s="48" t="n">
        <x:f>Members!E6</x:f>
        <x:v>0</x:v>
      </x:c>
      <x:c r="F6" s="48" t="n">
        <x:f>Members!F6</x:f>
        <x:v>297000</x:v>
      </x:c>
      <x:c r="G6" s="46" t="n">
        <x:f>MAX(0,Assumptions!$B$10-C6)</x:f>
        <x:v>0</x:v>
      </x:c>
      <x:c r="H6" s="50" t="n">
        <x:f>IF(B6="Active",E6*(1+Assumptions!$B$7)^G6,E6)</x:f>
        <x:v>0</x:v>
      </x:c>
      <x:c r="I6" s="50" t="n">
        <x:f>IF(B6="Active",MIN(Assumptions!$B$12,D6+G6),IF(B6="Deferred",MIN(Assumptions!$B$12,D6),D6))</x:f>
        <x:v>26</x:v>
      </x:c>
      <x:c r="J6" s="50" t="n">
        <x:f>IF(B6="Active",H6*I6*Assumptions!$B$11,IF(B6="Deferred",E6*I6*Assumptions!$B$11*(1+Assumptions!$B$9)^G6,F6))</x:f>
        <x:v>297000</x:v>
      </x:c>
      <x:c r="K6" s="37" t="n">
        <x:f>IF(B6="Pensioner",1,VLOOKUP(Assumptions!$B$10,Mortality!$A$2:$F$104,6,FALSE)/VLOOKUP(C6,Mortality!$A$2:$F$104,6,FALSE))</x:f>
        <x:v>1</x:v>
      </x:c>
      <x:c r="L6" s="37" t="n">
        <x:f>VLOOKUP(IF(B6="Pensioner",C6,Assumptions!$B$10),Mortality!$A$2:$E$104,5,FALSE)</x:f>
        <x:v>12.047202362945457</x:v>
      </x:c>
      <x:c r="M6" s="37" t="n">
        <x:f>1+Assumptions!$B$13*Assumptions!$B$14*Assumptions!$B$15</x:f>
        <x:v>1.31875</x:v>
      </x:c>
      <x:c r="N6" s="37" t="n">
        <x:f>IF(B6="Pensioner",1,1/(1+Assumptions!$B$6)^G6)</x:f>
        <x:v>1</x:v>
      </x:c>
      <x:c r="O6" s="50" t="n">
        <x:f>J6*K6*L6*M6*N6</x:f>
        <x:v>4718512.690491893</x:v>
      </x:c>
    </x:row>
    <x:row r="7">
      <x:c r="A7" s="42" t="str">
        <x:f>Members!A7</x:f>
        <x:v>P0222</x:v>
      </x:c>
      <x:c r="B7" s="42" t="str">
        <x:f>Members!B7</x:f>
        <x:v>Pensioner</x:v>
      </x:c>
      <x:c r="C7" s="42" t="n">
        <x:f>Members!C7</x:f>
        <x:v>66</x:v>
      </x:c>
      <x:c r="D7" s="44" t="n">
        <x:f>Members!D7</x:f>
        <x:v>23</x:v>
      </x:c>
      <x:c r="E7" s="48" t="n">
        <x:f>Members!E7</x:f>
        <x:v>0</x:v>
      </x:c>
      <x:c r="F7" s="48" t="n">
        <x:f>Members!F7</x:f>
        <x:v>389000</x:v>
      </x:c>
      <x:c r="G7" s="46" t="n">
        <x:f>MAX(0,Assumptions!$B$10-C7)</x:f>
        <x:v>0</x:v>
      </x:c>
      <x:c r="H7" s="50" t="n">
        <x:f>IF(B7="Active",E7*(1+Assumptions!$B$7)^G7,E7)</x:f>
        <x:v>0</x:v>
      </x:c>
      <x:c r="I7" s="50" t="n">
        <x:f>IF(B7="Active",MIN(Assumptions!$B$12,D7+G7),IF(B7="Deferred",MIN(Assumptions!$B$12,D7),D7))</x:f>
        <x:v>23</x:v>
      </x:c>
      <x:c r="J7" s="50" t="n">
        <x:f>IF(B7="Active",H7*I7*Assumptions!$B$11,IF(B7="Deferred",E7*I7*Assumptions!$B$11*(1+Assumptions!$B$9)^G7,F7))</x:f>
        <x:v>389000</x:v>
      </x:c>
      <x:c r="K7" s="37" t="n">
        <x:f>IF(B7="Pensioner",1,VLOOKUP(Assumptions!$B$10,Mortality!$A$2:$F$104,6,FALSE)/VLOOKUP(C7,Mortality!$A$2:$F$104,6,FALSE))</x:f>
        <x:v>1</x:v>
      </x:c>
      <x:c r="L7" s="37" t="n">
        <x:f>VLOOKUP(IF(B7="Pensioner",C7,Assumptions!$B$10),Mortality!$A$2:$E$104,5,FALSE)</x:f>
        <x:v>14.759005103694845</x:v>
      </x:c>
      <x:c r="M7" s="37" t="n">
        <x:f>1+Assumptions!$B$13*Assumptions!$B$14*Assumptions!$B$15</x:f>
        <x:v>1.31875</x:v>
      </x:c>
      <x:c r="N7" s="37" t="n">
        <x:f>IF(B7="Pensioner",1,1/(1+Assumptions!$B$6)^G7)</x:f>
        <x:v>1</x:v>
      </x:c>
      <x:c r="O7" s="50" t="n">
        <x:f>J7*K7*L7*M7*N7</x:f>
        <x:v>7571277.374413557</x:v>
      </x:c>
    </x:row>
    <x:row r="8">
      <x:c r="A8" s="42" t="str">
        <x:f>Members!A8</x:f>
        <x:v>A0112</x:v>
      </x:c>
      <x:c r="B8" s="42" t="str">
        <x:f>Members!B8</x:f>
        <x:v>Active</x:v>
      </x:c>
      <x:c r="C8" s="42" t="n">
        <x:f>Members!C8</x:f>
        <x:v>42</x:v>
      </x:c>
      <x:c r="D8" s="44" t="n">
        <x:f>Members!D8</x:f>
        <x:v>1.8</x:v>
      </x:c>
      <x:c r="E8" s="48" t="n">
        <x:f>Members!E8</x:f>
        <x:v>1172000</x:v>
      </x:c>
      <x:c r="F8" s="48" t="n">
        <x:f>Members!F8</x:f>
        <x:v>0</x:v>
      </x:c>
      <x:c r="G8" s="46" t="n">
        <x:f>MAX(0,Assumptions!$B$10-C8)</x:f>
        <x:v>18</x:v>
      </x:c>
      <x:c r="H8" s="50" t="n">
        <x:f>IF(B8="Active",E8*(1+Assumptions!$B$7)^G8,E8)</x:f>
        <x:v>3072358.4636355815</x:v>
      </x:c>
      <x:c r="I8" s="50" t="n">
        <x:f>IF(B8="Active",MIN(Assumptions!$B$12,D8+G8),IF(B8="Deferred",MIN(Assumptions!$B$12,D8),D8))</x:f>
        <x:v>19.8</x:v>
      </x:c>
      <x:c r="J8" s="50" t="n">
        <x:f>IF(B8="Active",H8*I8*Assumptions!$B$11,IF(B8="Deferred",E8*I8*Assumptions!$B$11*(1+Assumptions!$B$9)^G8,F8))</x:f>
        <x:v>1013878.292999742</x:v>
      </x:c>
      <x:c r="K8" s="37" t="n">
        <x:f>IF(B8="Pensioner",1,VLOOKUP(Assumptions!$B$10,Mortality!$A$2:$F$104,6,FALSE)/VLOOKUP(C8,Mortality!$A$2:$F$104,6,FALSE))</x:f>
        <x:v>0.9750799707838386</x:v>
      </x:c>
      <x:c r="L8" s="37" t="n">
        <x:f>VLOOKUP(IF(B8="Pensioner",C8,Assumptions!$B$10),Mortality!$A$2:$E$104,5,FALSE)</x:f>
        <x:v>17.296790022132885</x:v>
      </x:c>
      <x:c r="M8" s="37" t="n">
        <x:f>1+Assumptions!$B$13*Assumptions!$B$14*Assumptions!$B$15</x:f>
        <x:v>1.31875</x:v>
      </x:c>
      <x:c r="N8" s="37" t="n">
        <x:f>IF(B8="Pensioner",1,1/(1+Assumptions!$B$6)^G8)</x:f>
        <x:v>0.3218896851283974</x:v>
      </x:c>
      <x:c r="O8" s="50" t="n">
        <x:f>J8*K8*L8*M8*N8</x:f>
        <x:v>7258737.757212295</x:v>
      </x:c>
    </x:row>
    <x:row r="9">
      <x:c r="A9" s="42" t="str">
        <x:f>Members!A9</x:f>
        <x:v>P0072</x:v>
      </x:c>
      <x:c r="B9" s="42" t="str">
        <x:f>Members!B9</x:f>
        <x:v>Pensioner</x:v>
      </x:c>
      <x:c r="C9" s="42" t="n">
        <x:f>Members!C9</x:f>
        <x:v>79</x:v>
      </x:c>
      <x:c r="D9" s="44" t="n">
        <x:f>Members!D9</x:f>
        <x:v>20.5</x:v>
      </x:c>
      <x:c r="E9" s="48" t="n">
        <x:f>Members!E9</x:f>
        <x:v>0</x:v>
      </x:c>
      <x:c r="F9" s="48" t="n">
        <x:f>Members!F9</x:f>
        <x:v>690000</x:v>
      </x:c>
      <x:c r="G9" s="46" t="n">
        <x:f>MAX(0,Assumptions!$B$10-C9)</x:f>
        <x:v>0</x:v>
      </x:c>
      <x:c r="H9" s="50" t="n">
        <x:f>IF(B9="Active",E9*(1+Assumptions!$B$7)^G9,E9)</x:f>
        <x:v>0</x:v>
      </x:c>
      <x:c r="I9" s="50" t="n">
        <x:f>IF(B9="Active",MIN(Assumptions!$B$12,D9+G9),IF(B9="Deferred",MIN(Assumptions!$B$12,D9),D9))</x:f>
        <x:v>20.5</x:v>
      </x:c>
      <x:c r="J9" s="50" t="n">
        <x:f>IF(B9="Active",H9*I9*Assumptions!$B$11,IF(B9="Deferred",E9*I9*Assumptions!$B$11*(1+Assumptions!$B$9)^G9,F9))</x:f>
        <x:v>690000</x:v>
      </x:c>
      <x:c r="K9" s="37" t="n">
        <x:f>IF(B9="Pensioner",1,VLOOKUP(Assumptions!$B$10,Mortality!$A$2:$F$104,6,FALSE)/VLOOKUP(C9,Mortality!$A$2:$F$104,6,FALSE))</x:f>
        <x:v>1</x:v>
      </x:c>
      <x:c r="L9" s="37" t="n">
        <x:f>VLOOKUP(IF(B9="Pensioner",C9,Assumptions!$B$10),Mortality!$A$2:$E$104,5,FALSE)</x:f>
        <x:v>8.83093256291476</x:v>
      </x:c>
      <x:c r="M9" s="37" t="n">
        <x:f>1+Assumptions!$B$13*Assumptions!$B$14*Assumptions!$B$15</x:f>
        <x:v>1.31875</x:v>
      </x:c>
      <x:c r="N9" s="37" t="n">
        <x:f>IF(B9="Pensioner",1,1/(1+Assumptions!$B$6)^G9)</x:f>
        <x:v>1</x:v>
      </x:c>
      <x:c r="O9" s="50" t="n">
        <x:f>J9*K9*L9*M9*N9</x:f>
        <x:v>8035596.698967251</x:v>
      </x:c>
    </x:row>
    <x:row r="10">
      <x:c r="A10" s="42" t="str">
        <x:f>Members!A10</x:f>
        <x:v>A0439</x:v>
      </x:c>
      <x:c r="B10" s="42" t="str">
        <x:f>Members!B10</x:f>
        <x:v>Active</x:v>
      </x:c>
      <x:c r="C10" s="42" t="n">
        <x:f>Members!C10</x:f>
        <x:v>50</x:v>
      </x:c>
      <x:c r="D10" s="44" t="n">
        <x:f>Members!D10</x:f>
        <x:v>12.9</x:v>
      </x:c>
      <x:c r="E10" s="48" t="n">
        <x:f>Members!E10</x:f>
        <x:v>1059000</x:v>
      </x:c>
      <x:c r="F10" s="48" t="n">
        <x:f>Members!F10</x:f>
        <x:v>0</x:v>
      </x:c>
      <x:c r="G10" s="46" t="n">
        <x:f>MAX(0,Assumptions!$B$10-C10)</x:f>
        <x:v>10</x:v>
      </x:c>
      <x:c r="H10" s="50" t="n">
        <x:f>IF(B10="Active",E10*(1+Assumptions!$B$7)^G10,E10)</x:f>
        <x:v>1808924.9813964549</x:v>
      </x:c>
      <x:c r="I10" s="50" t="n">
        <x:f>IF(B10="Active",MIN(Assumptions!$B$12,D10+G10),IF(B10="Deferred",MIN(Assumptions!$B$12,D10),D10))</x:f>
        <x:v>22.9</x:v>
      </x:c>
      <x:c r="J10" s="50" t="n">
        <x:f>IF(B10="Active",H10*I10*Assumptions!$B$11,IF(B10="Deferred",E10*I10*Assumptions!$B$11*(1+Assumptions!$B$9)^G10,F10))</x:f>
        <x:v>690406.3678996469</x:v>
      </x:c>
      <x:c r="K10" s="37" t="n">
        <x:f>IF(B10="Pensioner",1,VLOOKUP(Assumptions!$B$10,Mortality!$A$2:$F$104,6,FALSE)/VLOOKUP(C10,Mortality!$A$2:$F$104,6,FALSE))</x:f>
        <x:v>0.9812729933582415</x:v>
      </x:c>
      <x:c r="L10" s="37" t="n">
        <x:f>VLOOKUP(IF(B10="Pensioner",C10,Assumptions!$B$10),Mortality!$A$2:$E$104,5,FALSE)</x:f>
        <x:v>17.296790022132885</x:v>
      </x:c>
      <x:c r="M10" s="37" t="n">
        <x:f>1+Assumptions!$B$13*Assumptions!$B$14*Assumptions!$B$15</x:f>
        <x:v>1.31875</x:v>
      </x:c>
      <x:c r="N10" s="37" t="n">
        <x:f>IF(B10="Pensioner",1,1/(1+Assumptions!$B$6)^G10)</x:f>
        <x:v>0.5327260355205289</x:v>
      </x:c>
      <x:c r="O10" s="50" t="n">
        <x:f>J10*K10*L10*M10*N10</x:f>
        <x:v>8232401.495379147</x:v>
      </x:c>
    </x:row>
    <x:row r="11">
      <x:c r="A11" s="42" t="str">
        <x:f>Members!A11</x:f>
        <x:v>A0270</x:v>
      </x:c>
      <x:c r="B11" s="42" t="str">
        <x:f>Members!B11</x:f>
        <x:v>Active</x:v>
      </x:c>
      <x:c r="C11" s="42" t="n">
        <x:f>Members!C11</x:f>
        <x:v>37</x:v>
      </x:c>
      <x:c r="D11" s="44" t="n">
        <x:f>Members!D11</x:f>
        <x:v>2.3</x:v>
      </x:c>
      <x:c r="E11" s="48" t="n">
        <x:f>Members!E11</x:f>
        <x:v>740000</x:v>
      </x:c>
      <x:c r="F11" s="48" t="n">
        <x:f>Members!F11</x:f>
        <x:v>0</x:v>
      </x:c>
      <x:c r="G11" s="46" t="n">
        <x:f>MAX(0,Assumptions!$B$10-C11)</x:f>
        <x:v>23</x:v>
      </x:c>
      <x:c r="H11" s="50" t="n">
        <x:f>IF(B11="Active",E11*(1+Assumptions!$B$7)^G11,E11)</x:f>
        <x:v>2535352.160085786</x:v>
      </x:c>
      <x:c r="I11" s="50" t="n">
        <x:f>IF(B11="Active",MIN(Assumptions!$B$12,D11+G11),IF(B11="Deferred",MIN(Assumptions!$B$12,D11),D11))</x:f>
        <x:v>25.3</x:v>
      </x:c>
      <x:c r="J11" s="50" t="n">
        <x:f>IF(B11="Active",H11*I11*Assumptions!$B$11,IF(B11="Deferred",E11*I11*Assumptions!$B$11*(1+Assumptions!$B$9)^G11,F11))</x:f>
        <x:v>1069073.4941695065</x:v>
      </x:c>
      <x:c r="K11" s="37" t="n">
        <x:f>IF(B11="Pensioner",1,VLOOKUP(Assumptions!$B$10,Mortality!$A$2:$F$104,6,FALSE)/VLOOKUP(C11,Mortality!$A$2:$F$104,6,FALSE))</x:f>
        <x:v>0.9727356141265188</x:v>
      </x:c>
      <x:c r="L11" s="37" t="n">
        <x:f>VLOOKUP(IF(B11="Pensioner",C11,Assumptions!$B$10),Mortality!$A$2:$E$104,5,FALSE)</x:f>
        <x:v>17.296790022132885</x:v>
      </x:c>
      <x:c r="M11" s="37" t="n">
        <x:f>1+Assumptions!$B$13*Assumptions!$B$14*Assumptions!$B$15</x:f>
        <x:v>1.31875</x:v>
      </x:c>
      <x:c r="N11" s="37" t="n">
        <x:f>IF(B11="Pensioner",1,1/(1+Assumptions!$B$6)^G11)</x:f>
        <x:v>0.23494111264898151</x:v>
      </x:c>
      <x:c r="O11" s="50" t="n">
        <x:f>J11*K11*L11*M11*N11</x:f>
        <x:v>5573004.399060606</x:v>
      </x:c>
    </x:row>
    <x:row r="12">
      <x:c r="A12" s="42" t="str">
        <x:f>Members!A12</x:f>
        <x:v>D0125</x:v>
      </x:c>
      <x:c r="B12" s="42" t="str">
        <x:f>Members!B12</x:f>
        <x:v>Deferred</x:v>
      </x:c>
      <x:c r="C12" s="42" t="n">
        <x:f>Members!C12</x:f>
        <x:v>35</x:v>
      </x:c>
      <x:c r="D12" s="44" t="n">
        <x:f>Members!D12</x:f>
        <x:v>3.2</x:v>
      </x:c>
      <x:c r="E12" s="48" t="n">
        <x:f>Members!E12</x:f>
        <x:v>595000</x:v>
      </x:c>
      <x:c r="F12" s="48" t="n">
        <x:f>Members!F12</x:f>
        <x:v>0</x:v>
      </x:c>
      <x:c r="G12" s="46" t="n">
        <x:f>MAX(0,Assumptions!$B$10-C12)</x:f>
        <x:v>25</x:v>
      </x:c>
      <x:c r="H12" s="50" t="n">
        <x:f>IF(B12="Active",E12*(1+Assumptions!$B$7)^G12,E12)</x:f>
        <x:v>595000</x:v>
      </x:c>
      <x:c r="I12" s="50" t="n">
        <x:f>IF(B12="Active",MIN(Assumptions!$B$12,D12+G12),IF(B12="Deferred",MIN(Assumptions!$B$12,D12),D12))</x:f>
        <x:v>3.2</x:v>
      </x:c>
      <x:c r="J12" s="50" t="n">
        <x:f>IF(B12="Active",H12*I12*Assumptions!$B$11,IF(B12="Deferred",E12*I12*Assumptions!$B$11*(1+Assumptions!$B$9)^G12,F12))</x:f>
        <x:v>84595.8729192009</x:v>
      </x:c>
      <x:c r="K12" s="37" t="n">
        <x:f>IF(B12="Pensioner",1,VLOOKUP(Assumptions!$B$10,Mortality!$A$2:$F$104,6,FALSE)/VLOOKUP(C12,Mortality!$A$2:$F$104,6,FALSE))</x:f>
        <x:v>0.9719740765386753</x:v>
      </x:c>
      <x:c r="L12" s="37" t="n">
        <x:f>VLOOKUP(IF(B12="Pensioner",C12,Assumptions!$B$10),Mortality!$A$2:$E$104,5,FALSE)</x:f>
        <x:v>17.296790022132885</x:v>
      </x:c>
      <x:c r="M12" s="37" t="n">
        <x:f>1+Assumptions!$B$13*Assumptions!$B$14*Assumptions!$B$15</x:f>
        <x:v>1.31875</x:v>
      </x:c>
      <x:c r="N12" s="37" t="n">
        <x:f>IF(B12="Pensioner",1,1/(1+Assumptions!$B$6)^G12)</x:f>
        <x:v>0.20713801287132758</x:v>
      </x:c>
      <x:c r="O12" s="50" t="n">
        <x:f>J12*K12*L12*M12*N12</x:f>
        <x:v>388500.56048547995</x:v>
      </x:c>
    </x:row>
    <x:row r="13">
      <x:c r="A13" s="42" t="str">
        <x:f>Members!A13</x:f>
        <x:v>P0133</x:v>
      </x:c>
      <x:c r="B13" s="42" t="str">
        <x:f>Members!B13</x:f>
        <x:v>Pensioner</x:v>
      </x:c>
      <x:c r="C13" s="42" t="n">
        <x:f>Members!C13</x:f>
        <x:v>76</x:v>
      </x:c>
      <x:c r="D13" s="44" t="n">
        <x:f>Members!D13</x:f>
        <x:v>38.7</x:v>
      </x:c>
      <x:c r="E13" s="48" t="n">
        <x:f>Members!E13</x:f>
        <x:v>0</x:v>
      </x:c>
      <x:c r="F13" s="48" t="n">
        <x:f>Members!F13</x:f>
        <x:v>423000</x:v>
      </x:c>
      <x:c r="G13" s="46" t="n">
        <x:f>MAX(0,Assumptions!$B$10-C13)</x:f>
        <x:v>0</x:v>
      </x:c>
      <x:c r="H13" s="50" t="n">
        <x:f>IF(B13="Active",E13*(1+Assumptions!$B$7)^G13,E13)</x:f>
        <x:v>0</x:v>
      </x:c>
      <x:c r="I13" s="50" t="n">
        <x:f>IF(B13="Active",MIN(Assumptions!$B$12,D13+G13),IF(B13="Deferred",MIN(Assumptions!$B$12,D13),D13))</x:f>
        <x:v>38.7</x:v>
      </x:c>
      <x:c r="J13" s="50" t="n">
        <x:f>IF(B13="Active",H13*I13*Assumptions!$B$11,IF(B13="Deferred",E13*I13*Assumptions!$B$11*(1+Assumptions!$B$9)^G13,F13))</x:f>
        <x:v>423000</x:v>
      </x:c>
      <x:c r="K13" s="37" t="n">
        <x:f>IF(B13="Pensioner",1,VLOOKUP(Assumptions!$B$10,Mortality!$A$2:$F$104,6,FALSE)/VLOOKUP(C13,Mortality!$A$2:$F$104,6,FALSE))</x:f>
        <x:v>1</x:v>
      </x:c>
      <x:c r="L13" s="37" t="n">
        <x:f>VLOOKUP(IF(B13="Pensioner",C13,Assumptions!$B$10),Mortality!$A$2:$E$104,5,FALSE)</x:f>
        <x:v>10.201355966192867</x:v>
      </x:c>
      <x:c r="M13" s="37" t="n">
        <x:f>1+Assumptions!$B$13*Assumptions!$B$14*Assumptions!$B$15</x:f>
        <x:v>1.31875</x:v>
      </x:c>
      <x:c r="N13" s="37" t="n">
        <x:f>IF(B13="Pensioner",1,1/(1+Assumptions!$B$6)^G13)</x:f>
        <x:v>1</x:v>
      </x:c>
      <x:c r="O13" s="50" t="n">
        <x:f>J13*K13*L13*M13*N13</x:f>
        <x:v>5690635.150316326</x:v>
      </x:c>
    </x:row>
    <x:row r="14">
      <x:c r="A14" s="42" t="str">
        <x:f>Members!A14</x:f>
        <x:v>P0111</x:v>
      </x:c>
      <x:c r="B14" s="42" t="str">
        <x:f>Members!B14</x:f>
        <x:v>Pensioner</x:v>
      </x:c>
      <x:c r="C14" s="42" t="n">
        <x:f>Members!C14</x:f>
        <x:v>90</x:v>
      </x:c>
      <x:c r="D14" s="44" t="n">
        <x:f>Members!D14</x:f>
        <x:v>12.5</x:v>
      </x:c>
      <x:c r="E14" s="48" t="n">
        <x:f>Members!E14</x:f>
        <x:v>0</x:v>
      </x:c>
      <x:c r="F14" s="48" t="n">
        <x:f>Members!F14</x:f>
        <x:v>681000</x:v>
      </x:c>
      <x:c r="G14" s="46" t="n">
        <x:f>MAX(0,Assumptions!$B$10-C14)</x:f>
        <x:v>0</x:v>
      </x:c>
      <x:c r="H14" s="50" t="n">
        <x:f>IF(B14="Active",E14*(1+Assumptions!$B$7)^G14,E14)</x:f>
        <x:v>0</x:v>
      </x:c>
      <x:c r="I14" s="50" t="n">
        <x:f>IF(B14="Active",MIN(Assumptions!$B$12,D14+G14),IF(B14="Deferred",MIN(Assumptions!$B$12,D14),D14))</x:f>
        <x:v>12.5</x:v>
      </x:c>
      <x:c r="J14" s="50" t="n">
        <x:f>IF(B14="Active",H14*I14*Assumptions!$B$11,IF(B14="Deferred",E14*I14*Assumptions!$B$11*(1+Assumptions!$B$9)^G14,F14))</x:f>
        <x:v>681000</x:v>
      </x:c>
      <x:c r="K14" s="37" t="n">
        <x:f>IF(B14="Pensioner",1,VLOOKUP(Assumptions!$B$10,Mortality!$A$2:$F$104,6,FALSE)/VLOOKUP(C14,Mortality!$A$2:$F$104,6,FALSE))</x:f>
        <x:v>1</x:v>
      </x:c>
      <x:c r="L14" s="37" t="n">
        <x:f>VLOOKUP(IF(B14="Pensioner",C14,Assumptions!$B$10),Mortality!$A$2:$E$104,5,FALSE)</x:f>
        <x:v>4.311907930708722</x:v>
      </x:c>
      <x:c r="M14" s="37" t="n">
        <x:f>1+Assumptions!$B$13*Assumptions!$B$14*Assumptions!$B$15</x:f>
        <x:v>1.31875</x:v>
      </x:c>
      <x:c r="N14" s="37" t="n">
        <x:f>IF(B14="Pensioner",1,1/(1+Assumptions!$B$6)^G14)</x:f>
        <x:v>1</x:v>
      </x:c>
      <x:c r="O14" s="50" t="n">
        <x:f>J14*K14*L14*M14*N14</x:f>
        <x:v>3872389.765446669</x:v>
      </x:c>
    </x:row>
    <x:row r="15">
      <x:c r="A15" s="42" t="str">
        <x:f>Members!A15</x:f>
        <x:v>D0075</x:v>
      </x:c>
      <x:c r="B15" s="42" t="str">
        <x:f>Members!B15</x:f>
        <x:v>Deferred</x:v>
      </x:c>
      <x:c r="C15" s="42" t="n">
        <x:f>Members!C15</x:f>
        <x:v>33</x:v>
      </x:c>
      <x:c r="D15" s="44" t="n">
        <x:f>Members!D15</x:f>
        <x:v>7.3</x:v>
      </x:c>
      <x:c r="E15" s="48" t="n">
        <x:f>Members!E15</x:f>
        <x:v>461000</x:v>
      </x:c>
      <x:c r="F15" s="48" t="n">
        <x:f>Members!F15</x:f>
        <x:v>0</x:v>
      </x:c>
      <x:c r="G15" s="46" t="n">
        <x:f>MAX(0,Assumptions!$B$10-C15)</x:f>
        <x:v>27</x:v>
      </x:c>
      <x:c r="H15" s="50" t="n">
        <x:f>IF(B15="Active",E15*(1+Assumptions!$B$7)^G15,E15)</x:f>
        <x:v>461000</x:v>
      </x:c>
      <x:c r="I15" s="50" t="n">
        <x:f>IF(B15="Active",MIN(Assumptions!$B$12,D15+G15),IF(B15="Deferred",MIN(Assumptions!$B$12,D15),D15))</x:f>
        <x:v>7.3</x:v>
      </x:c>
      <x:c r="J15" s="50" t="n">
        <x:f>IF(B15="Active",H15*I15*Assumptions!$B$11,IF(B15="Deferred",E15*I15*Assumptions!$B$11*(1+Assumptions!$B$9)^G15,F15))</x:f>
        <x:v>161723.33782121938</x:v>
      </x:c>
      <x:c r="K15" s="37" t="n">
        <x:f>IF(B15="Pensioner",1,VLOOKUP(Assumptions!$B$10,Mortality!$A$2:$F$104,6,FALSE)/VLOOKUP(C15,Mortality!$A$2:$F$104,6,FALSE))</x:f>
        <x:v>0.9712826176321353</x:v>
      </x:c>
      <x:c r="L15" s="37" t="n">
        <x:f>VLOOKUP(IF(B15="Pensioner",C15,Assumptions!$B$10),Mortality!$A$2:$E$104,5,FALSE)</x:f>
        <x:v>17.296790022132885</x:v>
      </x:c>
      <x:c r="M15" s="37" t="n">
        <x:f>1+Assumptions!$B$13*Assumptions!$B$14*Assumptions!$B$15</x:f>
        <x:v>1.31875</x:v>
      </x:c>
      <x:c r="N15" s="37" t="n">
        <x:f>IF(B15="Pensioner",1,1/(1+Assumptions!$B$6)^G15)</x:f>
        <x:v>0.1826251518625737</x:v>
      </x:c>
      <x:c r="O15" s="50" t="n">
        <x:f>J15*K15*L15*M15*N15</x:f>
        <x:v>654345.1513945337</x:v>
      </x:c>
    </x:row>
    <x:row r="16">
      <x:c r="A16" s="42" t="str">
        <x:f>Members!A16</x:f>
        <x:v>P0091</x:v>
      </x:c>
      <x:c r="B16" s="42" t="str">
        <x:f>Members!B16</x:f>
        <x:v>Pensioner</x:v>
      </x:c>
      <x:c r="C16" s="42" t="n">
        <x:f>Members!C16</x:f>
        <x:v>66</x:v>
      </x:c>
      <x:c r="D16" s="44" t="n">
        <x:f>Members!D16</x:f>
        <x:v>39.3</x:v>
      </x:c>
      <x:c r="E16" s="48" t="n">
        <x:f>Members!E16</x:f>
        <x:v>0</x:v>
      </x:c>
      <x:c r="F16" s="48" t="n">
        <x:f>Members!F16</x:f>
        <x:v>388000</x:v>
      </x:c>
      <x:c r="G16" s="46" t="n">
        <x:f>MAX(0,Assumptions!$B$10-C16)</x:f>
        <x:v>0</x:v>
      </x:c>
      <x:c r="H16" s="50" t="n">
        <x:f>IF(B16="Active",E16*(1+Assumptions!$B$7)^G16,E16)</x:f>
        <x:v>0</x:v>
      </x:c>
      <x:c r="I16" s="50" t="n">
        <x:f>IF(B16="Active",MIN(Assumptions!$B$12,D16+G16),IF(B16="Deferred",MIN(Assumptions!$B$12,D16),D16))</x:f>
        <x:v>39.3</x:v>
      </x:c>
      <x:c r="J16" s="50" t="n">
        <x:f>IF(B16="Active",H16*I16*Assumptions!$B$11,IF(B16="Deferred",E16*I16*Assumptions!$B$11*(1+Assumptions!$B$9)^G16,F16))</x:f>
        <x:v>388000</x:v>
      </x:c>
      <x:c r="K16" s="37" t="n">
        <x:f>IF(B16="Pensioner",1,VLOOKUP(Assumptions!$B$10,Mortality!$A$2:$F$104,6,FALSE)/VLOOKUP(C16,Mortality!$A$2:$F$104,6,FALSE))</x:f>
        <x:v>1</x:v>
      </x:c>
      <x:c r="L16" s="37" t="n">
        <x:f>VLOOKUP(IF(B16="Pensioner",C16,Assumptions!$B$10),Mortality!$A$2:$E$104,5,FALSE)</x:f>
        <x:v>14.759005103694845</x:v>
      </x:c>
      <x:c r="M16" s="37" t="n">
        <x:f>1+Assumptions!$B$13*Assumptions!$B$14*Assumptions!$B$15</x:f>
        <x:v>1.31875</x:v>
      </x:c>
      <x:c r="N16" s="37" t="n">
        <x:f>IF(B16="Pensioner",1,1/(1+Assumptions!$B$6)^G16)</x:f>
        <x:v>1</x:v>
      </x:c>
      <x:c r="O16" s="50" t="n">
        <x:f>J16*K16*L16*M16*N16</x:f>
        <x:v>7551813.93643306</x:v>
      </x:c>
    </x:row>
    <x:row r="17">
      <x:c r="A17" s="42" t="str">
        <x:f>Members!A17</x:f>
        <x:v>D0106</x:v>
      </x:c>
      <x:c r="B17" s="42" t="str">
        <x:f>Members!B17</x:f>
        <x:v>Deferred</x:v>
      </x:c>
      <x:c r="C17" s="42" t="n">
        <x:f>Members!C17</x:f>
        <x:v>46</x:v>
      </x:c>
      <x:c r="D17" s="44" t="n">
        <x:f>Members!D17</x:f>
        <x:v>5.5</x:v>
      </x:c>
      <x:c r="E17" s="48" t="n">
        <x:f>Members!E17</x:f>
        <x:v>810000</x:v>
      </x:c>
      <x:c r="F17" s="48" t="n">
        <x:f>Members!F17</x:f>
        <x:v>0</x:v>
      </x:c>
      <x:c r="G17" s="46" t="n">
        <x:f>MAX(0,Assumptions!$B$10-C17)</x:f>
        <x:v>14</x:v>
      </x:c>
      <x:c r="H17" s="50" t="n">
        <x:f>IF(B17="Active",E17*(1+Assumptions!$B$7)^G17,E17)</x:f>
        <x:v>810000</x:v>
      </x:c>
      <x:c r="I17" s="50" t="n">
        <x:f>IF(B17="Active",MIN(Assumptions!$B$12,D17+G17),IF(B17="Deferred",MIN(Assumptions!$B$12,D17),D17))</x:f>
        <x:v>5.5</x:v>
      </x:c>
      <x:c r="J17" s="50" t="n">
        <x:f>IF(B17="Active",H17*I17*Assumptions!$B$11,IF(B17="Deferred",E17*I17*Assumptions!$B$11*(1+Assumptions!$B$9)^G17,F17))</x:f>
        <x:v>128576.97623450824</x:v>
      </x:c>
      <x:c r="K17" s="37" t="n">
        <x:f>IF(B17="Pensioner",1,VLOOKUP(Assumptions!$B$10,Mortality!$A$2:$F$104,6,FALSE)/VLOOKUP(C17,Mortality!$A$2:$F$104,6,FALSE))</x:f>
        <x:v>0.9776582328304806</x:v>
      </x:c>
      <x:c r="L17" s="37" t="n">
        <x:f>VLOOKUP(IF(B17="Pensioner",C17,Assumptions!$B$10),Mortality!$A$2:$E$104,5,FALSE)</x:f>
        <x:v>17.296790022132885</x:v>
      </x:c>
      <x:c r="M17" s="37" t="n">
        <x:f>1+Assumptions!$B$13*Assumptions!$B$14*Assumptions!$B$15</x:f>
        <x:v>1.31875</x:v>
      </x:c>
      <x:c r="N17" s="37" t="n">
        <x:f>IF(B17="Pensioner",1,1/(1+Assumptions!$B$6)^G17)</x:f>
        <x:v>0.41410024853095956</x:v>
      </x:c>
      <x:c r="O17" s="50" t="n">
        <x:f>J17*K17*L17*M17*N17</x:f>
        <x:v>1187363.6437987187</x:v>
      </x:c>
    </x:row>
    <x:row r="18">
      <x:c r="A18" s="42" t="str">
        <x:f>Members!A18</x:f>
        <x:v>A0342</x:v>
      </x:c>
      <x:c r="B18" s="42" t="str">
        <x:f>Members!B18</x:f>
        <x:v>Active</x:v>
      </x:c>
      <x:c r="C18" s="42" t="n">
        <x:f>Members!C18</x:f>
        <x:v>51</x:v>
      </x:c>
      <x:c r="D18" s="44" t="n">
        <x:f>Members!D18</x:f>
        <x:v>20</x:v>
      </x:c>
      <x:c r="E18" s="48" t="n">
        <x:f>Members!E18</x:f>
        <x:v>1373000</x:v>
      </x:c>
      <x:c r="F18" s="48" t="n">
        <x:f>Members!F18</x:f>
        <x:v>0</x:v>
      </x:c>
      <x:c r="G18" s="46" t="n">
        <x:f>MAX(0,Assumptions!$B$10-C18)</x:f>
        <x:v>9</x:v>
      </x:c>
      <x:c r="H18" s="50" t="n">
        <x:f>IF(B18="Active",E18*(1+Assumptions!$B$7)^G18,E18)</x:f>
        <x:v>2223016.4372696523</x:v>
      </x:c>
      <x:c r="I18" s="50" t="n">
        <x:f>IF(B18="Active",MIN(Assumptions!$B$12,D18+G18),IF(B18="Deferred",MIN(Assumptions!$B$12,D18),D18))</x:f>
        <x:v>29</x:v>
      </x:c>
      <x:c r="J18" s="50" t="n">
        <x:f>IF(B18="Active",H18*I18*Assumptions!$B$11,IF(B18="Deferred",E18*I18*Assumptions!$B$11*(1+Assumptions!$B$9)^G18,F18))</x:f>
        <x:v>1074457.944680332</x:v>
      </x:c>
      <x:c r="K18" s="37" t="n">
        <x:f>IF(B18="Pensioner",1,VLOOKUP(Assumptions!$B$10,Mortality!$A$2:$F$104,6,FALSE)/VLOOKUP(C18,Mortality!$A$2:$F$104,6,FALSE))</x:f>
        <x:v>0.9824052797506154</x:v>
      </x:c>
      <x:c r="L18" s="37" t="n">
        <x:f>VLOOKUP(IF(B18="Pensioner",C18,Assumptions!$B$10),Mortality!$A$2:$E$104,5,FALSE)</x:f>
        <x:v>17.296790022132885</x:v>
      </x:c>
      <x:c r="M18" s="37" t="n">
        <x:f>1+Assumptions!$B$13*Assumptions!$B$14*Assumptions!$B$15</x:f>
        <x:v>1.31875</x:v>
      </x:c>
      <x:c r="N18" s="37" t="n">
        <x:f>IF(B18="Pensioner",1,1/(1+Assumptions!$B$6)^G18)</x:f>
        <x:v>0.5673532278293633</x:v>
      </x:c>
      <x:c r="O18" s="50" t="n">
        <x:f>J18*K18*L18*M18*N18</x:f>
        <x:v>13660343.658762537</x:v>
      </x:c>
    </x:row>
    <x:row r="19">
      <x:c r="A19" s="42" t="str">
        <x:f>Members!A19</x:f>
        <x:v>P0211</x:v>
      </x:c>
      <x:c r="B19" s="42" t="str">
        <x:f>Members!B19</x:f>
        <x:v>Pensioner</x:v>
      </x:c>
      <x:c r="C19" s="42" t="n">
        <x:f>Members!C19</x:f>
        <x:v>83</x:v>
      </x:c>
      <x:c r="D19" s="44" t="n">
        <x:f>Members!D19</x:f>
        <x:v>18.4</x:v>
      </x:c>
      <x:c r="E19" s="48" t="n">
        <x:f>Members!E19</x:f>
        <x:v>0</x:v>
      </x:c>
      <x:c r="F19" s="48" t="n">
        <x:f>Members!F19</x:f>
        <x:v>710000</x:v>
      </x:c>
      <x:c r="G19" s="46" t="n">
        <x:f>MAX(0,Assumptions!$B$10-C19)</x:f>
        <x:v>0</x:v>
      </x:c>
      <x:c r="H19" s="50" t="n">
        <x:f>IF(B19="Active",E19*(1+Assumptions!$B$7)^G19,E19)</x:f>
        <x:v>0</x:v>
      </x:c>
      <x:c r="I19" s="50" t="n">
        <x:f>IF(B19="Active",MIN(Assumptions!$B$12,D19+G19),IF(B19="Deferred",MIN(Assumptions!$B$12,D19),D19))</x:f>
        <x:v>18.4</x:v>
      </x:c>
      <x:c r="J19" s="50" t="n">
        <x:f>IF(B19="Active",H19*I19*Assumptions!$B$11,IF(B19="Deferred",E19*I19*Assumptions!$B$11*(1+Assumptions!$B$9)^G19,F19))</x:f>
        <x:v>710000</x:v>
      </x:c>
      <x:c r="K19" s="37" t="n">
        <x:f>IF(B19="Pensioner",1,VLOOKUP(Assumptions!$B$10,Mortality!$A$2:$F$104,6,FALSE)/VLOOKUP(C19,Mortality!$A$2:$F$104,6,FALSE))</x:f>
        <x:v>1</x:v>
      </x:c>
      <x:c r="L19" s="37" t="n">
        <x:f>VLOOKUP(IF(B19="Pensioner",C19,Assumptions!$B$10),Mortality!$A$2:$E$104,5,FALSE)</x:f>
        <x:v>7.066956273830788</x:v>
      </x:c>
      <x:c r="M19" s="37" t="n">
        <x:f>1+Assumptions!$B$13*Assumptions!$B$14*Assumptions!$B$15</x:f>
        <x:v>1.31875</x:v>
      </x:c>
      <x:c r="N19" s="37" t="n">
        <x:f>IF(B19="Pensioner",1,1/(1+Assumptions!$B$6)^G19)</x:f>
        <x:v>1</x:v>
      </x:c>
      <x:c r="O19" s="50" t="n">
        <x:f>J19*K19*L19*M19*N19</x:f>
        <x:v>6616879.496141189</x:v>
      </x:c>
    </x:row>
    <x:row r="20">
      <x:c r="A20" s="42" t="str">
        <x:f>Members!A20</x:f>
        <x:v>D0128</x:v>
      </x:c>
      <x:c r="B20" s="42" t="str">
        <x:f>Members!B20</x:f>
        <x:v>Deferred</x:v>
      </x:c>
      <x:c r="C20" s="42" t="n">
        <x:f>Members!C20</x:f>
        <x:v>59</x:v>
      </x:c>
      <x:c r="D20" s="44" t="n">
        <x:f>Members!D20</x:f>
        <x:v>22.4</x:v>
      </x:c>
      <x:c r="E20" s="48" t="n">
        <x:f>Members!E20</x:f>
        <x:v>1057000</x:v>
      </x:c>
      <x:c r="F20" s="48" t="n">
        <x:f>Members!F20</x:f>
        <x:v>0</x:v>
      </x:c>
      <x:c r="G20" s="46" t="n">
        <x:f>MAX(0,Assumptions!$B$10-C20)</x:f>
        <x:v>1</x:v>
      </x:c>
      <x:c r="H20" s="50" t="n">
        <x:f>IF(B20="Active",E20*(1+Assumptions!$B$7)^G20,E20)</x:f>
        <x:v>1057000</x:v>
      </x:c>
      <x:c r="I20" s="50" t="n">
        <x:f>IF(B20="Active",MIN(Assumptions!$B$12,D20+G20),IF(B20="Deferred",MIN(Assumptions!$B$12,D20),D20))</x:f>
        <x:v>22.4</x:v>
      </x:c>
      <x:c r="J20" s="50" t="n">
        <x:f>IF(B20="Active",H20*I20*Assumptions!$B$11,IF(B20="Deferred",E20*I20*Assumptions!$B$11*(1+Assumptions!$B$9)^G20,F20))</x:f>
        <x:v>410397.86666666664</x:v>
      </x:c>
      <x:c r="K20" s="37" t="n">
        <x:f>IF(B20="Pensioner",1,VLOOKUP(Assumptions!$B$10,Mortality!$A$2:$F$104,6,FALSE)/VLOOKUP(C20,Mortality!$A$2:$F$104,6,FALSE))</x:f>
        <x:v>0.9971096011831975</x:v>
      </x:c>
      <x:c r="L20" s="37" t="n">
        <x:f>VLOOKUP(IF(B20="Pensioner",C20,Assumptions!$B$10),Mortality!$A$2:$E$104,5,FALSE)</x:f>
        <x:v>17.296790022132885</x:v>
      </x:c>
      <x:c r="M20" s="37" t="n">
        <x:f>1+Assumptions!$B$13*Assumptions!$B$14*Assumptions!$B$15</x:f>
        <x:v>1.31875</x:v>
      </x:c>
      <x:c r="N20" s="37" t="n">
        <x:f>IF(B20="Pensioner",1,1/(1+Assumptions!$B$6)^G20)</x:f>
        <x:v>0.9389671361502347</x:v>
      </x:c>
      <x:c r="O20" s="50" t="n">
        <x:f>J20*K20*L20*M20*N20</x:f>
        <x:v>8764484.367901815</x:v>
      </x:c>
    </x:row>
    <x:row r="21">
      <x:c r="A21" s="42" t="str">
        <x:f>Members!A21</x:f>
        <x:v>P0175</x:v>
      </x:c>
      <x:c r="B21" s="42" t="str">
        <x:f>Members!B21</x:f>
        <x:v>Pensioner</x:v>
      </x:c>
      <x:c r="C21" s="42" t="n">
        <x:f>Members!C21</x:f>
        <x:v>63</x:v>
      </x:c>
      <x:c r="D21" s="44" t="n">
        <x:f>Members!D21</x:f>
        <x:v>13.7</x:v>
      </x:c>
      <x:c r="E21" s="48" t="n">
        <x:f>Members!E21</x:f>
        <x:v>0</x:v>
      </x:c>
      <x:c r="F21" s="48" t="n">
        <x:f>Members!F21</x:f>
        <x:v>186000</x:v>
      </x:c>
      <x:c r="G21" s="46" t="n">
        <x:f>MAX(0,Assumptions!$B$10-C21)</x:f>
        <x:v>0</x:v>
      </x:c>
      <x:c r="H21" s="50" t="n">
        <x:f>IF(B21="Active",E21*(1+Assumptions!$B$7)^G21,E21)</x:f>
        <x:v>0</x:v>
      </x:c>
      <x:c r="I21" s="50" t="n">
        <x:f>IF(B21="Active",MIN(Assumptions!$B$12,D21+G21),IF(B21="Deferred",MIN(Assumptions!$B$12,D21),D21))</x:f>
        <x:v>13.7</x:v>
      </x:c>
      <x:c r="J21" s="50" t="n">
        <x:f>IF(B21="Active",H21*I21*Assumptions!$B$11,IF(B21="Deferred",E21*I21*Assumptions!$B$11*(1+Assumptions!$B$9)^G21,F21))</x:f>
        <x:v>186000</x:v>
      </x:c>
      <x:c r="K21" s="37" t="n">
        <x:f>IF(B21="Pensioner",1,VLOOKUP(Assumptions!$B$10,Mortality!$A$2:$F$104,6,FALSE)/VLOOKUP(C21,Mortality!$A$2:$F$104,6,FALSE))</x:f>
        <x:v>1</x:v>
      </x:c>
      <x:c r="L21" s="37" t="n">
        <x:f>VLOOKUP(IF(B21="Pensioner",C21,Assumptions!$B$10),Mortality!$A$2:$E$104,5,FALSE)</x:f>
        <x:v>16.055191398346196</x:v>
      </x:c>
      <x:c r="M21" s="37" t="n">
        <x:f>1+Assumptions!$B$13*Assumptions!$B$14*Assumptions!$B$15</x:f>
        <x:v>1.31875</x:v>
      </x:c>
      <x:c r="N21" s="37" t="n">
        <x:f>IF(B21="Pensioner",1,1/(1+Assumptions!$B$6)^G21)</x:f>
        <x:v>1</x:v>
      </x:c>
      <x:c r="O21" s="50" t="n">
        <x:f>J21*K21*L21*M21*N21</x:f>
        <x:v>3938137.760121843</x:v>
      </x:c>
    </x:row>
    <x:row r="22">
      <x:c r="A22" s="42" t="str">
        <x:f>Members!A22</x:f>
        <x:v>A0252</x:v>
      </x:c>
      <x:c r="B22" s="42" t="str">
        <x:f>Members!B22</x:f>
        <x:v>Active</x:v>
      </x:c>
      <x:c r="C22" s="42" t="n">
        <x:f>Members!C22</x:f>
        <x:v>33</x:v>
      </x:c>
      <x:c r="D22" s="44" t="n">
        <x:f>Members!D22</x:f>
        <x:v>6</x:v>
      </x:c>
      <x:c r="E22" s="48" t="n">
        <x:f>Members!E22</x:f>
        <x:v>727000</x:v>
      </x:c>
      <x:c r="F22" s="48" t="n">
        <x:f>Members!F22</x:f>
        <x:v>0</x:v>
      </x:c>
      <x:c r="G22" s="46" t="n">
        <x:f>MAX(0,Assumptions!$B$10-C22)</x:f>
        <x:v>27</x:v>
      </x:c>
      <x:c r="H22" s="50" t="n">
        <x:f>IF(B22="Active",E22*(1+Assumptions!$B$7)^G22,E22)</x:f>
        <x:v>3085679.5406849035</x:v>
      </x:c>
      <x:c r="I22" s="50" t="n">
        <x:f>IF(B22="Active",MIN(Assumptions!$B$12,D22+G22),IF(B22="Deferred",MIN(Assumptions!$B$12,D22),D22))</x:f>
        <x:v>33</x:v>
      </x:c>
      <x:c r="J22" s="50" t="n">
        <x:f>IF(B22="Active",H22*I22*Assumptions!$B$11,IF(B22="Deferred",E22*I22*Assumptions!$B$11*(1+Assumptions!$B$9)^G22,F22))</x:f>
        <x:v>1697123.747376697</x:v>
      </x:c>
      <x:c r="K22" s="37" t="n">
        <x:f>IF(B22="Pensioner",1,VLOOKUP(Assumptions!$B$10,Mortality!$A$2:$F$104,6,FALSE)/VLOOKUP(C22,Mortality!$A$2:$F$104,6,FALSE))</x:f>
        <x:v>0.9712826176321353</x:v>
      </x:c>
      <x:c r="L22" s="37" t="n">
        <x:f>VLOOKUP(IF(B22="Pensioner",C22,Assumptions!$B$10),Mortality!$A$2:$E$104,5,FALSE)</x:f>
        <x:v>17.296790022132885</x:v>
      </x:c>
      <x:c r="M22" s="37" t="n">
        <x:f>1+Assumptions!$B$13*Assumptions!$B$14*Assumptions!$B$15</x:f>
        <x:v>1.31875</x:v>
      </x:c>
      <x:c r="N22" s="37" t="n">
        <x:f>IF(B22="Pensioner",1,1/(1+Assumptions!$B$6)^G22)</x:f>
        <x:v>0.1826251518625737</x:v>
      </x:c>
      <x:c r="O22" s="50" t="n">
        <x:f>J22*K22*L22*M22*N22</x:f>
        <x:v>6866694.135636101</x:v>
      </x:c>
    </x:row>
    <x:row r="23">
      <x:c r="A23" s="42" t="str">
        <x:f>Members!A23</x:f>
        <x:v>A0415</x:v>
      </x:c>
      <x:c r="B23" s="42" t="str">
        <x:f>Members!B23</x:f>
        <x:v>Active</x:v>
      </x:c>
      <x:c r="C23" s="42" t="n">
        <x:f>Members!C23</x:f>
        <x:v>31</x:v>
      </x:c>
      <x:c r="D23" s="44" t="n">
        <x:f>Members!D23</x:f>
        <x:v>6.7</x:v>
      </x:c>
      <x:c r="E23" s="48" t="n">
        <x:f>Members!E23</x:f>
        <x:v>707000</x:v>
      </x:c>
      <x:c r="F23" s="48" t="n">
        <x:f>Members!F23</x:f>
        <x:v>0</x:v>
      </x:c>
      <x:c r="G23" s="46" t="n">
        <x:f>MAX(0,Assumptions!$B$10-C23)</x:f>
        <x:v>29</x:v>
      </x:c>
      <x:c r="H23" s="50" t="n">
        <x:f>IF(B23="Active",E23*(1+Assumptions!$B$7)^G23,E23)</x:f>
        <x:v>3339955.9818912866</x:v>
      </x:c>
      <x:c r="I23" s="50" t="n">
        <x:f>IF(B23="Active",MIN(Assumptions!$B$12,D23+G23),IF(B23="Deferred",MIN(Assumptions!$B$12,D23),D23))</x:f>
        <x:v>35.7</x:v>
      </x:c>
      <x:c r="J23" s="50" t="n">
        <x:f>IF(B23="Active",H23*I23*Assumptions!$B$11,IF(B23="Deferred",E23*I23*Assumptions!$B$11*(1+Assumptions!$B$9)^G23,F23))</x:f>
        <x:v>1987273.8092253155</x:v>
      </x:c>
      <x:c r="K23" s="37" t="n">
        <x:f>IF(B23="Pensioner",1,VLOOKUP(Assumptions!$B$10,Mortality!$A$2:$F$104,6,FALSE)/VLOOKUP(C23,Mortality!$A$2:$F$104,6,FALSE))</x:f>
        <x:v>0.9706466107295209</x:v>
      </x:c>
      <x:c r="L23" s="37" t="n">
        <x:f>VLOOKUP(IF(B23="Pensioner",C23,Assumptions!$B$10),Mortality!$A$2:$E$104,5,FALSE)</x:f>
        <x:v>17.296790022132885</x:v>
      </x:c>
      <x:c r="M23" s="37" t="n">
        <x:f>1+Assumptions!$B$13*Assumptions!$B$14*Assumptions!$B$15</x:f>
        <x:v>1.31875</x:v>
      </x:c>
      <x:c r="N23" s="37" t="n">
        <x:f>IF(B23="Pensioner",1,1/(1+Assumptions!$B$6)^G23)</x:f>
        <x:v>0.16101316040695074</x:v>
      </x:c>
      <x:c r="O23" s="50" t="n">
        <x:f>J23*K23*L23*M23*N23</x:f>
        <x:v>7084483.803394545</x:v>
      </x:c>
    </x:row>
    <x:row r="24">
      <x:c r="A24" s="42" t="str">
        <x:f>Members!A24</x:f>
        <x:v>P0073</x:v>
      </x:c>
      <x:c r="B24" s="42" t="str">
        <x:f>Members!B24</x:f>
        <x:v>Pensioner</x:v>
      </x:c>
      <x:c r="C24" s="42" t="n">
        <x:f>Members!C24</x:f>
        <x:v>62</x:v>
      </x:c>
      <x:c r="D24" s="44" t="n">
        <x:f>Members!D24</x:f>
        <x:v>32.6</x:v>
      </x:c>
      <x:c r="E24" s="48" t="n">
        <x:f>Members!E24</x:f>
        <x:v>0</x:v>
      </x:c>
      <x:c r="F24" s="48" t="n">
        <x:f>Members!F24</x:f>
        <x:v>272000</x:v>
      </x:c>
      <x:c r="G24" s="46" t="n">
        <x:f>MAX(0,Assumptions!$B$10-C24)</x:f>
        <x:v>0</x:v>
      </x:c>
      <x:c r="H24" s="50" t="n">
        <x:f>IF(B24="Active",E24*(1+Assumptions!$B$7)^G24,E24)</x:f>
        <x:v>0</x:v>
      </x:c>
      <x:c r="I24" s="50" t="n">
        <x:f>IF(B24="Active",MIN(Assumptions!$B$12,D24+G24),IF(B24="Deferred",MIN(Assumptions!$B$12,D24),D24))</x:f>
        <x:v>32.6</x:v>
      </x:c>
      <x:c r="J24" s="50" t="n">
        <x:f>IF(B24="Active",H24*I24*Assumptions!$B$11,IF(B24="Deferred",E24*I24*Assumptions!$B$11*(1+Assumptions!$B$9)^G24,F24))</x:f>
        <x:v>272000</x:v>
      </x:c>
      <x:c r="K24" s="37" t="n">
        <x:f>IF(B24="Pensioner",1,VLOOKUP(Assumptions!$B$10,Mortality!$A$2:$F$104,6,FALSE)/VLOOKUP(C24,Mortality!$A$2:$F$104,6,FALSE))</x:f>
        <x:v>1</x:v>
      </x:c>
      <x:c r="L24" s="37" t="n">
        <x:f>VLOOKUP(IF(B24="Pensioner",C24,Assumptions!$B$10),Mortality!$A$2:$E$104,5,FALSE)</x:f>
        <x:v>16.475532548255334</x:v>
      </x:c>
      <x:c r="M24" s="37" t="n">
        <x:f>1+Assumptions!$B$13*Assumptions!$B$14*Assumptions!$B$15</x:f>
        <x:v>1.31875</x:v>
      </x:c>
      <x:c r="N24" s="37" t="n">
        <x:f>IF(B24="Pensioner",1,1/(1+Assumptions!$B$6)^G24)</x:f>
        <x:v>1</x:v>
      </x:c>
      <x:c r="O24" s="50" t="n">
        <x:f>J24*K24*L24*M24*N24</x:f>
        <x:v>5909773.525059189</x:v>
      </x:c>
    </x:row>
    <x:row r="25">
      <x:c r="A25" s="42" t="str">
        <x:f>Members!A25</x:f>
        <x:v>A0310</x:v>
      </x:c>
      <x:c r="B25" s="42" t="str">
        <x:f>Members!B25</x:f>
        <x:v>Active</x:v>
      </x:c>
      <x:c r="C25" s="42" t="n">
        <x:f>Members!C25</x:f>
        <x:v>34</x:v>
      </x:c>
      <x:c r="D25" s="44" t="n">
        <x:f>Members!D25</x:f>
        <x:v>11.6</x:v>
      </x:c>
      <x:c r="E25" s="48" t="n">
        <x:f>Members!E25</x:f>
        <x:v>593000</x:v>
      </x:c>
      <x:c r="F25" s="48" t="n">
        <x:f>Members!F25</x:f>
        <x:v>0</x:v>
      </x:c>
      <x:c r="G25" s="46" t="n">
        <x:f>MAX(0,Assumptions!$B$10-C25)</x:f>
        <x:v>26</x:v>
      </x:c>
      <x:c r="H25" s="50" t="n">
        <x:f>IF(B25="Active",E25*(1+Assumptions!$B$7)^G25,E25)</x:f>
        <x:v>2385715.454182478</x:v>
      </x:c>
      <x:c r="I25" s="50" t="n">
        <x:f>IF(B25="Active",MIN(Assumptions!$B$12,D25+G25),IF(B25="Deferred",MIN(Assumptions!$B$12,D25),D25))</x:f>
        <x:v>37.6</x:v>
      </x:c>
      <x:c r="J25" s="50" t="n">
        <x:f>IF(B25="Active",H25*I25*Assumptions!$B$11,IF(B25="Deferred",E25*I25*Assumptions!$B$11*(1+Assumptions!$B$9)^G25,F25))</x:f>
        <x:v>1495048.3512876863</x:v>
      </x:c>
      <x:c r="K25" s="37" t="n">
        <x:f>IF(B25="Pensioner",1,VLOOKUP(Assumptions!$B$10,Mortality!$A$2:$F$104,6,FALSE)/VLOOKUP(C25,Mortality!$A$2:$F$104,6,FALSE))</x:f>
        <x:v>0.9716205819233391</x:v>
      </x:c>
      <x:c r="L25" s="37" t="n">
        <x:f>VLOOKUP(IF(B25="Pensioner",C25,Assumptions!$B$10),Mortality!$A$2:$E$104,5,FALSE)</x:f>
        <x:v>17.296790022132885</x:v>
      </x:c>
      <x:c r="M25" s="37" t="n">
        <x:f>1+Assumptions!$B$13*Assumptions!$B$14*Assumptions!$B$15</x:f>
        <x:v>1.31875</x:v>
      </x:c>
      <x:c r="N25" s="37" t="n">
        <x:f>IF(B25="Pensioner",1,1/(1+Assumptions!$B$6)^G25)</x:f>
        <x:v>0.19449578673364096</x:v>
      </x:c>
      <x:c r="O25" s="50" t="n">
        <x:f>J25*K25*L25*M25*N25</x:f>
        <x:v>6444513.355549454</x:v>
      </x:c>
    </x:row>
    <x:row r="26">
      <x:c r="A26" s="42" t="str">
        <x:f>Members!A26</x:f>
        <x:v>P0066</x:v>
      </x:c>
      <x:c r="B26" s="42" t="str">
        <x:f>Members!B26</x:f>
        <x:v>Pensioner</x:v>
      </x:c>
      <x:c r="C26" s="42" t="n">
        <x:f>Members!C26</x:f>
        <x:v>65</x:v>
      </x:c>
      <x:c r="D26" s="44" t="n">
        <x:f>Members!D26</x:f>
        <x:v>13.1</x:v>
      </x:c>
      <x:c r="E26" s="48" t="n">
        <x:f>Members!E26</x:f>
        <x:v>0</x:v>
      </x:c>
      <x:c r="F26" s="48" t="n">
        <x:f>Members!F26</x:f>
        <x:v>307000</x:v>
      </x:c>
      <x:c r="G26" s="46" t="n">
        <x:f>MAX(0,Assumptions!$B$10-C26)</x:f>
        <x:v>0</x:v>
      </x:c>
      <x:c r="H26" s="50" t="n">
        <x:f>IF(B26="Active",E26*(1+Assumptions!$B$7)^G26,E26)</x:f>
        <x:v>0</x:v>
      </x:c>
      <x:c r="I26" s="50" t="n">
        <x:f>IF(B26="Active",MIN(Assumptions!$B$12,D26+G26),IF(B26="Deferred",MIN(Assumptions!$B$12,D26),D26))</x:f>
        <x:v>13.1</x:v>
      </x:c>
      <x:c r="J26" s="50" t="n">
        <x:f>IF(B26="Active",H26*I26*Assumptions!$B$11,IF(B26="Deferred",E26*I26*Assumptions!$B$11*(1+Assumptions!$B$9)^G26,F26))</x:f>
        <x:v>307000</x:v>
      </x:c>
      <x:c r="K26" s="37" t="n">
        <x:f>IF(B26="Pensioner",1,VLOOKUP(Assumptions!$B$10,Mortality!$A$2:$F$104,6,FALSE)/VLOOKUP(C26,Mortality!$A$2:$F$104,6,FALSE))</x:f>
        <x:v>1</x:v>
      </x:c>
      <x:c r="L26" s="37" t="n">
        <x:f>VLOOKUP(IF(B26="Pensioner",C26,Assumptions!$B$10),Mortality!$A$2:$E$104,5,FALSE)</x:f>
        <x:v>15.196570962158528</x:v>
      </x:c>
      <x:c r="M26" s="37" t="n">
        <x:f>1+Assumptions!$B$13*Assumptions!$B$14*Assumptions!$B$15</x:f>
        <x:v>1.31875</x:v>
      </x:c>
      <x:c r="N26" s="37" t="n">
        <x:f>IF(B26="Pensioner",1,1/(1+Assumptions!$B$6)^G26)</x:f>
        <x:v>1</x:v>
      </x:c>
      <x:c r="O26" s="50" t="n">
        <x:f>J26*K26*L26*M26*N26</x:f>
        <x:v>6152426.732598394</x:v>
      </x:c>
    </x:row>
    <x:row r="27">
      <x:c r="A27" s="42" t="str">
        <x:f>Members!A27</x:f>
        <x:v>A0544</x:v>
      </x:c>
      <x:c r="B27" s="42" t="str">
        <x:f>Members!B27</x:f>
        <x:v>Active</x:v>
      </x:c>
      <x:c r="C27" s="42" t="n">
        <x:f>Members!C27</x:f>
        <x:v>43</x:v>
      </x:c>
      <x:c r="D27" s="44" t="n">
        <x:f>Members!D27</x:f>
        <x:v>17.5</x:v>
      </x:c>
      <x:c r="E27" s="48" t="n">
        <x:f>Members!E27</x:f>
        <x:v>780000</x:v>
      </x:c>
      <x:c r="F27" s="48" t="n">
        <x:f>Members!F27</x:f>
        <x:v>0</x:v>
      </x:c>
      <x:c r="G27" s="46" t="n">
        <x:f>MAX(0,Assumptions!$B$10-C27)</x:f>
        <x:v>17</x:v>
      </x:c>
      <x:c r="H27" s="50" t="n">
        <x:f>IF(B27="Active",E27*(1+Assumptions!$B$7)^G27,E27)</x:f>
        <x:v>1938145.675263052</x:v>
      </x:c>
      <x:c r="I27" s="50" t="n">
        <x:f>IF(B27="Active",MIN(Assumptions!$B$12,D27+G27),IF(B27="Deferred",MIN(Assumptions!$B$12,D27),D27))</x:f>
        <x:v>34.5</x:v>
      </x:c>
      <x:c r="J27" s="50" t="n">
        <x:f>IF(B27="Active",H27*I27*Assumptions!$B$11,IF(B27="Deferred",E27*I27*Assumptions!$B$11*(1+Assumptions!$B$9)^G27,F27))</x:f>
        <x:v>1114433.763276255</x:v>
      </x:c>
      <x:c r="K27" s="37" t="n">
        <x:f>IF(B27="Pensioner",1,VLOOKUP(Assumptions!$B$10,Mortality!$A$2:$F$104,6,FALSE)/VLOOKUP(C27,Mortality!$A$2:$F$104,6,FALSE))</x:f>
        <x:v>0.975651758424938</x:v>
      </x:c>
      <x:c r="L27" s="37" t="n">
        <x:f>VLOOKUP(IF(B27="Pensioner",C27,Assumptions!$B$10),Mortality!$A$2:$E$104,5,FALSE)</x:f>
        <x:v>17.296790022132885</x:v>
      </x:c>
      <x:c r="M27" s="37" t="n">
        <x:f>1+Assumptions!$B$13*Assumptions!$B$14*Assumptions!$B$15</x:f>
        <x:v>1.31875</x:v>
      </x:c>
      <x:c r="N27" s="37" t="n">
        <x:f>IF(B27="Pensioner",1,1/(1+Assumptions!$B$6)^G27)</x:f>
        <x:v>0.34281251466174323</x:v>
      </x:c>
      <x:c r="O27" s="50" t="n">
        <x:f>J27*K27*L27*M27*N27</x:f>
        <x:v>8502247.566181356</x:v>
      </x:c>
    </x:row>
    <x:row r="28">
      <x:c r="A28" s="42" t="str">
        <x:f>Members!A28</x:f>
        <x:v>A0026</x:v>
      </x:c>
      <x:c r="B28" s="42" t="str">
        <x:f>Members!B28</x:f>
        <x:v>Active</x:v>
      </x:c>
      <x:c r="C28" s="42" t="n">
        <x:f>Members!C28</x:f>
        <x:v>23</x:v>
      </x:c>
      <x:c r="D28" s="44" t="n">
        <x:f>Members!D28</x:f>
        <x:v>1</x:v>
      </x:c>
      <x:c r="E28" s="48" t="n">
        <x:f>Members!E28</x:f>
        <x:v>538000</x:v>
      </x:c>
      <x:c r="F28" s="48" t="n">
        <x:f>Members!F28</x:f>
        <x:v>0</x:v>
      </x:c>
      <x:c r="G28" s="46" t="n">
        <x:f>MAX(0,Assumptions!$B$10-C28)</x:f>
        <x:v>37</x:v>
      </x:c>
      <x:c r="H28" s="50" t="n">
        <x:f>IF(B28="Active",E28*(1+Assumptions!$B$7)^G28,E28)</x:f>
        <x:v>3900526.94268181</x:v>
      </x:c>
      <x:c r="I28" s="50" t="n">
        <x:f>IF(B28="Active",MIN(Assumptions!$B$12,D28+G28),IF(B28="Deferred",MIN(Assumptions!$B$12,D28),D28))</x:f>
        <x:v>38</x:v>
      </x:c>
      <x:c r="J28" s="50" t="n">
        <x:f>IF(B28="Active",H28*I28*Assumptions!$B$11,IF(B28="Deferred",E28*I28*Assumptions!$B$11*(1+Assumptions!$B$9)^G28,F28))</x:f>
        <x:v>2470333.730365146</x:v>
      </x:c>
      <x:c r="K28" s="37" t="n">
        <x:f>IF(B28="Pensioner",1,VLOOKUP(Assumptions!$B$10,Mortality!$A$2:$F$104,6,FALSE)/VLOOKUP(C28,Mortality!$A$2:$F$104,6,FALSE))</x:f>
        <x:v>0.9684592752197081</x:v>
      </x:c>
      <x:c r="L28" s="37" t="n">
        <x:f>VLOOKUP(IF(B28="Pensioner",C28,Assumptions!$B$10),Mortality!$A$2:$E$104,5,FALSE)</x:f>
        <x:v>17.296790022132885</x:v>
      </x:c>
      <x:c r="M28" s="37" t="n">
        <x:f>1+Assumptions!$B$13*Assumptions!$B$14*Assumptions!$B$15</x:f>
        <x:v>1.31875</x:v>
      </x:c>
      <x:c r="N28" s="37" t="n">
        <x:f>IF(B28="Pensioner",1,1/(1+Assumptions!$B$6)^G28)</x:f>
        <x:v>0.09728917313808341</x:v>
      </x:c>
      <x:c r="O28" s="50" t="n">
        <x:f>J28*K28*L28*M28*N28</x:f>
        <x:v>5309204.935447872</x:v>
      </x:c>
    </x:row>
    <x:row r="29">
      <x:c r="A29" s="42" t="str">
        <x:f>Members!A29</x:f>
        <x:v>A0618</x:v>
      </x:c>
      <x:c r="B29" s="42" t="str">
        <x:f>Members!B29</x:f>
        <x:v>Active</x:v>
      </x:c>
      <x:c r="C29" s="42" t="n">
        <x:f>Members!C29</x:f>
        <x:v>32</x:v>
      </x:c>
      <x:c r="D29" s="44" t="n">
        <x:f>Members!D29</x:f>
        <x:v>5.2</x:v>
      </x:c>
      <x:c r="E29" s="48" t="n">
        <x:f>Members!E29</x:f>
        <x:v>658000</x:v>
      </x:c>
      <x:c r="F29" s="48" t="n">
        <x:f>Members!F29</x:f>
        <x:v>0</x:v>
      </x:c>
      <x:c r="G29" s="46" t="n">
        <x:f>MAX(0,Assumptions!$B$10-C29)</x:f>
        <x:v>28</x:v>
      </x:c>
      <x:c r="H29" s="50" t="n">
        <x:f>IF(B29="Active",E29*(1+Assumptions!$B$7)^G29,E29)</x:f>
        <x:v>2946420.7432572944</x:v>
      </x:c>
      <x:c r="I29" s="50" t="n">
        <x:f>IF(B29="Active",MIN(Assumptions!$B$12,D29+G29),IF(B29="Deferred",MIN(Assumptions!$B$12,D29),D29))</x:f>
        <x:v>33.2</x:v>
      </x:c>
      <x:c r="J29" s="50" t="n">
        <x:f>IF(B29="Active",H29*I29*Assumptions!$B$11,IF(B29="Deferred",E29*I29*Assumptions!$B$11*(1+Assumptions!$B$9)^G29,F29))</x:f>
        <x:v>1630352.8112690365</x:v>
      </x:c>
      <x:c r="K29" s="37" t="n">
        <x:f>IF(B29="Pensioner",1,VLOOKUP(Assumptions!$B$10,Mortality!$A$2:$F$104,6,FALSE)/VLOOKUP(C29,Mortality!$A$2:$F$104,6,FALSE))</x:f>
        <x:v>0.9709584687664957</x:v>
      </x:c>
      <x:c r="L29" s="37" t="n">
        <x:f>VLOOKUP(IF(B29="Pensioner",C29,Assumptions!$B$10),Mortality!$A$2:$E$104,5,FALSE)</x:f>
        <x:v>17.296790022132885</x:v>
      </x:c>
      <x:c r="M29" s="37" t="n">
        <x:f>1+Assumptions!$B$13*Assumptions!$B$14*Assumptions!$B$15</x:f>
        <x:v>1.31875</x:v>
      </x:c>
      <x:c r="N29" s="37" t="n">
        <x:f>IF(B29="Pensioner",1,1/(1+Assumptions!$B$6)^G29)</x:f>
        <x:v>0.17147901583340255</x:v>
      </x:c>
      <x:c r="O29" s="50" t="n">
        <x:f>J29*K29*L29*M29*N29</x:f>
        <x:v>6191861.29259605</x:v>
      </x:c>
    </x:row>
    <x:row r="30">
      <x:c r="A30" s="42" t="str">
        <x:f>Members!A30</x:f>
        <x:v>P0212</x:v>
      </x:c>
      <x:c r="B30" s="42" t="str">
        <x:f>Members!B30</x:f>
        <x:v>Pensioner</x:v>
      </x:c>
      <x:c r="C30" s="42" t="n">
        <x:f>Members!C30</x:f>
        <x:v>86</x:v>
      </x:c>
      <x:c r="D30" s="44" t="n">
        <x:f>Members!D30</x:f>
        <x:v>15.8</x:v>
      </x:c>
      <x:c r="E30" s="48" t="n">
        <x:f>Members!E30</x:f>
        <x:v>0</x:v>
      </x:c>
      <x:c r="F30" s="48" t="n">
        <x:f>Members!F30</x:f>
        <x:v>831000</x:v>
      </x:c>
      <x:c r="G30" s="46" t="n">
        <x:f>MAX(0,Assumptions!$B$10-C30)</x:f>
        <x:v>0</x:v>
      </x:c>
      <x:c r="H30" s="50" t="n">
        <x:f>IF(B30="Active",E30*(1+Assumptions!$B$7)^G30,E30)</x:f>
        <x:v>0</x:v>
      </x:c>
      <x:c r="I30" s="50" t="n">
        <x:f>IF(B30="Active",MIN(Assumptions!$B$12,D30+G30),IF(B30="Deferred",MIN(Assumptions!$B$12,D30),D30))</x:f>
        <x:v>15.8</x:v>
      </x:c>
      <x:c r="J30" s="50" t="n">
        <x:f>IF(B30="Active",H30*I30*Assumptions!$B$11,IF(B30="Deferred",E30*I30*Assumptions!$B$11*(1+Assumptions!$B$9)^G30,F30))</x:f>
        <x:v>831000</x:v>
      </x:c>
      <x:c r="K30" s="37" t="n">
        <x:f>IF(B30="Pensioner",1,VLOOKUP(Assumptions!$B$10,Mortality!$A$2:$F$104,6,FALSE)/VLOOKUP(C30,Mortality!$A$2:$F$104,6,FALSE))</x:f>
        <x:v>1</x:v>
      </x:c>
      <x:c r="L30" s="37" t="n">
        <x:f>VLOOKUP(IF(B30="Pensioner",C30,Assumptions!$B$10),Mortality!$A$2:$E$104,5,FALSE)</x:f>
        <x:v>5.822832972912483</x:v>
      </x:c>
      <x:c r="M30" s="37" t="n">
        <x:f>1+Assumptions!$B$13*Assumptions!$B$14*Assumptions!$B$15</x:f>
        <x:v>1.31875</x:v>
      </x:c>
      <x:c r="N30" s="37" t="n">
        <x:f>IF(B30="Pensioner",1,1/(1+Assumptions!$B$6)^G30)</x:f>
        <x:v>1</x:v>
      </x:c>
      <x:c r="O30" s="50" t="n">
        <x:f>J30*K30*L30*M30*N30</x:f>
        <x:v>6381133.476896549</x:v>
      </x:c>
    </x:row>
    <x:row r="31">
      <x:c r="A31" s="42" t="str">
        <x:f>Members!A31</x:f>
        <x:v>A0559</x:v>
      </x:c>
      <x:c r="B31" s="42" t="str">
        <x:f>Members!B31</x:f>
        <x:v>Active</x:v>
      </x:c>
      <x:c r="C31" s="42" t="n">
        <x:f>Members!C31</x:f>
        <x:v>35</x:v>
      </x:c>
      <x:c r="D31" s="44" t="n">
        <x:f>Members!D31</x:f>
        <x:v>8.1</x:v>
      </x:c>
      <x:c r="E31" s="48" t="n">
        <x:f>Members!E31</x:f>
        <x:v>537000</x:v>
      </x:c>
      <x:c r="F31" s="48" t="n">
        <x:f>Members!F31</x:f>
        <x:v>0</x:v>
      </x:c>
      <x:c r="G31" s="46" t="n">
        <x:f>MAX(0,Assumptions!$B$10-C31)</x:f>
        <x:v>25</x:v>
      </x:c>
      <x:c r="H31" s="50" t="n">
        <x:f>IF(B31="Active",E31*(1+Assumptions!$B$7)^G31,E31)</x:f>
        <x:v>2047791.691209435</x:v>
      </x:c>
      <x:c r="I31" s="50" t="n">
        <x:f>IF(B31="Active",MIN(Assumptions!$B$12,D31+G31),IF(B31="Deferred",MIN(Assumptions!$B$12,D31),D31))</x:f>
        <x:v>33.1</x:v>
      </x:c>
      <x:c r="J31" s="50" t="n">
        <x:f>IF(B31="Active",H31*I31*Assumptions!$B$11,IF(B31="Deferred",E31*I31*Assumptions!$B$11*(1+Assumptions!$B$9)^G31,F31))</x:f>
        <x:v>1129698.4163172052</x:v>
      </x:c>
      <x:c r="K31" s="37" t="n">
        <x:f>IF(B31="Pensioner",1,VLOOKUP(Assumptions!$B$10,Mortality!$A$2:$F$104,6,FALSE)/VLOOKUP(C31,Mortality!$A$2:$F$104,6,FALSE))</x:f>
        <x:v>0.9719740765386753</x:v>
      </x:c>
      <x:c r="L31" s="37" t="n">
        <x:f>VLOOKUP(IF(B31="Pensioner",C31,Assumptions!$B$10),Mortality!$A$2:$E$104,5,FALSE)</x:f>
        <x:v>17.296790022132885</x:v>
      </x:c>
      <x:c r="M31" s="37" t="n">
        <x:f>1+Assumptions!$B$13*Assumptions!$B$14*Assumptions!$B$15</x:f>
        <x:v>1.31875</x:v>
      </x:c>
      <x:c r="N31" s="37" t="n">
        <x:f>IF(B31="Pensioner",1,1/(1+Assumptions!$B$6)^G31)</x:f>
        <x:v>0.20713801287132758</x:v>
      </x:c>
      <x:c r="O31" s="50" t="n">
        <x:f>J31*K31*L31*M31*N31</x:f>
        <x:v>5188060.040919299</x:v>
      </x:c>
    </x:row>
    <x:row r="32">
      <x:c r="A32" s="42" t="str">
        <x:f>Members!A32</x:f>
        <x:v>A0207</x:v>
      </x:c>
      <x:c r="B32" s="42" t="str">
        <x:f>Members!B32</x:f>
        <x:v>Active</x:v>
      </x:c>
      <x:c r="C32" s="42" t="n">
        <x:f>Members!C32</x:f>
        <x:v>55</x:v>
      </x:c>
      <x:c r="D32" s="44" t="n">
        <x:f>Members!D32</x:f>
        <x:v>5.5</x:v>
      </x:c>
      <x:c r="E32" s="48" t="n">
        <x:f>Members!E32</x:f>
        <x:v>2009000</x:v>
      </x:c>
      <x:c r="F32" s="48" t="n">
        <x:f>Members!F32</x:f>
        <x:v>0</x:v>
      </x:c>
      <x:c r="G32" s="46" t="n">
        <x:f>MAX(0,Assumptions!$B$10-C32)</x:f>
        <x:v>5</x:v>
      </x:c>
      <x:c r="H32" s="50" t="n">
        <x:f>IF(B32="Active",E32*(1+Assumptions!$B$7)^G32,E32)</x:f>
        <x:v>2625682.652876434</x:v>
      </x:c>
      <x:c r="I32" s="50" t="n">
        <x:f>IF(B32="Active",MIN(Assumptions!$B$12,D32+G32),IF(B32="Deferred",MIN(Assumptions!$B$12,D32),D32))</x:f>
        <x:v>10.5</x:v>
      </x:c>
      <x:c r="J32" s="50" t="n">
        <x:f>IF(B32="Active",H32*I32*Assumptions!$B$11,IF(B32="Deferred",E32*I32*Assumptions!$B$11*(1+Assumptions!$B$9)^G32,F32))</x:f>
        <x:v>459494.46425337595</x:v>
      </x:c>
      <x:c r="K32" s="37" t="n">
        <x:f>IF(B32="Pensioner",1,VLOOKUP(Assumptions!$B$10,Mortality!$A$2:$F$104,6,FALSE)/VLOOKUP(C32,Mortality!$A$2:$F$104,6,FALSE))</x:f>
        <x:v>0.9882419087499175</x:v>
      </x:c>
      <x:c r="L32" s="37" t="n">
        <x:f>VLOOKUP(IF(B32="Pensioner",C32,Assumptions!$B$10),Mortality!$A$2:$E$104,5,FALSE)</x:f>
        <x:v>17.296790022132885</x:v>
      </x:c>
      <x:c r="M32" s="37" t="n">
        <x:f>1+Assumptions!$B$13*Assumptions!$B$14*Assumptions!$B$15</x:f>
        <x:v>1.31875</x:v>
      </x:c>
      <x:c r="N32" s="37" t="n">
        <x:f>IF(B32="Pensioner",1,1/(1+Assumptions!$B$6)^G32)</x:f>
        <x:v>0.7298808365209549</x:v>
      </x:c>
      <x:c r="O32" s="50" t="n">
        <x:f>J32*K32*L32*M32*N32</x:f>
        <x:v>7560029.633751212</x:v>
      </x:c>
    </x:row>
    <x:row r="33">
      <x:c r="A33" s="42" t="str">
        <x:f>Members!A33</x:f>
        <x:v>P0153</x:v>
      </x:c>
      <x:c r="B33" s="42" t="str">
        <x:f>Members!B33</x:f>
        <x:v>Pensioner</x:v>
      </x:c>
      <x:c r="C33" s="42" t="n">
        <x:f>Members!C33</x:f>
        <x:v>75</x:v>
      </x:c>
      <x:c r="D33" s="44" t="n">
        <x:f>Members!D33</x:f>
        <x:v>31.6</x:v>
      </x:c>
      <x:c r="E33" s="48" t="n">
        <x:f>Members!E33</x:f>
        <x:v>0</x:v>
      </x:c>
      <x:c r="F33" s="48" t="n">
        <x:f>Members!F33</x:f>
        <x:v>300000</x:v>
      </x:c>
      <x:c r="G33" s="46" t="n">
        <x:f>MAX(0,Assumptions!$B$10-C33)</x:f>
        <x:v>0</x:v>
      </x:c>
      <x:c r="H33" s="50" t="n">
        <x:f>IF(B33="Active",E33*(1+Assumptions!$B$7)^G33,E33)</x:f>
        <x:v>0</x:v>
      </x:c>
      <x:c r="I33" s="50" t="n">
        <x:f>IF(B33="Active",MIN(Assumptions!$B$12,D33+G33),IF(B33="Deferred",MIN(Assumptions!$B$12,D33),D33))</x:f>
        <x:v>31.6</x:v>
      </x:c>
      <x:c r="J33" s="50" t="n">
        <x:f>IF(B33="Active",H33*I33*Assumptions!$B$11,IF(B33="Deferred",E33*I33*Assumptions!$B$11*(1+Assumptions!$B$9)^G33,F33))</x:f>
        <x:v>300000</x:v>
      </x:c>
      <x:c r="K33" s="37" t="n">
        <x:f>IF(B33="Pensioner",1,VLOOKUP(Assumptions!$B$10,Mortality!$A$2:$F$104,6,FALSE)/VLOOKUP(C33,Mortality!$A$2:$F$104,6,FALSE))</x:f>
        <x:v>1</x:v>
      </x:c>
      <x:c r="L33" s="37" t="n">
        <x:f>VLOOKUP(IF(B33="Pensioner",C33,Assumptions!$B$10),Mortality!$A$2:$E$104,5,FALSE)</x:f>
        <x:v>10.662474804432929</x:v>
      </x:c>
      <x:c r="M33" s="37" t="n">
        <x:f>1+Assumptions!$B$13*Assumptions!$B$14*Assumptions!$B$15</x:f>
        <x:v>1.31875</x:v>
      </x:c>
      <x:c r="N33" s="37" t="n">
        <x:f>IF(B33="Pensioner",1,1/(1+Assumptions!$B$6)^G33)</x:f>
        <x:v>1</x:v>
      </x:c>
      <x:c r="O33" s="50" t="n">
        <x:f>J33*K33*L33*M33*N33</x:f>
        <x:v>4218341.594503778</x:v>
      </x:c>
    </x:row>
    <x:row r="34">
      <x:c r="A34" s="42" t="str">
        <x:f>Members!A34</x:f>
        <x:v>A0420</x:v>
      </x:c>
      <x:c r="B34" s="42" t="str">
        <x:f>Members!B34</x:f>
        <x:v>Active</x:v>
      </x:c>
      <x:c r="C34" s="42" t="n">
        <x:f>Members!C34</x:f>
        <x:v>39</x:v>
      </x:c>
      <x:c r="D34" s="44" t="n">
        <x:f>Members!D34</x:f>
        <x:v>10.7</x:v>
      </x:c>
      <x:c r="E34" s="48" t="n">
        <x:f>Members!E34</x:f>
        <x:v>722000</x:v>
      </x:c>
      <x:c r="F34" s="48" t="n">
        <x:f>Members!F34</x:f>
        <x:v>0</x:v>
      </x:c>
      <x:c r="G34" s="46" t="n">
        <x:f>MAX(0,Assumptions!$B$10-C34)</x:f>
        <x:v>21</x:v>
      </x:c>
      <x:c r="H34" s="50" t="n">
        <x:f>IF(B34="Active",E34*(1+Assumptions!$B$7)^G34,E34)</x:f>
        <x:v>2222485.0581680406</x:v>
      </x:c>
      <x:c r="I34" s="50" t="n">
        <x:f>IF(B34="Active",MIN(Assumptions!$B$12,D34+G34),IF(B34="Deferred",MIN(Assumptions!$B$12,D34),D34))</x:f>
        <x:v>31.7</x:v>
      </x:c>
      <x:c r="J34" s="50" t="n">
        <x:f>IF(B34="Active",H34*I34*Assumptions!$B$11,IF(B34="Deferred",E34*I34*Assumptions!$B$11*(1+Assumptions!$B$9)^G34,F34))</x:f>
        <x:v>1174212.9390654482</x:v>
      </x:c>
      <x:c r="K34" s="37" t="n">
        <x:f>IF(B34="Pensioner",1,VLOOKUP(Assumptions!$B$10,Mortality!$A$2:$F$104,6,FALSE)/VLOOKUP(C34,Mortality!$A$2:$F$104,6,FALSE))</x:f>
        <x:v>0.973585741778878</x:v>
      </x:c>
      <x:c r="L34" s="37" t="n">
        <x:f>VLOOKUP(IF(B34="Pensioner",C34,Assumptions!$B$10),Mortality!$A$2:$E$104,5,FALSE)</x:f>
        <x:v>17.296790022132885</x:v>
      </x:c>
      <x:c r="M34" s="37" t="n">
        <x:f>1+Assumptions!$B$13*Assumptions!$B$14*Assumptions!$B$15</x:f>
        <x:v>1.31875</x:v>
      </x:c>
      <x:c r="N34" s="37" t="n">
        <x:f>IF(B34="Pensioner",1,1/(1+Assumptions!$B$6)^G34)</x:f>
        <x:v>0.26647608349429097</x:v>
      </x:c>
      <x:c r="O34" s="50" t="n">
        <x:f>J34*K34*L34*M34*N34</x:f>
        <x:v>6948759.636539532</x:v>
      </x:c>
    </x:row>
    <x:row r="35">
      <x:c r="A35" s="42" t="str">
        <x:f>Members!A35</x:f>
        <x:v>A0253</x:v>
      </x:c>
      <x:c r="B35" s="42" t="str">
        <x:f>Members!B35</x:f>
        <x:v>Active</x:v>
      </x:c>
      <x:c r="C35" s="42" t="n">
        <x:f>Members!C35</x:f>
        <x:v>35</x:v>
      </x:c>
      <x:c r="D35" s="44" t="n">
        <x:f>Members!D35</x:f>
        <x:v>6.8</x:v>
      </x:c>
      <x:c r="E35" s="48" t="n">
        <x:f>Members!E35</x:f>
        <x:v>686000</x:v>
      </x:c>
      <x:c r="F35" s="48" t="n">
        <x:f>Members!F35</x:f>
        <x:v>0</x:v>
      </x:c>
      <x:c r="G35" s="46" t="n">
        <x:f>MAX(0,Assumptions!$B$10-C35)</x:f>
        <x:v>25</x:v>
      </x:c>
      <x:c r="H35" s="50" t="n">
        <x:f>IF(B35="Active",E35*(1+Assumptions!$B$7)^G35,E35)</x:f>
        <x:v>2615987.1511539523</x:v>
      </x:c>
      <x:c r="I35" s="50" t="n">
        <x:f>IF(B35="Active",MIN(Assumptions!$B$12,D35+G35),IF(B35="Deferred",MIN(Assumptions!$B$12,D35),D35))</x:f>
        <x:v>31.8</x:v>
      </x:c>
      <x:c r="J35" s="50" t="n">
        <x:f>IF(B35="Active",H35*I35*Assumptions!$B$11,IF(B35="Deferred",E35*I35*Assumptions!$B$11*(1+Assumptions!$B$9)^G35,F35))</x:f>
        <x:v>1386473.190111595</x:v>
      </x:c>
      <x:c r="K35" s="37" t="n">
        <x:f>IF(B35="Pensioner",1,VLOOKUP(Assumptions!$B$10,Mortality!$A$2:$F$104,6,FALSE)/VLOOKUP(C35,Mortality!$A$2:$F$104,6,FALSE))</x:f>
        <x:v>0.9719740765386753</x:v>
      </x:c>
      <x:c r="L35" s="37" t="n">
        <x:f>VLOOKUP(IF(B35="Pensioner",C35,Assumptions!$B$10),Mortality!$A$2:$E$104,5,FALSE)</x:f>
        <x:v>17.296790022132885</x:v>
      </x:c>
      <x:c r="M35" s="37" t="n">
        <x:f>1+Assumptions!$B$13*Assumptions!$B$14*Assumptions!$B$15</x:f>
        <x:v>1.31875</x:v>
      </x:c>
      <x:c r="N35" s="37" t="n">
        <x:f>IF(B35="Pensioner",1,1/(1+Assumptions!$B$6)^G35)</x:f>
        <x:v>0.20713801287132758</x:v>
      </x:c>
      <x:c r="O35" s="50" t="n">
        <x:f>J35*K35*L35*M35*N35</x:f>
        <x:v>6367280.020514907</x:v>
      </x:c>
    </x:row>
    <x:row r="36">
      <x:c r="A36" s="42" t="str">
        <x:f>Members!A36</x:f>
        <x:v>A0192</x:v>
      </x:c>
      <x:c r="B36" s="42" t="str">
        <x:f>Members!B36</x:f>
        <x:v>Active</x:v>
      </x:c>
      <x:c r="C36" s="42" t="n">
        <x:f>Members!C36</x:f>
        <x:v>54</x:v>
      </x:c>
      <x:c r="D36" s="44" t="n">
        <x:f>Members!D36</x:f>
        <x:v>7.5</x:v>
      </x:c>
      <x:c r="E36" s="48" t="n">
        <x:f>Members!E36</x:f>
        <x:v>2041000</x:v>
      </x:c>
      <x:c r="F36" s="48" t="n">
        <x:f>Members!F36</x:f>
        <x:v>0</x:v>
      </x:c>
      <x:c r="G36" s="46" t="n">
        <x:f>MAX(0,Assumptions!$B$10-C36)</x:f>
        <x:v>6</x:v>
      </x:c>
      <x:c r="H36" s="50" t="n">
        <x:f>IF(B36="Active",E36*(1+Assumptions!$B$7)^G36,E36)</x:f>
        <x:v>2814218.168601018</x:v>
      </x:c>
      <x:c r="I36" s="50" t="n">
        <x:f>IF(B36="Active",MIN(Assumptions!$B$12,D36+G36),IF(B36="Deferred",MIN(Assumptions!$B$12,D36),D36))</x:f>
        <x:v>13.5</x:v>
      </x:c>
      <x:c r="J36" s="50" t="n">
        <x:f>IF(B36="Active",H36*I36*Assumptions!$B$11,IF(B36="Deferred",E36*I36*Assumptions!$B$11*(1+Assumptions!$B$9)^G36,F36))</x:f>
        <x:v>633199.0879352291</x:v>
      </x:c>
      <x:c r="K36" s="37" t="n">
        <x:f>IF(B36="Pensioner",1,VLOOKUP(Assumptions!$B$10,Mortality!$A$2:$F$104,6,FALSE)/VLOOKUP(C36,Mortality!$A$2:$F$104,6,FALSE))</x:f>
        <x:v>0.9865535119056937</x:v>
      </x:c>
      <x:c r="L36" s="37" t="n">
        <x:f>VLOOKUP(IF(B36="Pensioner",C36,Assumptions!$B$10),Mortality!$A$2:$E$104,5,FALSE)</x:f>
        <x:v>17.296790022132885</x:v>
      </x:c>
      <x:c r="M36" s="37" t="n">
        <x:f>1+Assumptions!$B$13*Assumptions!$B$14*Assumptions!$B$15</x:f>
        <x:v>1.31875</x:v>
      </x:c>
      <x:c r="N36" s="37" t="n">
        <x:f>IF(B36="Pensioner",1,1/(1+Assumptions!$B$6)^G36)</x:f>
        <x:v>0.6853341187990187</x:v>
      </x:c>
      <x:c r="O36" s="50" t="n">
        <x:f>J36*K36*L36*M36*N36</x:f>
        <x:v>9765427.650052272</x:v>
      </x:c>
    </x:row>
    <x:row r="37">
      <x:c r="A37" s="42" t="str">
        <x:f>Members!A37</x:f>
        <x:v>A0590</x:v>
      </x:c>
      <x:c r="B37" s="42" t="str">
        <x:f>Members!B37</x:f>
        <x:v>Active</x:v>
      </x:c>
      <x:c r="C37" s="42" t="n">
        <x:f>Members!C37</x:f>
        <x:v>22</x:v>
      </x:c>
      <x:c r="D37" s="44" t="n">
        <x:f>Members!D37</x:f>
        <x:v>1</x:v>
      </x:c>
      <x:c r="E37" s="48" t="n">
        <x:f>Members!E37</x:f>
        <x:v>518000</x:v>
      </x:c>
      <x:c r="F37" s="48" t="n">
        <x:f>Members!F37</x:f>
        <x:v>0</x:v>
      </x:c>
      <x:c r="G37" s="46" t="n">
        <x:f>MAX(0,Assumptions!$B$10-C37)</x:f>
        <x:v>38</x:v>
      </x:c>
      <x:c r="H37" s="50" t="n">
        <x:f>IF(B37="Active",E37*(1+Assumptions!$B$7)^G37,E37)</x:f>
        <x:v>3962079.867855357</x:v>
      </x:c>
      <x:c r="I37" s="50" t="n">
        <x:f>IF(B37="Active",MIN(Assumptions!$B$12,D37+G37),IF(B37="Deferred",MIN(Assumptions!$B$12,D37),D37))</x:f>
        <x:v>39</x:v>
      </x:c>
      <x:c r="J37" s="50" t="n">
        <x:f>IF(B37="Active",H37*I37*Assumptions!$B$11,IF(B37="Deferred",E37*I37*Assumptions!$B$11*(1+Assumptions!$B$9)^G37,F37))</x:f>
        <x:v>2575351.914105982</x:v>
      </x:c>
      <x:c r="K37" s="37" t="n">
        <x:f>IF(B37="Pensioner",1,VLOOKUP(Assumptions!$B$10,Mortality!$A$2:$F$104,6,FALSE)/VLOOKUP(C37,Mortality!$A$2:$F$104,6,FALSE))</x:f>
        <x:v>0.9682119922904866</x:v>
      </x:c>
      <x:c r="L37" s="37" t="n">
        <x:f>VLOOKUP(IF(B37="Pensioner",C37,Assumptions!$B$10),Mortality!$A$2:$E$104,5,FALSE)</x:f>
        <x:v>17.296790022132885</x:v>
      </x:c>
      <x:c r="M37" s="37" t="n">
        <x:f>1+Assumptions!$B$13*Assumptions!$B$14*Assumptions!$B$15</x:f>
        <x:v>1.31875</x:v>
      </x:c>
      <x:c r="N37" s="37" t="n">
        <x:f>IF(B37="Pensioner",1,1/(1+Assumptions!$B$6)^G37)</x:f>
        <x:v>0.09135133627989055</x:v>
      </x:c>
      <x:c r="O37" s="50" t="n">
        <x:f>J37*K37*L37*M37*N37</x:f>
        <x:v>5195770.148606478</x:v>
      </x:c>
    </x:row>
    <x:row r="38">
      <x:c r="A38" s="42" t="str">
        <x:f>Members!A38</x:f>
        <x:v>A0155</x:v>
      </x:c>
      <x:c r="B38" s="42" t="str">
        <x:f>Members!B38</x:f>
        <x:v>Active</x:v>
      </x:c>
      <x:c r="C38" s="42" t="n">
        <x:f>Members!C38</x:f>
        <x:v>47</x:v>
      </x:c>
      <x:c r="D38" s="44" t="n">
        <x:f>Members!D38</x:f>
        <x:v>23</x:v>
      </x:c>
      <x:c r="E38" s="48" t="n">
        <x:f>Members!E38</x:f>
        <x:v>1524000</x:v>
      </x:c>
      <x:c r="F38" s="48" t="n">
        <x:f>Members!F38</x:f>
        <x:v>0</x:v>
      </x:c>
      <x:c r="G38" s="46" t="n">
        <x:f>MAX(0,Assumptions!$B$10-C38)</x:f>
        <x:v>13</x:v>
      </x:c>
      <x:c r="H38" s="50" t="n">
        <x:f>IF(B38="Active",E38*(1+Assumptions!$B$7)^G38,E38)</x:f>
        <x:v>3056799.419753047</x:v>
      </x:c>
      <x:c r="I38" s="50" t="n">
        <x:f>IF(B38="Active",MIN(Assumptions!$B$12,D38+G38),IF(B38="Deferred",MIN(Assumptions!$B$12,D38),D38))</x:f>
        <x:v>36</x:v>
      </x:c>
      <x:c r="J38" s="50" t="n">
        <x:f>IF(B38="Active",H38*I38*Assumptions!$B$11,IF(B38="Deferred",E38*I38*Assumptions!$B$11*(1+Assumptions!$B$9)^G38,F38))</x:f>
        <x:v>1834079.6518518284</x:v>
      </x:c>
      <x:c r="K38" s="37" t="n">
        <x:f>IF(B38="Pensioner",1,VLOOKUP(Assumptions!$B$10,Mortality!$A$2:$F$104,6,FALSE)/VLOOKUP(C38,Mortality!$A$2:$F$104,6,FALSE))</x:f>
        <x:v>0.9784451675747989</x:v>
      </x:c>
      <x:c r="L38" s="37" t="n">
        <x:f>VLOOKUP(IF(B38="Pensioner",C38,Assumptions!$B$10),Mortality!$A$2:$E$104,5,FALSE)</x:f>
        <x:v>17.296790022132885</x:v>
      </x:c>
      <x:c r="M38" s="37" t="n">
        <x:f>1+Assumptions!$B$13*Assumptions!$B$14*Assumptions!$B$15</x:f>
        <x:v>1.31875</x:v>
      </x:c>
      <x:c r="N38" s="37" t="n">
        <x:f>IF(B38="Pensioner",1,1/(1+Assumptions!$B$6)^G38)</x:f>
        <x:v>0.4410167646854719</x:v>
      </x:c>
      <x:c r="O38" s="50" t="n">
        <x:f>J38*K38*L38*M38*N38</x:f>
        <x:v>18052517.309758984</x:v>
      </x:c>
    </x:row>
    <x:row r="39">
      <x:c r="A39" s="42" t="str">
        <x:f>Members!A39</x:f>
        <x:v>A0191</x:v>
      </x:c>
      <x:c r="B39" s="42" t="str">
        <x:f>Members!B39</x:f>
        <x:v>Active</x:v>
      </x:c>
      <x:c r="C39" s="42" t="n">
        <x:f>Members!C39</x:f>
        <x:v>38</x:v>
      </x:c>
      <x:c r="D39" s="44" t="n">
        <x:f>Members!D39</x:f>
        <x:v>12.2</x:v>
      </x:c>
      <x:c r="E39" s="48" t="n">
        <x:f>Members!E39</x:f>
        <x:v>812000</x:v>
      </x:c>
      <x:c r="F39" s="48" t="n">
        <x:f>Members!F39</x:f>
        <x:v>0</x:v>
      </x:c>
      <x:c r="G39" s="46" t="n">
        <x:f>MAX(0,Assumptions!$B$10-C39)</x:f>
        <x:v>22</x:v>
      </x:c>
      <x:c r="H39" s="50" t="n">
        <x:f>IF(B39="Active",E39*(1+Assumptions!$B$7)^G39,E39)</x:f>
        <x:v>2637000.069155448</x:v>
      </x:c>
      <x:c r="I39" s="50" t="n">
        <x:f>IF(B39="Active",MIN(Assumptions!$B$12,D39+G39),IF(B39="Deferred",MIN(Assumptions!$B$12,D39),D39))</x:f>
        <x:v>34.2</x:v>
      </x:c>
      <x:c r="J39" s="50" t="n">
        <x:f>IF(B39="Active",H39*I39*Assumptions!$B$11,IF(B39="Deferred",E39*I39*Assumptions!$B$11*(1+Assumptions!$B$9)^G39,F39))</x:f>
        <x:v>1503090.0394186054</x:v>
      </x:c>
      <x:c r="K39" s="37" t="n">
        <x:f>IF(B39="Pensioner",1,VLOOKUP(Assumptions!$B$10,Mortality!$A$2:$F$104,6,FALSE)/VLOOKUP(C39,Mortality!$A$2:$F$104,6,FALSE))</x:f>
        <x:v>0.9731482688168002</x:v>
      </x:c>
      <x:c r="L39" s="37" t="n">
        <x:f>VLOOKUP(IF(B39="Pensioner",C39,Assumptions!$B$10),Mortality!$A$2:$E$104,5,FALSE)</x:f>
        <x:v>17.296790022132885</x:v>
      </x:c>
      <x:c r="M39" s="37" t="n">
        <x:f>1+Assumptions!$B$13*Assumptions!$B$14*Assumptions!$B$15</x:f>
        <x:v>1.31875</x:v>
      </x:c>
      <x:c r="N39" s="37" t="n">
        <x:f>IF(B39="Pensioner",1,1/(1+Assumptions!$B$6)^G39)</x:f>
        <x:v>0.25021228497116527</x:v>
      </x:c>
      <x:c r="O39" s="50" t="n">
        <x:f>J39*K39*L39*M39*N39</x:f>
        <x:v>8348349.572391907</x:v>
      </x:c>
    </x:row>
    <x:row r="40">
      <x:c r="A40" s="42" t="str">
        <x:f>Members!A40</x:f>
        <x:v>A0570</x:v>
      </x:c>
      <x:c r="B40" s="42" t="str">
        <x:f>Members!B40</x:f>
        <x:v>Active</x:v>
      </x:c>
      <x:c r="C40" s="42" t="n">
        <x:f>Members!C40</x:f>
        <x:v>56</x:v>
      </x:c>
      <x:c r="D40" s="44" t="n">
        <x:f>Members!D40</x:f>
        <x:v>9.2</x:v>
      </x:c>
      <x:c r="E40" s="48" t="n">
        <x:f>Members!E40</x:f>
        <x:v>1764000</x:v>
      </x:c>
      <x:c r="F40" s="48" t="n">
        <x:f>Members!F40</x:f>
        <x:v>0</x:v>
      </x:c>
      <x:c r="G40" s="46" t="n">
        <x:f>MAX(0,Assumptions!$B$10-C40)</x:f>
        <x:v>4</x:v>
      </x:c>
      <x:c r="H40" s="50" t="n">
        <x:f>IF(B40="Active",E40*(1+Assumptions!$B$7)^G40,E40)</x:f>
        <x:v>2185286.6837024996</x:v>
      </x:c>
      <x:c r="I40" s="50" t="n">
        <x:f>IF(B40="Active",MIN(Assumptions!$B$12,D40+G40),IF(B40="Deferred",MIN(Assumptions!$B$12,D40),D40))</x:f>
        <x:v>13.2</x:v>
      </x:c>
      <x:c r="J40" s="50" t="n">
        <x:f>IF(B40="Active",H40*I40*Assumptions!$B$11,IF(B40="Deferred",E40*I40*Assumptions!$B$11*(1+Assumptions!$B$9)^G40,F40))</x:f>
        <x:v>480763.07041454985</x:v>
      </x:c>
      <x:c r="K40" s="37" t="n">
        <x:f>IF(B40="Pensioner",1,VLOOKUP(Assumptions!$B$10,Mortality!$A$2:$F$104,6,FALSE)/VLOOKUP(C40,Mortality!$A$2:$F$104,6,FALSE))</x:f>
        <x:v>0.990116255810422</x:v>
      </x:c>
      <x:c r="L40" s="37" t="n">
        <x:f>VLOOKUP(IF(B40="Pensioner",C40,Assumptions!$B$10),Mortality!$A$2:$E$104,5,FALSE)</x:f>
        <x:v>17.296790022132885</x:v>
      </x:c>
      <x:c r="M40" s="37" t="n">
        <x:f>1+Assumptions!$B$13*Assumptions!$B$14*Assumptions!$B$15</x:f>
        <x:v>1.31875</x:v>
      </x:c>
      <x:c r="N40" s="37" t="n">
        <x:f>IF(B40="Pensioner",1,1/(1+Assumptions!$B$6)^G40)</x:f>
        <x:v>0.777323090894817</x:v>
      </x:c>
      <x:c r="O40" s="50" t="n">
        <x:f>J40*K40*L40*M40*N40</x:f>
        <x:v>8440085.49301998</x:v>
      </x:c>
    </x:row>
    <x:row r="41">
      <x:c r="A41" s="42" t="str">
        <x:f>Members!A41</x:f>
        <x:v>A0195</x:v>
      </x:c>
      <x:c r="B41" s="42" t="str">
        <x:f>Members!B41</x:f>
        <x:v>Active</x:v>
      </x:c>
      <x:c r="C41" s="42" t="n">
        <x:f>Members!C41</x:f>
        <x:v>40</x:v>
      </x:c>
      <x:c r="D41" s="44" t="n">
        <x:f>Members!D41</x:f>
        <x:v>1.9</x:v>
      </x:c>
      <x:c r="E41" s="48" t="n">
        <x:f>Members!E41</x:f>
        <x:v>654000</x:v>
      </x:c>
      <x:c r="F41" s="48" t="n">
        <x:f>Members!F41</x:f>
        <x:v>0</x:v>
      </x:c>
      <x:c r="G41" s="46" t="n">
        <x:f>MAX(0,Assumptions!$B$10-C41)</x:f>
        <x:v>20</x:v>
      </x:c>
      <x:c r="H41" s="50" t="n">
        <x:f>IF(B41="Active",E41*(1+Assumptions!$B$7)^G41,E41)</x:f>
        <x:v>1908213.3988550743</x:v>
      </x:c>
      <x:c r="I41" s="50" t="n">
        <x:f>IF(B41="Active",MIN(Assumptions!$B$12,D41+G41),IF(B41="Deferred",MIN(Assumptions!$B$12,D41),D41))</x:f>
        <x:v>21.9</x:v>
      </x:c>
      <x:c r="J41" s="50" t="n">
        <x:f>IF(B41="Active",H41*I41*Assumptions!$B$11,IF(B41="Deferred",E41*I41*Assumptions!$B$11*(1+Assumptions!$B$9)^G41,F41))</x:f>
        <x:v>696497.890582102</x:v>
      </x:c>
      <x:c r="K41" s="37" t="n">
        <x:f>IF(B41="Pensioner",1,VLOOKUP(Assumptions!$B$10,Mortality!$A$2:$F$104,6,FALSE)/VLOOKUP(C41,Mortality!$A$2:$F$104,6,FALSE))</x:f>
        <x:v>0.9740511243198767</x:v>
      </x:c>
      <x:c r="L41" s="37" t="n">
        <x:f>VLOOKUP(IF(B41="Pensioner",C41,Assumptions!$B$10),Mortality!$A$2:$E$104,5,FALSE)</x:f>
        <x:v>17.296790022132885</x:v>
      </x:c>
      <x:c r="M41" s="37" t="n">
        <x:f>1+Assumptions!$B$13*Assumptions!$B$14*Assumptions!$B$15</x:f>
        <x:v>1.31875</x:v>
      </x:c>
      <x:c r="N41" s="37" t="n">
        <x:f>IF(B41="Pensioner",1,1/(1+Assumptions!$B$6)^G41)</x:f>
        <x:v>0.2837970289214199</x:v>
      </x:c>
      <x:c r="O41" s="50" t="n">
        <x:f>J41*K41*L41*M41*N41</x:f>
        <x:v>4391747.753580119</x:v>
      </x:c>
    </x:row>
    <x:row r="42">
      <x:c r="A42" s="42" t="str">
        <x:f>Members!A42</x:f>
        <x:v>P0182</x:v>
      </x:c>
      <x:c r="B42" s="42" t="str">
        <x:f>Members!B42</x:f>
        <x:v>Pensioner</x:v>
      </x:c>
      <x:c r="C42" s="42" t="n">
        <x:f>Members!C42</x:f>
        <x:v>71</x:v>
      </x:c>
      <x:c r="D42" s="44" t="n">
        <x:f>Members!D42</x:f>
        <x:v>18.3</x:v>
      </x:c>
      <x:c r="E42" s="48" t="n">
        <x:f>Members!E42</x:f>
        <x:v>0</x:v>
      </x:c>
      <x:c r="F42" s="48" t="n">
        <x:f>Members!F42</x:f>
        <x:v>380000</x:v>
      </x:c>
      <x:c r="G42" s="46" t="n">
        <x:f>MAX(0,Assumptions!$B$10-C42)</x:f>
        <x:v>0</x:v>
      </x:c>
      <x:c r="H42" s="50" t="n">
        <x:f>IF(B42="Active",E42*(1+Assumptions!$B$7)^G42,E42)</x:f>
        <x:v>0</x:v>
      </x:c>
      <x:c r="I42" s="50" t="n">
        <x:f>IF(B42="Active",MIN(Assumptions!$B$12,D42+G42),IF(B42="Deferred",MIN(Assumptions!$B$12,D42),D42))</x:f>
        <x:v>18.3</x:v>
      </x:c>
      <x:c r="J42" s="50" t="n">
        <x:f>IF(B42="Active",H42*I42*Assumptions!$B$11,IF(B42="Deferred",E42*I42*Assumptions!$B$11*(1+Assumptions!$B$9)^G42,F42))</x:f>
        <x:v>380000</x:v>
      </x:c>
      <x:c r="K42" s="37" t="n">
        <x:f>IF(B42="Pensioner",1,VLOOKUP(Assumptions!$B$10,Mortality!$A$2:$F$104,6,FALSE)/VLOOKUP(C42,Mortality!$A$2:$F$104,6,FALSE))</x:f>
        <x:v>1</x:v>
      </x:c>
      <x:c r="L42" s="37" t="n">
        <x:f>VLOOKUP(IF(B42="Pensioner",C42,Assumptions!$B$10),Mortality!$A$2:$E$104,5,FALSE)</x:f>
        <x:v>12.506703342154774</x:v>
      </x:c>
      <x:c r="M42" s="37" t="n">
        <x:f>1+Assumptions!$B$13*Assumptions!$B$14*Assumptions!$B$15</x:f>
        <x:v>1.31875</x:v>
      </x:c>
      <x:c r="N42" s="37" t="n">
        <x:f>IF(B42="Pensioner",1,1/(1+Assumptions!$B$6)^G42)</x:f>
        <x:v>1</x:v>
      </x:c>
      <x:c r="O42" s="50" t="n">
        <x:f>J42*K42*L42*M42*N42</x:f>
        <x:v>6267421.712337311</x:v>
      </x:c>
    </x:row>
    <x:row r="43">
      <x:c r="A43" s="42" t="str">
        <x:f>Members!A43</x:f>
        <x:v>A0089</x:v>
      </x:c>
      <x:c r="B43" s="42" t="str">
        <x:f>Members!B43</x:f>
        <x:v>Active</x:v>
      </x:c>
      <x:c r="C43" s="42" t="n">
        <x:f>Members!C43</x:f>
        <x:v>52</x:v>
      </x:c>
      <x:c r="D43" s="44" t="n">
        <x:f>Members!D43</x:f>
        <x:v>24.6</x:v>
      </x:c>
      <x:c r="E43" s="48" t="n">
        <x:f>Members!E43</x:f>
        <x:v>1343000</x:v>
      </x:c>
      <x:c r="F43" s="48" t="n">
        <x:f>Members!F43</x:f>
        <x:v>0</x:v>
      </x:c>
      <x:c r="G43" s="46" t="n">
        <x:f>MAX(0,Assumptions!$B$10-C43)</x:f>
        <x:v>8</x:v>
      </x:c>
      <x:c r="H43" s="50" t="n">
        <x:f>IF(B43="Active",E43*(1+Assumptions!$B$7)^G43,E43)</x:f>
        <x:v>2061083.9896398333</x:v>
      </x:c>
      <x:c r="I43" s="50" t="n">
        <x:f>IF(B43="Active",MIN(Assumptions!$B$12,D43+G43),IF(B43="Deferred",MIN(Assumptions!$B$12,D43),D43))</x:f>
        <x:v>32.6</x:v>
      </x:c>
      <x:c r="J43" s="50" t="n">
        <x:f>IF(B43="Active",H43*I43*Assumptions!$B$11,IF(B43="Deferred",E43*I43*Assumptions!$B$11*(1+Assumptions!$B$9)^G43,F43))</x:f>
        <x:v>1119855.6343709761</x:v>
      </x:c>
      <x:c r="K43" s="37" t="n">
        <x:f>IF(B43="Pensioner",1,VLOOKUP(Assumptions!$B$10,Mortality!$A$2:$F$104,6,FALSE)/VLOOKUP(C43,Mortality!$A$2:$F$104,6,FALSE))</x:f>
        <x:v>0.9836527516879843</x:v>
      </x:c>
      <x:c r="L43" s="37" t="n">
        <x:f>VLOOKUP(IF(B43="Pensioner",C43,Assumptions!$B$10),Mortality!$A$2:$E$104,5,FALSE)</x:f>
        <x:v>17.296790022132885</x:v>
      </x:c>
      <x:c r="M43" s="37" t="n">
        <x:f>1+Assumptions!$B$13*Assumptions!$B$14*Assumptions!$B$15</x:f>
        <x:v>1.31875</x:v>
      </x:c>
      <x:c r="N43" s="37" t="n">
        <x:f>IF(B43="Pensioner",1,1/(1+Assumptions!$B$6)^G43)</x:f>
        <x:v>0.6042311876382719</x:v>
      </x:c>
      <x:c r="O43" s="50" t="n">
        <x:f>J43*K43*L43*M43*N43</x:f>
        <x:v>15182209.30153604</x:v>
      </x:c>
    </x:row>
    <x:row r="44">
      <x:c r="A44" s="42" t="str">
        <x:f>Members!A44</x:f>
        <x:v>A0028</x:v>
      </x:c>
      <x:c r="B44" s="42" t="str">
        <x:f>Members!B44</x:f>
        <x:v>Active</x:v>
      </x:c>
      <x:c r="C44" s="42" t="n">
        <x:f>Members!C44</x:f>
        <x:v>39</x:v>
      </x:c>
      <x:c r="D44" s="44" t="n">
        <x:f>Members!D44</x:f>
        <x:v>7.9</x:v>
      </x:c>
      <x:c r="E44" s="48" t="n">
        <x:f>Members!E44</x:f>
        <x:v>715000</x:v>
      </x:c>
      <x:c r="F44" s="48" t="n">
        <x:f>Members!F44</x:f>
        <x:v>0</x:v>
      </x:c>
      <x:c r="G44" s="46" t="n">
        <x:f>MAX(0,Assumptions!$B$10-C44)</x:f>
        <x:v>21</x:v>
      </x:c>
      <x:c r="H44" s="50" t="n">
        <x:f>IF(B44="Active",E44*(1+Assumptions!$B$7)^G44,E44)</x:f>
        <x:v>2200937.4190999297</x:v>
      </x:c>
      <x:c r="I44" s="50" t="n">
        <x:f>IF(B44="Active",MIN(Assumptions!$B$12,D44+G44),IF(B44="Deferred",MIN(Assumptions!$B$12,D44),D44))</x:f>
        <x:v>28.9</x:v>
      </x:c>
      <x:c r="J44" s="50" t="n">
        <x:f>IF(B44="Active",H44*I44*Assumptions!$B$11,IF(B44="Deferred",E44*I44*Assumptions!$B$11*(1+Assumptions!$B$9)^G44,F44))</x:f>
        <x:v>1060118.1901997994</x:v>
      </x:c>
      <x:c r="K44" s="37" t="n">
        <x:f>IF(B44="Pensioner",1,VLOOKUP(Assumptions!$B$10,Mortality!$A$2:$F$104,6,FALSE)/VLOOKUP(C44,Mortality!$A$2:$F$104,6,FALSE))</x:f>
        <x:v>0.973585741778878</x:v>
      </x:c>
      <x:c r="L44" s="37" t="n">
        <x:f>VLOOKUP(IF(B44="Pensioner",C44,Assumptions!$B$10),Mortality!$A$2:$E$104,5,FALSE)</x:f>
        <x:v>17.296790022132885</x:v>
      </x:c>
      <x:c r="M44" s="37" t="n">
        <x:f>1+Assumptions!$B$13*Assumptions!$B$14*Assumptions!$B$15</x:f>
        <x:v>1.31875</x:v>
      </x:c>
      <x:c r="N44" s="37" t="n">
        <x:f>IF(B44="Pensioner",1,1/(1+Assumptions!$B$6)^G44)</x:f>
        <x:v>0.26647608349429097</x:v>
      </x:c>
      <x:c r="O44" s="50" t="n">
        <x:f>J44*K44*L44*M44*N44</x:f>
        <x:v>6273569.5076607475</x:v>
      </x:c>
    </x:row>
    <x:row r="45">
      <x:c r="A45" s="42" t="str">
        <x:f>Members!A45</x:f>
        <x:v>D0001</x:v>
      </x:c>
      <x:c r="B45" s="42" t="str">
        <x:f>Members!B45</x:f>
        <x:v>Deferred</x:v>
      </x:c>
      <x:c r="C45" s="42" t="n">
        <x:f>Members!C45</x:f>
        <x:v>45</x:v>
      </x:c>
      <x:c r="D45" s="44" t="n">
        <x:f>Members!D45</x:f>
        <x:v>12.4</x:v>
      </x:c>
      <x:c r="E45" s="48" t="n">
        <x:f>Members!E45</x:f>
        <x:v>786000</x:v>
      </x:c>
      <x:c r="F45" s="48" t="n">
        <x:f>Members!F45</x:f>
        <x:v>0</x:v>
      </x:c>
      <x:c r="G45" s="46" t="n">
        <x:f>MAX(0,Assumptions!$B$10-C45)</x:f>
        <x:v>15</x:v>
      </x:c>
      <x:c r="H45" s="50" t="n">
        <x:f>IF(B45="Active",E45*(1+Assumptions!$B$7)^G45,E45)</x:f>
        <x:v>786000</x:v>
      </x:c>
      <x:c r="I45" s="50" t="n">
        <x:f>IF(B45="Active",MIN(Assumptions!$B$12,D45+G45),IF(B45="Deferred",MIN(Assumptions!$B$12,D45),D45))</x:f>
        <x:v>12.4</x:v>
      </x:c>
      <x:c r="J45" s="50" t="n">
        <x:f>IF(B45="Active",H45*I45*Assumptions!$B$11,IF(B45="Deferred",E45*I45*Assumptions!$B$11*(1+Assumptions!$B$9)^G45,F45))</x:f>
        <x:v>292545.26303454355</x:v>
      </x:c>
      <x:c r="K45" s="37" t="n">
        <x:f>IF(B45="Pensioner",1,VLOOKUP(Assumptions!$B$10,Mortality!$A$2:$F$104,6,FALSE)/VLOOKUP(C45,Mortality!$A$2:$F$104,6,FALSE))</x:f>
        <x:v>0.9769349478194655</x:v>
      </x:c>
      <x:c r="L45" s="37" t="n">
        <x:f>VLOOKUP(IF(B45="Pensioner",C45,Assumptions!$B$10),Mortality!$A$2:$E$104,5,FALSE)</x:f>
        <x:v>17.296790022132885</x:v>
      </x:c>
      <x:c r="M45" s="37" t="n">
        <x:f>1+Assumptions!$B$13*Assumptions!$B$14*Assumptions!$B$15</x:f>
        <x:v>1.31875</x:v>
      </x:c>
      <x:c r="N45" s="37" t="n">
        <x:f>IF(B45="Pensioner",1,1/(1+Assumptions!$B$6)^G45)</x:f>
        <x:v>0.38882652444221566</x:v>
      </x:c>
      <x:c r="O45" s="50" t="n">
        <x:f>J45*K45*L45*M45*N45</x:f>
        <x:v>2534793.5037311898</x:v>
      </x:c>
    </x:row>
    <x:row r="46">
      <x:c r="A46" s="42" t="str">
        <x:f>Members!A46</x:f>
        <x:v>A0083</x:v>
      </x:c>
      <x:c r="B46" s="42" t="str">
        <x:f>Members!B46</x:f>
        <x:v>Active</x:v>
      </x:c>
      <x:c r="C46" s="42" t="n">
        <x:f>Members!C46</x:f>
        <x:v>48</x:v>
      </x:c>
      <x:c r="D46" s="44" t="n">
        <x:f>Members!D46</x:f>
        <x:v>5.2</x:v>
      </x:c>
      <x:c r="E46" s="48" t="n">
        <x:f>Members!E46</x:f>
        <x:v>1345000</x:v>
      </x:c>
      <x:c r="F46" s="48" t="n">
        <x:f>Members!F46</x:f>
        <x:v>0</x:v>
      </x:c>
      <x:c r="G46" s="46" t="n">
        <x:f>MAX(0,Assumptions!$B$10-C46)</x:f>
        <x:v>12</x:v>
      </x:c>
      <x:c r="H46" s="50" t="n">
        <x:f>IF(B46="Active",E46*(1+Assumptions!$B$7)^G46,E46)</x:f>
        <x:v>2557124.0683458652</x:v>
      </x:c>
      <x:c r="I46" s="50" t="n">
        <x:f>IF(B46="Active",MIN(Assumptions!$B$12,D46+G46),IF(B46="Deferred",MIN(Assumptions!$B$12,D46),D46))</x:f>
        <x:v>17.2</x:v>
      </x:c>
      <x:c r="J46" s="50" t="n">
        <x:f>IF(B46="Active",H46*I46*Assumptions!$B$11,IF(B46="Deferred",E46*I46*Assumptions!$B$11*(1+Assumptions!$B$9)^G46,F46))</x:f>
        <x:v>733042.2329258146</x:v>
      </x:c>
      <x:c r="K46" s="37" t="n">
        <x:f>IF(B46="Pensioner",1,VLOOKUP(Assumptions!$B$10,Mortality!$A$2:$F$104,6,FALSE)/VLOOKUP(C46,Mortality!$A$2:$F$104,6,FALSE))</x:f>
        <x:v>0.9793037429736591</x:v>
      </x:c>
      <x:c r="L46" s="37" t="n">
        <x:f>VLOOKUP(IF(B46="Pensioner",C46,Assumptions!$B$10),Mortality!$A$2:$E$104,5,FALSE)</x:f>
        <x:v>17.296790022132885</x:v>
      </x:c>
      <x:c r="M46" s="37" t="n">
        <x:f>1+Assumptions!$B$13*Assumptions!$B$14*Assumptions!$B$15</x:f>
        <x:v>1.31875</x:v>
      </x:c>
      <x:c r="N46" s="37" t="n">
        <x:f>IF(B46="Pensioner",1,1/(1+Assumptions!$B$6)^G46)</x:f>
        <x:v>0.4696828543900276</x:v>
      </x:c>
      <x:c r="O46" s="50" t="n">
        <x:f>J46*K46*L46*M46*N46</x:f>
        <x:v>7690934.336678775</x:v>
      </x:c>
    </x:row>
    <x:row r="47">
      <x:c r="A47" s="42" t="str">
        <x:f>Members!A47</x:f>
        <x:v>P0071</x:v>
      </x:c>
      <x:c r="B47" s="42" t="str">
        <x:f>Members!B47</x:f>
        <x:v>Pensioner</x:v>
      </x:c>
      <x:c r="C47" s="42" t="n">
        <x:f>Members!C47</x:f>
        <x:v>88</x:v>
      </x:c>
      <x:c r="D47" s="44" t="n">
        <x:f>Members!D47</x:f>
        <x:v>36.3</x:v>
      </x:c>
      <x:c r="E47" s="48" t="n">
        <x:f>Members!E47</x:f>
        <x:v>0</x:v>
      </x:c>
      <x:c r="F47" s="48" t="n">
        <x:f>Members!F47</x:f>
        <x:v>732000</x:v>
      </x:c>
      <x:c r="G47" s="46" t="n">
        <x:f>MAX(0,Assumptions!$B$10-C47)</x:f>
        <x:v>0</x:v>
      </x:c>
      <x:c r="H47" s="50" t="n">
        <x:f>IF(B47="Active",E47*(1+Assumptions!$B$7)^G47,E47)</x:f>
        <x:v>0</x:v>
      </x:c>
      <x:c r="I47" s="50" t="n">
        <x:f>IF(B47="Active",MIN(Assumptions!$B$12,D47+G47),IF(B47="Deferred",MIN(Assumptions!$B$12,D47),D47))</x:f>
        <x:v>36.3</x:v>
      </x:c>
      <x:c r="J47" s="50" t="n">
        <x:f>IF(B47="Active",H47*I47*Assumptions!$B$11,IF(B47="Deferred",E47*I47*Assumptions!$B$11*(1+Assumptions!$B$9)^G47,F47))</x:f>
        <x:v>732000</x:v>
      </x:c>
      <x:c r="K47" s="37" t="n">
        <x:f>IF(B47="Pensioner",1,VLOOKUP(Assumptions!$B$10,Mortality!$A$2:$F$104,6,FALSE)/VLOOKUP(C47,Mortality!$A$2:$F$104,6,FALSE))</x:f>
        <x:v>1</x:v>
      </x:c>
      <x:c r="L47" s="37" t="n">
        <x:f>VLOOKUP(IF(B47="Pensioner",C47,Assumptions!$B$10),Mortality!$A$2:$E$104,5,FALSE)</x:f>
        <x:v>5.043742896221734</x:v>
      </x:c>
      <x:c r="M47" s="37" t="n">
        <x:f>1+Assumptions!$B$13*Assumptions!$B$14*Assumptions!$B$15</x:f>
        <x:v>1.31875</x:v>
      </x:c>
      <x:c r="N47" s="37" t="n">
        <x:f>IF(B47="Pensioner",1,1/(1+Assumptions!$B$6)^G47)</x:f>
        <x:v>1</x:v>
      </x:c>
      <x:c r="O47" s="50" t="n">
        <x:f>J47*K47*L47*M47*N47</x:f>
        <x:v>4868851.111295246</x:v>
      </x:c>
    </x:row>
    <x:row r="48">
      <x:c r="A48" s="42" t="str">
        <x:f>Members!A48</x:f>
        <x:v>P0067</x:v>
      </x:c>
      <x:c r="B48" s="42" t="str">
        <x:f>Members!B48</x:f>
        <x:v>Pensioner</x:v>
      </x:c>
      <x:c r="C48" s="42" t="n">
        <x:f>Members!C48</x:f>
        <x:v>62</x:v>
      </x:c>
      <x:c r="D48" s="44" t="n">
        <x:f>Members!D48</x:f>
        <x:v>35.5</x:v>
      </x:c>
      <x:c r="E48" s="48" t="n">
        <x:f>Members!E48</x:f>
        <x:v>0</x:v>
      </x:c>
      <x:c r="F48" s="48" t="n">
        <x:f>Members!F48</x:f>
        <x:v>285000</x:v>
      </x:c>
      <x:c r="G48" s="46" t="n">
        <x:f>MAX(0,Assumptions!$B$10-C48)</x:f>
        <x:v>0</x:v>
      </x:c>
      <x:c r="H48" s="50" t="n">
        <x:f>IF(B48="Active",E48*(1+Assumptions!$B$7)^G48,E48)</x:f>
        <x:v>0</x:v>
      </x:c>
      <x:c r="I48" s="50" t="n">
        <x:f>IF(B48="Active",MIN(Assumptions!$B$12,D48+G48),IF(B48="Deferred",MIN(Assumptions!$B$12,D48),D48))</x:f>
        <x:v>35.5</x:v>
      </x:c>
      <x:c r="J48" s="50" t="n">
        <x:f>IF(B48="Active",H48*I48*Assumptions!$B$11,IF(B48="Deferred",E48*I48*Assumptions!$B$11*(1+Assumptions!$B$9)^G48,F48))</x:f>
        <x:v>285000</x:v>
      </x:c>
      <x:c r="K48" s="37" t="n">
        <x:f>IF(B48="Pensioner",1,VLOOKUP(Assumptions!$B$10,Mortality!$A$2:$F$104,6,FALSE)/VLOOKUP(C48,Mortality!$A$2:$F$104,6,FALSE))</x:f>
        <x:v>1</x:v>
      </x:c>
      <x:c r="L48" s="37" t="n">
        <x:f>VLOOKUP(IF(B48="Pensioner",C48,Assumptions!$B$10),Mortality!$A$2:$E$104,5,FALSE)</x:f>
        <x:v>16.475532548255334</x:v>
      </x:c>
      <x:c r="M48" s="37" t="n">
        <x:f>1+Assumptions!$B$13*Assumptions!$B$14*Assumptions!$B$15</x:f>
        <x:v>1.31875</x:v>
      </x:c>
      <x:c r="N48" s="37" t="n">
        <x:f>IF(B48="Pensioner",1,1/(1+Assumptions!$B$6)^G48)</x:f>
        <x:v>1</x:v>
      </x:c>
      <x:c r="O48" s="50" t="n">
        <x:f>J48*K48*L48*M48*N48</x:f>
        <x:v>6192225.936183341</x:v>
      </x:c>
    </x:row>
    <x:row r="49">
      <x:c r="A49" s="42" t="str">
        <x:f>Members!A49</x:f>
        <x:v>P0098</x:v>
      </x:c>
      <x:c r="B49" s="42" t="str">
        <x:f>Members!B49</x:f>
        <x:v>Pensioner</x:v>
      </x:c>
      <x:c r="C49" s="42" t="n">
        <x:f>Members!C49</x:f>
        <x:v>76</x:v>
      </x:c>
      <x:c r="D49" s="44" t="n">
        <x:f>Members!D49</x:f>
        <x:v>16.8</x:v>
      </x:c>
      <x:c r="E49" s="48" t="n">
        <x:f>Members!E49</x:f>
        <x:v>0</x:v>
      </x:c>
      <x:c r="F49" s="48" t="n">
        <x:f>Members!F49</x:f>
        <x:v>436000</x:v>
      </x:c>
      <x:c r="G49" s="46" t="n">
        <x:f>MAX(0,Assumptions!$B$10-C49)</x:f>
        <x:v>0</x:v>
      </x:c>
      <x:c r="H49" s="50" t="n">
        <x:f>IF(B49="Active",E49*(1+Assumptions!$B$7)^G49,E49)</x:f>
        <x:v>0</x:v>
      </x:c>
      <x:c r="I49" s="50" t="n">
        <x:f>IF(B49="Active",MIN(Assumptions!$B$12,D49+G49),IF(B49="Deferred",MIN(Assumptions!$B$12,D49),D49))</x:f>
        <x:v>16.8</x:v>
      </x:c>
      <x:c r="J49" s="50" t="n">
        <x:f>IF(B49="Active",H49*I49*Assumptions!$B$11,IF(B49="Deferred",E49*I49*Assumptions!$B$11*(1+Assumptions!$B$9)^G49,F49))</x:f>
        <x:v>436000</x:v>
      </x:c>
      <x:c r="K49" s="37" t="n">
        <x:f>IF(B49="Pensioner",1,VLOOKUP(Assumptions!$B$10,Mortality!$A$2:$F$104,6,FALSE)/VLOOKUP(C49,Mortality!$A$2:$F$104,6,FALSE))</x:f>
        <x:v>1</x:v>
      </x:c>
      <x:c r="L49" s="37" t="n">
        <x:f>VLOOKUP(IF(B49="Pensioner",C49,Assumptions!$B$10),Mortality!$A$2:$E$104,5,FALSE)</x:f>
        <x:v>10.201355966192867</x:v>
      </x:c>
      <x:c r="M49" s="37" t="n">
        <x:f>1+Assumptions!$B$13*Assumptions!$B$14*Assumptions!$B$15</x:f>
        <x:v>1.31875</x:v>
      </x:c>
      <x:c r="N49" s="37" t="n">
        <x:f>IF(B49="Pensioner",1,1/(1+Assumptions!$B$6)^G49)</x:f>
        <x:v>1</x:v>
      </x:c>
      <x:c r="O49" s="50" t="n">
        <x:f>J49*K49*L49*M49*N49</x:f>
        <x:v>5865524.6466617435</x:v>
      </x:c>
    </x:row>
    <x:row r="50">
      <x:c r="A50" s="42" t="str">
        <x:f>Members!A50</x:f>
        <x:v>A0560</x:v>
      </x:c>
      <x:c r="B50" s="42" t="str">
        <x:f>Members!B50</x:f>
        <x:v>Active</x:v>
      </x:c>
      <x:c r="C50" s="42" t="n">
        <x:f>Members!C50</x:f>
        <x:v>29</x:v>
      </x:c>
      <x:c r="D50" s="44" t="n">
        <x:f>Members!D50</x:f>
        <x:v>7.9</x:v>
      </x:c>
      <x:c r="E50" s="48" t="n">
        <x:f>Members!E50</x:f>
        <x:v>492000</x:v>
      </x:c>
      <x:c r="F50" s="48" t="n">
        <x:f>Members!F50</x:f>
        <x:v>0</x:v>
      </x:c>
      <x:c r="G50" s="46" t="n">
        <x:f>MAX(0,Assumptions!$B$10-C50)</x:f>
        <x:v>31</x:v>
      </x:c>
      <x:c r="H50" s="50" t="n">
        <x:f>IF(B50="Active",E50*(1+Assumptions!$B$7)^G50,E50)</x:f>
        <x:v>2586969.7557543395</x:v>
      </x:c>
      <x:c r="I50" s="50" t="n">
        <x:f>IF(B50="Active",MIN(Assumptions!$B$12,D50+G50),IF(B50="Deferred",MIN(Assumptions!$B$12,D50),D50))</x:f>
        <x:v>38.9</x:v>
      </x:c>
      <x:c r="J50" s="50" t="n">
        <x:f>IF(B50="Active",H50*I50*Assumptions!$B$11,IF(B50="Deferred",E50*I50*Assumptions!$B$11*(1+Assumptions!$B$9)^G50,F50))</x:f>
        <x:v>1677218.72498073</x:v>
      </x:c>
      <x:c r="K50" s="37" t="n">
        <x:f>IF(B50="Pensioner",1,VLOOKUP(Assumptions!$B$10,Mortality!$A$2:$F$104,6,FALSE)/VLOOKUP(C50,Mortality!$A$2:$F$104,6,FALSE))</x:f>
        <x:v>0.9700544954739736</x:v>
      </x:c>
      <x:c r="L50" s="37" t="n">
        <x:f>VLOOKUP(IF(B50="Pensioner",C50,Assumptions!$B$10),Mortality!$A$2:$E$104,5,FALSE)</x:f>
        <x:v>17.296790022132885</x:v>
      </x:c>
      <x:c r="M50" s="37" t="n">
        <x:f>1+Assumptions!$B$13*Assumptions!$B$14*Assumptions!$B$15</x:f>
        <x:v>1.31875</x:v>
      </x:c>
      <x:c r="N50" s="37" t="n">
        <x:f>IF(B50="Pensioner",1,1/(1+Assumptions!$B$6)^G50)</x:f>
        <x:v>0.1419587475209511</x:v>
      </x:c>
      <x:c r="O50" s="50" t="n">
        <x:f>J50*K50*L50*M50*N50</x:f>
        <x:v>5268366.503883008</x:v>
      </x:c>
    </x:row>
    <x:row r="51">
      <x:c r="A51" s="42" t="str">
        <x:f>Members!A51</x:f>
        <x:v>P0181</x:v>
      </x:c>
      <x:c r="B51" s="42" t="str">
        <x:f>Members!B51</x:f>
        <x:v>Pensioner</x:v>
      </x:c>
      <x:c r="C51" s="42" t="n">
        <x:f>Members!C51</x:f>
        <x:v>79</x:v>
      </x:c>
      <x:c r="D51" s="44" t="n">
        <x:f>Members!D51</x:f>
        <x:v>35.1</x:v>
      </x:c>
      <x:c r="E51" s="48" t="n">
        <x:f>Members!E51</x:f>
        <x:v>0</x:v>
      </x:c>
      <x:c r="F51" s="48" t="n">
        <x:f>Members!F51</x:f>
        <x:v>635000</x:v>
      </x:c>
      <x:c r="G51" s="46" t="n">
        <x:f>MAX(0,Assumptions!$B$10-C51)</x:f>
        <x:v>0</x:v>
      </x:c>
      <x:c r="H51" s="50" t="n">
        <x:f>IF(B51="Active",E51*(1+Assumptions!$B$7)^G51,E51)</x:f>
        <x:v>0</x:v>
      </x:c>
      <x:c r="I51" s="50" t="n">
        <x:f>IF(B51="Active",MIN(Assumptions!$B$12,D51+G51),IF(B51="Deferred",MIN(Assumptions!$B$12,D51),D51))</x:f>
        <x:v>35.1</x:v>
      </x:c>
      <x:c r="J51" s="50" t="n">
        <x:f>IF(B51="Active",H51*I51*Assumptions!$B$11,IF(B51="Deferred",E51*I51*Assumptions!$B$11*(1+Assumptions!$B$9)^G51,F51))</x:f>
        <x:v>635000</x:v>
      </x:c>
      <x:c r="K51" s="37" t="n">
        <x:f>IF(B51="Pensioner",1,VLOOKUP(Assumptions!$B$10,Mortality!$A$2:$F$104,6,FALSE)/VLOOKUP(C51,Mortality!$A$2:$F$104,6,FALSE))</x:f>
        <x:v>1</x:v>
      </x:c>
      <x:c r="L51" s="37" t="n">
        <x:f>VLOOKUP(IF(B51="Pensioner",C51,Assumptions!$B$10),Mortality!$A$2:$E$104,5,FALSE)</x:f>
        <x:v>8.83093256291476</x:v>
      </x:c>
      <x:c r="M51" s="37" t="n">
        <x:f>1+Assumptions!$B$13*Assumptions!$B$14*Assumptions!$B$15</x:f>
        <x:v>1.31875</x:v>
      </x:c>
      <x:c r="N51" s="37" t="n">
        <x:f>IF(B51="Pensioner",1,1/(1+Assumptions!$B$6)^G51)</x:f>
        <x:v>1</x:v>
      </x:c>
      <x:c r="O51" s="50" t="n">
        <x:f>J51*K51*L51*M51*N51</x:f>
        <x:v>7395078.121513339</x:v>
      </x:c>
    </x:row>
    <x:row r="52">
      <x:c r="A52" s="42" t="str">
        <x:f>Members!A52</x:f>
        <x:v>A0248</x:v>
      </x:c>
      <x:c r="B52" s="42" t="str">
        <x:f>Members!B52</x:f>
        <x:v>Active</x:v>
      </x:c>
      <x:c r="C52" s="42" t="n">
        <x:f>Members!C52</x:f>
        <x:v>53</x:v>
      </x:c>
      <x:c r="D52" s="44" t="n">
        <x:f>Members!D52</x:f>
        <x:v>10.1</x:v>
      </x:c>
      <x:c r="E52" s="48" t="n">
        <x:f>Members!E52</x:f>
        <x:v>1512000</x:v>
      </x:c>
      <x:c r="F52" s="48" t="n">
        <x:f>Members!F52</x:f>
        <x:v>0</x:v>
      </x:c>
      <x:c r="G52" s="46" t="n">
        <x:f>MAX(0,Assumptions!$B$10-C52)</x:f>
        <x:v>7</x:v>
      </x:c>
      <x:c r="H52" s="50" t="n">
        <x:f>IF(B52="Active",E52*(1+Assumptions!$B$7)^G52,E52)</x:f>
        <x:v>2199474.8916342966</x:v>
      </x:c>
      <x:c r="I52" s="50" t="n">
        <x:f>IF(B52="Active",MIN(Assumptions!$B$12,D52+G52),IF(B52="Deferred",MIN(Assumptions!$B$12,D52),D52))</x:f>
        <x:v>17.1</x:v>
      </x:c>
      <x:c r="J52" s="50" t="n">
        <x:f>IF(B52="Active",H52*I52*Assumptions!$B$11,IF(B52="Deferred",E52*I52*Assumptions!$B$11*(1+Assumptions!$B$9)^G52,F52))</x:f>
        <x:v>626850.3441157746</x:v>
      </x:c>
      <x:c r="K52" s="37" t="n">
        <x:f>IF(B52="Pensioner",1,VLOOKUP(Assumptions!$B$10,Mortality!$A$2:$F$104,6,FALSE)/VLOOKUP(C52,Mortality!$A$2:$F$104,6,FALSE))</x:f>
        <x:v>0.9850300017431317</x:v>
      </x:c>
      <x:c r="L52" s="37" t="n">
        <x:f>VLOOKUP(IF(B52="Pensioner",C52,Assumptions!$B$10),Mortality!$A$2:$E$104,5,FALSE)</x:f>
        <x:v>17.296790022132885</x:v>
      </x:c>
      <x:c r="M52" s="37" t="n">
        <x:f>1+Assumptions!$B$13*Assumptions!$B$14*Assumptions!$B$15</x:f>
        <x:v>1.31875</x:v>
      </x:c>
      <x:c r="N52" s="37" t="n">
        <x:f>IF(B52="Pensioner",1,1/(1+Assumptions!$B$6)^G52)</x:f>
        <x:v>0.6435062148347594</x:v>
      </x:c>
      <x:c r="O52" s="50" t="n">
        <x:f>J52*K52*L52*M52*N52</x:f>
        <x:v>9063460.75072806</x:v>
      </x:c>
    </x:row>
    <x:row r="53">
      <x:c r="A53" s="42" t="str">
        <x:f>Members!A53</x:f>
        <x:v>P0152</x:v>
      </x:c>
      <x:c r="B53" s="42" t="str">
        <x:f>Members!B53</x:f>
        <x:v>Pensioner</x:v>
      </x:c>
      <x:c r="C53" s="42" t="n">
        <x:f>Members!C53</x:f>
        <x:v>87</x:v>
      </x:c>
      <x:c r="D53" s="44" t="n">
        <x:f>Members!D53</x:f>
        <x:v>17.5</x:v>
      </x:c>
      <x:c r="E53" s="48" t="n">
        <x:f>Members!E53</x:f>
        <x:v>0</x:v>
      </x:c>
      <x:c r="F53" s="48" t="n">
        <x:f>Members!F53</x:f>
        <x:v>803000</x:v>
      </x:c>
      <x:c r="G53" s="46" t="n">
        <x:f>MAX(0,Assumptions!$B$10-C53)</x:f>
        <x:v>0</x:v>
      </x:c>
      <x:c r="H53" s="50" t="n">
        <x:f>IF(B53="Active",E53*(1+Assumptions!$B$7)^G53,E53)</x:f>
        <x:v>0</x:v>
      </x:c>
      <x:c r="I53" s="50" t="n">
        <x:f>IF(B53="Active",MIN(Assumptions!$B$12,D53+G53),IF(B53="Deferred",MIN(Assumptions!$B$12,D53),D53))</x:f>
        <x:v>17.5</x:v>
      </x:c>
      <x:c r="J53" s="50" t="n">
        <x:f>IF(B53="Active",H53*I53*Assumptions!$B$11,IF(B53="Deferred",E53*I53*Assumptions!$B$11*(1+Assumptions!$B$9)^G53,F53))</x:f>
        <x:v>803000</x:v>
      </x:c>
      <x:c r="K53" s="37" t="n">
        <x:f>IF(B53="Pensioner",1,VLOOKUP(Assumptions!$B$10,Mortality!$A$2:$F$104,6,FALSE)/VLOOKUP(C53,Mortality!$A$2:$F$104,6,FALSE))</x:f>
        <x:v>1</x:v>
      </x:c>
      <x:c r="L53" s="37" t="n">
        <x:f>VLOOKUP(IF(B53="Pensioner",C53,Assumptions!$B$10),Mortality!$A$2:$E$104,5,FALSE)</x:f>
        <x:v>5.427731360162463</x:v>
      </x:c>
      <x:c r="M53" s="37" t="n">
        <x:f>1+Assumptions!$B$13*Assumptions!$B$14*Assumptions!$B$15</x:f>
        <x:v>1.31875</x:v>
      </x:c>
      <x:c r="N53" s="37" t="n">
        <x:f>IF(B53="Pensioner",1,1/(1+Assumptions!$B$6)^G53)</x:f>
        <x:v>1</x:v>
      </x:c>
      <x:c r="O53" s="50" t="n">
        <x:f>J53*K53*L53*M53*N53</x:f>
        <x:v>5747730.047165042</x:v>
      </x:c>
    </x:row>
    <x:row r="54">
      <x:c r="A54" s="42" t="str">
        <x:f>Members!A54</x:f>
        <x:v>P0021</x:v>
      </x:c>
      <x:c r="B54" s="42" t="str">
        <x:f>Members!B54</x:f>
        <x:v>Pensioner</x:v>
      </x:c>
      <x:c r="C54" s="42" t="n">
        <x:f>Members!C54</x:f>
        <x:v>84</x:v>
      </x:c>
      <x:c r="D54" s="44" t="n">
        <x:f>Members!D54</x:f>
        <x:v>37.2</x:v>
      </x:c>
      <x:c r="E54" s="48" t="n">
        <x:f>Members!E54</x:f>
        <x:v>0</x:v>
      </x:c>
      <x:c r="F54" s="48" t="n">
        <x:f>Members!F54</x:f>
        <x:v>780000</x:v>
      </x:c>
      <x:c r="G54" s="46" t="n">
        <x:f>MAX(0,Assumptions!$B$10-C54)</x:f>
        <x:v>0</x:v>
      </x:c>
      <x:c r="H54" s="50" t="n">
        <x:f>IF(B54="Active",E54*(1+Assumptions!$B$7)^G54,E54)</x:f>
        <x:v>0</x:v>
      </x:c>
      <x:c r="I54" s="50" t="n">
        <x:f>IF(B54="Active",MIN(Assumptions!$B$12,D54+G54),IF(B54="Deferred",MIN(Assumptions!$B$12,D54),D54))</x:f>
        <x:v>37.2</x:v>
      </x:c>
      <x:c r="J54" s="50" t="n">
        <x:f>IF(B54="Active",H54*I54*Assumptions!$B$11,IF(B54="Deferred",E54*I54*Assumptions!$B$11*(1+Assumptions!$B$9)^G54,F54))</x:f>
        <x:v>780000</x:v>
      </x:c>
      <x:c r="K54" s="37" t="n">
        <x:f>IF(B54="Pensioner",1,VLOOKUP(Assumptions!$B$10,Mortality!$A$2:$F$104,6,FALSE)/VLOOKUP(C54,Mortality!$A$2:$F$104,6,FALSE))</x:f>
        <x:v>1</x:v>
      </x:c>
      <x:c r="L54" s="37" t="n">
        <x:f>VLOOKUP(IF(B54="Pensioner",C54,Assumptions!$B$10),Mortality!$A$2:$E$104,5,FALSE)</x:f>
        <x:v>6.643272096517531</x:v>
      </x:c>
      <x:c r="M54" s="37" t="n">
        <x:f>1+Assumptions!$B$13*Assumptions!$B$14*Assumptions!$B$15</x:f>
        <x:v>1.31875</x:v>
      </x:c>
      <x:c r="N54" s="37" t="n">
        <x:f>IF(B54="Pensioner",1,1/(1+Assumptions!$B$6)^G54)</x:f>
        <x:v>1</x:v>
      </x:c>
      <x:c r="O54" s="50" t="n">
        <x:f>J54*K54*L54*M54*N54</x:f>
        <x:v>6833435.7602803465</x:v>
      </x:c>
    </x:row>
    <x:row r="55">
      <x:c r="A55" s="42" t="str">
        <x:f>Members!A55</x:f>
        <x:v>A0426</x:v>
      </x:c>
      <x:c r="B55" s="42" t="str">
        <x:f>Members!B55</x:f>
        <x:v>Active</x:v>
      </x:c>
      <x:c r="C55" s="42" t="n">
        <x:f>Members!C55</x:f>
        <x:v>53</x:v>
      </x:c>
      <x:c r="D55" s="44" t="n">
        <x:f>Members!D55</x:f>
        <x:v>18.4</x:v>
      </x:c>
      <x:c r="E55" s="48" t="n">
        <x:f>Members!E55</x:f>
        <x:v>1182000</x:v>
      </x:c>
      <x:c r="F55" s="48" t="n">
        <x:f>Members!F55</x:f>
        <x:v>0</x:v>
      </x:c>
      <x:c r="G55" s="46" t="n">
        <x:f>MAX(0,Assumptions!$B$10-C55)</x:f>
        <x:v>7</x:v>
      </x:c>
      <x:c r="H55" s="50" t="n">
        <x:f>IF(B55="Active",E55*(1+Assumptions!$B$7)^G55,E55)</x:f>
        <x:v>1719430.7684601448</x:v>
      </x:c>
      <x:c r="I55" s="50" t="n">
        <x:f>IF(B55="Active",MIN(Assumptions!$B$12,D55+G55),IF(B55="Deferred",MIN(Assumptions!$B$12,D55),D55))</x:f>
        <x:v>25.4</x:v>
      </x:c>
      <x:c r="J55" s="50" t="n">
        <x:f>IF(B55="Active",H55*I55*Assumptions!$B$11,IF(B55="Deferred",E55*I55*Assumptions!$B$11*(1+Assumptions!$B$9)^G55,F55))</x:f>
        <x:v>727892.3586481279</x:v>
      </x:c>
      <x:c r="K55" s="37" t="n">
        <x:f>IF(B55="Pensioner",1,VLOOKUP(Assumptions!$B$10,Mortality!$A$2:$F$104,6,FALSE)/VLOOKUP(C55,Mortality!$A$2:$F$104,6,FALSE))</x:f>
        <x:v>0.9850300017431317</x:v>
      </x:c>
      <x:c r="L55" s="37" t="n">
        <x:f>VLOOKUP(IF(B55="Pensioner",C55,Assumptions!$B$10),Mortality!$A$2:$E$104,5,FALSE)</x:f>
        <x:v>17.296790022132885</x:v>
      </x:c>
      <x:c r="M55" s="37" t="n">
        <x:f>1+Assumptions!$B$13*Assumptions!$B$14*Assumptions!$B$15</x:f>
        <x:v>1.31875</x:v>
      </x:c>
      <x:c r="N55" s="37" t="n">
        <x:f>IF(B55="Pensioner",1,1/(1+Assumptions!$B$6)^G55)</x:f>
        <x:v>0.6435062148347594</x:v>
      </x:c>
      <x:c r="O55" s="50" t="n">
        <x:f>J55*K55*L55*M55*N55</x:f>
        <x:v>10524400.098508555</x:v>
      </x:c>
    </x:row>
    <x:row r="56">
      <x:c r="A56" s="42" t="str">
        <x:f>Members!A56</x:f>
        <x:v>P0201</x:v>
      </x:c>
      <x:c r="B56" s="42" t="str">
        <x:f>Members!B56</x:f>
        <x:v>Pensioner</x:v>
      </x:c>
      <x:c r="C56" s="42" t="n">
        <x:f>Members!C56</x:f>
        <x:v>78</x:v>
      </x:c>
      <x:c r="D56" s="44" t="n">
        <x:f>Members!D56</x:f>
        <x:v>18.2</x:v>
      </x:c>
      <x:c r="E56" s="48" t="n">
        <x:f>Members!E56</x:f>
        <x:v>0</x:v>
      </x:c>
      <x:c r="F56" s="48" t="n">
        <x:f>Members!F56</x:f>
        <x:v>378000</x:v>
      </x:c>
      <x:c r="G56" s="46" t="n">
        <x:f>MAX(0,Assumptions!$B$10-C56)</x:f>
        <x:v>0</x:v>
      </x:c>
      <x:c r="H56" s="50" t="n">
        <x:f>IF(B56="Active",E56*(1+Assumptions!$B$7)^G56,E56)</x:f>
        <x:v>0</x:v>
      </x:c>
      <x:c r="I56" s="50" t="n">
        <x:f>IF(B56="Active",MIN(Assumptions!$B$12,D56+G56),IF(B56="Deferred",MIN(Assumptions!$B$12,D56),D56))</x:f>
        <x:v>18.2</x:v>
      </x:c>
      <x:c r="J56" s="50" t="n">
        <x:f>IF(B56="Active",H56*I56*Assumptions!$B$11,IF(B56="Deferred",E56*I56*Assumptions!$B$11*(1+Assumptions!$B$9)^G56,F56))</x:f>
        <x:v>378000</x:v>
      </x:c>
      <x:c r="K56" s="37" t="n">
        <x:f>IF(B56="Pensioner",1,VLOOKUP(Assumptions!$B$10,Mortality!$A$2:$F$104,6,FALSE)/VLOOKUP(C56,Mortality!$A$2:$F$104,6,FALSE))</x:f>
        <x:v>1</x:v>
      </x:c>
      <x:c r="L56" s="37" t="n">
        <x:f>VLOOKUP(IF(B56="Pensioner",C56,Assumptions!$B$10),Mortality!$A$2:$E$104,5,FALSE)</x:f>
        <x:v>9.284717924120388</x:v>
      </x:c>
      <x:c r="M56" s="37" t="n">
        <x:f>1+Assumptions!$B$13*Assumptions!$B$14*Assumptions!$B$15</x:f>
        <x:v>1.31875</x:v>
      </x:c>
      <x:c r="N56" s="37" t="n">
        <x:f>IF(B56="Pensioner",1,1/(1+Assumptions!$B$6)^G56)</x:f>
        <x:v>1</x:v>
      </x:c>
      <x:c r="O56" s="50" t="n">
        <x:f>J56*K56*L56*M56*N56</x:f>
        <x:v>4628315.826199962</x:v>
      </x:c>
    </x:row>
    <x:row r="57">
      <x:c r="A57" s="42" t="str">
        <x:f>Members!A57</x:f>
        <x:v>P0187</x:v>
      </x:c>
      <x:c r="B57" s="42" t="str">
        <x:f>Members!B57</x:f>
        <x:v>Pensioner</x:v>
      </x:c>
      <x:c r="C57" s="42" t="n">
        <x:f>Members!C57</x:f>
        <x:v>78</x:v>
      </x:c>
      <x:c r="D57" s="44" t="n">
        <x:f>Members!D57</x:f>
        <x:v>36.2</x:v>
      </x:c>
      <x:c r="E57" s="48" t="n">
        <x:f>Members!E57</x:f>
        <x:v>0</x:v>
      </x:c>
      <x:c r="F57" s="48" t="n">
        <x:f>Members!F57</x:f>
        <x:v>287000</x:v>
      </x:c>
      <x:c r="G57" s="46" t="n">
        <x:f>MAX(0,Assumptions!$B$10-C57)</x:f>
        <x:v>0</x:v>
      </x:c>
      <x:c r="H57" s="50" t="n">
        <x:f>IF(B57="Active",E57*(1+Assumptions!$B$7)^G57,E57)</x:f>
        <x:v>0</x:v>
      </x:c>
      <x:c r="I57" s="50" t="n">
        <x:f>IF(B57="Active",MIN(Assumptions!$B$12,D57+G57),IF(B57="Deferred",MIN(Assumptions!$B$12,D57),D57))</x:f>
        <x:v>36.2</x:v>
      </x:c>
      <x:c r="J57" s="50" t="n">
        <x:f>IF(B57="Active",H57*I57*Assumptions!$B$11,IF(B57="Deferred",E57*I57*Assumptions!$B$11*(1+Assumptions!$B$9)^G57,F57))</x:f>
        <x:v>287000</x:v>
      </x:c>
      <x:c r="K57" s="37" t="n">
        <x:f>IF(B57="Pensioner",1,VLOOKUP(Assumptions!$B$10,Mortality!$A$2:$F$104,6,FALSE)/VLOOKUP(C57,Mortality!$A$2:$F$104,6,FALSE))</x:f>
        <x:v>1</x:v>
      </x:c>
      <x:c r="L57" s="37" t="n">
        <x:f>VLOOKUP(IF(B57="Pensioner",C57,Assumptions!$B$10),Mortality!$A$2:$E$104,5,FALSE)</x:f>
        <x:v>9.284717924120388</x:v>
      </x:c>
      <x:c r="M57" s="37" t="n">
        <x:f>1+Assumptions!$B$13*Assumptions!$B$14*Assumptions!$B$15</x:f>
        <x:v>1.31875</x:v>
      </x:c>
      <x:c r="N57" s="37" t="n">
        <x:f>IF(B57="Pensioner",1,1/(1+Assumptions!$B$6)^G57)</x:f>
        <x:v>1</x:v>
      </x:c>
      <x:c r="O57" s="50" t="n">
        <x:f>J57*K57*L57*M57*N57</x:f>
        <x:v>3514091.64581849</x:v>
      </x:c>
    </x:row>
    <x:row r="58">
      <x:c r="A58" s="42" t="str">
        <x:f>Members!A58</x:f>
        <x:v>A0237</x:v>
      </x:c>
      <x:c r="B58" s="42" t="str">
        <x:f>Members!B58</x:f>
        <x:v>Active</x:v>
      </x:c>
      <x:c r="C58" s="42" t="n">
        <x:f>Members!C58</x:f>
        <x:v>36</x:v>
      </x:c>
      <x:c r="D58" s="44" t="n">
        <x:f>Members!D58</x:f>
        <x:v>2.8</x:v>
      </x:c>
      <x:c r="E58" s="48" t="n">
        <x:f>Members!E58</x:f>
        <x:v>888000</x:v>
      </x:c>
      <x:c r="F58" s="48" t="n">
        <x:f>Members!F58</x:f>
        <x:v>0</x:v>
      </x:c>
      <x:c r="G58" s="46" t="n">
        <x:f>MAX(0,Assumptions!$B$10-C58)</x:f>
        <x:v>24</x:v>
      </x:c>
      <x:c r="H58" s="50" t="n">
        <x:f>IF(B58="Active",E58*(1+Assumptions!$B$7)^G58,E58)</x:f>
        <x:v>3209755.834668605</x:v>
      </x:c>
      <x:c r="I58" s="50" t="n">
        <x:f>IF(B58="Active",MIN(Assumptions!$B$12,D58+G58),IF(B58="Deferred",MIN(Assumptions!$B$12,D58),D58))</x:f>
        <x:v>26.8</x:v>
      </x:c>
      <x:c r="J58" s="50" t="n">
        <x:f>IF(B58="Active",H58*I58*Assumptions!$B$11,IF(B58="Deferred",E58*I58*Assumptions!$B$11*(1+Assumptions!$B$9)^G58,F58))</x:f>
        <x:v>1433690.9394853103</x:v>
      </x:c>
      <x:c r="K58" s="37" t="n">
        <x:f>IF(B58="Pensioner",1,VLOOKUP(Assumptions!$B$10,Mortality!$A$2:$F$104,6,FALSE)/VLOOKUP(C58,Mortality!$A$2:$F$104,6,FALSE))</x:f>
        <x:v>0.9723450305541352</x:v>
      </x:c>
      <x:c r="L58" s="37" t="n">
        <x:f>VLOOKUP(IF(B58="Pensioner",C58,Assumptions!$B$10),Mortality!$A$2:$E$104,5,FALSE)</x:f>
        <x:v>17.296790022132885</x:v>
      </x:c>
      <x:c r="M58" s="37" t="n">
        <x:f>1+Assumptions!$B$13*Assumptions!$B$14*Assumptions!$B$15</x:f>
        <x:v>1.31875</x:v>
      </x:c>
      <x:c r="N58" s="37" t="n">
        <x:f>IF(B58="Pensioner",1,1/(1+Assumptions!$B$6)^G58)</x:f>
        <x:v>0.22060198370796386</x:v>
      </x:c>
      <x:c r="O58" s="50" t="n">
        <x:f>J58*K58*L58*M58*N58</x:f>
        <x:v>7014768.431820789</x:v>
      </x:c>
    </x:row>
    <x:row r="59">
      <x:c r="A59" s="42" t="str">
        <x:f>Members!A59</x:f>
        <x:v>P0029</x:v>
      </x:c>
      <x:c r="B59" s="42" t="str">
        <x:f>Members!B59</x:f>
        <x:v>Pensioner</x:v>
      </x:c>
      <x:c r="C59" s="42" t="n">
        <x:f>Members!C59</x:f>
        <x:v>88</x:v>
      </x:c>
      <x:c r="D59" s="44" t="n">
        <x:f>Members!D59</x:f>
        <x:v>39.7</x:v>
      </x:c>
      <x:c r="E59" s="48" t="n">
        <x:f>Members!E59</x:f>
        <x:v>0</x:v>
      </x:c>
      <x:c r="F59" s="48" t="n">
        <x:f>Members!F59</x:f>
        <x:v>705000</x:v>
      </x:c>
      <x:c r="G59" s="46" t="n">
        <x:f>MAX(0,Assumptions!$B$10-C59)</x:f>
        <x:v>0</x:v>
      </x:c>
      <x:c r="H59" s="50" t="n">
        <x:f>IF(B59="Active",E59*(1+Assumptions!$B$7)^G59,E59)</x:f>
        <x:v>0</x:v>
      </x:c>
      <x:c r="I59" s="50" t="n">
        <x:f>IF(B59="Active",MIN(Assumptions!$B$12,D59+G59),IF(B59="Deferred",MIN(Assumptions!$B$12,D59),D59))</x:f>
        <x:v>39.7</x:v>
      </x:c>
      <x:c r="J59" s="50" t="n">
        <x:f>IF(B59="Active",H59*I59*Assumptions!$B$11,IF(B59="Deferred",E59*I59*Assumptions!$B$11*(1+Assumptions!$B$9)^G59,F59))</x:f>
        <x:v>705000</x:v>
      </x:c>
      <x:c r="K59" s="37" t="n">
        <x:f>IF(B59="Pensioner",1,VLOOKUP(Assumptions!$B$10,Mortality!$A$2:$F$104,6,FALSE)/VLOOKUP(C59,Mortality!$A$2:$F$104,6,FALSE))</x:f>
        <x:v>1</x:v>
      </x:c>
      <x:c r="L59" s="37" t="n">
        <x:f>VLOOKUP(IF(B59="Pensioner",C59,Assumptions!$B$10),Mortality!$A$2:$E$104,5,FALSE)</x:f>
        <x:v>5.043742896221734</x:v>
      </x:c>
      <x:c r="M59" s="37" t="n">
        <x:f>1+Assumptions!$B$13*Assumptions!$B$14*Assumptions!$B$15</x:f>
        <x:v>1.31875</x:v>
      </x:c>
      <x:c r="N59" s="37" t="n">
        <x:f>IF(B59="Pensioner",1,1/(1+Assumptions!$B$6)^G59)</x:f>
        <x:v>1</x:v>
      </x:c>
      <x:c r="O59" s="50" t="n">
        <x:f>J59*K59*L59*M59*N59</x:f>
        <x:v>4689262.34079665</x:v>
      </x:c>
    </x:row>
    <x:row r="60">
      <x:c r="A60" s="42" t="str">
        <x:f>Members!A60</x:f>
        <x:v>A0456</x:v>
      </x:c>
      <x:c r="B60" s="42" t="str">
        <x:f>Members!B60</x:f>
        <x:v>Active</x:v>
      </x:c>
      <x:c r="C60" s="42" t="n">
        <x:f>Members!C60</x:f>
        <x:v>38</x:v>
      </x:c>
      <x:c r="D60" s="44" t="n">
        <x:f>Members!D60</x:f>
        <x:v>11.9</x:v>
      </x:c>
      <x:c r="E60" s="48" t="n">
        <x:f>Members!E60</x:f>
        <x:v>1049000</x:v>
      </x:c>
      <x:c r="F60" s="48" t="n">
        <x:f>Members!F60</x:f>
        <x:v>0</x:v>
      </x:c>
      <x:c r="G60" s="46" t="n">
        <x:f>MAX(0,Assumptions!$B$10-C60)</x:f>
        <x:v>22</x:v>
      </x:c>
      <x:c r="H60" s="50" t="n">
        <x:f>IF(B60="Active",E60*(1+Assumptions!$B$7)^G60,E60)</x:f>
        <x:v>3406666.3454976175</x:v>
      </x:c>
      <x:c r="I60" s="50" t="n">
        <x:f>IF(B60="Active",MIN(Assumptions!$B$12,D60+G60),IF(B60="Deferred",MIN(Assumptions!$B$12,D60),D60))</x:f>
        <x:v>33.9</x:v>
      </x:c>
      <x:c r="J60" s="50" t="n">
        <x:f>IF(B60="Active",H60*I60*Assumptions!$B$11,IF(B60="Deferred",E60*I60*Assumptions!$B$11*(1+Assumptions!$B$9)^G60,F60))</x:f>
        <x:v>1924766.4852061537</x:v>
      </x:c>
      <x:c r="K60" s="37" t="n">
        <x:f>IF(B60="Pensioner",1,VLOOKUP(Assumptions!$B$10,Mortality!$A$2:$F$104,6,FALSE)/VLOOKUP(C60,Mortality!$A$2:$F$104,6,FALSE))</x:f>
        <x:v>0.9731482688168002</x:v>
      </x:c>
      <x:c r="L60" s="37" t="n">
        <x:f>VLOOKUP(IF(B60="Pensioner",C60,Assumptions!$B$10),Mortality!$A$2:$E$104,5,FALSE)</x:f>
        <x:v>17.296790022132885</x:v>
      </x:c>
      <x:c r="M60" s="37" t="n">
        <x:f>1+Assumptions!$B$13*Assumptions!$B$14*Assumptions!$B$15</x:f>
        <x:v>1.31875</x:v>
      </x:c>
      <x:c r="N60" s="37" t="n">
        <x:f>IF(B60="Pensioner",1,1/(1+Assumptions!$B$6)^G60)</x:f>
        <x:v>0.25021228497116527</x:v>
      </x:c>
      <x:c r="O60" s="50" t="n">
        <x:f>J60*K60*L60*M60*N60</x:f>
        <x:v>10690393.15165737</x:v>
      </x:c>
    </x:row>
    <x:row r="61">
      <x:c r="A61" s="42" t="str">
        <x:f>Members!A61</x:f>
        <x:v>A0100</x:v>
      </x:c>
      <x:c r="B61" s="42" t="str">
        <x:f>Members!B61</x:f>
        <x:v>Active</x:v>
      </x:c>
      <x:c r="C61" s="42" t="n">
        <x:f>Members!C61</x:f>
        <x:v>55</x:v>
      </x:c>
      <x:c r="D61" s="44" t="n">
        <x:f>Members!D61</x:f>
        <x:v>6.1</x:v>
      </x:c>
      <x:c r="E61" s="48" t="n">
        <x:f>Members!E61</x:f>
        <x:v>1444000</x:v>
      </x:c>
      <x:c r="F61" s="48" t="n">
        <x:f>Members!F61</x:f>
        <x:v>0</x:v>
      </x:c>
      <x:c r="G61" s="46" t="n">
        <x:f>MAX(0,Assumptions!$B$10-C61)</x:f>
        <x:v>5</x:v>
      </x:c>
      <x:c r="H61" s="50" t="n">
        <x:f>IF(B61="Active",E61*(1+Assumptions!$B$7)^G61,E61)</x:f>
        <x:v>1887250.249255137</x:v>
      </x:c>
      <x:c r="I61" s="50" t="n">
        <x:f>IF(B61="Active",MIN(Assumptions!$B$12,D61+G61),IF(B61="Deferred",MIN(Assumptions!$B$12,D61),D61))</x:f>
        <x:v>11.1</x:v>
      </x:c>
      <x:c r="J61" s="50" t="n">
        <x:f>IF(B61="Active",H61*I61*Assumptions!$B$11,IF(B61="Deferred",E61*I61*Assumptions!$B$11*(1+Assumptions!$B$9)^G61,F61))</x:f>
        <x:v>349141.29611220036</x:v>
      </x:c>
      <x:c r="K61" s="37" t="n">
        <x:f>IF(B61="Pensioner",1,VLOOKUP(Assumptions!$B$10,Mortality!$A$2:$F$104,6,FALSE)/VLOOKUP(C61,Mortality!$A$2:$F$104,6,FALSE))</x:f>
        <x:v>0.9882419087499175</x:v>
      </x:c>
      <x:c r="L61" s="37" t="n">
        <x:f>VLOOKUP(IF(B61="Pensioner",C61,Assumptions!$B$10),Mortality!$A$2:$E$104,5,FALSE)</x:f>
        <x:v>17.296790022132885</x:v>
      </x:c>
      <x:c r="M61" s="37" t="n">
        <x:f>1+Assumptions!$B$13*Assumptions!$B$14*Assumptions!$B$15</x:f>
        <x:v>1.31875</x:v>
      </x:c>
      <x:c r="N61" s="37" t="n">
        <x:f>IF(B61="Pensioner",1,1/(1+Assumptions!$B$6)^G61)</x:f>
        <x:v>0.7298808365209549</x:v>
      </x:c>
      <x:c r="O61" s="50" t="n">
        <x:f>J61*K61*L61*M61*N61</x:f>
        <x:v>5744396.832426364</x:v>
      </x:c>
    </x:row>
    <x:row r="62">
      <x:c r="A62" s="42" t="str">
        <x:f>Members!A62</x:f>
        <x:v>A0508</x:v>
      </x:c>
      <x:c r="B62" s="42" t="str">
        <x:f>Members!B62</x:f>
        <x:v>Active</x:v>
      </x:c>
      <x:c r="C62" s="42" t="n">
        <x:f>Members!C62</x:f>
        <x:v>22</x:v>
      </x:c>
      <x:c r="D62" s="44" t="n">
        <x:f>Members!D62</x:f>
        <x:v>1</x:v>
      </x:c>
      <x:c r="E62" s="48" t="n">
        <x:f>Members!E62</x:f>
        <x:v>441000</x:v>
      </x:c>
      <x:c r="F62" s="48" t="n">
        <x:f>Members!F62</x:f>
        <x:v>0</x:v>
      </x:c>
      <x:c r="G62" s="46" t="n">
        <x:f>MAX(0,Assumptions!$B$10-C62)</x:f>
        <x:v>38</x:v>
      </x:c>
      <x:c r="H62" s="50" t="n">
        <x:f>IF(B62="Active",E62*(1+Assumptions!$B$7)^G62,E62)</x:f>
        <x:v>3373122.0496606417</x:v>
      </x:c>
      <x:c r="I62" s="50" t="n">
        <x:f>IF(B62="Active",MIN(Assumptions!$B$12,D62+G62),IF(B62="Deferred",MIN(Assumptions!$B$12,D62),D62))</x:f>
        <x:v>39</x:v>
      </x:c>
      <x:c r="J62" s="50" t="n">
        <x:f>IF(B62="Active",H62*I62*Assumptions!$B$11,IF(B62="Deferred",E62*I62*Assumptions!$B$11*(1+Assumptions!$B$9)^G62,F62))</x:f>
        <x:v>2192529.332279417</x:v>
      </x:c>
      <x:c r="K62" s="37" t="n">
        <x:f>IF(B62="Pensioner",1,VLOOKUP(Assumptions!$B$10,Mortality!$A$2:$F$104,6,FALSE)/VLOOKUP(C62,Mortality!$A$2:$F$104,6,FALSE))</x:f>
        <x:v>0.9682119922904866</x:v>
      </x:c>
      <x:c r="L62" s="37" t="n">
        <x:f>VLOOKUP(IF(B62="Pensioner",C62,Assumptions!$B$10),Mortality!$A$2:$E$104,5,FALSE)</x:f>
        <x:v>17.296790022132885</x:v>
      </x:c>
      <x:c r="M62" s="37" t="n">
        <x:f>1+Assumptions!$B$13*Assumptions!$B$14*Assumptions!$B$15</x:f>
        <x:v>1.31875</x:v>
      </x:c>
      <x:c r="N62" s="37" t="n">
        <x:f>IF(B62="Pensioner",1,1/(1+Assumptions!$B$6)^G62)</x:f>
        <x:v>0.09135133627989055</x:v>
      </x:c>
      <x:c r="O62" s="50" t="n">
        <x:f>J62*K62*L62*M62*N62</x:f>
        <x:v>4423425.937327137</x:v>
      </x:c>
    </x:row>
    <x:row r="63">
      <x:c r="A63" s="42" t="str">
        <x:f>Members!A63</x:f>
        <x:v>A0514</x:v>
      </x:c>
      <x:c r="B63" s="42" t="str">
        <x:f>Members!B63</x:f>
        <x:v>Active</x:v>
      </x:c>
      <x:c r="C63" s="42" t="n">
        <x:f>Members!C63</x:f>
        <x:v>31</x:v>
      </x:c>
      <x:c r="D63" s="44" t="n">
        <x:f>Members!D63</x:f>
        <x:v>6.6</x:v>
      </x:c>
      <x:c r="E63" s="48" t="n">
        <x:f>Members!E63</x:f>
        <x:v>510000</x:v>
      </x:c>
      <x:c r="F63" s="48" t="n">
        <x:f>Members!F63</x:f>
        <x:v>0</x:v>
      </x:c>
      <x:c r="G63" s="46" t="n">
        <x:f>MAX(0,Assumptions!$B$10-C63)</x:f>
        <x:v>29</x:v>
      </x:c>
      <x:c r="H63" s="50" t="n">
        <x:f>IF(B63="Active",E63*(1+Assumptions!$B$7)^G63,E63)</x:f>
        <x:v>2409303.4664279437</x:v>
      </x:c>
      <x:c r="I63" s="50" t="n">
        <x:f>IF(B63="Active",MIN(Assumptions!$B$12,D63+G63),IF(B63="Deferred",MIN(Assumptions!$B$12,D63),D63))</x:f>
        <x:v>35.6</x:v>
      </x:c>
      <x:c r="J63" s="50" t="n">
        <x:f>IF(B63="Active",H63*I63*Assumptions!$B$11,IF(B63="Deferred",E63*I63*Assumptions!$B$11*(1+Assumptions!$B$9)^G63,F63))</x:f>
        <x:v>1429520.0567472465</x:v>
      </x:c>
      <x:c r="K63" s="37" t="n">
        <x:f>IF(B63="Pensioner",1,VLOOKUP(Assumptions!$B$10,Mortality!$A$2:$F$104,6,FALSE)/VLOOKUP(C63,Mortality!$A$2:$F$104,6,FALSE))</x:f>
        <x:v>0.9706466107295209</x:v>
      </x:c>
      <x:c r="L63" s="37" t="n">
        <x:f>VLOOKUP(IF(B63="Pensioner",C63,Assumptions!$B$10),Mortality!$A$2:$E$104,5,FALSE)</x:f>
        <x:v>17.296790022132885</x:v>
      </x:c>
      <x:c r="M63" s="37" t="n">
        <x:f>1+Assumptions!$B$13*Assumptions!$B$14*Assumptions!$B$15</x:f>
        <x:v>1.31875</x:v>
      </x:c>
      <x:c r="N63" s="37" t="n">
        <x:f>IF(B63="Pensioner",1,1/(1+Assumptions!$B$6)^G63)</x:f>
        <x:v>0.16101316040695074</x:v>
      </x:c>
      <x:c r="O63" s="50" t="n">
        <x:f>J63*K63*L63*M63*N63</x:f>
        <x:v>5096133.024870594</x:v>
      </x:c>
    </x:row>
    <x:row r="64">
      <x:c r="A64" s="42" t="str">
        <x:f>Members!A64</x:f>
        <x:v>A0018</x:v>
      </x:c>
      <x:c r="B64" s="42" t="str">
        <x:f>Members!B64</x:f>
        <x:v>Active</x:v>
      </x:c>
      <x:c r="C64" s="42" t="n">
        <x:f>Members!C64</x:f>
        <x:v>27</x:v>
      </x:c>
      <x:c r="D64" s="44" t="n">
        <x:f>Members!D64</x:f>
        <x:v>5.8</x:v>
      </x:c>
      <x:c r="E64" s="48" t="n">
        <x:f>Members!E64</x:f>
        <x:v>642000</x:v>
      </x:c>
      <x:c r="F64" s="48" t="n">
        <x:f>Members!F64</x:f>
        <x:v>0</x:v>
      </x:c>
      <x:c r="G64" s="46" t="n">
        <x:f>MAX(0,Assumptions!$B$10-C64)</x:f>
        <x:v>33</x:v>
      </x:c>
      <x:c r="H64" s="50" t="n">
        <x:f>IF(B64="Active",E64*(1+Assumptions!$B$7)^G64,E64)</x:f>
        <x:v>3757216.2844711794</x:v>
      </x:c>
      <x:c r="I64" s="50" t="n">
        <x:f>IF(B64="Active",MIN(Assumptions!$B$12,D64+G64),IF(B64="Deferred",MIN(Assumptions!$B$12,D64),D64))</x:f>
        <x:v>38.8</x:v>
      </x:c>
      <x:c r="J64" s="50" t="n">
        <x:f>IF(B64="Active",H64*I64*Assumptions!$B$11,IF(B64="Deferred",E64*I64*Assumptions!$B$11*(1+Assumptions!$B$9)^G64,F64))</x:f>
        <x:v>2429666.5306246956</x:v>
      </x:c>
      <x:c r="K64" s="37" t="n">
        <x:f>IF(B64="Pensioner",1,VLOOKUP(Assumptions!$B$10,Mortality!$A$2:$F$104,6,FALSE)/VLOOKUP(C64,Mortality!$A$2:$F$104,6,FALSE))</x:f>
        <x:v>0.9694971330284515</x:v>
      </x:c>
      <x:c r="L64" s="37" t="n">
        <x:f>VLOOKUP(IF(B64="Pensioner",C64,Assumptions!$B$10),Mortality!$A$2:$E$104,5,FALSE)</x:f>
        <x:v>17.296790022132885</x:v>
      </x:c>
      <x:c r="M64" s="37" t="n">
        <x:f>1+Assumptions!$B$13*Assumptions!$B$14*Assumptions!$B$15</x:f>
        <x:v>1.31875</x:v>
      </x:c>
      <x:c r="N64" s="37" t="n">
        <x:f>IF(B64="Pensioner",1,1/(1+Assumptions!$B$6)^G64)</x:f>
        <x:v>0.12515924752227392</x:v>
      </x:c>
      <x:c r="O64" s="50" t="n">
        <x:f>J64*K64*L64*M64*N64</x:f>
        <x:v>6724873.659510093</x:v>
      </x:c>
    </x:row>
    <x:row r="65">
      <x:c r="A65" s="42" t="str">
        <x:f>Members!A65</x:f>
        <x:v>A0048</x:v>
      </x:c>
      <x:c r="B65" s="42" t="str">
        <x:f>Members!B65</x:f>
        <x:v>Active</x:v>
      </x:c>
      <x:c r="C65" s="42" t="n">
        <x:f>Members!C65</x:f>
        <x:v>44</x:v>
      </x:c>
      <x:c r="D65" s="44" t="n">
        <x:f>Members!D65</x:f>
        <x:v>21.3</x:v>
      </x:c>
      <x:c r="E65" s="48" t="n">
        <x:f>Members!E65</x:f>
        <x:v>1314000</x:v>
      </x:c>
      <x:c r="F65" s="48" t="n">
        <x:f>Members!F65</x:f>
        <x:v>0</x:v>
      </x:c>
      <x:c r="G65" s="46" t="n">
        <x:f>MAX(0,Assumptions!$B$10-C65)</x:f>
        <x:v>16</x:v>
      </x:c>
      <x:c r="H65" s="50" t="n">
        <x:f>IF(B65="Active",E65*(1+Assumptions!$B$7)^G65,E65)</x:f>
        <x:v>3094815.1868947023</x:v>
      </x:c>
      <x:c r="I65" s="50" t="n">
        <x:f>IF(B65="Active",MIN(Assumptions!$B$12,D65+G65),IF(B65="Deferred",MIN(Assumptions!$B$12,D65),D65))</x:f>
        <x:v>37.3</x:v>
      </x:c>
      <x:c r="J65" s="50" t="n">
        <x:f>IF(B65="Active",H65*I65*Assumptions!$B$11,IF(B65="Deferred",E65*I65*Assumptions!$B$11*(1+Assumptions!$B$9)^G65,F65))</x:f>
        <x:v>1923943.4411862064</x:v>
      </x:c>
      <x:c r="K65" s="37" t="n">
        <x:f>IF(B65="Pensioner",1,VLOOKUP(Assumptions!$B$10,Mortality!$A$2:$F$104,6,FALSE)/VLOOKUP(C65,Mortality!$A$2:$F$104,6,FALSE))</x:f>
        <x:v>0.9762682212178733</x:v>
      </x:c>
      <x:c r="L65" s="37" t="n">
        <x:f>VLOOKUP(IF(B65="Pensioner",C65,Assumptions!$B$10),Mortality!$A$2:$E$104,5,FALSE)</x:f>
        <x:v>17.296790022132885</x:v>
      </x:c>
      <x:c r="M65" s="37" t="n">
        <x:f>1+Assumptions!$B$13*Assumptions!$B$14*Assumptions!$B$15</x:f>
        <x:v>1.31875</x:v>
      </x:c>
      <x:c r="N65" s="37" t="n">
        <x:f>IF(B65="Pensioner",1,1/(1+Assumptions!$B$6)^G65)</x:f>
        <x:v>0.3650953281147565</x:v>
      </x:c>
      <x:c r="O65" s="50" t="n">
        <x:f>J65*K65*L65*M65*N65</x:f>
        <x:v>15642123.662238173</x:v>
      </x:c>
    </x:row>
    <x:row r="66">
      <x:c r="A66" s="42" t="str">
        <x:f>Members!A66</x:f>
        <x:v>A0071</x:v>
      </x:c>
      <x:c r="B66" s="42" t="str">
        <x:f>Members!B66</x:f>
        <x:v>Active</x:v>
      </x:c>
      <x:c r="C66" s="42" t="n">
        <x:f>Members!C66</x:f>
        <x:v>22</x:v>
      </x:c>
      <x:c r="D66" s="44" t="n">
        <x:f>Members!D66</x:f>
        <x:v>1</x:v>
      </x:c>
      <x:c r="E66" s="48" t="n">
        <x:f>Members!E66</x:f>
        <x:v>490000</x:v>
      </x:c>
      <x:c r="F66" s="48" t="n">
        <x:f>Members!F66</x:f>
        <x:v>0</x:v>
      </x:c>
      <x:c r="G66" s="46" t="n">
        <x:f>MAX(0,Assumptions!$B$10-C66)</x:f>
        <x:v>38</x:v>
      </x:c>
      <x:c r="H66" s="50" t="n">
        <x:f>IF(B66="Active",E66*(1+Assumptions!$B$7)^G66,E66)</x:f>
        <x:v>3747913.3885118244</x:v>
      </x:c>
      <x:c r="I66" s="50" t="n">
        <x:f>IF(B66="Active",MIN(Assumptions!$B$12,D66+G66),IF(B66="Deferred",MIN(Assumptions!$B$12,D66),D66))</x:f>
        <x:v>39</x:v>
      </x:c>
      <x:c r="J66" s="50" t="n">
        <x:f>IF(B66="Active",H66*I66*Assumptions!$B$11,IF(B66="Deferred",E66*I66*Assumptions!$B$11*(1+Assumptions!$B$9)^G66,F66))</x:f>
        <x:v>2436143.702532686</x:v>
      </x:c>
      <x:c r="K66" s="37" t="n">
        <x:f>IF(B66="Pensioner",1,VLOOKUP(Assumptions!$B$10,Mortality!$A$2:$F$104,6,FALSE)/VLOOKUP(C66,Mortality!$A$2:$F$104,6,FALSE))</x:f>
        <x:v>0.9682119922904866</x:v>
      </x:c>
      <x:c r="L66" s="37" t="n">
        <x:f>VLOOKUP(IF(B66="Pensioner",C66,Assumptions!$B$10),Mortality!$A$2:$E$104,5,FALSE)</x:f>
        <x:v>17.296790022132885</x:v>
      </x:c>
      <x:c r="M66" s="37" t="n">
        <x:f>1+Assumptions!$B$13*Assumptions!$B$14*Assumptions!$B$15</x:f>
        <x:v>1.31875</x:v>
      </x:c>
      <x:c r="N66" s="37" t="n">
        <x:f>IF(B66="Pensioner",1,1/(1+Assumptions!$B$6)^G66)</x:f>
        <x:v>0.09135133627989055</x:v>
      </x:c>
      <x:c r="O66" s="50" t="n">
        <x:f>J66*K66*L66*M66*N66</x:f>
        <x:v>4914917.708141263</x:v>
      </x:c>
    </x:row>
    <x:row r="67">
      <x:c r="A67" s="42" t="str">
        <x:f>Members!A67</x:f>
        <x:v>A0318</x:v>
      </x:c>
      <x:c r="B67" s="42" t="str">
        <x:f>Members!B67</x:f>
        <x:v>Active</x:v>
      </x:c>
      <x:c r="C67" s="42" t="n">
        <x:f>Members!C67</x:f>
        <x:v>42</x:v>
      </x:c>
      <x:c r="D67" s="44" t="n">
        <x:f>Members!D67</x:f>
        <x:v>13.8</x:v>
      </x:c>
      <x:c r="E67" s="48" t="n">
        <x:f>Members!E67</x:f>
        <x:v>1212000</x:v>
      </x:c>
      <x:c r="F67" s="48" t="n">
        <x:f>Members!F67</x:f>
        <x:v>0</x:v>
      </x:c>
      <x:c r="G67" s="46" t="n">
        <x:f>MAX(0,Assumptions!$B$10-C67)</x:f>
        <x:v>18</x:v>
      </x:c>
      <x:c r="H67" s="50" t="n">
        <x:f>IF(B67="Active",E67*(1+Assumptions!$B$7)^G67,E67)</x:f>
        <x:v>3177217.114271608</x:v>
      </x:c>
      <x:c r="I67" s="50" t="n">
        <x:f>IF(B67="Active",MIN(Assumptions!$B$12,D67+G67),IF(B67="Deferred",MIN(Assumptions!$B$12,D67),D67))</x:f>
        <x:v>31.8</x:v>
      </x:c>
      <x:c r="J67" s="50" t="n">
        <x:f>IF(B67="Active",H67*I67*Assumptions!$B$11,IF(B67="Deferred",E67*I67*Assumptions!$B$11*(1+Assumptions!$B$9)^G67,F67))</x:f>
        <x:v>1683925.0705639524</x:v>
      </x:c>
      <x:c r="K67" s="37" t="n">
        <x:f>IF(B67="Pensioner",1,VLOOKUP(Assumptions!$B$10,Mortality!$A$2:$F$104,6,FALSE)/VLOOKUP(C67,Mortality!$A$2:$F$104,6,FALSE))</x:f>
        <x:v>0.9750799707838386</x:v>
      </x:c>
      <x:c r="L67" s="37" t="n">
        <x:f>VLOOKUP(IF(B67="Pensioner",C67,Assumptions!$B$10),Mortality!$A$2:$E$104,5,FALSE)</x:f>
        <x:v>17.296790022132885</x:v>
      </x:c>
      <x:c r="M67" s="37" t="n">
        <x:f>1+Assumptions!$B$13*Assumptions!$B$14*Assumptions!$B$15</x:f>
        <x:v>1.31875</x:v>
      </x:c>
      <x:c r="N67" s="37" t="n">
        <x:f>IF(B67="Pensioner",1,1/(1+Assumptions!$B$6)^G67)</x:f>
        <x:v>0.3218896851283974</x:v>
      </x:c>
      <x:c r="O67" s="50" t="n">
        <x:f>J67*K67*L67*M67*N67</x:f>
        <x:v>12055855.79098896</x:v>
      </x:c>
    </x:row>
    <x:row r="68">
      <x:c r="A68" s="42" t="str">
        <x:f>Members!A68</x:f>
        <x:v>A0046</x:v>
      </x:c>
      <x:c r="B68" s="42" t="str">
        <x:f>Members!B68</x:f>
        <x:v>Active</x:v>
      </x:c>
      <x:c r="C68" s="42" t="n">
        <x:f>Members!C68</x:f>
        <x:v>55</x:v>
      </x:c>
      <x:c r="D68" s="44" t="n">
        <x:f>Members!D68</x:f>
        <x:v>17.3</x:v>
      </x:c>
      <x:c r="E68" s="48" t="n">
        <x:f>Members!E68</x:f>
        <x:v>2121000</x:v>
      </x:c>
      <x:c r="F68" s="48" t="n">
        <x:f>Members!F68</x:f>
        <x:v>0</x:v>
      </x:c>
      <x:c r="G68" s="46" t="n">
        <x:f>MAX(0,Assumptions!$B$10-C68)</x:f>
        <x:v>5</x:v>
      </x:c>
      <x:c r="H68" s="50" t="n">
        <x:f>IF(B68="Active",E68*(1+Assumptions!$B$7)^G68,E68)</x:f>
        <x:v>2772062.173594284</x:v>
      </x:c>
      <x:c r="I68" s="50" t="n">
        <x:f>IF(B68="Active",MIN(Assumptions!$B$12,D68+G68),IF(B68="Deferred",MIN(Assumptions!$B$12,D68),D68))</x:f>
        <x:v>22.3</x:v>
      </x:c>
      <x:c r="J68" s="50" t="n">
        <x:f>IF(B68="Active",H68*I68*Assumptions!$B$11,IF(B68="Deferred",E68*I68*Assumptions!$B$11*(1+Assumptions!$B$9)^G68,F68))</x:f>
        <x:v>1030283.1078525422</x:v>
      </x:c>
      <x:c r="K68" s="37" t="n">
        <x:f>IF(B68="Pensioner",1,VLOOKUP(Assumptions!$B$10,Mortality!$A$2:$F$104,6,FALSE)/VLOOKUP(C68,Mortality!$A$2:$F$104,6,FALSE))</x:f>
        <x:v>0.9882419087499175</x:v>
      </x:c>
      <x:c r="L68" s="37" t="n">
        <x:f>VLOOKUP(IF(B68="Pensioner",C68,Assumptions!$B$10),Mortality!$A$2:$E$104,5,FALSE)</x:f>
        <x:v>17.296790022132885</x:v>
      </x:c>
      <x:c r="M68" s="37" t="n">
        <x:f>1+Assumptions!$B$13*Assumptions!$B$14*Assumptions!$B$15</x:f>
        <x:v>1.31875</x:v>
      </x:c>
      <x:c r="N68" s="37" t="n">
        <x:f>IF(B68="Pensioner",1,1/(1+Assumptions!$B$6)^G68)</x:f>
        <x:v>0.7298808365209549</x:v>
      </x:c>
      <x:c r="O68" s="50" t="n">
        <x:f>J68*K68*L68*M68*N68</x:f>
        <x:v>16951174.45903221</x:v>
      </x:c>
    </x:row>
    <x:row r="69">
      <x:c r="A69" s="42" t="str">
        <x:f>Members!A69</x:f>
        <x:v>A0405</x:v>
      </x:c>
      <x:c r="B69" s="42" t="str">
        <x:f>Members!B69</x:f>
        <x:v>Active</x:v>
      </x:c>
      <x:c r="C69" s="42" t="n">
        <x:f>Members!C69</x:f>
        <x:v>52</x:v>
      </x:c>
      <x:c r="D69" s="44" t="n">
        <x:f>Members!D69</x:f>
        <x:v>3.8</x:v>
      </x:c>
      <x:c r="E69" s="48" t="n">
        <x:f>Members!E69</x:f>
        <x:v>1459000</x:v>
      </x:c>
      <x:c r="F69" s="48" t="n">
        <x:f>Members!F69</x:f>
        <x:v>0</x:v>
      </x:c>
      <x:c r="G69" s="46" t="n">
        <x:f>MAX(0,Assumptions!$B$10-C69)</x:f>
        <x:v>8</x:v>
      </x:c>
      <x:c r="H69" s="50" t="n">
        <x:f>IF(B69="Active",E69*(1+Assumptions!$B$7)^G69,E69)</x:f>
        <x:v>2239107.625379387</x:v>
      </x:c>
      <x:c r="I69" s="50" t="n">
        <x:f>IF(B69="Active",MIN(Assumptions!$B$12,D69+G69),IF(B69="Deferred",MIN(Assumptions!$B$12,D69),D69))</x:f>
        <x:v>11.8</x:v>
      </x:c>
      <x:c r="J69" s="50" t="n">
        <x:f>IF(B69="Active",H69*I69*Assumptions!$B$11,IF(B69="Deferred",E69*I69*Assumptions!$B$11*(1+Assumptions!$B$9)^G69,F69))</x:f>
        <x:v>440357.8329912794</x:v>
      </x:c>
      <x:c r="K69" s="37" t="n">
        <x:f>IF(B69="Pensioner",1,VLOOKUP(Assumptions!$B$10,Mortality!$A$2:$F$104,6,FALSE)/VLOOKUP(C69,Mortality!$A$2:$F$104,6,FALSE))</x:f>
        <x:v>0.9836527516879843</x:v>
      </x:c>
      <x:c r="L69" s="37" t="n">
        <x:f>VLOOKUP(IF(B69="Pensioner",C69,Assumptions!$B$10),Mortality!$A$2:$E$104,5,FALSE)</x:f>
        <x:v>17.296790022132885</x:v>
      </x:c>
      <x:c r="M69" s="37" t="n">
        <x:f>1+Assumptions!$B$13*Assumptions!$B$14*Assumptions!$B$15</x:f>
        <x:v>1.31875</x:v>
      </x:c>
      <x:c r="N69" s="37" t="n">
        <x:f>IF(B69="Pensioner",1,1/(1+Assumptions!$B$6)^G69)</x:f>
        <x:v>0.6042311876382719</x:v>
      </x:c>
      <x:c r="O69" s="50" t="n">
        <x:f>J69*K69*L69*M69*N69</x:f>
        <x:v>5970059.517358921</x:v>
      </x:c>
    </x:row>
    <x:row r="70">
      <x:c r="A70" s="42" t="str">
        <x:f>Members!A70</x:f>
        <x:v>A0214</x:v>
      </x:c>
      <x:c r="B70" s="42" t="str">
        <x:f>Members!B70</x:f>
        <x:v>Active</x:v>
      </x:c>
      <x:c r="C70" s="42" t="n">
        <x:f>Members!C70</x:f>
        <x:v>29</x:v>
      </x:c>
      <x:c r="D70" s="44" t="n">
        <x:f>Members!D70</x:f>
        <x:v>1.3</x:v>
      </x:c>
      <x:c r="E70" s="48" t="n">
        <x:f>Members!E70</x:f>
        <x:v>640000</x:v>
      </x:c>
      <x:c r="F70" s="48" t="n">
        <x:f>Members!F70</x:f>
        <x:v>0</x:v>
      </x:c>
      <x:c r="G70" s="46" t="n">
        <x:f>MAX(0,Assumptions!$B$10-C70)</x:f>
        <x:v>31</x:v>
      </x:c>
      <x:c r="H70" s="50" t="n">
        <x:f>IF(B70="Active",E70*(1+Assumptions!$B$7)^G70,E70)</x:f>
        <x:v>3365163.909924344</x:v>
      </x:c>
      <x:c r="I70" s="50" t="n">
        <x:f>IF(B70="Active",MIN(Assumptions!$B$12,D70+G70),IF(B70="Deferred",MIN(Assumptions!$B$12,D70),D70))</x:f>
        <x:v>32.3</x:v>
      </x:c>
      <x:c r="J70" s="50" t="n">
        <x:f>IF(B70="Active",H70*I70*Assumptions!$B$11,IF(B70="Deferred",E70*I70*Assumptions!$B$11*(1+Assumptions!$B$9)^G70,F70))</x:f>
        <x:v>1811579.904842605</x:v>
      </x:c>
      <x:c r="K70" s="37" t="n">
        <x:f>IF(B70="Pensioner",1,VLOOKUP(Assumptions!$B$10,Mortality!$A$2:$F$104,6,FALSE)/VLOOKUP(C70,Mortality!$A$2:$F$104,6,FALSE))</x:f>
        <x:v>0.9700544954739736</x:v>
      </x:c>
      <x:c r="L70" s="37" t="n">
        <x:f>VLOOKUP(IF(B70="Pensioner",C70,Assumptions!$B$10),Mortality!$A$2:$E$104,5,FALSE)</x:f>
        <x:v>17.296790022132885</x:v>
      </x:c>
      <x:c r="M70" s="37" t="n">
        <x:f>1+Assumptions!$B$13*Assumptions!$B$14*Assumptions!$B$15</x:f>
        <x:v>1.31875</x:v>
      </x:c>
      <x:c r="N70" s="37" t="n">
        <x:f>IF(B70="Pensioner",1,1/(1+Assumptions!$B$6)^G70)</x:f>
        <x:v>0.1419587475209511</x:v>
      </x:c>
      <x:c r="O70" s="50" t="n">
        <x:f>J70*K70*L70*M70*N70</x:f>
        <x:v>5690412.793292659</x:v>
      </x:c>
    </x:row>
    <x:row r="71">
      <x:c r="A71" s="42" t="str">
        <x:f>Members!A71</x:f>
        <x:v>A0185</x:v>
      </x:c>
      <x:c r="B71" s="42" t="str">
        <x:f>Members!B71</x:f>
        <x:v>Active</x:v>
      </x:c>
      <x:c r="C71" s="42" t="n">
        <x:f>Members!C71</x:f>
        <x:v>27</x:v>
      </x:c>
      <x:c r="D71" s="44" t="n">
        <x:f>Members!D71</x:f>
        <x:v>1.5</x:v>
      </x:c>
      <x:c r="E71" s="48" t="n">
        <x:f>Members!E71</x:f>
        <x:v>626000</x:v>
      </x:c>
      <x:c r="F71" s="48" t="n">
        <x:f>Members!F71</x:f>
        <x:v>0</x:v>
      </x:c>
      <x:c r="G71" s="46" t="n">
        <x:f>MAX(0,Assumptions!$B$10-C71)</x:f>
        <x:v>33</x:v>
      </x:c>
      <x:c r="H71" s="50" t="n">
        <x:f>IF(B71="Active",E71*(1+Assumptions!$B$7)^G71,E71)</x:f>
        <x:v>3663578.4954500906</x:v>
      </x:c>
      <x:c r="I71" s="50" t="n">
        <x:f>IF(B71="Active",MIN(Assumptions!$B$12,D71+G71),IF(B71="Deferred",MIN(Assumptions!$B$12,D71),D71))</x:f>
        <x:v>34.5</x:v>
      </x:c>
      <x:c r="J71" s="50" t="n">
        <x:f>IF(B71="Active",H71*I71*Assumptions!$B$11,IF(B71="Deferred",E71*I71*Assumptions!$B$11*(1+Assumptions!$B$9)^G71,F71))</x:f>
        <x:v>2106557.634883802</x:v>
      </x:c>
      <x:c r="K71" s="37" t="n">
        <x:f>IF(B71="Pensioner",1,VLOOKUP(Assumptions!$B$10,Mortality!$A$2:$F$104,6,FALSE)/VLOOKUP(C71,Mortality!$A$2:$F$104,6,FALSE))</x:f>
        <x:v>0.9694971330284515</x:v>
      </x:c>
      <x:c r="L71" s="37" t="n">
        <x:f>VLOOKUP(IF(B71="Pensioner",C71,Assumptions!$B$10),Mortality!$A$2:$E$104,5,FALSE)</x:f>
        <x:v>17.296790022132885</x:v>
      </x:c>
      <x:c r="M71" s="37" t="n">
        <x:f>1+Assumptions!$B$13*Assumptions!$B$14*Assumptions!$B$15</x:f>
        <x:v>1.31875</x:v>
      </x:c>
      <x:c r="N71" s="37" t="n">
        <x:f>IF(B71="Pensioner",1,1/(1+Assumptions!$B$6)^G71)</x:f>
        <x:v>0.12515924752227392</x:v>
      </x:c>
      <x:c r="O71" s="50" t="n">
        <x:f>J71*K71*L71*M71*N71</x:f>
        <x:v>5830567.18792913</x:v>
      </x:c>
    </x:row>
    <x:row r="72">
      <x:c r="A72" s="42" t="str">
        <x:f>Members!A72</x:f>
        <x:v>A0345</x:v>
      </x:c>
      <x:c r="B72" s="42" t="str">
        <x:f>Members!B72</x:f>
        <x:v>Active</x:v>
      </x:c>
      <x:c r="C72" s="42" t="n">
        <x:f>Members!C72</x:f>
        <x:v>45</x:v>
      </x:c>
      <x:c r="D72" s="44" t="n">
        <x:f>Members!D72</x:f>
        <x:v>20.3</x:v>
      </x:c>
      <x:c r="E72" s="48" t="n">
        <x:f>Members!E72</x:f>
        <x:v>1366000</x:v>
      </x:c>
      <x:c r="F72" s="48" t="n">
        <x:f>Members!F72</x:f>
        <x:v>0</x:v>
      </x:c>
      <x:c r="G72" s="46" t="n">
        <x:f>MAX(0,Assumptions!$B$10-C72)</x:f>
        <x:v>15</x:v>
      </x:c>
      <x:c r="H72" s="50" t="n">
        <x:f>IF(B72="Active",E72*(1+Assumptions!$B$7)^G72,E72)</x:f>
        <x:v>3049562.8883970394</x:v>
      </x:c>
      <x:c r="I72" s="50" t="n">
        <x:f>IF(B72="Active",MIN(Assumptions!$B$12,D72+G72),IF(B72="Deferred",MIN(Assumptions!$B$12,D72),D72))</x:f>
        <x:v>35.3</x:v>
      </x:c>
      <x:c r="J72" s="50" t="n">
        <x:f>IF(B72="Active",H72*I72*Assumptions!$B$11,IF(B72="Deferred",E72*I72*Assumptions!$B$11*(1+Assumptions!$B$9)^G72,F72))</x:f>
        <x:v>1794159.499340258</x:v>
      </x:c>
      <x:c r="K72" s="37" t="n">
        <x:f>IF(B72="Pensioner",1,VLOOKUP(Assumptions!$B$10,Mortality!$A$2:$F$104,6,FALSE)/VLOOKUP(C72,Mortality!$A$2:$F$104,6,FALSE))</x:f>
        <x:v>0.9769349478194655</x:v>
      </x:c>
      <x:c r="L72" s="37" t="n">
        <x:f>VLOOKUP(IF(B72="Pensioner",C72,Assumptions!$B$10),Mortality!$A$2:$E$104,5,FALSE)</x:f>
        <x:v>17.296790022132885</x:v>
      </x:c>
      <x:c r="M72" s="37" t="n">
        <x:f>1+Assumptions!$B$13*Assumptions!$B$14*Assumptions!$B$15</x:f>
        <x:v>1.31875</x:v>
      </x:c>
      <x:c r="N72" s="37" t="n">
        <x:f>IF(B72="Pensioner",1,1/(1+Assumptions!$B$6)^G72)</x:f>
        <x:v>0.38882652444221566</x:v>
      </x:c>
      <x:c r="O72" s="50" t="n">
        <x:f>J72*K72*L72*M72*N72</x:f>
        <x:v>15545710.07717287</x:v>
      </x:c>
    </x:row>
    <x:row r="73">
      <x:c r="A73" s="42" t="str">
        <x:f>Members!A73</x:f>
        <x:v>P0135</x:v>
      </x:c>
      <x:c r="B73" s="42" t="str">
        <x:f>Members!B73</x:f>
        <x:v>Pensioner</x:v>
      </x:c>
      <x:c r="C73" s="42" t="n">
        <x:f>Members!C73</x:f>
        <x:v>78</x:v>
      </x:c>
      <x:c r="D73" s="44" t="n">
        <x:f>Members!D73</x:f>
        <x:v>22.7</x:v>
      </x:c>
      <x:c r="E73" s="48" t="n">
        <x:f>Members!E73</x:f>
        <x:v>0</x:v>
      </x:c>
      <x:c r="F73" s="48" t="n">
        <x:f>Members!F73</x:f>
        <x:v>328000</x:v>
      </x:c>
      <x:c r="G73" s="46" t="n">
        <x:f>MAX(0,Assumptions!$B$10-C73)</x:f>
        <x:v>0</x:v>
      </x:c>
      <x:c r="H73" s="50" t="n">
        <x:f>IF(B73="Active",E73*(1+Assumptions!$B$7)^G73,E73)</x:f>
        <x:v>0</x:v>
      </x:c>
      <x:c r="I73" s="50" t="n">
        <x:f>IF(B73="Active",MIN(Assumptions!$B$12,D73+G73),IF(B73="Deferred",MIN(Assumptions!$B$12,D73),D73))</x:f>
        <x:v>22.7</x:v>
      </x:c>
      <x:c r="J73" s="50" t="n">
        <x:f>IF(B73="Active",H73*I73*Assumptions!$B$11,IF(B73="Deferred",E73*I73*Assumptions!$B$11*(1+Assumptions!$B$9)^G73,F73))</x:f>
        <x:v>328000</x:v>
      </x:c>
      <x:c r="K73" s="37" t="n">
        <x:f>IF(B73="Pensioner",1,VLOOKUP(Assumptions!$B$10,Mortality!$A$2:$F$104,6,FALSE)/VLOOKUP(C73,Mortality!$A$2:$F$104,6,FALSE))</x:f>
        <x:v>1</x:v>
      </x:c>
      <x:c r="L73" s="37" t="n">
        <x:f>VLOOKUP(IF(B73="Pensioner",C73,Assumptions!$B$10),Mortality!$A$2:$E$104,5,FALSE)</x:f>
        <x:v>9.284717924120388</x:v>
      </x:c>
      <x:c r="M73" s="37" t="n">
        <x:f>1+Assumptions!$B$13*Assumptions!$B$14*Assumptions!$B$15</x:f>
        <x:v>1.31875</x:v>
      </x:c>
      <x:c r="N73" s="37" t="n">
        <x:f>IF(B73="Pensioner",1,1/(1+Assumptions!$B$6)^G73)</x:f>
        <x:v>1</x:v>
      </x:c>
      <x:c r="O73" s="50" t="n">
        <x:f>J73*K73*L73*M73*N73</x:f>
        <x:v>4016104.738078274</x:v>
      </x:c>
    </x:row>
    <x:row r="74">
      <x:c r="A74" s="42" t="str">
        <x:f>Members!A74</x:f>
        <x:v>A0004</x:v>
      </x:c>
      <x:c r="B74" s="42" t="str">
        <x:f>Members!B74</x:f>
        <x:v>Active</x:v>
      </x:c>
      <x:c r="C74" s="42" t="n">
        <x:f>Members!C74</x:f>
        <x:v>39</x:v>
      </x:c>
      <x:c r="D74" s="44" t="n">
        <x:f>Members!D74</x:f>
        <x:v>16.8</x:v>
      </x:c>
      <x:c r="E74" s="48" t="n">
        <x:f>Members!E74</x:f>
        <x:v>942000</x:v>
      </x:c>
      <x:c r="F74" s="48" t="n">
        <x:f>Members!F74</x:f>
        <x:v>0</x:v>
      </x:c>
      <x:c r="G74" s="46" t="n">
        <x:f>MAX(0,Assumptions!$B$10-C74)</x:f>
        <x:v>21</x:v>
      </x:c>
      <x:c r="H74" s="50" t="n">
        <x:f>IF(B74="Active",E74*(1+Assumptions!$B$7)^G74,E74)</x:f>
        <x:v>2899696.57173725</x:v>
      </x:c>
      <x:c r="I74" s="50" t="n">
        <x:f>IF(B74="Active",MIN(Assumptions!$B$12,D74+G74),IF(B74="Deferred",MIN(Assumptions!$B$12,D74),D74))</x:f>
        <x:v>37.8</x:v>
      </x:c>
      <x:c r="J74" s="50" t="n">
        <x:f>IF(B74="Active",H74*I74*Assumptions!$B$11,IF(B74="Deferred",E74*I74*Assumptions!$B$11*(1+Assumptions!$B$9)^G74,F74))</x:f>
        <x:v>1826808.8401944672</x:v>
      </x:c>
      <x:c r="K74" s="37" t="n">
        <x:f>IF(B74="Pensioner",1,VLOOKUP(Assumptions!$B$10,Mortality!$A$2:$F$104,6,FALSE)/VLOOKUP(C74,Mortality!$A$2:$F$104,6,FALSE))</x:f>
        <x:v>0.973585741778878</x:v>
      </x:c>
      <x:c r="L74" s="37" t="n">
        <x:f>VLOOKUP(IF(B74="Pensioner",C74,Assumptions!$B$10),Mortality!$A$2:$E$104,5,FALSE)</x:f>
        <x:v>17.296790022132885</x:v>
      </x:c>
      <x:c r="M74" s="37" t="n">
        <x:f>1+Assumptions!$B$13*Assumptions!$B$14*Assumptions!$B$15</x:f>
        <x:v>1.31875</x:v>
      </x:c>
      <x:c r="N74" s="37" t="n">
        <x:f>IF(B74="Pensioner",1,1/(1+Assumptions!$B$6)^G74)</x:f>
        <x:v>0.26647608349429097</x:v>
      </x:c>
      <x:c r="O74" s="50" t="n">
        <x:f>J74*K74*L74*M74*N74</x:f>
        <x:v>10810692.941707883</x:v>
      </x:c>
    </x:row>
    <x:row r="75">
      <x:c r="A75" s="42" t="str">
        <x:f>Members!A75</x:f>
        <x:v>P0107</x:v>
      </x:c>
      <x:c r="B75" s="42" t="str">
        <x:f>Members!B75</x:f>
        <x:v>Pensioner</x:v>
      </x:c>
      <x:c r="C75" s="42" t="n">
        <x:f>Members!C75</x:f>
        <x:v>77</x:v>
      </x:c>
      <x:c r="D75" s="44" t="n">
        <x:f>Members!D75</x:f>
        <x:v>33.7</x:v>
      </x:c>
      <x:c r="E75" s="48" t="n">
        <x:f>Members!E75</x:f>
        <x:v>0</x:v>
      </x:c>
      <x:c r="F75" s="48" t="n">
        <x:f>Members!F75</x:f>
        <x:v>240000</x:v>
      </x:c>
      <x:c r="G75" s="46" t="n">
        <x:f>MAX(0,Assumptions!$B$10-C75)</x:f>
        <x:v>0</x:v>
      </x:c>
      <x:c r="H75" s="50" t="n">
        <x:f>IF(B75="Active",E75*(1+Assumptions!$B$7)^G75,E75)</x:f>
        <x:v>0</x:v>
      </x:c>
      <x:c r="I75" s="50" t="n">
        <x:f>IF(B75="Active",MIN(Assumptions!$B$12,D75+G75),IF(B75="Deferred",MIN(Assumptions!$B$12,D75),D75))</x:f>
        <x:v>33.7</x:v>
      </x:c>
      <x:c r="J75" s="50" t="n">
        <x:f>IF(B75="Active",H75*I75*Assumptions!$B$11,IF(B75="Deferred",E75*I75*Assumptions!$B$11*(1+Assumptions!$B$9)^G75,F75))</x:f>
        <x:v>240000</x:v>
      </x:c>
      <x:c r="K75" s="37" t="n">
        <x:f>IF(B75="Pensioner",1,VLOOKUP(Assumptions!$B$10,Mortality!$A$2:$F$104,6,FALSE)/VLOOKUP(C75,Mortality!$A$2:$F$104,6,FALSE))</x:f>
        <x:v>1</x:v>
      </x:c>
      <x:c r="L75" s="37" t="n">
        <x:f>VLOOKUP(IF(B75="Pensioner",C75,Assumptions!$B$10),Mortality!$A$2:$E$104,5,FALSE)</x:f>
        <x:v>9.741818456431972</x:v>
      </x:c>
      <x:c r="M75" s="37" t="n">
        <x:f>1+Assumptions!$B$13*Assumptions!$B$14*Assumptions!$B$15</x:f>
        <x:v>1.31875</x:v>
      </x:c>
      <x:c r="N75" s="37" t="n">
        <x:f>IF(B75="Pensioner",1,1/(1+Assumptions!$B$6)^G75)</x:f>
        <x:v>1</x:v>
      </x:c>
      <x:c r="O75" s="50" t="n">
        <x:f>J75*K75*L75*M75*N75</x:f>
        <x:v>3083285.541460719</x:v>
      </x:c>
    </x:row>
    <x:row r="76">
      <x:c r="A76" s="42" t="str">
        <x:f>Members!A76</x:f>
        <x:v>A0158</x:v>
      </x:c>
      <x:c r="B76" s="42" t="str">
        <x:f>Members!B76</x:f>
        <x:v>Active</x:v>
      </x:c>
      <x:c r="C76" s="42" t="n">
        <x:f>Members!C76</x:f>
        <x:v>56</x:v>
      </x:c>
      <x:c r="D76" s="44" t="n">
        <x:f>Members!D76</x:f>
        <x:v>20</x:v>
      </x:c>
      <x:c r="E76" s="48" t="n">
        <x:f>Members!E76</x:f>
        <x:v>1382000</x:v>
      </x:c>
      <x:c r="F76" s="48" t="n">
        <x:f>Members!F76</x:f>
        <x:v>0</x:v>
      </x:c>
      <x:c r="G76" s="46" t="n">
        <x:f>MAX(0,Assumptions!$B$10-C76)</x:f>
        <x:v>4</x:v>
      </x:c>
      <x:c r="H76" s="50" t="n">
        <x:f>IF(B76="Active",E76*(1+Assumptions!$B$7)^G76,E76)</x:f>
        <x:v>1712055.6671637497</x:v>
      </x:c>
      <x:c r="I76" s="50" t="n">
        <x:f>IF(B76="Active",MIN(Assumptions!$B$12,D76+G76),IF(B76="Deferred",MIN(Assumptions!$B$12,D76),D76))</x:f>
        <x:v>24</x:v>
      </x:c>
      <x:c r="J76" s="50" t="n">
        <x:f>IF(B76="Active",H76*I76*Assumptions!$B$11,IF(B76="Deferred",E76*I76*Assumptions!$B$11*(1+Assumptions!$B$9)^G76,F76))</x:f>
        <x:v>684822.2668654998</x:v>
      </x:c>
      <x:c r="K76" s="37" t="n">
        <x:f>IF(B76="Pensioner",1,VLOOKUP(Assumptions!$B$10,Mortality!$A$2:$F$104,6,FALSE)/VLOOKUP(C76,Mortality!$A$2:$F$104,6,FALSE))</x:f>
        <x:v>0.990116255810422</x:v>
      </x:c>
      <x:c r="L76" s="37" t="n">
        <x:f>VLOOKUP(IF(B76="Pensioner",C76,Assumptions!$B$10),Mortality!$A$2:$E$104,5,FALSE)</x:f>
        <x:v>17.296790022132885</x:v>
      </x:c>
      <x:c r="M76" s="37" t="n">
        <x:f>1+Assumptions!$B$13*Assumptions!$B$14*Assumptions!$B$15</x:f>
        <x:v>1.31875</x:v>
      </x:c>
      <x:c r="N76" s="37" t="n">
        <x:f>IF(B76="Pensioner",1,1/(1+Assumptions!$B$6)^G76)</x:f>
        <x:v>0.777323090894817</x:v>
      </x:c>
      <x:c r="O76" s="50" t="n">
        <x:f>J76*K76*L76*M76*N76</x:f>
        <x:v>12022467.688470017</x:v>
      </x:c>
    </x:row>
    <x:row r="77">
      <x:c r="A77" s="42" t="str">
        <x:f>Members!A77</x:f>
        <x:v>A0337</x:v>
      </x:c>
      <x:c r="B77" s="42" t="str">
        <x:f>Members!B77</x:f>
        <x:v>Active</x:v>
      </x:c>
      <x:c r="C77" s="42" t="n">
        <x:f>Members!C77</x:f>
        <x:v>25</x:v>
      </x:c>
      <x:c r="D77" s="44" t="n">
        <x:f>Members!D77</x:f>
        <x:v>2</x:v>
      </x:c>
      <x:c r="E77" s="48" t="n">
        <x:f>Members!E77</x:f>
        <x:v>356000</x:v>
      </x:c>
      <x:c r="F77" s="48" t="n">
        <x:f>Members!F77</x:f>
        <x:v>0</x:v>
      </x:c>
      <x:c r="G77" s="46" t="n">
        <x:f>MAX(0,Assumptions!$B$10-C77)</x:f>
        <x:v>35</x:v>
      </x:c>
      <x:c r="H77" s="50" t="n">
        <x:f>IF(B77="Active",E77*(1+Assumptions!$B$7)^G77,E77)</x:f>
        <x:v>2318921.7027856354</x:v>
      </x:c>
      <x:c r="I77" s="50" t="n">
        <x:f>IF(B77="Active",MIN(Assumptions!$B$12,D77+G77),IF(B77="Deferred",MIN(Assumptions!$B$12,D77),D77))</x:f>
        <x:v>37</x:v>
      </x:c>
      <x:c r="J77" s="50" t="n">
        <x:f>IF(B77="Active",H77*I77*Assumptions!$B$11,IF(B77="Deferred",E77*I77*Assumptions!$B$11*(1+Assumptions!$B$9)^G77,F77))</x:f>
        <x:v>1430001.7167178085</x:v>
      </x:c>
      <x:c r="K77" s="37" t="n">
        <x:f>IF(B77="Pensioner",1,VLOOKUP(Assumptions!$B$10,Mortality!$A$2:$F$104,6,FALSE)/VLOOKUP(C77,Mortality!$A$2:$F$104,6,FALSE))</x:f>
        <x:v>0.9689672976041144</x:v>
      </x:c>
      <x:c r="L77" s="37" t="n">
        <x:f>VLOOKUP(IF(B77="Pensioner",C77,Assumptions!$B$10),Mortality!$A$2:$E$104,5,FALSE)</x:f>
        <x:v>17.296790022132885</x:v>
      </x:c>
      <x:c r="M77" s="37" t="n">
        <x:f>1+Assumptions!$B$13*Assumptions!$B$14*Assumptions!$B$15</x:f>
        <x:v>1.31875</x:v>
      </x:c>
      <x:c r="N77" s="37" t="n">
        <x:f>IF(B77="Pensioner",1,1/(1+Assumptions!$B$6)^G77)</x:f>
        <x:v>0.11034781240254267</x:v>
      </x:c>
      <x:c r="O77" s="50" t="n">
        <x:f>J77*K77*L77*M77*N77</x:f>
        <x:v>3487686.116762981</x:v>
      </x:c>
    </x:row>
    <x:row r="78">
      <x:c r="A78" s="42" t="str">
        <x:f>Members!A78</x:f>
        <x:v>P0033</x:v>
      </x:c>
      <x:c r="B78" s="42" t="str">
        <x:f>Members!B78</x:f>
        <x:v>Pensioner</x:v>
      </x:c>
      <x:c r="C78" s="42" t="n">
        <x:f>Members!C78</x:f>
        <x:v>75</x:v>
      </x:c>
      <x:c r="D78" s="44" t="n">
        <x:f>Members!D78</x:f>
        <x:v>38.8</x:v>
      </x:c>
      <x:c r="E78" s="48" t="n">
        <x:f>Members!E78</x:f>
        <x:v>0</x:v>
      </x:c>
      <x:c r="F78" s="48" t="n">
        <x:f>Members!F78</x:f>
        <x:v>273000</x:v>
      </x:c>
      <x:c r="G78" s="46" t="n">
        <x:f>MAX(0,Assumptions!$B$10-C78)</x:f>
        <x:v>0</x:v>
      </x:c>
      <x:c r="H78" s="50" t="n">
        <x:f>IF(B78="Active",E78*(1+Assumptions!$B$7)^G78,E78)</x:f>
        <x:v>0</x:v>
      </x:c>
      <x:c r="I78" s="50" t="n">
        <x:f>IF(B78="Active",MIN(Assumptions!$B$12,D78+G78),IF(B78="Deferred",MIN(Assumptions!$B$12,D78),D78))</x:f>
        <x:v>38.8</x:v>
      </x:c>
      <x:c r="J78" s="50" t="n">
        <x:f>IF(B78="Active",H78*I78*Assumptions!$B$11,IF(B78="Deferred",E78*I78*Assumptions!$B$11*(1+Assumptions!$B$9)^G78,F78))</x:f>
        <x:v>273000</x:v>
      </x:c>
      <x:c r="K78" s="37" t="n">
        <x:f>IF(B78="Pensioner",1,VLOOKUP(Assumptions!$B$10,Mortality!$A$2:$F$104,6,FALSE)/VLOOKUP(C78,Mortality!$A$2:$F$104,6,FALSE))</x:f>
        <x:v>1</x:v>
      </x:c>
      <x:c r="L78" s="37" t="n">
        <x:f>VLOOKUP(IF(B78="Pensioner",C78,Assumptions!$B$10),Mortality!$A$2:$E$104,5,FALSE)</x:f>
        <x:v>10.662474804432929</x:v>
      </x:c>
      <x:c r="M78" s="37" t="n">
        <x:f>1+Assumptions!$B$13*Assumptions!$B$14*Assumptions!$B$15</x:f>
        <x:v>1.31875</x:v>
      </x:c>
      <x:c r="N78" s="37" t="n">
        <x:f>IF(B78="Pensioner",1,1/(1+Assumptions!$B$6)^G78)</x:f>
        <x:v>1</x:v>
      </x:c>
      <x:c r="O78" s="50" t="n">
        <x:f>J78*K78*L78*M78*N78</x:f>
        <x:v>3838690.8509984375</x:v>
      </x:c>
    </x:row>
    <x:row r="79">
      <x:c r="A79" s="42" t="str">
        <x:f>Members!A79</x:f>
        <x:v>A0488</x:v>
      </x:c>
      <x:c r="B79" s="42" t="str">
        <x:f>Members!B79</x:f>
        <x:v>Active</x:v>
      </x:c>
      <x:c r="C79" s="42" t="n">
        <x:f>Members!C79</x:f>
        <x:v>54</x:v>
      </x:c>
      <x:c r="D79" s="44" t="n">
        <x:f>Members!D79</x:f>
        <x:v>5.2</x:v>
      </x:c>
      <x:c r="E79" s="48" t="n">
        <x:f>Members!E79</x:f>
        <x:v>1686000</x:v>
      </x:c>
      <x:c r="F79" s="48" t="n">
        <x:f>Members!F79</x:f>
        <x:v>0</x:v>
      </x:c>
      <x:c r="G79" s="46" t="n">
        <x:f>MAX(0,Assumptions!$B$10-C79)</x:f>
        <x:v>6</x:v>
      </x:c>
      <x:c r="H79" s="50" t="n">
        <x:f>IF(B79="Active",E79*(1+Assumptions!$B$7)^G79,E79)</x:f>
        <x:v>2324728.972200547</x:v>
      </x:c>
      <x:c r="I79" s="50" t="n">
        <x:f>IF(B79="Active",MIN(Assumptions!$B$12,D79+G79),IF(B79="Deferred",MIN(Assumptions!$B$12,D79),D79))</x:f>
        <x:v>11.2</x:v>
      </x:c>
      <x:c r="J79" s="50" t="n">
        <x:f>IF(B79="Active",H79*I79*Assumptions!$B$11,IF(B79="Deferred",E79*I79*Assumptions!$B$11*(1+Assumptions!$B$9)^G79,F79))</x:f>
        <x:v>433949.408144102</x:v>
      </x:c>
      <x:c r="K79" s="37" t="n">
        <x:f>IF(B79="Pensioner",1,VLOOKUP(Assumptions!$B$10,Mortality!$A$2:$F$104,6,FALSE)/VLOOKUP(C79,Mortality!$A$2:$F$104,6,FALSE))</x:f>
        <x:v>0.9865535119056937</x:v>
      </x:c>
      <x:c r="L79" s="37" t="n">
        <x:f>VLOOKUP(IF(B79="Pensioner",C79,Assumptions!$B$10),Mortality!$A$2:$E$104,5,FALSE)</x:f>
        <x:v>17.296790022132885</x:v>
      </x:c>
      <x:c r="M79" s="37" t="n">
        <x:f>1+Assumptions!$B$13*Assumptions!$B$14*Assumptions!$B$15</x:f>
        <x:v>1.31875</x:v>
      </x:c>
      <x:c r="N79" s="37" t="n">
        <x:f>IF(B79="Pensioner",1,1/(1+Assumptions!$B$6)^G79)</x:f>
        <x:v>0.6853341187990187</x:v>
      </x:c>
      <x:c r="O79" s="50" t="n">
        <x:f>J79*K79*L79*M79*N79</x:f>
        <x:v>6692526.299797377</x:v>
      </x:c>
    </x:row>
    <x:row r="80">
      <x:c r="A80" s="42" t="str">
        <x:f>Members!A80</x:f>
        <x:v>P0016</x:v>
      </x:c>
      <x:c r="B80" s="42" t="str">
        <x:f>Members!B80</x:f>
        <x:v>Pensioner</x:v>
      </x:c>
      <x:c r="C80" s="42" t="n">
        <x:f>Members!C80</x:f>
        <x:v>72</x:v>
      </x:c>
      <x:c r="D80" s="44" t="n">
        <x:f>Members!D80</x:f>
        <x:v>19.6</x:v>
      </x:c>
      <x:c r="E80" s="48" t="n">
        <x:f>Members!E80</x:f>
        <x:v>0</x:v>
      </x:c>
      <x:c r="F80" s="48" t="n">
        <x:f>Members!F80</x:f>
        <x:v>490000</x:v>
      </x:c>
      <x:c r="G80" s="46" t="n">
        <x:f>MAX(0,Assumptions!$B$10-C80)</x:f>
        <x:v>0</x:v>
      </x:c>
      <x:c r="H80" s="50" t="n">
        <x:f>IF(B80="Active",E80*(1+Assumptions!$B$7)^G80,E80)</x:f>
        <x:v>0</x:v>
      </x:c>
      <x:c r="I80" s="50" t="n">
        <x:f>IF(B80="Active",MIN(Assumptions!$B$12,D80+G80),IF(B80="Deferred",MIN(Assumptions!$B$12,D80),D80))</x:f>
        <x:v>19.6</x:v>
      </x:c>
      <x:c r="J80" s="50" t="n">
        <x:f>IF(B80="Active",H80*I80*Assumptions!$B$11,IF(B80="Deferred",E80*I80*Assumptions!$B$11*(1+Assumptions!$B$9)^G80,F80))</x:f>
        <x:v>490000</x:v>
      </x:c>
      <x:c r="K80" s="37" t="n">
        <x:f>IF(B80="Pensioner",1,VLOOKUP(Assumptions!$B$10,Mortality!$A$2:$F$104,6,FALSE)/VLOOKUP(C80,Mortality!$A$2:$F$104,6,FALSE))</x:f>
        <x:v>1</x:v>
      </x:c>
      <x:c r="L80" s="37" t="n">
        <x:f>VLOOKUP(IF(B80="Pensioner",C80,Assumptions!$B$10),Mortality!$A$2:$E$104,5,FALSE)</x:f>
        <x:v>12.047202362945457</x:v>
      </x:c>
      <x:c r="M80" s="37" t="n">
        <x:f>1+Assumptions!$B$13*Assumptions!$B$14*Assumptions!$B$15</x:f>
        <x:v>1.31875</x:v>
      </x:c>
      <x:c r="N80" s="37" t="n">
        <x:f>IF(B80="Pensioner",1,1/(1+Assumptions!$B$6)^G80)</x:f>
        <x:v>1</x:v>
      </x:c>
      <x:c r="O80" s="50" t="n">
        <x:f>J80*K80*L80*M80*N80</x:f>
        <x:v>7784751.576905819</x:v>
      </x:c>
    </x:row>
    <x:row r="81">
      <x:c r="A81" s="42" t="str">
        <x:f>Members!A81</x:f>
        <x:v>D0011</x:v>
      </x:c>
      <x:c r="B81" s="42" t="str">
        <x:f>Members!B81</x:f>
        <x:v>Deferred</x:v>
      </x:c>
      <x:c r="C81" s="42" t="n">
        <x:f>Members!C81</x:f>
        <x:v>51</x:v>
      </x:c>
      <x:c r="D81" s="44" t="n">
        <x:f>Members!D81</x:f>
        <x:v>18</x:v>
      </x:c>
      <x:c r="E81" s="48" t="n">
        <x:f>Members!E81</x:f>
        <x:v>692000</x:v>
      </x:c>
      <x:c r="F81" s="48" t="n">
        <x:f>Members!F81</x:f>
        <x:v>0</x:v>
      </x:c>
      <x:c r="G81" s="46" t="n">
        <x:f>MAX(0,Assumptions!$B$10-C81)</x:f>
        <x:v>9</x:v>
      </x:c>
      <x:c r="H81" s="50" t="n">
        <x:f>IF(B81="Active",E81*(1+Assumptions!$B$7)^G81,E81)</x:f>
        <x:v>692000</x:v>
      </x:c>
      <x:c r="I81" s="50" t="n">
        <x:f>IF(B81="Active",MIN(Assumptions!$B$12,D81+G81),IF(B81="Deferred",MIN(Assumptions!$B$12,D81),D81))</x:f>
        <x:v>18</x:v>
      </x:c>
      <x:c r="J81" s="50" t="n">
        <x:f>IF(B81="Active",H81*I81*Assumptions!$B$11,IF(B81="Deferred",E81*I81*Assumptions!$B$11*(1+Assumptions!$B$9)^G81,F81))</x:f>
        <x:v>295479.53225870035</x:v>
      </x:c>
      <x:c r="K81" s="37" t="n">
        <x:f>IF(B81="Pensioner",1,VLOOKUP(Assumptions!$B$10,Mortality!$A$2:$F$104,6,FALSE)/VLOOKUP(C81,Mortality!$A$2:$F$104,6,FALSE))</x:f>
        <x:v>0.9824052797506154</x:v>
      </x:c>
      <x:c r="L81" s="37" t="n">
        <x:f>VLOOKUP(IF(B81="Pensioner",C81,Assumptions!$B$10),Mortality!$A$2:$E$104,5,FALSE)</x:f>
        <x:v>17.296790022132885</x:v>
      </x:c>
      <x:c r="M81" s="37" t="n">
        <x:f>1+Assumptions!$B$13*Assumptions!$B$14*Assumptions!$B$15</x:f>
        <x:v>1.31875</x:v>
      </x:c>
      <x:c r="N81" s="37" t="n">
        <x:f>IF(B81="Pensioner",1,1/(1+Assumptions!$B$6)^G81)</x:f>
        <x:v>0.5673532278293633</x:v>
      </x:c>
      <x:c r="O81" s="50" t="n">
        <x:f>J81*K81*L81*M81*N81</x:f>
        <x:v>3756640.243360233</x:v>
      </x:c>
    </x:row>
    <x:row r="82">
      <x:c r="A82" s="42" t="str">
        <x:f>Members!A82</x:f>
        <x:v>P0209</x:v>
      </x:c>
      <x:c r="B82" s="42" t="str">
        <x:f>Members!B82</x:f>
        <x:v>Pensioner</x:v>
      </x:c>
      <x:c r="C82" s="42" t="n">
        <x:f>Members!C82</x:f>
        <x:v>70</x:v>
      </x:c>
      <x:c r="D82" s="44" t="n">
        <x:f>Members!D82</x:f>
        <x:v>31.6</x:v>
      </x:c>
      <x:c r="E82" s="48" t="n">
        <x:f>Members!E82</x:f>
        <x:v>0</x:v>
      </x:c>
      <x:c r="F82" s="48" t="n">
        <x:f>Members!F82</x:f>
        <x:v>460000</x:v>
      </x:c>
      <x:c r="G82" s="46" t="n">
        <x:f>MAX(0,Assumptions!$B$10-C82)</x:f>
        <x:v>0</x:v>
      </x:c>
      <x:c r="H82" s="50" t="n">
        <x:f>IF(B82="Active",E82*(1+Assumptions!$B$7)^G82,E82)</x:f>
        <x:v>0</x:v>
      </x:c>
      <x:c r="I82" s="50" t="n">
        <x:f>IF(B82="Active",MIN(Assumptions!$B$12,D82+G82),IF(B82="Deferred",MIN(Assumptions!$B$12,D82),D82))</x:f>
        <x:v>31.6</x:v>
      </x:c>
      <x:c r="J82" s="50" t="n">
        <x:f>IF(B82="Active",H82*I82*Assumptions!$B$11,IF(B82="Deferred",E82*I82*Assumptions!$B$11*(1+Assumptions!$B$9)^G82,F82))</x:f>
        <x:v>460000</x:v>
      </x:c>
      <x:c r="K82" s="37" t="n">
        <x:f>IF(B82="Pensioner",1,VLOOKUP(Assumptions!$B$10,Mortality!$A$2:$F$104,6,FALSE)/VLOOKUP(C82,Mortality!$A$2:$F$104,6,FALSE))</x:f>
        <x:v>1</x:v>
      </x:c>
      <x:c r="L82" s="37" t="n">
        <x:f>VLOOKUP(IF(B82="Pensioner",C82,Assumptions!$B$10),Mortality!$A$2:$E$104,5,FALSE)</x:f>
        <x:v>12.963998211865617</x:v>
      </x:c>
      <x:c r="M82" s="37" t="n">
        <x:f>1+Assumptions!$B$13*Assumptions!$B$14*Assumptions!$B$15</x:f>
        <x:v>1.31875</x:v>
      </x:c>
      <x:c r="N82" s="37" t="n">
        <x:f>IF(B82="Pensioner",1,1/(1+Assumptions!$B$6)^G82)</x:f>
        <x:v>1</x:v>
      </x:c>
      <x:c r="O82" s="50" t="n">
        <x:f>J82*K82*L82*M82*N82</x:f>
        <x:v>7864285.415272981</x:v>
      </x:c>
    </x:row>
    <x:row r="83">
      <x:c r="A83" s="42" t="str">
        <x:f>Members!A83</x:f>
        <x:v>A0365</x:v>
      </x:c>
      <x:c r="B83" s="42" t="str">
        <x:f>Members!B83</x:f>
        <x:v>Active</x:v>
      </x:c>
      <x:c r="C83" s="42" t="n">
        <x:f>Members!C83</x:f>
        <x:v>58</x:v>
      </x:c>
      <x:c r="D83" s="44" t="n">
        <x:f>Members!D83</x:f>
        <x:v>33.5</x:v>
      </x:c>
      <x:c r="E83" s="48" t="n">
        <x:f>Members!E83</x:f>
        <x:v>1863000</x:v>
      </x:c>
      <x:c r="F83" s="48" t="n">
        <x:f>Members!F83</x:f>
        <x:v>0</x:v>
      </x:c>
      <x:c r="G83" s="46" t="n">
        <x:f>MAX(0,Assumptions!$B$10-C83)</x:f>
        <x:v>2</x:v>
      </x:c>
      <x:c r="H83" s="50" t="n">
        <x:f>IF(B83="Active",E83*(1+Assumptions!$B$7)^G83,E83)</x:f>
        <x:v>2073565.575</x:v>
      </x:c>
      <x:c r="I83" s="50" t="n">
        <x:f>IF(B83="Active",MIN(Assumptions!$B$12,D83+G83),IF(B83="Deferred",MIN(Assumptions!$B$12,D83),D83))</x:f>
        <x:v>35.5</x:v>
      </x:c>
      <x:c r="J83" s="50" t="n">
        <x:f>IF(B83="Active",H83*I83*Assumptions!$B$11,IF(B83="Deferred",E83*I83*Assumptions!$B$11*(1+Assumptions!$B$9)^G83,F83))</x:f>
        <x:v>1226859.631875</x:v>
      </x:c>
      <x:c r="K83" s="37" t="n">
        <x:f>IF(B83="Pensioner",1,VLOOKUP(Assumptions!$B$10,Mortality!$A$2:$F$104,6,FALSE)/VLOOKUP(C83,Mortality!$A$2:$F$104,6,FALSE))</x:f>
        <x:v>0.9945213044203837</x:v>
      </x:c>
      <x:c r="L83" s="37" t="n">
        <x:f>VLOOKUP(IF(B83="Pensioner",C83,Assumptions!$B$10),Mortality!$A$2:$E$104,5,FALSE)</x:f>
        <x:v>17.296790022132885</x:v>
      </x:c>
      <x:c r="M83" s="37" t="n">
        <x:f>1+Assumptions!$B$13*Assumptions!$B$14*Assumptions!$B$15</x:f>
        <x:v>1.31875</x:v>
      </x:c>
      <x:c r="N83" s="37" t="n">
        <x:f>IF(B83="Pensioner",1,1/(1+Assumptions!$B$6)^G83)</x:f>
        <x:v>0.8816592827701736</x:v>
      </x:c>
      <x:c r="O83" s="50" t="n">
        <x:f>J83*K83*L83*M83*N83</x:f>
        <x:v>24537919.541119844</x:v>
      </x:c>
    </x:row>
    <x:row r="84">
      <x:c r="A84" s="42" t="str">
        <x:f>Members!A84</x:f>
        <x:v>D0112</x:v>
      </x:c>
      <x:c r="B84" s="42" t="str">
        <x:f>Members!B84</x:f>
        <x:v>Deferred</x:v>
      </x:c>
      <x:c r="C84" s="42" t="n">
        <x:f>Members!C84</x:f>
        <x:v>31</x:v>
      </x:c>
      <x:c r="D84" s="44" t="n">
        <x:f>Members!D84</x:f>
        <x:v>2.8</x:v>
      </x:c>
      <x:c r="E84" s="48" t="n">
        <x:f>Members!E84</x:f>
        <x:v>415000</x:v>
      </x:c>
      <x:c r="F84" s="48" t="n">
        <x:f>Members!F84</x:f>
        <x:v>0</x:v>
      </x:c>
      <x:c r="G84" s="46" t="n">
        <x:f>MAX(0,Assumptions!$B$10-C84)</x:f>
        <x:v>29</x:v>
      </x:c>
      <x:c r="H84" s="50" t="n">
        <x:f>IF(B84="Active",E84*(1+Assumptions!$B$7)^G84,E84)</x:f>
        <x:v>415000</x:v>
      </x:c>
      <x:c r="I84" s="50" t="n">
        <x:f>IF(B84="Active",MIN(Assumptions!$B$12,D84+G84),IF(B84="Deferred",MIN(Assumptions!$B$12,D84),D84))</x:f>
        <x:v>2.8</x:v>
      </x:c>
      <x:c r="J84" s="50" t="n">
        <x:f>IF(B84="Active",H84*I84*Assumptions!$B$11,IF(B84="Deferred",E84*I84*Assumptions!$B$11*(1+Assumptions!$B$9)^G84,F84))</x:f>
        <x:v>60397.88311942315</x:v>
      </x:c>
      <x:c r="K84" s="37" t="n">
        <x:f>IF(B84="Pensioner",1,VLOOKUP(Assumptions!$B$10,Mortality!$A$2:$F$104,6,FALSE)/VLOOKUP(C84,Mortality!$A$2:$F$104,6,FALSE))</x:f>
        <x:v>0.9706466107295209</x:v>
      </x:c>
      <x:c r="L84" s="37" t="n">
        <x:f>VLOOKUP(IF(B84="Pensioner",C84,Assumptions!$B$10),Mortality!$A$2:$E$104,5,FALSE)</x:f>
        <x:v>17.296790022132885</x:v>
      </x:c>
      <x:c r="M84" s="37" t="n">
        <x:f>1+Assumptions!$B$13*Assumptions!$B$14*Assumptions!$B$15</x:f>
        <x:v>1.31875</x:v>
      </x:c>
      <x:c r="N84" s="37" t="n">
        <x:f>IF(B84="Pensioner",1,1/(1+Assumptions!$B$6)^G84)</x:f>
        <x:v>0.16101316040695074</x:v>
      </x:c>
      <x:c r="O84" s="50" t="n">
        <x:f>J84*K84*L84*M84*N84</x:f>
        <x:v>215313.97572520238</x:v>
      </x:c>
    </x:row>
    <x:row r="85">
      <x:c r="A85" s="42" t="str">
        <x:f>Members!A85</x:f>
        <x:v>A0327</x:v>
      </x:c>
      <x:c r="B85" s="42" t="str">
        <x:f>Members!B85</x:f>
        <x:v>Active</x:v>
      </x:c>
      <x:c r="C85" s="42" t="n">
        <x:f>Members!C85</x:f>
        <x:v>26</x:v>
      </x:c>
      <x:c r="D85" s="44" t="n">
        <x:f>Members!D85</x:f>
        <x:v>3.6</x:v>
      </x:c>
      <x:c r="E85" s="48" t="n">
        <x:f>Members!E85</x:f>
        <x:v>534000</x:v>
      </x:c>
      <x:c r="F85" s="48" t="n">
        <x:f>Members!F85</x:f>
        <x:v>0</x:v>
      </x:c>
      <x:c r="G85" s="46" t="n">
        <x:f>MAX(0,Assumptions!$B$10-C85)</x:f>
        <x:v>34</x:v>
      </x:c>
      <x:c r="H85" s="50" t="n">
        <x:f>IF(B85="Active",E85*(1+Assumptions!$B$7)^G85,E85)</x:f>
        <x:v>3297045.075050667</x:v>
      </x:c>
      <x:c r="I85" s="50" t="n">
        <x:f>IF(B85="Active",MIN(Assumptions!$B$12,D85+G85),IF(B85="Deferred",MIN(Assumptions!$B$12,D85),D85))</x:f>
        <x:v>37.6</x:v>
      </x:c>
      <x:c r="J85" s="50" t="n">
        <x:f>IF(B85="Active",H85*I85*Assumptions!$B$11,IF(B85="Deferred",E85*I85*Assumptions!$B$11*(1+Assumptions!$B$9)^G85,F85))</x:f>
        <x:v>2066148.2470317513</x:v>
      </x:c>
      <x:c r="K85" s="37" t="n">
        <x:f>IF(B85="Pensioner",1,VLOOKUP(Assumptions!$B$10,Mortality!$A$2:$F$104,6,FALSE)/VLOOKUP(C85,Mortality!$A$2:$F$104,6,FALSE))</x:f>
        <x:v>0.9692291629189255</x:v>
      </x:c>
      <x:c r="L85" s="37" t="n">
        <x:f>VLOOKUP(IF(B85="Pensioner",C85,Assumptions!$B$10),Mortality!$A$2:$E$104,5,FALSE)</x:f>
        <x:v>17.296790022132885</x:v>
      </x:c>
      <x:c r="M85" s="37" t="n">
        <x:f>1+Assumptions!$B$13*Assumptions!$B$14*Assumptions!$B$15</x:f>
        <x:v>1.31875</x:v>
      </x:c>
      <x:c r="N85" s="37" t="n">
        <x:f>IF(B85="Pensioner",1,1/(1+Assumptions!$B$6)^G85)</x:f>
        <x:v>0.11752042020870793</x:v>
      </x:c>
      <x:c r="O85" s="50" t="n">
        <x:f>J85*K85*L85*M85*N85</x:f>
        <x:v>5368207.243226145</x:v>
      </x:c>
    </x:row>
    <x:row r="86">
      <x:c r="A86" s="42" t="str">
        <x:f>Members!A86</x:f>
        <x:v>A0285</x:v>
      </x:c>
      <x:c r="B86" s="42" t="str">
        <x:f>Members!B86</x:f>
        <x:v>Active</x:v>
      </x:c>
      <x:c r="C86" s="42" t="n">
        <x:f>Members!C86</x:f>
        <x:v>45</x:v>
      </x:c>
      <x:c r="D86" s="44" t="n">
        <x:f>Members!D86</x:f>
        <x:v>9.3</x:v>
      </x:c>
      <x:c r="E86" s="48" t="n">
        <x:f>Members!E86</x:f>
        <x:v>1075000</x:v>
      </x:c>
      <x:c r="F86" s="48" t="n">
        <x:f>Members!F86</x:f>
        <x:v>0</x:v>
      </x:c>
      <x:c r="G86" s="46" t="n">
        <x:f>MAX(0,Assumptions!$B$10-C86)</x:f>
        <x:v>15</x:v>
      </x:c>
      <x:c r="H86" s="50" t="n">
        <x:f>IF(B86="Active",E86*(1+Assumptions!$B$7)^G86,E86)</x:f>
        <x:v>2399912.2291557956</x:v>
      </x:c>
      <x:c r="I86" s="50" t="n">
        <x:f>IF(B86="Active",MIN(Assumptions!$B$12,D86+G86),IF(B86="Deferred",MIN(Assumptions!$B$12,D86),D86))</x:f>
        <x:v>24.3</x:v>
      </x:c>
      <x:c r="J86" s="50" t="n">
        <x:f>IF(B86="Active",H86*I86*Assumptions!$B$11,IF(B86="Deferred",E86*I86*Assumptions!$B$11*(1+Assumptions!$B$9)^G86,F86))</x:f>
        <x:v>971964.4528080972</x:v>
      </x:c>
      <x:c r="K86" s="37" t="n">
        <x:f>IF(B86="Pensioner",1,VLOOKUP(Assumptions!$B$10,Mortality!$A$2:$F$104,6,FALSE)/VLOOKUP(C86,Mortality!$A$2:$F$104,6,FALSE))</x:f>
        <x:v>0.9769349478194655</x:v>
      </x:c>
      <x:c r="L86" s="37" t="n">
        <x:f>VLOOKUP(IF(B86="Pensioner",C86,Assumptions!$B$10),Mortality!$A$2:$E$104,5,FALSE)</x:f>
        <x:v>17.296790022132885</x:v>
      </x:c>
      <x:c r="M86" s="37" t="n">
        <x:f>1+Assumptions!$B$13*Assumptions!$B$14*Assumptions!$B$15</x:f>
        <x:v>1.31875</x:v>
      </x:c>
      <x:c r="N86" s="37" t="n">
        <x:f>IF(B86="Pensioner",1,1/(1+Assumptions!$B$6)^G86)</x:f>
        <x:v>0.38882652444221566</x:v>
      </x:c>
      <x:c r="O86" s="50" t="n">
        <x:f>J86*K86*L86*M86*N86</x:f>
        <x:v>8421702.526575144</x:v>
      </x:c>
    </x:row>
    <x:row r="87">
      <x:c r="A87" s="42" t="str">
        <x:f>Members!A87</x:f>
        <x:v>P0191</x:v>
      </x:c>
      <x:c r="B87" s="42" t="str">
        <x:f>Members!B87</x:f>
        <x:v>Pensioner</x:v>
      </x:c>
      <x:c r="C87" s="42" t="n">
        <x:f>Members!C87</x:f>
        <x:v>78</x:v>
      </x:c>
      <x:c r="D87" s="44" t="n">
        <x:f>Members!D87</x:f>
        <x:v>39.2</x:v>
      </x:c>
      <x:c r="E87" s="48" t="n">
        <x:f>Members!E87</x:f>
        <x:v>0</x:v>
      </x:c>
      <x:c r="F87" s="48" t="n">
        <x:f>Members!F87</x:f>
        <x:v>537000</x:v>
      </x:c>
      <x:c r="G87" s="46" t="n">
        <x:f>MAX(0,Assumptions!$B$10-C87)</x:f>
        <x:v>0</x:v>
      </x:c>
      <x:c r="H87" s="50" t="n">
        <x:f>IF(B87="Active",E87*(1+Assumptions!$B$7)^G87,E87)</x:f>
        <x:v>0</x:v>
      </x:c>
      <x:c r="I87" s="50" t="n">
        <x:f>IF(B87="Active",MIN(Assumptions!$B$12,D87+G87),IF(B87="Deferred",MIN(Assumptions!$B$12,D87),D87))</x:f>
        <x:v>39.2</x:v>
      </x:c>
      <x:c r="J87" s="50" t="n">
        <x:f>IF(B87="Active",H87*I87*Assumptions!$B$11,IF(B87="Deferred",E87*I87*Assumptions!$B$11*(1+Assumptions!$B$9)^G87,F87))</x:f>
        <x:v>537000</x:v>
      </x:c>
      <x:c r="K87" s="37" t="n">
        <x:f>IF(B87="Pensioner",1,VLOOKUP(Assumptions!$B$10,Mortality!$A$2:$F$104,6,FALSE)/VLOOKUP(C87,Mortality!$A$2:$F$104,6,FALSE))</x:f>
        <x:v>1</x:v>
      </x:c>
      <x:c r="L87" s="37" t="n">
        <x:f>VLOOKUP(IF(B87="Pensioner",C87,Assumptions!$B$10),Mortality!$A$2:$E$104,5,FALSE)</x:f>
        <x:v>9.284717924120388</x:v>
      </x:c>
      <x:c r="M87" s="37" t="n">
        <x:f>1+Assumptions!$B$13*Assumptions!$B$14*Assumptions!$B$15</x:f>
        <x:v>1.31875</x:v>
      </x:c>
      <x:c r="N87" s="37" t="n">
        <x:f>IF(B87="Pensioner",1,1/(1+Assumptions!$B$6)^G87)</x:f>
        <x:v>1</x:v>
      </x:c>
      <x:c r="O87" s="50" t="n">
        <x:f>J87*K87*L87*M87*N87</x:f>
        <x:v>6575147.0864269305</x:v>
      </x:c>
    </x:row>
    <x:row r="88">
      <x:c r="A88" s="42" t="str">
        <x:f>Members!A88</x:f>
        <x:v>A0596</x:v>
      </x:c>
      <x:c r="B88" s="42" t="str">
        <x:f>Members!B88</x:f>
        <x:v>Active</x:v>
      </x:c>
      <x:c r="C88" s="42" t="n">
        <x:f>Members!C88</x:f>
        <x:v>46</x:v>
      </x:c>
      <x:c r="D88" s="44" t="n">
        <x:f>Members!D88</x:f>
        <x:v>2.5</x:v>
      </x:c>
      <x:c r="E88" s="48" t="n">
        <x:f>Members!E88</x:f>
        <x:v>1207000</x:v>
      </x:c>
      <x:c r="F88" s="48" t="n">
        <x:f>Members!F88</x:f>
        <x:v>0</x:v>
      </x:c>
      <x:c r="G88" s="46" t="n">
        <x:f>MAX(0,Assumptions!$B$10-C88)</x:f>
        <x:v>14</x:v>
      </x:c>
      <x:c r="H88" s="50" t="n">
        <x:f>IF(B88="Active",E88*(1+Assumptions!$B$7)^G88,E88)</x:f>
        <x:v>2554122.3944371617</x:v>
      </x:c>
      <x:c r="I88" s="50" t="n">
        <x:f>IF(B88="Active",MIN(Assumptions!$B$12,D88+G88),IF(B88="Deferred",MIN(Assumptions!$B$12,D88),D88))</x:f>
        <x:v>16.5</x:v>
      </x:c>
      <x:c r="J88" s="50" t="n">
        <x:f>IF(B88="Active",H88*I88*Assumptions!$B$11,IF(B88="Deferred",E88*I88*Assumptions!$B$11*(1+Assumptions!$B$9)^G88,F88))</x:f>
        <x:v>702383.6584702195</x:v>
      </x:c>
      <x:c r="K88" s="37" t="n">
        <x:f>IF(B88="Pensioner",1,VLOOKUP(Assumptions!$B$10,Mortality!$A$2:$F$104,6,FALSE)/VLOOKUP(C88,Mortality!$A$2:$F$104,6,FALSE))</x:f>
        <x:v>0.9776582328304806</x:v>
      </x:c>
      <x:c r="L88" s="37" t="n">
        <x:f>VLOOKUP(IF(B88="Pensioner",C88,Assumptions!$B$10),Mortality!$A$2:$E$104,5,FALSE)</x:f>
        <x:v>17.296790022132885</x:v>
      </x:c>
      <x:c r="M88" s="37" t="n">
        <x:f>1+Assumptions!$B$13*Assumptions!$B$14*Assumptions!$B$15</x:f>
        <x:v>1.31875</x:v>
      </x:c>
      <x:c r="N88" s="37" t="n">
        <x:f>IF(B88="Pensioner",1,1/(1+Assumptions!$B$6)^G88)</x:f>
        <x:v>0.41410024853095956</x:v>
      </x:c>
      <x:c r="O88" s="50" t="n">
        <x:f>J88*K88*L88*M88*N88</x:f>
        <x:v>6486268.727806999</x:v>
      </x:c>
    </x:row>
    <x:row r="89">
      <x:c r="A89" s="42" t="str">
        <x:f>Members!A89</x:f>
        <x:v>A0547</x:v>
      </x:c>
      <x:c r="B89" s="42" t="str">
        <x:f>Members!B89</x:f>
        <x:v>Active</x:v>
      </x:c>
      <x:c r="C89" s="42" t="n">
        <x:f>Members!C89</x:f>
        <x:v>33</x:v>
      </x:c>
      <x:c r="D89" s="44" t="n">
        <x:f>Members!D89</x:f>
        <x:v>4</x:v>
      </x:c>
      <x:c r="E89" s="48" t="n">
        <x:f>Members!E89</x:f>
        <x:v>473000</x:v>
      </x:c>
      <x:c r="F89" s="48" t="n">
        <x:f>Members!F89</x:f>
        <x:v>0</x:v>
      </x:c>
      <x:c r="G89" s="46" t="n">
        <x:f>MAX(0,Assumptions!$B$10-C89)</x:f>
        <x:v>27</x:v>
      </x:c>
      <x:c r="H89" s="50" t="n">
        <x:f>IF(B89="Active",E89*(1+Assumptions!$B$7)^G89,E89)</x:f>
        <x:v>2007601.681903658</x:v>
      </x:c>
      <x:c r="I89" s="50" t="n">
        <x:f>IF(B89="Active",MIN(Assumptions!$B$12,D89+G89),IF(B89="Deferred",MIN(Assumptions!$B$12,D89),D89))</x:f>
        <x:v>31</x:v>
      </x:c>
      <x:c r="J89" s="50" t="n">
        <x:f>IF(B89="Active",H89*I89*Assumptions!$B$11,IF(B89="Deferred",E89*I89*Assumptions!$B$11*(1+Assumptions!$B$9)^G89,F89))</x:f>
        <x:v>1037260.8689835565</x:v>
      </x:c>
      <x:c r="K89" s="37" t="n">
        <x:f>IF(B89="Pensioner",1,VLOOKUP(Assumptions!$B$10,Mortality!$A$2:$F$104,6,FALSE)/VLOOKUP(C89,Mortality!$A$2:$F$104,6,FALSE))</x:f>
        <x:v>0.9712826176321353</x:v>
      </x:c>
      <x:c r="L89" s="37" t="n">
        <x:f>VLOOKUP(IF(B89="Pensioner",C89,Assumptions!$B$10),Mortality!$A$2:$E$104,5,FALSE)</x:f>
        <x:v>17.296790022132885</x:v>
      </x:c>
      <x:c r="M89" s="37" t="n">
        <x:f>1+Assumptions!$B$13*Assumptions!$B$14*Assumptions!$B$15</x:f>
        <x:v>1.31875</x:v>
      </x:c>
      <x:c r="N89" s="37" t="n">
        <x:f>IF(B89="Pensioner",1,1/(1+Assumptions!$B$6)^G89)</x:f>
        <x:v>0.1826251518625737</x:v>
      </x:c>
      <x:c r="O89" s="50" t="n">
        <x:f>J89*K89*L89*M89*N89</x:f>
        <x:v>4196837.818800055</x:v>
      </x:c>
    </x:row>
    <x:row r="90">
      <x:c r="A90" s="42" t="str">
        <x:f>Members!A90</x:f>
        <x:v>A0586</x:v>
      </x:c>
      <x:c r="B90" s="42" t="str">
        <x:f>Members!B90</x:f>
        <x:v>Active</x:v>
      </x:c>
      <x:c r="C90" s="42" t="n">
        <x:f>Members!C90</x:f>
        <x:v>48</x:v>
      </x:c>
      <x:c r="D90" s="44" t="n">
        <x:f>Members!D90</x:f>
        <x:v>20.8</x:v>
      </x:c>
      <x:c r="E90" s="48" t="n">
        <x:f>Members!E90</x:f>
        <x:v>955000</x:v>
      </x:c>
      <x:c r="F90" s="48" t="n">
        <x:f>Members!F90</x:f>
        <x:v>0</x:v>
      </x:c>
      <x:c r="G90" s="46" t="n">
        <x:f>MAX(0,Assumptions!$B$10-C90)</x:f>
        <x:v>12</x:v>
      </x:c>
      <x:c r="H90" s="50" t="n">
        <x:f>IF(B90="Active",E90*(1+Assumptions!$B$7)^G90,E90)</x:f>
        <x:v>1815653.1488998523</x:v>
      </x:c>
      <x:c r="I90" s="50" t="n">
        <x:f>IF(B90="Active",MIN(Assumptions!$B$12,D90+G90),IF(B90="Deferred",MIN(Assumptions!$B$12,D90),D90))</x:f>
        <x:v>32.8</x:v>
      </x:c>
      <x:c r="J90" s="50" t="n">
        <x:f>IF(B90="Active",H90*I90*Assumptions!$B$11,IF(B90="Deferred",E90*I90*Assumptions!$B$11*(1+Assumptions!$B$9)^G90,F90))</x:f>
        <x:v>992557.0547319191</x:v>
      </x:c>
      <x:c r="K90" s="37" t="n">
        <x:f>IF(B90="Pensioner",1,VLOOKUP(Assumptions!$B$10,Mortality!$A$2:$F$104,6,FALSE)/VLOOKUP(C90,Mortality!$A$2:$F$104,6,FALSE))</x:f>
        <x:v>0.9793037429736591</x:v>
      </x:c>
      <x:c r="L90" s="37" t="n">
        <x:f>VLOOKUP(IF(B90="Pensioner",C90,Assumptions!$B$10),Mortality!$A$2:$E$104,5,FALSE)</x:f>
        <x:v>17.296790022132885</x:v>
      </x:c>
      <x:c r="M90" s="37" t="n">
        <x:f>1+Assumptions!$B$13*Assumptions!$B$14*Assumptions!$B$15</x:f>
        <x:v>1.31875</x:v>
      </x:c>
      <x:c r="N90" s="37" t="n">
        <x:f>IF(B90="Pensioner",1,1/(1+Assumptions!$B$6)^G90)</x:f>
        <x:v>0.4696828543900276</x:v>
      </x:c>
      <x:c r="O90" s="50" t="n">
        <x:f>J90*K90*L90*M90*N90</x:f>
        <x:v>10413712.594541622</x:v>
      </x:c>
    </x:row>
    <x:row r="91">
      <x:c r="A91" s="42" t="str">
        <x:f>Members!A91</x:f>
        <x:v>A0352</x:v>
      </x:c>
      <x:c r="B91" s="42" t="str">
        <x:f>Members!B91</x:f>
        <x:v>Active</x:v>
      </x:c>
      <x:c r="C91" s="42" t="n">
        <x:f>Members!C91</x:f>
        <x:v>35</x:v>
      </x:c>
      <x:c r="D91" s="44" t="n">
        <x:f>Members!D91</x:f>
        <x:v>3</x:v>
      </x:c>
      <x:c r="E91" s="48" t="n">
        <x:f>Members!E91</x:f>
        <x:v>920000</x:v>
      </x:c>
      <x:c r="F91" s="48" t="n">
        <x:f>Members!F91</x:f>
        <x:v>0</x:v>
      </x:c>
      <x:c r="G91" s="46" t="n">
        <x:f>MAX(0,Assumptions!$B$10-C91)</x:f>
        <x:v>25</x:v>
      </x:c>
      <x:c r="H91" s="50" t="n">
        <x:f>IF(B91="Active",E91*(1+Assumptions!$B$7)^G91,E91)</x:f>
        <x:v>3508320.960731248</x:v>
      </x:c>
      <x:c r="I91" s="50" t="n">
        <x:f>IF(B91="Active",MIN(Assumptions!$B$12,D91+G91),IF(B91="Deferred",MIN(Assumptions!$B$12,D91),D91))</x:f>
        <x:v>28</x:v>
      </x:c>
      <x:c r="J91" s="50" t="n">
        <x:f>IF(B91="Active",H91*I91*Assumptions!$B$11,IF(B91="Deferred",E91*I91*Assumptions!$B$11*(1+Assumptions!$B$9)^G91,F91))</x:f>
        <x:v>1637216.448341249</x:v>
      </x:c>
      <x:c r="K91" s="37" t="n">
        <x:f>IF(B91="Pensioner",1,VLOOKUP(Assumptions!$B$10,Mortality!$A$2:$F$104,6,FALSE)/VLOOKUP(C91,Mortality!$A$2:$F$104,6,FALSE))</x:f>
        <x:v>0.9719740765386753</x:v>
      </x:c>
      <x:c r="L91" s="37" t="n">
        <x:f>VLOOKUP(IF(B91="Pensioner",C91,Assumptions!$B$10),Mortality!$A$2:$E$104,5,FALSE)</x:f>
        <x:v>17.296790022132885</x:v>
      </x:c>
      <x:c r="M91" s="37" t="n">
        <x:f>1+Assumptions!$B$13*Assumptions!$B$14*Assumptions!$B$15</x:f>
        <x:v>1.31875</x:v>
      </x:c>
      <x:c r="N91" s="37" t="n">
        <x:f>IF(B91="Pensioner",1,1/(1+Assumptions!$B$6)^G91)</x:f>
        <x:v>0.20713801287132758</x:v>
      </x:c>
      <x:c r="O91" s="50" t="n">
        <x:f>J91*K91*L91*M91*N91</x:f>
        <x:v>7518800.691661807</x:v>
      </x:c>
    </x:row>
    <x:row r="92">
      <x:c r="A92" s="42" t="str">
        <x:f>Members!A92</x:f>
        <x:v>D0044</x:v>
      </x:c>
      <x:c r="B92" s="42" t="str">
        <x:f>Members!B92</x:f>
        <x:v>Deferred</x:v>
      </x:c>
      <x:c r="C92" s="42" t="n">
        <x:f>Members!C92</x:f>
        <x:v>30</x:v>
      </x:c>
      <x:c r="D92" s="44" t="n">
        <x:f>Members!D92</x:f>
        <x:v>2.8</x:v>
      </x:c>
      <x:c r="E92" s="48" t="n">
        <x:f>Members!E92</x:f>
        <x:v>327000</x:v>
      </x:c>
      <x:c r="F92" s="48" t="n">
        <x:f>Members!F92</x:f>
        <x:v>0</x:v>
      </x:c>
      <x:c r="G92" s="46" t="n">
        <x:f>MAX(0,Assumptions!$B$10-C92)</x:f>
        <x:v>30</x:v>
      </x:c>
      <x:c r="H92" s="50" t="n">
        <x:f>IF(B92="Active",E92*(1+Assumptions!$B$7)^G92,E92)</x:f>
        <x:v>327000</x:v>
      </x:c>
      <x:c r="I92" s="50" t="n">
        <x:f>IF(B92="Active",MIN(Assumptions!$B$12,D92+G92),IF(B92="Deferred",MIN(Assumptions!$B$12,D92),D92))</x:f>
        <x:v>2.8</x:v>
      </x:c>
      <x:c r="J92" s="50" t="n">
        <x:f>IF(B92="Active",H92*I92*Assumptions!$B$11,IF(B92="Deferred",E92*I92*Assumptions!$B$11*(1+Assumptions!$B$9)^G92,F92))</x:f>
        <x:v>49494.24600302029</x:v>
      </x:c>
      <x:c r="K92" s="37" t="n">
        <x:f>IF(B92="Pensioner",1,VLOOKUP(Assumptions!$B$10,Mortality!$A$2:$F$104,6,FALSE)/VLOOKUP(C92,Mortality!$A$2:$F$104,6,FALSE))</x:f>
        <x:v>0.9703456880318753</x:v>
      </x:c>
      <x:c r="L92" s="37" t="n">
        <x:f>VLOOKUP(IF(B92="Pensioner",C92,Assumptions!$B$10),Mortality!$A$2:$E$104,5,FALSE)</x:f>
        <x:v>17.296790022132885</x:v>
      </x:c>
      <x:c r="M92" s="37" t="n">
        <x:f>1+Assumptions!$B$13*Assumptions!$B$14*Assumptions!$B$15</x:f>
        <x:v>1.31875</x:v>
      </x:c>
      <x:c r="N92" s="37" t="n">
        <x:f>IF(B92="Pensioner",1,1/(1+Assumptions!$B$6)^G92)</x:f>
        <x:v>0.1511860661098129</x:v>
      </x:c>
      <x:c r="O92" s="50" t="n">
        <x:f>J92*K92*L92*M92*N92</x:f>
        <x:v>165623.11387164955</x:v>
      </x:c>
    </x:row>
    <x:row r="93">
      <x:c r="A93" s="42" t="str">
        <x:f>Members!A93</x:f>
        <x:v>A0592</x:v>
      </x:c>
      <x:c r="B93" s="42" t="str">
        <x:f>Members!B93</x:f>
        <x:v>Active</x:v>
      </x:c>
      <x:c r="C93" s="42" t="n">
        <x:f>Members!C93</x:f>
        <x:v>24</x:v>
      </x:c>
      <x:c r="D93" s="44" t="n">
        <x:f>Members!D93</x:f>
        <x:v>1</x:v>
      </x:c>
      <x:c r="E93" s="48" t="n">
        <x:f>Members!E93</x:f>
        <x:v>399000</x:v>
      </x:c>
      <x:c r="F93" s="48" t="n">
        <x:f>Members!F93</x:f>
        <x:v>0</x:v>
      </x:c>
      <x:c r="G93" s="46" t="n">
        <x:f>MAX(0,Assumptions!$B$10-C93)</x:f>
        <x:v>36</x:v>
      </x:c>
      <x:c r="H93" s="50" t="n">
        <x:f>IF(B93="Active",E93*(1+Assumptions!$B$7)^G93,E93)</x:f>
        <x:v>2741962.0679188184</x:v>
      </x:c>
      <x:c r="I93" s="50" t="n">
        <x:f>IF(B93="Active",MIN(Assumptions!$B$12,D93+G93),IF(B93="Deferred",MIN(Assumptions!$B$12,D93),D93))</x:f>
        <x:v>37</x:v>
      </x:c>
      <x:c r="J93" s="50" t="n">
        <x:f>IF(B93="Active",H93*I93*Assumptions!$B$11,IF(B93="Deferred",E93*I93*Assumptions!$B$11*(1+Assumptions!$B$9)^G93,F93))</x:f>
        <x:v>1690876.608549938</x:v>
      </x:c>
      <x:c r="K93" s="37" t="n">
        <x:f>IF(B93="Pensioner",1,VLOOKUP(Assumptions!$B$10,Mortality!$A$2:$F$104,6,FALSE)/VLOOKUP(C93,Mortality!$A$2:$F$104,6,FALSE))</x:f>
        <x:v>0.9687108670060764</x:v>
      </x:c>
      <x:c r="L93" s="37" t="n">
        <x:f>VLOOKUP(IF(B93="Pensioner",C93,Assumptions!$B$10),Mortality!$A$2:$E$104,5,FALSE)</x:f>
        <x:v>17.296790022132885</x:v>
      </x:c>
      <x:c r="M93" s="37" t="n">
        <x:f>1+Assumptions!$B$13*Assumptions!$B$14*Assumptions!$B$15</x:f>
        <x:v>1.31875</x:v>
      </x:c>
      <x:c r="N93" s="37" t="n">
        <x:f>IF(B93="Pensioner",1,1/(1+Assumptions!$B$6)^G93)</x:f>
        <x:v>0.10361296939205883</x:v>
      </x:c>
      <x:c r="O93" s="50" t="n">
        <x:f>J93*K93*L93*M93*N93</x:f>
        <x:v>3871223.040015362</x:v>
      </x:c>
    </x:row>
    <x:row r="94">
      <x:c r="A94" s="42" t="str">
        <x:f>Members!A94</x:f>
        <x:v>A0313</x:v>
      </x:c>
      <x:c r="B94" s="42" t="str">
        <x:f>Members!B94</x:f>
        <x:v>Active</x:v>
      </x:c>
      <x:c r="C94" s="42" t="n">
        <x:f>Members!C94</x:f>
        <x:v>45</x:v>
      </x:c>
      <x:c r="D94" s="44" t="n">
        <x:f>Members!D94</x:f>
        <x:v>5</x:v>
      </x:c>
      <x:c r="E94" s="48" t="n">
        <x:f>Members!E94</x:f>
        <x:v>1210000</x:v>
      </x:c>
      <x:c r="F94" s="48" t="n">
        <x:f>Members!F94</x:f>
        <x:v>0</x:v>
      </x:c>
      <x:c r="G94" s="46" t="n">
        <x:f>MAX(0,Assumptions!$B$10-C94)</x:f>
        <x:v>15</x:v>
      </x:c>
      <x:c r="H94" s="50" t="n">
        <x:f>IF(B94="Active",E94*(1+Assumptions!$B$7)^G94,E94)</x:f>
        <x:v>2701296.555607919</x:v>
      </x:c>
      <x:c r="I94" s="50" t="n">
        <x:f>IF(B94="Active",MIN(Assumptions!$B$12,D94+G94),IF(B94="Deferred",MIN(Assumptions!$B$12,D94),D94))</x:f>
        <x:v>20</x:v>
      </x:c>
      <x:c r="J94" s="50" t="n">
        <x:f>IF(B94="Active",H94*I94*Assumptions!$B$11,IF(B94="Deferred",E94*I94*Assumptions!$B$11*(1+Assumptions!$B$9)^G94,F94))</x:f>
        <x:v>900432.1852026397</x:v>
      </x:c>
      <x:c r="K94" s="37" t="n">
        <x:f>IF(B94="Pensioner",1,VLOOKUP(Assumptions!$B$10,Mortality!$A$2:$F$104,6,FALSE)/VLOOKUP(C94,Mortality!$A$2:$F$104,6,FALSE))</x:f>
        <x:v>0.9769349478194655</x:v>
      </x:c>
      <x:c r="L94" s="37" t="n">
        <x:f>VLOOKUP(IF(B94="Pensioner",C94,Assumptions!$B$10),Mortality!$A$2:$E$104,5,FALSE)</x:f>
        <x:v>17.296790022132885</x:v>
      </x:c>
      <x:c r="M94" s="37" t="n">
        <x:f>1+Assumptions!$B$13*Assumptions!$B$14*Assumptions!$B$15</x:f>
        <x:v>1.31875</x:v>
      </x:c>
      <x:c r="N94" s="37" t="n">
        <x:f>IF(B94="Pensioner",1,1/(1+Assumptions!$B$6)^G94)</x:f>
        <x:v>0.38882652444221566</x:v>
      </x:c>
      <x:c r="O94" s="50" t="n">
        <x:f>J94*K94*L94*M94*N94</x:f>
        <x:v>7801902.618168956</x:v>
      </x:c>
    </x:row>
    <x:row r="95">
      <x:c r="A95" s="42" t="str">
        <x:f>Members!A95</x:f>
        <x:v>A0044</x:v>
      </x:c>
      <x:c r="B95" s="42" t="str">
        <x:f>Members!B95</x:f>
        <x:v>Active</x:v>
      </x:c>
      <x:c r="C95" s="42" t="n">
        <x:f>Members!C95</x:f>
        <x:v>36</x:v>
      </x:c>
      <x:c r="D95" s="44" t="n">
        <x:f>Members!D95</x:f>
        <x:v>9.1</x:v>
      </x:c>
      <x:c r="E95" s="48" t="n">
        <x:f>Members!E95</x:f>
        <x:v>775000</x:v>
      </x:c>
      <x:c r="F95" s="48" t="n">
        <x:f>Members!F95</x:f>
        <x:v>0</x:v>
      </x:c>
      <x:c r="G95" s="46" t="n">
        <x:f>MAX(0,Assumptions!$B$10-C95)</x:f>
        <x:v>24</x:v>
      </x:c>
      <x:c r="H95" s="50" t="n">
        <x:f>IF(B95="Active",E95*(1+Assumptions!$B$7)^G95,E95)</x:f>
        <x:v>2801307.1755272173</x:v>
      </x:c>
      <x:c r="I95" s="50" t="n">
        <x:f>IF(B95="Active",MIN(Assumptions!$B$12,D95+G95),IF(B95="Deferred",MIN(Assumptions!$B$12,D95),D95))</x:f>
        <x:v>33.1</x:v>
      </x:c>
      <x:c r="J95" s="50" t="n">
        <x:f>IF(B95="Active",H95*I95*Assumptions!$B$11,IF(B95="Deferred",E95*I95*Assumptions!$B$11*(1+Assumptions!$B$9)^G95,F95))</x:f>
        <x:v>1545387.7918325148</x:v>
      </x:c>
      <x:c r="K95" s="37" t="n">
        <x:f>IF(B95="Pensioner",1,VLOOKUP(Assumptions!$B$10,Mortality!$A$2:$F$104,6,FALSE)/VLOOKUP(C95,Mortality!$A$2:$F$104,6,FALSE))</x:f>
        <x:v>0.9723450305541352</x:v>
      </x:c>
      <x:c r="L95" s="37" t="n">
        <x:f>VLOOKUP(IF(B95="Pensioner",C95,Assumptions!$B$10),Mortality!$A$2:$E$104,5,FALSE)</x:f>
        <x:v>17.296790022132885</x:v>
      </x:c>
      <x:c r="M95" s="37" t="n">
        <x:f>1+Assumptions!$B$13*Assumptions!$B$14*Assumptions!$B$15</x:f>
        <x:v>1.31875</x:v>
      </x:c>
      <x:c r="N95" s="37" t="n">
        <x:f>IF(B95="Pensioner",1,1/(1+Assumptions!$B$6)^G95)</x:f>
        <x:v>0.22060198370796386</x:v>
      </x:c>
      <x:c r="O95" s="50" t="n">
        <x:f>J95*K95*L95*M95*N95</x:f>
        <x:v>7561279.211933692</x:v>
      </x:c>
    </x:row>
    <x:row r="96">
      <x:c r="A96" s="42" t="str">
        <x:f>Members!A96</x:f>
        <x:v>P0174</x:v>
      </x:c>
      <x:c r="B96" s="42" t="str">
        <x:f>Members!B96</x:f>
        <x:v>Pensioner</x:v>
      </x:c>
      <x:c r="C96" s="42" t="n">
        <x:f>Members!C96</x:f>
        <x:v>73</x:v>
      </x:c>
      <x:c r="D96" s="44" t="n">
        <x:f>Members!D96</x:f>
        <x:v>36.6</x:v>
      </x:c>
      <x:c r="E96" s="48" t="n">
        <x:f>Members!E96</x:f>
        <x:v>0</x:v>
      </x:c>
      <x:c r="F96" s="48" t="n">
        <x:f>Members!F96</x:f>
        <x:v>343000</x:v>
      </x:c>
      <x:c r="G96" s="46" t="n">
        <x:f>MAX(0,Assumptions!$B$10-C96)</x:f>
        <x:v>0</x:v>
      </x:c>
      <x:c r="H96" s="50" t="n">
        <x:f>IF(B96="Active",E96*(1+Assumptions!$B$7)^G96,E96)</x:f>
        <x:v>0</x:v>
      </x:c>
      <x:c r="I96" s="50" t="n">
        <x:f>IF(B96="Active",MIN(Assumptions!$B$12,D96+G96),IF(B96="Deferred",MIN(Assumptions!$B$12,D96),D96))</x:f>
        <x:v>36.6</x:v>
      </x:c>
      <x:c r="J96" s="50" t="n">
        <x:f>IF(B96="Active",H96*I96*Assumptions!$B$11,IF(B96="Deferred",E96*I96*Assumptions!$B$11*(1+Assumptions!$B$9)^G96,F96))</x:f>
        <x:v>343000</x:v>
      </x:c>
      <x:c r="K96" s="37" t="n">
        <x:f>IF(B96="Pensioner",1,VLOOKUP(Assumptions!$B$10,Mortality!$A$2:$F$104,6,FALSE)/VLOOKUP(C96,Mortality!$A$2:$F$104,6,FALSE))</x:f>
        <x:v>1</x:v>
      </x:c>
      <x:c r="L96" s="37" t="n">
        <x:f>VLOOKUP(IF(B96="Pensioner",C96,Assumptions!$B$10),Mortality!$A$2:$E$104,5,FALSE)</x:f>
        <x:v>11.586176267789867</x:v>
      </x:c>
      <x:c r="M96" s="37" t="n">
        <x:f>1+Assumptions!$B$13*Assumptions!$B$14*Assumptions!$B$15</x:f>
        <x:v>1.31875</x:v>
      </x:c>
      <x:c r="N96" s="37" t="n">
        <x:f>IF(B96="Pensioner",1,1/(1+Assumptions!$B$6)^G96)</x:f>
        <x:v>1</x:v>
      </x:c>
      <x:c r="O96" s="50" t="n">
        <x:f>J96*K96*L96*M96*N96</x:f>
        <x:v>5240789.593929726</x:v>
      </x:c>
    </x:row>
    <x:row r="97">
      <x:c r="A97" s="42" t="str">
        <x:f>Members!A97</x:f>
        <x:v>A0021</x:v>
      </x:c>
      <x:c r="B97" s="42" t="str">
        <x:f>Members!B97</x:f>
        <x:v>Active</x:v>
      </x:c>
      <x:c r="C97" s="42" t="n">
        <x:f>Members!C97</x:f>
        <x:v>47</x:v>
      </x:c>
      <x:c r="D97" s="44" t="n">
        <x:f>Members!D97</x:f>
        <x:v>24.9</x:v>
      </x:c>
      <x:c r="E97" s="48" t="n">
        <x:f>Members!E97</x:f>
        <x:v>1142000</x:v>
      </x:c>
      <x:c r="F97" s="48" t="n">
        <x:f>Members!F97</x:f>
        <x:v>0</x:v>
      </x:c>
      <x:c r="G97" s="46" t="n">
        <x:f>MAX(0,Assumptions!$B$10-C97)</x:f>
        <x:v>13</x:v>
      </x:c>
      <x:c r="H97" s="50" t="n">
        <x:f>IF(B97="Active",E97*(1+Assumptions!$B$7)^G97,E97)</x:f>
        <x:v>2290593.79091731</x:v>
      </x:c>
      <x:c r="I97" s="50" t="n">
        <x:f>IF(B97="Active",MIN(Assumptions!$B$12,D97+G97),IF(B97="Deferred",MIN(Assumptions!$B$12,D97),D97))</x:f>
        <x:v>37.9</x:v>
      </x:c>
      <x:c r="J97" s="50" t="n">
        <x:f>IF(B97="Active",H97*I97*Assumptions!$B$11,IF(B97="Deferred",E97*I97*Assumptions!$B$11*(1+Assumptions!$B$9)^G97,F97))</x:f>
        <x:v>1446891.7445961006</x:v>
      </x:c>
      <x:c r="K97" s="37" t="n">
        <x:f>IF(B97="Pensioner",1,VLOOKUP(Assumptions!$B$10,Mortality!$A$2:$F$104,6,FALSE)/VLOOKUP(C97,Mortality!$A$2:$F$104,6,FALSE))</x:f>
        <x:v>0.9784451675747989</x:v>
      </x:c>
      <x:c r="L97" s="37" t="n">
        <x:f>VLOOKUP(IF(B97="Pensioner",C97,Assumptions!$B$10),Mortality!$A$2:$E$104,5,FALSE)</x:f>
        <x:v>17.296790022132885</x:v>
      </x:c>
      <x:c r="M97" s="37" t="n">
        <x:f>1+Assumptions!$B$13*Assumptions!$B$14*Assumptions!$B$15</x:f>
        <x:v>1.31875</x:v>
      </x:c>
      <x:c r="N97" s="37" t="n">
        <x:f>IF(B97="Pensioner",1,1/(1+Assumptions!$B$6)^G97)</x:f>
        <x:v>0.4410167646854719</x:v>
      </x:c>
      <x:c r="O97" s="50" t="n">
        <x:f>J97*K97*L97*M97*N97</x:f>
        <x:v>14241496.130386522</x:v>
      </x:c>
    </x:row>
    <x:row r="98">
      <x:c r="A98" s="42" t="str">
        <x:f>Members!A98</x:f>
        <x:v>A0278</x:v>
      </x:c>
      <x:c r="B98" s="42" t="str">
        <x:f>Members!B98</x:f>
        <x:v>Active</x:v>
      </x:c>
      <x:c r="C98" s="42" t="n">
        <x:f>Members!C98</x:f>
        <x:v>22</x:v>
      </x:c>
      <x:c r="D98" s="44" t="n">
        <x:f>Members!D98</x:f>
        <x:v>1</x:v>
      </x:c>
      <x:c r="E98" s="48" t="n">
        <x:f>Members!E98</x:f>
        <x:v>561000</x:v>
      </x:c>
      <x:c r="F98" s="48" t="n">
        <x:f>Members!F98</x:f>
        <x:v>0</x:v>
      </x:c>
      <x:c r="G98" s="46" t="n">
        <x:f>MAX(0,Assumptions!$B$10-C98)</x:f>
        <x:v>38</x:v>
      </x:c>
      <x:c r="H98" s="50" t="n">
        <x:f>IF(B98="Active",E98*(1+Assumptions!$B$7)^G98,E98)</x:f>
        <x:v>4290978.389704354</x:v>
      </x:c>
      <x:c r="I98" s="50" t="n">
        <x:f>IF(B98="Active",MIN(Assumptions!$B$12,D98+G98),IF(B98="Deferred",MIN(Assumptions!$B$12,D98),D98))</x:f>
        <x:v>39</x:v>
      </x:c>
      <x:c r="J98" s="50" t="n">
        <x:f>IF(B98="Active",H98*I98*Assumptions!$B$11,IF(B98="Deferred",E98*I98*Assumptions!$B$11*(1+Assumptions!$B$9)^G98,F98))</x:f>
        <x:v>2789135.9533078303</x:v>
      </x:c>
      <x:c r="K98" s="37" t="n">
        <x:f>IF(B98="Pensioner",1,VLOOKUP(Assumptions!$B$10,Mortality!$A$2:$F$104,6,FALSE)/VLOOKUP(C98,Mortality!$A$2:$F$104,6,FALSE))</x:f>
        <x:v>0.9682119922904866</x:v>
      </x:c>
      <x:c r="L98" s="37" t="n">
        <x:f>VLOOKUP(IF(B98="Pensioner",C98,Assumptions!$B$10),Mortality!$A$2:$E$104,5,FALSE)</x:f>
        <x:v>17.296790022132885</x:v>
      </x:c>
      <x:c r="M98" s="37" t="n">
        <x:f>1+Assumptions!$B$13*Assumptions!$B$14*Assumptions!$B$15</x:f>
        <x:v>1.31875</x:v>
      </x:c>
      <x:c r="N98" s="37" t="n">
        <x:f>IF(B98="Pensioner",1,1/(1+Assumptions!$B$6)^G98)</x:f>
        <x:v>0.09135133627989055</x:v>
      </x:c>
      <x:c r="O98" s="50" t="n">
        <x:f>J98*K98*L98*M98*N98</x:f>
        <x:v>5627079.2536066305</x:v>
      </x:c>
    </x:row>
    <x:row r="99">
      <x:c r="A99" s="42" t="str">
        <x:f>Members!A99</x:f>
        <x:v>A0250</x:v>
      </x:c>
      <x:c r="B99" s="42" t="str">
        <x:f>Members!B99</x:f>
        <x:v>Active</x:v>
      </x:c>
      <x:c r="C99" s="42" t="n">
        <x:f>Members!C99</x:f>
        <x:v>30</x:v>
      </x:c>
      <x:c r="D99" s="44" t="n">
        <x:f>Members!D99</x:f>
        <x:v>1.3</x:v>
      </x:c>
      <x:c r="E99" s="48" t="n">
        <x:f>Members!E99</x:f>
        <x:v>631000</x:v>
      </x:c>
      <x:c r="F99" s="48" t="n">
        <x:f>Members!F99</x:f>
        <x:v>0</x:v>
      </x:c>
      <x:c r="G99" s="46" t="n">
        <x:f>MAX(0,Assumptions!$B$10-C99)</x:f>
        <x:v>30</x:v>
      </x:c>
      <x:c r="H99" s="50" t="n">
        <x:f>IF(B99="Active",E99*(1+Assumptions!$B$7)^G99,E99)</x:f>
        <x:v>3144873.262977283</x:v>
      </x:c>
      <x:c r="I99" s="50" t="n">
        <x:f>IF(B99="Active",MIN(Assumptions!$B$12,D99+G99),IF(B99="Deferred",MIN(Assumptions!$B$12,D99),D99))</x:f>
        <x:v>31.3</x:v>
      </x:c>
      <x:c r="J99" s="50" t="n">
        <x:f>IF(B99="Active",H99*I99*Assumptions!$B$11,IF(B99="Deferred",E99*I99*Assumptions!$B$11*(1+Assumptions!$B$9)^G99,F99))</x:f>
        <x:v>1640575.5521864826</x:v>
      </x:c>
      <x:c r="K99" s="37" t="n">
        <x:f>IF(B99="Pensioner",1,VLOOKUP(Assumptions!$B$10,Mortality!$A$2:$F$104,6,FALSE)/VLOOKUP(C99,Mortality!$A$2:$F$104,6,FALSE))</x:f>
        <x:v>0.9703456880318753</x:v>
      </x:c>
      <x:c r="L99" s="37" t="n">
        <x:f>VLOOKUP(IF(B99="Pensioner",C99,Assumptions!$B$10),Mortality!$A$2:$E$104,5,FALSE)</x:f>
        <x:v>17.296790022132885</x:v>
      </x:c>
      <x:c r="M99" s="37" t="n">
        <x:f>1+Assumptions!$B$13*Assumptions!$B$14*Assumptions!$B$15</x:f>
        <x:v>1.31875</x:v>
      </x:c>
      <x:c r="N99" s="37" t="n">
        <x:f>IF(B99="Pensioner",1,1/(1+Assumptions!$B$6)^G99)</x:f>
        <x:v>0.1511860661098129</x:v>
      </x:c>
      <x:c r="O99" s="50" t="n">
        <x:f>J99*K99*L99*M99*N99</x:f>
        <x:v>5489875.155957424</x:v>
      </x:c>
    </x:row>
    <x:row r="100">
      <x:c r="A100" s="42" t="str">
        <x:f>Members!A100</x:f>
        <x:v>A0600</x:v>
      </x:c>
      <x:c r="B100" s="42" t="str">
        <x:f>Members!B100</x:f>
        <x:v>Active</x:v>
      </x:c>
      <x:c r="C100" s="42" t="n">
        <x:f>Members!C100</x:f>
        <x:v>40</x:v>
      </x:c>
      <x:c r="D100" s="44" t="n">
        <x:f>Members!D100</x:f>
        <x:v>6.9</x:v>
      </x:c>
      <x:c r="E100" s="48" t="n">
        <x:f>Members!E100</x:f>
        <x:v>762000</x:v>
      </x:c>
      <x:c r="F100" s="48" t="n">
        <x:f>Members!F100</x:f>
        <x:v>0</x:v>
      </x:c>
      <x:c r="G100" s="46" t="n">
        <x:f>MAX(0,Assumptions!$B$10-C100)</x:f>
        <x:v>20</x:v>
      </x:c>
      <x:c r="H100" s="50" t="n">
        <x:f>IF(B100="Active",E100*(1+Assumptions!$B$7)^G100,E100)</x:f>
        <x:v>2223331.207840316</x:v>
      </x:c>
      <x:c r="I100" s="50" t="n">
        <x:f>IF(B100="Active",MIN(Assumptions!$B$12,D100+G100),IF(B100="Deferred",MIN(Assumptions!$B$12,D100),D100))</x:f>
        <x:v>26.9</x:v>
      </x:c>
      <x:c r="J100" s="50" t="n">
        <x:f>IF(B100="Active",H100*I100*Assumptions!$B$11,IF(B100="Deferred",E100*I100*Assumptions!$B$11*(1+Assumptions!$B$9)^G100,F100))</x:f>
        <x:v>996793.4915150749</x:v>
      </x:c>
      <x:c r="K100" s="37" t="n">
        <x:f>IF(B100="Pensioner",1,VLOOKUP(Assumptions!$B$10,Mortality!$A$2:$F$104,6,FALSE)/VLOOKUP(C100,Mortality!$A$2:$F$104,6,FALSE))</x:f>
        <x:v>0.9740511243198767</x:v>
      </x:c>
      <x:c r="L100" s="37" t="n">
        <x:f>VLOOKUP(IF(B100="Pensioner",C100,Assumptions!$B$10),Mortality!$A$2:$E$104,5,FALSE)</x:f>
        <x:v>17.296790022132885</x:v>
      </x:c>
      <x:c r="M100" s="37" t="n">
        <x:f>1+Assumptions!$B$13*Assumptions!$B$14*Assumptions!$B$15</x:f>
        <x:v>1.31875</x:v>
      </x:c>
      <x:c r="N100" s="37" t="n">
        <x:f>IF(B100="Pensioner",1,1/(1+Assumptions!$B$6)^G100)</x:f>
        <x:v>0.2837970289214199</x:v>
      </x:c>
      <x:c r="O100" s="50" t="n">
        <x:f>J100*K100*L100*M100*N100</x:f>
        <x:v>6285253.173539342</x:v>
      </x:c>
    </x:row>
    <x:row r="101">
      <x:c r="A101" s="42" t="str">
        <x:f>Members!A101</x:f>
        <x:v>P0076</x:v>
      </x:c>
      <x:c r="B101" s="42" t="str">
        <x:f>Members!B101</x:f>
        <x:v>Pensioner</x:v>
      </x:c>
      <x:c r="C101" s="42" t="n">
        <x:f>Members!C101</x:f>
        <x:v>82</x:v>
      </x:c>
      <x:c r="D101" s="44" t="n">
        <x:f>Members!D101</x:f>
        <x:v>39.7</x:v>
      </x:c>
      <x:c r="E101" s="48" t="n">
        <x:f>Members!E101</x:f>
        <x:v>0</x:v>
      </x:c>
      <x:c r="F101" s="48" t="n">
        <x:f>Members!F101</x:f>
        <x:v>419000</x:v>
      </x:c>
      <x:c r="G101" s="46" t="n">
        <x:f>MAX(0,Assumptions!$B$10-C101)</x:f>
        <x:v>0</x:v>
      </x:c>
      <x:c r="H101" s="50" t="n">
        <x:f>IF(B101="Active",E101*(1+Assumptions!$B$7)^G101,E101)</x:f>
        <x:v>0</x:v>
      </x:c>
      <x:c r="I101" s="50" t="n">
        <x:f>IF(B101="Active",MIN(Assumptions!$B$12,D101+G101),IF(B101="Deferred",MIN(Assumptions!$B$12,D101),D101))</x:f>
        <x:v>39.7</x:v>
      </x:c>
      <x:c r="J101" s="50" t="n">
        <x:f>IF(B101="Active",H101*I101*Assumptions!$B$11,IF(B101="Deferred",E101*I101*Assumptions!$B$11*(1+Assumptions!$B$9)^G101,F101))</x:f>
        <x:v>419000</x:v>
      </x:c>
      <x:c r="K101" s="37" t="n">
        <x:f>IF(B101="Pensioner",1,VLOOKUP(Assumptions!$B$10,Mortality!$A$2:$F$104,6,FALSE)/VLOOKUP(C101,Mortality!$A$2:$F$104,6,FALSE))</x:f>
        <x:v>1</x:v>
      </x:c>
      <x:c r="L101" s="37" t="n">
        <x:f>VLOOKUP(IF(B101="Pensioner",C101,Assumptions!$B$10),Mortality!$A$2:$E$104,5,FALSE)</x:f>
        <x:v>7.498462430808598</x:v>
      </x:c>
      <x:c r="M101" s="37" t="n">
        <x:f>1+Assumptions!$B$13*Assumptions!$B$14*Assumptions!$B$15</x:f>
        <x:v>1.31875</x:v>
      </x:c>
      <x:c r="N101" s="37" t="n">
        <x:f>IF(B101="Pensioner",1,1/(1+Assumptions!$B$6)^G101)</x:f>
        <x:v>1</x:v>
      </x:c>
      <x:c r="O101" s="50" t="n">
        <x:f>J101*K101*L101*M101*N101</x:f>
        <x:v>4143322.2815334834</x:v>
      </x:c>
    </x:row>
    <x:row r="102">
      <x:c r="A102" s="42" t="str">
        <x:f>Members!A102</x:f>
        <x:v>P0019</x:v>
      </x:c>
      <x:c r="B102" s="42" t="str">
        <x:f>Members!B102</x:f>
        <x:v>Pensioner</x:v>
      </x:c>
      <x:c r="C102" s="42" t="n">
        <x:f>Members!C102</x:f>
        <x:v>86</x:v>
      </x:c>
      <x:c r="D102" s="44" t="n">
        <x:f>Members!D102</x:f>
        <x:v>29.2</x:v>
      </x:c>
      <x:c r="E102" s="48" t="n">
        <x:f>Members!E102</x:f>
        <x:v>0</x:v>
      </x:c>
      <x:c r="F102" s="48" t="n">
        <x:f>Members!F102</x:f>
        <x:v>542000</x:v>
      </x:c>
      <x:c r="G102" s="46" t="n">
        <x:f>MAX(0,Assumptions!$B$10-C102)</x:f>
        <x:v>0</x:v>
      </x:c>
      <x:c r="H102" s="50" t="n">
        <x:f>IF(B102="Active",E102*(1+Assumptions!$B$7)^G102,E102)</x:f>
        <x:v>0</x:v>
      </x:c>
      <x:c r="I102" s="50" t="n">
        <x:f>IF(B102="Active",MIN(Assumptions!$B$12,D102+G102),IF(B102="Deferred",MIN(Assumptions!$B$12,D102),D102))</x:f>
        <x:v>29.2</x:v>
      </x:c>
      <x:c r="J102" s="50" t="n">
        <x:f>IF(B102="Active",H102*I102*Assumptions!$B$11,IF(B102="Deferred",E102*I102*Assumptions!$B$11*(1+Assumptions!$B$9)^G102,F102))</x:f>
        <x:v>542000</x:v>
      </x:c>
      <x:c r="K102" s="37" t="n">
        <x:f>IF(B102="Pensioner",1,VLOOKUP(Assumptions!$B$10,Mortality!$A$2:$F$104,6,FALSE)/VLOOKUP(C102,Mortality!$A$2:$F$104,6,FALSE))</x:f>
        <x:v>1</x:v>
      </x:c>
      <x:c r="L102" s="37" t="n">
        <x:f>VLOOKUP(IF(B102="Pensioner",C102,Assumptions!$B$10),Mortality!$A$2:$E$104,5,FALSE)</x:f>
        <x:v>5.822832972912483</x:v>
      </x:c>
      <x:c r="M102" s="37" t="n">
        <x:f>1+Assumptions!$B$13*Assumptions!$B$14*Assumptions!$B$15</x:f>
        <x:v>1.31875</x:v>
      </x:c>
      <x:c r="N102" s="37" t="n">
        <x:f>IF(B102="Pensioner",1,1/(1+Assumptions!$B$6)^G102)</x:f>
        <x:v>1</x:v>
      </x:c>
      <x:c r="O102" s="50" t="n">
        <x:f>J102*K102*L102*M102*N102</x:f>
        <x:v>4161942.652801359</x:v>
      </x:c>
    </x:row>
    <x:row r="103">
      <x:c r="A103" s="42" t="str">
        <x:f>Members!A103</x:f>
        <x:v>D0061</x:v>
      </x:c>
      <x:c r="B103" s="42" t="str">
        <x:f>Members!B103</x:f>
        <x:v>Deferred</x:v>
      </x:c>
      <x:c r="C103" s="42" t="n">
        <x:f>Members!C103</x:f>
        <x:v>41</x:v>
      </x:c>
      <x:c r="D103" s="44" t="n">
        <x:f>Members!D103</x:f>
        <x:v>19.9</x:v>
      </x:c>
      <x:c r="E103" s="48" t="n">
        <x:f>Members!E103</x:f>
        <x:v>534000</x:v>
      </x:c>
      <x:c r="F103" s="48" t="n">
        <x:f>Members!F103</x:f>
        <x:v>0</x:v>
      </x:c>
      <x:c r="G103" s="46" t="n">
        <x:f>MAX(0,Assumptions!$B$10-C103)</x:f>
        <x:v>19</x:v>
      </x:c>
      <x:c r="H103" s="50" t="n">
        <x:f>IF(B103="Active",E103*(1+Assumptions!$B$7)^G103,E103)</x:f>
        <x:v>534000</x:v>
      </x:c>
      <x:c r="I103" s="50" t="n">
        <x:f>IF(B103="Active",MIN(Assumptions!$B$12,D103+G103),IF(B103="Deferred",MIN(Assumptions!$B$12,D103),D103))</x:f>
        <x:v>19.9</x:v>
      </x:c>
      <x:c r="J103" s="50" t="n">
        <x:f>IF(B103="Active",H103*I103*Assumptions!$B$11,IF(B103="Deferred",E103*I103*Assumptions!$B$11*(1+Assumptions!$B$9)^G103,F103))</x:f>
        <x:v>373144.0575602396</x:v>
      </x:c>
      <x:c r="K103" s="37" t="n">
        <x:f>IF(B103="Pensioner",1,VLOOKUP(Assumptions!$B$10,Mortality!$A$2:$F$104,6,FALSE)/VLOOKUP(C103,Mortality!$A$2:$F$104,6,FALSE))</x:f>
        <x:v>0.9745478954079534</x:v>
      </x:c>
      <x:c r="L103" s="37" t="n">
        <x:f>VLOOKUP(IF(B103="Pensioner",C103,Assumptions!$B$10),Mortality!$A$2:$E$104,5,FALSE)</x:f>
        <x:v>17.296790022132885</x:v>
      </x:c>
      <x:c r="M103" s="37" t="n">
        <x:f>1+Assumptions!$B$13*Assumptions!$B$14*Assumptions!$B$15</x:f>
        <x:v>1.31875</x:v>
      </x:c>
      <x:c r="N103" s="37" t="n">
        <x:f>IF(B103="Pensioner",1,1/(1+Assumptions!$B$6)^G103)</x:f>
        <x:v>0.30224383580131214</x:v>
      </x:c>
      <x:c r="O103" s="50" t="n">
        <x:f>J103*K103*L103*M103*N103</x:f>
        <x:v>2507062.4709313186</x:v>
      </x:c>
    </x:row>
    <x:row r="104">
      <x:c r="A104" s="42" t="str">
        <x:f>Members!A104</x:f>
        <x:v>A0412</x:v>
      </x:c>
      <x:c r="B104" s="42" t="str">
        <x:f>Members!B104</x:f>
        <x:v>Active</x:v>
      </x:c>
      <x:c r="C104" s="42" t="n">
        <x:f>Members!C104</x:f>
        <x:v>30</x:v>
      </x:c>
      <x:c r="D104" s="44" t="n">
        <x:f>Members!D104</x:f>
        <x:v>5.6</x:v>
      </x:c>
      <x:c r="E104" s="48" t="n">
        <x:f>Members!E104</x:f>
        <x:v>663000</x:v>
      </x:c>
      <x:c r="F104" s="48" t="n">
        <x:f>Members!F104</x:f>
        <x:v>0</x:v>
      </x:c>
      <x:c r="G104" s="46" t="n">
        <x:f>MAX(0,Assumptions!$B$10-C104)</x:f>
        <x:v>30</x:v>
      </x:c>
      <x:c r="H104" s="50" t="n">
        <x:f>IF(B104="Active",E104*(1+Assumptions!$B$7)^G104,E104)</x:f>
        <x:v>3304359.7042059246</x:v>
      </x:c>
      <x:c r="I104" s="50" t="n">
        <x:f>IF(B104="Active",MIN(Assumptions!$B$12,D104+G104),IF(B104="Deferred",MIN(Assumptions!$B$12,D104),D104))</x:f>
        <x:v>35.6</x:v>
      </x:c>
      <x:c r="J104" s="50" t="n">
        <x:f>IF(B104="Active",H104*I104*Assumptions!$B$11,IF(B104="Deferred",E104*I104*Assumptions!$B$11*(1+Assumptions!$B$9)^G104,F104))</x:f>
        <x:v>1960586.7578288487</x:v>
      </x:c>
      <x:c r="K104" s="37" t="n">
        <x:f>IF(B104="Pensioner",1,VLOOKUP(Assumptions!$B$10,Mortality!$A$2:$F$104,6,FALSE)/VLOOKUP(C104,Mortality!$A$2:$F$104,6,FALSE))</x:f>
        <x:v>0.9703456880318753</x:v>
      </x:c>
      <x:c r="L104" s="37" t="n">
        <x:f>VLOOKUP(IF(B104="Pensioner",C104,Assumptions!$B$10),Mortality!$A$2:$E$104,5,FALSE)</x:f>
        <x:v>17.296790022132885</x:v>
      </x:c>
      <x:c r="M104" s="37" t="n">
        <x:f>1+Assumptions!$B$13*Assumptions!$B$14*Assumptions!$B$15</x:f>
        <x:v>1.31875</x:v>
      </x:c>
      <x:c r="N104" s="37" t="n">
        <x:f>IF(B104="Pensioner",1,1/(1+Assumptions!$B$6)^G104)</x:f>
        <x:v>0.1511860661098129</x:v>
      </x:c>
      <x:c r="O104" s="50" t="n">
        <x:f>J104*K104*L104*M104*N104</x:f>
        <x:v>6560732.005642035</x:v>
      </x:c>
    </x:row>
    <x:row r="105">
      <x:c r="A105" s="42" t="str">
        <x:f>Members!A105</x:f>
        <x:v>P0157</x:v>
      </x:c>
      <x:c r="B105" s="42" t="str">
        <x:f>Members!B105</x:f>
        <x:v>Pensioner</x:v>
      </x:c>
      <x:c r="C105" s="42" t="n">
        <x:f>Members!C105</x:f>
        <x:v>87</x:v>
      </x:c>
      <x:c r="D105" s="44" t="n">
        <x:f>Members!D105</x:f>
        <x:v>20.9</x:v>
      </x:c>
      <x:c r="E105" s="48" t="n">
        <x:f>Members!E105</x:f>
        <x:v>0</x:v>
      </x:c>
      <x:c r="F105" s="48" t="n">
        <x:f>Members!F105</x:f>
        <x:v>761000</x:v>
      </x:c>
      <x:c r="G105" s="46" t="n">
        <x:f>MAX(0,Assumptions!$B$10-C105)</x:f>
        <x:v>0</x:v>
      </x:c>
      <x:c r="H105" s="50" t="n">
        <x:f>IF(B105="Active",E105*(1+Assumptions!$B$7)^G105,E105)</x:f>
        <x:v>0</x:v>
      </x:c>
      <x:c r="I105" s="50" t="n">
        <x:f>IF(B105="Active",MIN(Assumptions!$B$12,D105+G105),IF(B105="Deferred",MIN(Assumptions!$B$12,D105),D105))</x:f>
        <x:v>20.9</x:v>
      </x:c>
      <x:c r="J105" s="50" t="n">
        <x:f>IF(B105="Active",H105*I105*Assumptions!$B$11,IF(B105="Deferred",E105*I105*Assumptions!$B$11*(1+Assumptions!$B$9)^G105,F105))</x:f>
        <x:v>761000</x:v>
      </x:c>
      <x:c r="K105" s="37" t="n">
        <x:f>IF(B105="Pensioner",1,VLOOKUP(Assumptions!$B$10,Mortality!$A$2:$F$104,6,FALSE)/VLOOKUP(C105,Mortality!$A$2:$F$104,6,FALSE))</x:f>
        <x:v>1</x:v>
      </x:c>
      <x:c r="L105" s="37" t="n">
        <x:f>VLOOKUP(IF(B105="Pensioner",C105,Assumptions!$B$10),Mortality!$A$2:$E$104,5,FALSE)</x:f>
        <x:v>5.427731360162463</x:v>
      </x:c>
      <x:c r="M105" s="37" t="n">
        <x:f>1+Assumptions!$B$13*Assumptions!$B$14*Assumptions!$B$15</x:f>
        <x:v>1.31875</x:v>
      </x:c>
      <x:c r="N105" s="37" t="n">
        <x:f>IF(B105="Pensioner",1,1/(1+Assumptions!$B$6)^G105)</x:f>
        <x:v>1</x:v>
      </x:c>
      <x:c r="O105" s="50" t="n">
        <x:f>J105*K105*L105*M105*N105</x:f>
        <x:v>5447101.576454043</x:v>
      </x:c>
    </x:row>
    <x:row r="106">
      <x:c r="A106" s="42" t="str">
        <x:f>Members!A106</x:f>
        <x:v>A0317</x:v>
      </x:c>
      <x:c r="B106" s="42" t="str">
        <x:f>Members!B106</x:f>
        <x:v>Active</x:v>
      </x:c>
      <x:c r="C106" s="42" t="n">
        <x:f>Members!C106</x:f>
        <x:v>50</x:v>
      </x:c>
      <x:c r="D106" s="44" t="n">
        <x:f>Members!D106</x:f>
        <x:v>7</x:v>
      </x:c>
      <x:c r="E106" s="48" t="n">
        <x:f>Members!E106</x:f>
        <x:v>1033000</x:v>
      </x:c>
      <x:c r="F106" s="48" t="n">
        <x:f>Members!F106</x:f>
        <x:v>0</x:v>
      </x:c>
      <x:c r="G106" s="46" t="n">
        <x:f>MAX(0,Assumptions!$B$10-C106)</x:f>
        <x:v>10</x:v>
      </x:c>
      <x:c r="H106" s="50" t="n">
        <x:f>IF(B106="Active",E106*(1+Assumptions!$B$7)^G106,E106)</x:f>
        <x:v>1764513.2254792615</x:v>
      </x:c>
      <x:c r="I106" s="50" t="n">
        <x:f>IF(B106="Active",MIN(Assumptions!$B$12,D106+G106),IF(B106="Deferred",MIN(Assumptions!$B$12,D106),D106))</x:f>
        <x:v>17</x:v>
      </x:c>
      <x:c r="J106" s="50" t="n">
        <x:f>IF(B106="Active",H106*I106*Assumptions!$B$11,IF(B106="Deferred",E106*I106*Assumptions!$B$11*(1+Assumptions!$B$9)^G106,F106))</x:f>
        <x:v>499945.41388579074</x:v>
      </x:c>
      <x:c r="K106" s="37" t="n">
        <x:f>IF(B106="Pensioner",1,VLOOKUP(Assumptions!$B$10,Mortality!$A$2:$F$104,6,FALSE)/VLOOKUP(C106,Mortality!$A$2:$F$104,6,FALSE))</x:f>
        <x:v>0.9812729933582415</x:v>
      </x:c>
      <x:c r="L106" s="37" t="n">
        <x:f>VLOOKUP(IF(B106="Pensioner",C106,Assumptions!$B$10),Mortality!$A$2:$E$104,5,FALSE)</x:f>
        <x:v>17.296790022132885</x:v>
      </x:c>
      <x:c r="M106" s="37" t="n">
        <x:f>1+Assumptions!$B$13*Assumptions!$B$14*Assumptions!$B$15</x:f>
        <x:v>1.31875</x:v>
      </x:c>
      <x:c r="N106" s="37" t="n">
        <x:f>IF(B106="Pensioner",1,1/(1+Assumptions!$B$6)^G106)</x:f>
        <x:v>0.5327260355205289</x:v>
      </x:c>
      <x:c r="O106" s="50" t="n">
        <x:f>J106*K106*L106*M106*N106</x:f>
        <x:v>5961346.192970761</x:v>
      </x:c>
    </x:row>
    <x:row r="107">
      <x:c r="A107" s="42" t="str">
        <x:f>Members!A107</x:f>
        <x:v>A0050</x:v>
      </x:c>
      <x:c r="B107" s="42" t="str">
        <x:f>Members!B107</x:f>
        <x:v>Active</x:v>
      </x:c>
      <x:c r="C107" s="42" t="n">
        <x:f>Members!C107</x:f>
        <x:v>49</x:v>
      </x:c>
      <x:c r="D107" s="44" t="n">
        <x:f>Members!D107</x:f>
        <x:v>19.4</x:v>
      </x:c>
      <x:c r="E107" s="48" t="n">
        <x:f>Members!E107</x:f>
        <x:v>1677000</x:v>
      </x:c>
      <x:c r="F107" s="48" t="n">
        <x:f>Members!F107</x:f>
        <x:v>0</x:v>
      </x:c>
      <x:c r="G107" s="46" t="n">
        <x:f>MAX(0,Assumptions!$B$10-C107)</x:f>
        <x:v>11</x:v>
      </x:c>
      <x:c r="H107" s="50" t="n">
        <x:f>IF(B107="Active",E107*(1+Assumptions!$B$7)^G107,E107)</x:f>
        <x:v>3022108.9607752184</x:v>
      </x:c>
      <x:c r="I107" s="50" t="n">
        <x:f>IF(B107="Active",MIN(Assumptions!$B$12,D107+G107),IF(B107="Deferred",MIN(Assumptions!$B$12,D107),D107))</x:f>
        <x:v>30.4</x:v>
      </x:c>
      <x:c r="J107" s="50" t="n">
        <x:f>IF(B107="Active",H107*I107*Assumptions!$B$11,IF(B107="Deferred",E107*I107*Assumptions!$B$11*(1+Assumptions!$B$9)^G107,F107))</x:f>
        <x:v>1531201.873459444</x:v>
      </x:c>
      <x:c r="K107" s="37" t="n">
        <x:f>IF(B107="Pensioner",1,VLOOKUP(Assumptions!$B$10,Mortality!$A$2:$F$104,6,FALSE)/VLOOKUP(C107,Mortality!$A$2:$F$104,6,FALSE))</x:f>
        <x:v>0.9802429662359576</x:v>
      </x:c>
      <x:c r="L107" s="37" t="n">
        <x:f>VLOOKUP(IF(B107="Pensioner",C107,Assumptions!$B$10),Mortality!$A$2:$E$104,5,FALSE)</x:f>
        <x:v>17.296790022132885</x:v>
      </x:c>
      <x:c r="M107" s="37" t="n">
        <x:f>1+Assumptions!$B$13*Assumptions!$B$14*Assumptions!$B$15</x:f>
        <x:v>1.31875</x:v>
      </x:c>
      <x:c r="N107" s="37" t="n">
        <x:f>IF(B107="Pensioner",1,1/(1+Assumptions!$B$6)^G107)</x:f>
        <x:v>0.5002122399253793</x:v>
      </x:c>
      <x:c r="O107" s="50" t="n">
        <x:f>J107*K107*L107*M107*N107</x:f>
        <x:v>17125706.10702476</x:v>
      </x:c>
    </x:row>
    <x:row r="108">
      <x:c r="A108" s="42" t="str">
        <x:f>Members!A108</x:f>
        <x:v>P0094</x:v>
      </x:c>
      <x:c r="B108" s="42" t="str">
        <x:f>Members!B108</x:f>
        <x:v>Pensioner</x:v>
      </x:c>
      <x:c r="C108" s="42" t="n">
        <x:f>Members!C108</x:f>
        <x:v>65</x:v>
      </x:c>
      <x:c r="D108" s="44" t="n">
        <x:f>Members!D108</x:f>
        <x:v>20.6</x:v>
      </x:c>
      <x:c r="E108" s="48" t="n">
        <x:f>Members!E108</x:f>
        <x:v>0</x:v>
      </x:c>
      <x:c r="F108" s="48" t="n">
        <x:f>Members!F108</x:f>
        <x:v>170000</x:v>
      </x:c>
      <x:c r="G108" s="46" t="n">
        <x:f>MAX(0,Assumptions!$B$10-C108)</x:f>
        <x:v>0</x:v>
      </x:c>
      <x:c r="H108" s="50" t="n">
        <x:f>IF(B108="Active",E108*(1+Assumptions!$B$7)^G108,E108)</x:f>
        <x:v>0</x:v>
      </x:c>
      <x:c r="I108" s="50" t="n">
        <x:f>IF(B108="Active",MIN(Assumptions!$B$12,D108+G108),IF(B108="Deferred",MIN(Assumptions!$B$12,D108),D108))</x:f>
        <x:v>20.6</x:v>
      </x:c>
      <x:c r="J108" s="50" t="n">
        <x:f>IF(B108="Active",H108*I108*Assumptions!$B$11,IF(B108="Deferred",E108*I108*Assumptions!$B$11*(1+Assumptions!$B$9)^G108,F108))</x:f>
        <x:v>170000</x:v>
      </x:c>
      <x:c r="K108" s="37" t="n">
        <x:f>IF(B108="Pensioner",1,VLOOKUP(Assumptions!$B$10,Mortality!$A$2:$F$104,6,FALSE)/VLOOKUP(C108,Mortality!$A$2:$F$104,6,FALSE))</x:f>
        <x:v>1</x:v>
      </x:c>
      <x:c r="L108" s="37" t="n">
        <x:f>VLOOKUP(IF(B108="Pensioner",C108,Assumptions!$B$10),Mortality!$A$2:$E$104,5,FALSE)</x:f>
        <x:v>15.196570962158528</x:v>
      </x:c>
      <x:c r="M108" s="37" t="n">
        <x:f>1+Assumptions!$B$13*Assumptions!$B$14*Assumptions!$B$15</x:f>
        <x:v>1.31875</x:v>
      </x:c>
      <x:c r="N108" s="37" t="n">
        <x:f>IF(B108="Pensioner",1,1/(1+Assumptions!$B$6)^G108)</x:f>
        <x:v>1</x:v>
      </x:c>
      <x:c r="O108" s="50" t="n">
        <x:f>J108*K108*L108*M108*N108</x:f>
        <x:v>3406881.252578915</x:v>
      </x:c>
    </x:row>
    <x:row r="109">
      <x:c r="A109" s="42" t="str">
        <x:f>Members!A109</x:f>
        <x:v>A0479</x:v>
      </x:c>
      <x:c r="B109" s="42" t="str">
        <x:f>Members!B109</x:f>
        <x:v>Active</x:v>
      </x:c>
      <x:c r="C109" s="42" t="n">
        <x:f>Members!C109</x:f>
        <x:v>31</x:v>
      </x:c>
      <x:c r="D109" s="44" t="n">
        <x:f>Members!D109</x:f>
        <x:v>9.2</x:v>
      </x:c>
      <x:c r="E109" s="48" t="n">
        <x:f>Members!E109</x:f>
        <x:v>745000</x:v>
      </x:c>
      <x:c r="F109" s="48" t="n">
        <x:f>Members!F109</x:f>
        <x:v>0</x:v>
      </x:c>
      <x:c r="G109" s="46" t="n">
        <x:f>MAX(0,Assumptions!$B$10-C109)</x:f>
        <x:v>29</x:v>
      </x:c>
      <x:c r="H109" s="50" t="n">
        <x:f>IF(B109="Active",E109*(1+Assumptions!$B$7)^G109,E109)</x:f>
        <x:v>3519472.7107623885</x:v>
      </x:c>
      <x:c r="I109" s="50" t="n">
        <x:f>IF(B109="Active",MIN(Assumptions!$B$12,D109+G109),IF(B109="Deferred",MIN(Assumptions!$B$12,D109),D109))</x:f>
        <x:v>38.2</x:v>
      </x:c>
      <x:c r="J109" s="50" t="n">
        <x:f>IF(B109="Active",H109*I109*Assumptions!$B$11,IF(B109="Deferred",E109*I109*Assumptions!$B$11*(1+Assumptions!$B$9)^G109,F109))</x:f>
        <x:v>2240730.9591853875</x:v>
      </x:c>
      <x:c r="K109" s="37" t="n">
        <x:f>IF(B109="Pensioner",1,VLOOKUP(Assumptions!$B$10,Mortality!$A$2:$F$104,6,FALSE)/VLOOKUP(C109,Mortality!$A$2:$F$104,6,FALSE))</x:f>
        <x:v>0.9706466107295209</x:v>
      </x:c>
      <x:c r="L109" s="37" t="n">
        <x:f>VLOOKUP(IF(B109="Pensioner",C109,Assumptions!$B$10),Mortality!$A$2:$E$104,5,FALSE)</x:f>
        <x:v>17.296790022132885</x:v>
      </x:c>
      <x:c r="M109" s="37" t="n">
        <x:f>1+Assumptions!$B$13*Assumptions!$B$14*Assumptions!$B$15</x:f>
        <x:v>1.31875</x:v>
      </x:c>
      <x:c r="N109" s="37" t="n">
        <x:f>IF(B109="Pensioner",1,1/(1+Assumptions!$B$6)^G109)</x:f>
        <x:v>0.16101316040695074</x:v>
      </x:c>
      <x:c r="O109" s="50" t="n">
        <x:f>J109*K109*L109*M109*N109</x:f>
        <x:v>7988039.752962783</x:v>
      </x:c>
    </x:row>
    <x:row r="110">
      <x:c r="A110" s="42" t="str">
        <x:f>Members!A110</x:f>
        <x:v>A0091</x:v>
      </x:c>
      <x:c r="B110" s="42" t="str">
        <x:f>Members!B110</x:f>
        <x:v>Active</x:v>
      </x:c>
      <x:c r="C110" s="42" t="n">
        <x:f>Members!C110</x:f>
        <x:v>41</x:v>
      </x:c>
      <x:c r="D110" s="44" t="n">
        <x:f>Members!D110</x:f>
        <x:v>19.8</x:v>
      </x:c>
      <x:c r="E110" s="48" t="n">
        <x:f>Members!E110</x:f>
        <x:v>771000</x:v>
      </x:c>
      <x:c r="F110" s="48" t="n">
        <x:f>Members!F110</x:f>
        <x:v>0</x:v>
      </x:c>
      <x:c r="G110" s="46" t="n">
        <x:f>MAX(0,Assumptions!$B$10-C110)</x:f>
        <x:v>19</x:v>
      </x:c>
      <x:c r="H110" s="50" t="n">
        <x:f>IF(B110="Active",E110*(1+Assumptions!$B$7)^G110,E110)</x:f>
        <x:v>2132313.7680149316</x:v>
      </x:c>
      <x:c r="I110" s="50" t="n">
        <x:f>IF(B110="Active",MIN(Assumptions!$B$12,D110+G110),IF(B110="Deferred",MIN(Assumptions!$B$12,D110),D110))</x:f>
        <x:v>38.8</x:v>
      </x:c>
      <x:c r="J110" s="50" t="n">
        <x:f>IF(B110="Active",H110*I110*Assumptions!$B$11,IF(B110="Deferred",E110*I110*Assumptions!$B$11*(1+Assumptions!$B$9)^G110,F110))</x:f>
        <x:v>1378896.2366496555</x:v>
      </x:c>
      <x:c r="K110" s="37" t="n">
        <x:f>IF(B110="Pensioner",1,VLOOKUP(Assumptions!$B$10,Mortality!$A$2:$F$104,6,FALSE)/VLOOKUP(C110,Mortality!$A$2:$F$104,6,FALSE))</x:f>
        <x:v>0.9745478954079534</x:v>
      </x:c>
      <x:c r="L110" s="37" t="n">
        <x:f>VLOOKUP(IF(B110="Pensioner",C110,Assumptions!$B$10),Mortality!$A$2:$E$104,5,FALSE)</x:f>
        <x:v>17.296790022132885</x:v>
      </x:c>
      <x:c r="M110" s="37" t="n">
        <x:f>1+Assumptions!$B$13*Assumptions!$B$14*Assumptions!$B$15</x:f>
        <x:v>1.31875</x:v>
      </x:c>
      <x:c r="N110" s="37" t="n">
        <x:f>IF(B110="Pensioner",1,1/(1+Assumptions!$B$6)^G110)</x:f>
        <x:v>0.30224383580131214</x:v>
      </x:c>
      <x:c r="O110" s="50" t="n">
        <x:f>J110*K110*L110*M110*N110</x:f>
        <x:v>9264462.172641443</x:v>
      </x:c>
    </x:row>
    <x:row r="111">
      <x:c r="A111" s="42" t="str">
        <x:f>Members!A111</x:f>
        <x:v>P0051</x:v>
      </x:c>
      <x:c r="B111" s="42" t="str">
        <x:f>Members!B111</x:f>
        <x:v>Pensioner</x:v>
      </x:c>
      <x:c r="C111" s="42" t="n">
        <x:f>Members!C111</x:f>
        <x:v>83</x:v>
      </x:c>
      <x:c r="D111" s="44" t="n">
        <x:f>Members!D111</x:f>
        <x:v>28.6</x:v>
      </x:c>
      <x:c r="E111" s="48" t="n">
        <x:f>Members!E111</x:f>
        <x:v>0</x:v>
      </x:c>
      <x:c r="F111" s="48" t="n">
        <x:f>Members!F111</x:f>
        <x:v>299000</x:v>
      </x:c>
      <x:c r="G111" s="46" t="n">
        <x:f>MAX(0,Assumptions!$B$10-C111)</x:f>
        <x:v>0</x:v>
      </x:c>
      <x:c r="H111" s="50" t="n">
        <x:f>IF(B111="Active",E111*(1+Assumptions!$B$7)^G111,E111)</x:f>
        <x:v>0</x:v>
      </x:c>
      <x:c r="I111" s="50" t="n">
        <x:f>IF(B111="Active",MIN(Assumptions!$B$12,D111+G111),IF(B111="Deferred",MIN(Assumptions!$B$12,D111),D111))</x:f>
        <x:v>28.6</x:v>
      </x:c>
      <x:c r="J111" s="50" t="n">
        <x:f>IF(B111="Active",H111*I111*Assumptions!$B$11,IF(B111="Deferred",E111*I111*Assumptions!$B$11*(1+Assumptions!$B$9)^G111,F111))</x:f>
        <x:v>299000</x:v>
      </x:c>
      <x:c r="K111" s="37" t="n">
        <x:f>IF(B111="Pensioner",1,VLOOKUP(Assumptions!$B$10,Mortality!$A$2:$F$104,6,FALSE)/VLOOKUP(C111,Mortality!$A$2:$F$104,6,FALSE))</x:f>
        <x:v>1</x:v>
      </x:c>
      <x:c r="L111" s="37" t="n">
        <x:f>VLOOKUP(IF(B111="Pensioner",C111,Assumptions!$B$10),Mortality!$A$2:$E$104,5,FALSE)</x:f>
        <x:v>7.066956273830788</x:v>
      </x:c>
      <x:c r="M111" s="37" t="n">
        <x:f>1+Assumptions!$B$13*Assumptions!$B$14*Assumptions!$B$15</x:f>
        <x:v>1.31875</x:v>
      </x:c>
      <x:c r="N111" s="37" t="n">
        <x:f>IF(B111="Pensioner",1,1/(1+Assumptions!$B$6)^G111)</x:f>
        <x:v>1</x:v>
      </x:c>
      <x:c r="O111" s="50" t="n">
        <x:f>J111*K111*L111*M111*N111</x:f>
        <x:v>2786545.0272481907</x:v>
      </x:c>
    </x:row>
    <x:row r="112">
      <x:c r="A112" s="42" t="str">
        <x:f>Members!A112</x:f>
        <x:v>A0009</x:v>
      </x:c>
      <x:c r="B112" s="42" t="str">
        <x:f>Members!B112</x:f>
        <x:v>Active</x:v>
      </x:c>
      <x:c r="C112" s="42" t="n">
        <x:f>Members!C112</x:f>
        <x:v>42</x:v>
      </x:c>
      <x:c r="D112" s="44" t="n">
        <x:f>Members!D112</x:f>
        <x:v>11.7</x:v>
      </x:c>
      <x:c r="E112" s="48" t="n">
        <x:f>Members!E112</x:f>
        <x:v>829000</x:v>
      </x:c>
      <x:c r="F112" s="48" t="n">
        <x:f>Members!F112</x:f>
        <x:v>0</x:v>
      </x:c>
      <x:c r="G112" s="46" t="n">
        <x:f>MAX(0,Assumptions!$B$10-C112)</x:f>
        <x:v>18</x:v>
      </x:c>
      <x:c r="H112" s="50" t="n">
        <x:f>IF(B112="Active",E112*(1+Assumptions!$B$7)^G112,E112)</x:f>
        <x:v>2173195.5344316526</x:v>
      </x:c>
      <x:c r="I112" s="50" t="n">
        <x:f>IF(B112="Active",MIN(Assumptions!$B$12,D112+G112),IF(B112="Deferred",MIN(Assumptions!$B$12,D112),D112))</x:f>
        <x:v>29.7</x:v>
      </x:c>
      <x:c r="J112" s="50" t="n">
        <x:f>IF(B112="Active",H112*I112*Assumptions!$B$11,IF(B112="Deferred",E112*I112*Assumptions!$B$11*(1+Assumptions!$B$9)^G112,F112))</x:f>
        <x:v>1075731.789543668</x:v>
      </x:c>
      <x:c r="K112" s="37" t="n">
        <x:f>IF(B112="Pensioner",1,VLOOKUP(Assumptions!$B$10,Mortality!$A$2:$F$104,6,FALSE)/VLOOKUP(C112,Mortality!$A$2:$F$104,6,FALSE))</x:f>
        <x:v>0.9750799707838386</x:v>
      </x:c>
      <x:c r="L112" s="37" t="n">
        <x:f>VLOOKUP(IF(B112="Pensioner",C112,Assumptions!$B$10),Mortality!$A$2:$E$104,5,FALSE)</x:f>
        <x:v>17.296790022132885</x:v>
      </x:c>
      <x:c r="M112" s="37" t="n">
        <x:f>1+Assumptions!$B$13*Assumptions!$B$14*Assumptions!$B$15</x:f>
        <x:v>1.31875</x:v>
      </x:c>
      <x:c r="N112" s="37" t="n">
        <x:f>IF(B112="Pensioner",1,1/(1+Assumptions!$B$6)^G112)</x:f>
        <x:v>0.3218896851283974</x:v>
      </x:c>
      <x:c r="O112" s="50" t="n">
        <x:f>J112*K112*L112*M112*N112</x:f>
        <x:v>7701570.308100243</x:v>
      </x:c>
    </x:row>
    <x:row r="113">
      <x:c r="A113" s="42" t="str">
        <x:f>Members!A113</x:f>
        <x:v>A0218</x:v>
      </x:c>
      <x:c r="B113" s="42" t="str">
        <x:f>Members!B113</x:f>
        <x:v>Active</x:v>
      </x:c>
      <x:c r="C113" s="42" t="n">
        <x:f>Members!C113</x:f>
        <x:v>25</x:v>
      </x:c>
      <x:c r="D113" s="44" t="n">
        <x:f>Members!D113</x:f>
        <x:v>1</x:v>
      </x:c>
      <x:c r="E113" s="48" t="n">
        <x:f>Members!E113</x:f>
        <x:v>583000</x:v>
      </x:c>
      <x:c r="F113" s="48" t="n">
        <x:f>Members!F113</x:f>
        <x:v>0</x:v>
      </x:c>
      <x:c r="G113" s="46" t="n">
        <x:f>MAX(0,Assumptions!$B$10-C113)</x:f>
        <x:v>35</x:v>
      </x:c>
      <x:c r="H113" s="50" t="n">
        <x:f>IF(B113="Active",E113*(1+Assumptions!$B$7)^G113,E113)</x:f>
        <x:v>3797559.9795618695</x:v>
      </x:c>
      <x:c r="I113" s="50" t="n">
        <x:f>IF(B113="Active",MIN(Assumptions!$B$12,D113+G113),IF(B113="Deferred",MIN(Assumptions!$B$12,D113),D113))</x:f>
        <x:v>36</x:v>
      </x:c>
      <x:c r="J113" s="50" t="n">
        <x:f>IF(B113="Active",H113*I113*Assumptions!$B$11,IF(B113="Deferred",E113*I113*Assumptions!$B$11*(1+Assumptions!$B$9)^G113,F113))</x:f>
        <x:v>2278535.9877371215</x:v>
      </x:c>
      <x:c r="K113" s="37" t="n">
        <x:f>IF(B113="Pensioner",1,VLOOKUP(Assumptions!$B$10,Mortality!$A$2:$F$104,6,FALSE)/VLOOKUP(C113,Mortality!$A$2:$F$104,6,FALSE))</x:f>
        <x:v>0.9689672976041144</x:v>
      </x:c>
      <x:c r="L113" s="37" t="n">
        <x:f>VLOOKUP(IF(B113="Pensioner",C113,Assumptions!$B$10),Mortality!$A$2:$E$104,5,FALSE)</x:f>
        <x:v>17.296790022132885</x:v>
      </x:c>
      <x:c r="M113" s="37" t="n">
        <x:f>1+Assumptions!$B$13*Assumptions!$B$14*Assumptions!$B$15</x:f>
        <x:v>1.31875</x:v>
      </x:c>
      <x:c r="N113" s="37" t="n">
        <x:f>IF(B113="Pensioner",1,1/(1+Assumptions!$B$6)^G113)</x:f>
        <x:v>0.11034781240254267</x:v>
      </x:c>
      <x:c r="O113" s="50" t="n">
        <x:f>J113*K113*L113*M113*N113</x:f>
        <x:v>5557208.94462659</x:v>
      </x:c>
    </x:row>
    <x:row r="114">
      <x:c r="A114" s="42" t="str">
        <x:f>Members!A114</x:f>
        <x:v>A0224</x:v>
      </x:c>
      <x:c r="B114" s="42" t="str">
        <x:f>Members!B114</x:f>
        <x:v>Active</x:v>
      </x:c>
      <x:c r="C114" s="42" t="n">
        <x:f>Members!C114</x:f>
        <x:v>58</x:v>
      </x:c>
      <x:c r="D114" s="44" t="n">
        <x:f>Members!D114</x:f>
        <x:v>23.3</x:v>
      </x:c>
      <x:c r="E114" s="48" t="n">
        <x:f>Members!E114</x:f>
        <x:v>2456000</x:v>
      </x:c>
      <x:c r="F114" s="48" t="n">
        <x:f>Members!F114</x:f>
        <x:v>0</x:v>
      </x:c>
      <x:c r="G114" s="46" t="n">
        <x:f>MAX(0,Assumptions!$B$10-C114)</x:f>
        <x:v>2</x:v>
      </x:c>
      <x:c r="H114" s="50" t="n">
        <x:f>IF(B114="Active",E114*(1+Assumptions!$B$7)^G114,E114)</x:f>
        <x:v>2733589.4</x:v>
      </x:c>
      <x:c r="I114" s="50" t="n">
        <x:f>IF(B114="Active",MIN(Assumptions!$B$12,D114+G114),IF(B114="Deferred",MIN(Assumptions!$B$12,D114),D114))</x:f>
        <x:v>25.3</x:v>
      </x:c>
      <x:c r="J114" s="50" t="n">
        <x:f>IF(B114="Active",H114*I114*Assumptions!$B$11,IF(B114="Deferred",E114*I114*Assumptions!$B$11*(1+Assumptions!$B$9)^G114,F114))</x:f>
        <x:v>1152663.5303333332</x:v>
      </x:c>
      <x:c r="K114" s="37" t="n">
        <x:f>IF(B114="Pensioner",1,VLOOKUP(Assumptions!$B$10,Mortality!$A$2:$F$104,6,FALSE)/VLOOKUP(C114,Mortality!$A$2:$F$104,6,FALSE))</x:f>
        <x:v>0.9945213044203837</x:v>
      </x:c>
      <x:c r="L114" s="37" t="n">
        <x:f>VLOOKUP(IF(B114="Pensioner",C114,Assumptions!$B$10),Mortality!$A$2:$E$104,5,FALSE)</x:f>
        <x:v>17.296790022132885</x:v>
      </x:c>
      <x:c r="M114" s="37" t="n">
        <x:f>1+Assumptions!$B$13*Assumptions!$B$14*Assumptions!$B$15</x:f>
        <x:v>1.31875</x:v>
      </x:c>
      <x:c r="N114" s="37" t="n">
        <x:f>IF(B114="Pensioner",1,1/(1+Assumptions!$B$6)^G114)</x:f>
        <x:v>0.8816592827701736</x:v>
      </x:c>
      <x:c r="O114" s="50" t="n">
        <x:f>J114*K114*L114*M114*N114</x:f>
        <x:v>23053953.549744163</x:v>
      </x:c>
    </x:row>
    <x:row r="115">
      <x:c r="A115" s="42" t="str">
        <x:f>Members!A115</x:f>
        <x:v>P0023</x:v>
      </x:c>
      <x:c r="B115" s="42" t="str">
        <x:f>Members!B115</x:f>
        <x:v>Pensioner</x:v>
      </x:c>
      <x:c r="C115" s="42" t="n">
        <x:f>Members!C115</x:f>
        <x:v>86</x:v>
      </x:c>
      <x:c r="D115" s="44" t="n">
        <x:f>Members!D115</x:f>
        <x:v>17.6</x:v>
      </x:c>
      <x:c r="E115" s="48" t="n">
        <x:f>Members!E115</x:f>
        <x:v>0</x:v>
      </x:c>
      <x:c r="F115" s="48" t="n">
        <x:f>Members!F115</x:f>
        <x:v>353000</x:v>
      </x:c>
      <x:c r="G115" s="46" t="n">
        <x:f>MAX(0,Assumptions!$B$10-C115)</x:f>
        <x:v>0</x:v>
      </x:c>
      <x:c r="H115" s="50" t="n">
        <x:f>IF(B115="Active",E115*(1+Assumptions!$B$7)^G115,E115)</x:f>
        <x:v>0</x:v>
      </x:c>
      <x:c r="I115" s="50" t="n">
        <x:f>IF(B115="Active",MIN(Assumptions!$B$12,D115+G115),IF(B115="Deferred",MIN(Assumptions!$B$12,D115),D115))</x:f>
        <x:v>17.6</x:v>
      </x:c>
      <x:c r="J115" s="50" t="n">
        <x:f>IF(B115="Active",H115*I115*Assumptions!$B$11,IF(B115="Deferred",E115*I115*Assumptions!$B$11*(1+Assumptions!$B$9)^G115,F115))</x:f>
        <x:v>353000</x:v>
      </x:c>
      <x:c r="K115" s="37" t="n">
        <x:f>IF(B115="Pensioner",1,VLOOKUP(Assumptions!$B$10,Mortality!$A$2:$F$104,6,FALSE)/VLOOKUP(C115,Mortality!$A$2:$F$104,6,FALSE))</x:f>
        <x:v>1</x:v>
      </x:c>
      <x:c r="L115" s="37" t="n">
        <x:f>VLOOKUP(IF(B115="Pensioner",C115,Assumptions!$B$10),Mortality!$A$2:$E$104,5,FALSE)</x:f>
        <x:v>5.822832972912483</x:v>
      </x:c>
      <x:c r="M115" s="37" t="n">
        <x:f>1+Assumptions!$B$13*Assumptions!$B$14*Assumptions!$B$15</x:f>
        <x:v>1.31875</x:v>
      </x:c>
      <x:c r="N115" s="37" t="n">
        <x:f>IF(B115="Pensioner",1,1/(1+Assumptions!$B$6)^G115)</x:f>
        <x:v>1</x:v>
      </x:c>
      <x:c r="O115" s="50" t="n">
        <x:f>J115*K115*L115*M115*N115</x:f>
        <x:v>2710637.9270090032</x:v>
      </x:c>
    </x:row>
    <x:row r="116">
      <x:c r="A116" s="42" t="str">
        <x:f>Members!A116</x:f>
        <x:v>P0154</x:v>
      </x:c>
      <x:c r="B116" s="42" t="str">
        <x:f>Members!B116</x:f>
        <x:v>Pensioner</x:v>
      </x:c>
      <x:c r="C116" s="42" t="n">
        <x:f>Members!C116</x:f>
        <x:v>78</x:v>
      </x:c>
      <x:c r="D116" s="44" t="n">
        <x:f>Members!D116</x:f>
        <x:v>32.6</x:v>
      </x:c>
      <x:c r="E116" s="48" t="n">
        <x:f>Members!E116</x:f>
        <x:v>0</x:v>
      </x:c>
      <x:c r="F116" s="48" t="n">
        <x:f>Members!F116</x:f>
        <x:v>523000</x:v>
      </x:c>
      <x:c r="G116" s="46" t="n">
        <x:f>MAX(0,Assumptions!$B$10-C116)</x:f>
        <x:v>0</x:v>
      </x:c>
      <x:c r="H116" s="50" t="n">
        <x:f>IF(B116="Active",E116*(1+Assumptions!$B$7)^G116,E116)</x:f>
        <x:v>0</x:v>
      </x:c>
      <x:c r="I116" s="50" t="n">
        <x:f>IF(B116="Active",MIN(Assumptions!$B$12,D116+G116),IF(B116="Deferred",MIN(Assumptions!$B$12,D116),D116))</x:f>
        <x:v>32.6</x:v>
      </x:c>
      <x:c r="J116" s="50" t="n">
        <x:f>IF(B116="Active",H116*I116*Assumptions!$B$11,IF(B116="Deferred",E116*I116*Assumptions!$B$11*(1+Assumptions!$B$9)^G116,F116))</x:f>
        <x:v>523000</x:v>
      </x:c>
      <x:c r="K116" s="37" t="n">
        <x:f>IF(B116="Pensioner",1,VLOOKUP(Assumptions!$B$10,Mortality!$A$2:$F$104,6,FALSE)/VLOOKUP(C116,Mortality!$A$2:$F$104,6,FALSE))</x:f>
        <x:v>1</x:v>
      </x:c>
      <x:c r="L116" s="37" t="n">
        <x:f>VLOOKUP(IF(B116="Pensioner",C116,Assumptions!$B$10),Mortality!$A$2:$E$104,5,FALSE)</x:f>
        <x:v>9.284717924120388</x:v>
      </x:c>
      <x:c r="M116" s="37" t="n">
        <x:f>1+Assumptions!$B$13*Assumptions!$B$14*Assumptions!$B$15</x:f>
        <x:v>1.31875</x:v>
      </x:c>
      <x:c r="N116" s="37" t="n">
        <x:f>IF(B116="Pensioner",1,1/(1+Assumptions!$B$6)^G116)</x:f>
        <x:v>1</x:v>
      </x:c>
      <x:c r="O116" s="50" t="n">
        <x:f>J116*K116*L116*M116*N116</x:f>
        <x:v>6403727.981752858</x:v>
      </x:c>
    </x:row>
    <x:row r="117">
      <x:c r="A117" s="42" t="str">
        <x:f>Members!A117</x:f>
        <x:v>P0240</x:v>
      </x:c>
      <x:c r="B117" s="42" t="str">
        <x:f>Members!B117</x:f>
        <x:v>Pensioner</x:v>
      </x:c>
      <x:c r="C117" s="42" t="n">
        <x:f>Members!C117</x:f>
        <x:v>75</x:v>
      </x:c>
      <x:c r="D117" s="44" t="n">
        <x:f>Members!D117</x:f>
        <x:v>25</x:v>
      </x:c>
      <x:c r="E117" s="48" t="n">
        <x:f>Members!E117</x:f>
        <x:v>0</x:v>
      </x:c>
      <x:c r="F117" s="48" t="n">
        <x:f>Members!F117</x:f>
        <x:v>449000</x:v>
      </x:c>
      <x:c r="G117" s="46" t="n">
        <x:f>MAX(0,Assumptions!$B$10-C117)</x:f>
        <x:v>0</x:v>
      </x:c>
      <x:c r="H117" s="50" t="n">
        <x:f>IF(B117="Active",E117*(1+Assumptions!$B$7)^G117,E117)</x:f>
        <x:v>0</x:v>
      </x:c>
      <x:c r="I117" s="50" t="n">
        <x:f>IF(B117="Active",MIN(Assumptions!$B$12,D117+G117),IF(B117="Deferred",MIN(Assumptions!$B$12,D117),D117))</x:f>
        <x:v>25</x:v>
      </x:c>
      <x:c r="J117" s="50" t="n">
        <x:f>IF(B117="Active",H117*I117*Assumptions!$B$11,IF(B117="Deferred",E117*I117*Assumptions!$B$11*(1+Assumptions!$B$9)^G117,F117))</x:f>
        <x:v>449000</x:v>
      </x:c>
      <x:c r="K117" s="37" t="n">
        <x:f>IF(B117="Pensioner",1,VLOOKUP(Assumptions!$B$10,Mortality!$A$2:$F$104,6,FALSE)/VLOOKUP(C117,Mortality!$A$2:$F$104,6,FALSE))</x:f>
        <x:v>1</x:v>
      </x:c>
      <x:c r="L117" s="37" t="n">
        <x:f>VLOOKUP(IF(B117="Pensioner",C117,Assumptions!$B$10),Mortality!$A$2:$E$104,5,FALSE)</x:f>
        <x:v>10.662474804432929</x:v>
      </x:c>
      <x:c r="M117" s="37" t="n">
        <x:f>1+Assumptions!$B$13*Assumptions!$B$14*Assumptions!$B$15</x:f>
        <x:v>1.31875</x:v>
      </x:c>
      <x:c r="N117" s="37" t="n">
        <x:f>IF(B117="Pensioner",1,1/(1+Assumptions!$B$6)^G117)</x:f>
        <x:v>1</x:v>
      </x:c>
      <x:c r="O117" s="50" t="n">
        <x:f>J117*K117*L117*M117*N117</x:f>
        <x:v>6313451.2531073205</x:v>
      </x:c>
    </x:row>
    <x:row r="118">
      <x:c r="A118" s="42" t="str">
        <x:f>Members!A118</x:f>
        <x:v>A0200</x:v>
      </x:c>
      <x:c r="B118" s="42" t="str">
        <x:f>Members!B118</x:f>
        <x:v>Active</x:v>
      </x:c>
      <x:c r="C118" s="42" t="n">
        <x:f>Members!C118</x:f>
        <x:v>26</x:v>
      </x:c>
      <x:c r="D118" s="44" t="n">
        <x:f>Members!D118</x:f>
        <x:v>1.8</x:v>
      </x:c>
      <x:c r="E118" s="48" t="n">
        <x:f>Members!E118</x:f>
        <x:v>375000</x:v>
      </x:c>
      <x:c r="F118" s="48" t="n">
        <x:f>Members!F118</x:f>
        <x:v>0</x:v>
      </x:c>
      <x:c r="G118" s="46" t="n">
        <x:f>MAX(0,Assumptions!$B$10-C118)</x:f>
        <x:v>34</x:v>
      </x:c>
      <x:c r="H118" s="50" t="n">
        <x:f>IF(B118="Active",E118*(1+Assumptions!$B$7)^G118,E118)</x:f>
        <x:v>2315340.6425917605</x:v>
      </x:c>
      <x:c r="I118" s="50" t="n">
        <x:f>IF(B118="Active",MIN(Assumptions!$B$12,D118+G118),IF(B118="Deferred",MIN(Assumptions!$B$12,D118),D118))</x:f>
        <x:v>35.8</x:v>
      </x:c>
      <x:c r="J118" s="50" t="n">
        <x:f>IF(B118="Active",H118*I118*Assumptions!$B$11,IF(B118="Deferred",E118*I118*Assumptions!$B$11*(1+Assumptions!$B$9)^G118,F118))</x:f>
        <x:v>1381486.5834130836</x:v>
      </x:c>
      <x:c r="K118" s="37" t="n">
        <x:f>IF(B118="Pensioner",1,VLOOKUP(Assumptions!$B$10,Mortality!$A$2:$F$104,6,FALSE)/VLOOKUP(C118,Mortality!$A$2:$F$104,6,FALSE))</x:f>
        <x:v>0.9692291629189255</x:v>
      </x:c>
      <x:c r="L118" s="37" t="n">
        <x:f>VLOOKUP(IF(B118="Pensioner",C118,Assumptions!$B$10),Mortality!$A$2:$E$104,5,FALSE)</x:f>
        <x:v>17.296790022132885</x:v>
      </x:c>
      <x:c r="M118" s="37" t="n">
        <x:f>1+Assumptions!$B$13*Assumptions!$B$14*Assumptions!$B$15</x:f>
        <x:v>1.31875</x:v>
      </x:c>
      <x:c r="N118" s="37" t="n">
        <x:f>IF(B118="Pensioner",1,1/(1+Assumptions!$B$6)^G118)</x:f>
        <x:v>0.11752042020870793</x:v>
      </x:c>
      <x:c r="O118" s="50" t="n">
        <x:f>J118*K118*L118*M118*N118</x:f>
        <x:v>3589338.9035137747</x:v>
      </x:c>
    </x:row>
    <x:row r="119">
      <x:c r="A119" s="42" t="str">
        <x:f>Members!A119</x:f>
        <x:v>A0615</x:v>
      </x:c>
      <x:c r="B119" s="42" t="str">
        <x:f>Members!B119</x:f>
        <x:v>Active</x:v>
      </x:c>
      <x:c r="C119" s="42" t="n">
        <x:f>Members!C119</x:f>
        <x:v>40</x:v>
      </x:c>
      <x:c r="D119" s="44" t="n">
        <x:f>Members!D119</x:f>
        <x:v>15.6</x:v>
      </x:c>
      <x:c r="E119" s="48" t="n">
        <x:f>Members!E119</x:f>
        <x:v>640000</x:v>
      </x:c>
      <x:c r="F119" s="48" t="n">
        <x:f>Members!F119</x:f>
        <x:v>0</x:v>
      </x:c>
      <x:c r="G119" s="46" t="n">
        <x:f>MAX(0,Assumptions!$B$10-C119)</x:f>
        <x:v>20</x:v>
      </x:c>
      <x:c r="H119" s="50" t="n">
        <x:f>IF(B119="Active",E119*(1+Assumptions!$B$7)^G119,E119)</x:f>
        <x:v>1867364.7939866171</x:v>
      </x:c>
      <x:c r="I119" s="50" t="n">
        <x:f>IF(B119="Active",MIN(Assumptions!$B$12,D119+G119),IF(B119="Deferred",MIN(Assumptions!$B$12,D119),D119))</x:f>
        <x:v>35.6</x:v>
      </x:c>
      <x:c r="J119" s="50" t="n">
        <x:f>IF(B119="Active",H119*I119*Assumptions!$B$11,IF(B119="Deferred",E119*I119*Assumptions!$B$11*(1+Assumptions!$B$9)^G119,F119))</x:f>
        <x:v>1107969.7777653928</x:v>
      </x:c>
      <x:c r="K119" s="37" t="n">
        <x:f>IF(B119="Pensioner",1,VLOOKUP(Assumptions!$B$10,Mortality!$A$2:$F$104,6,FALSE)/VLOOKUP(C119,Mortality!$A$2:$F$104,6,FALSE))</x:f>
        <x:v>0.9740511243198767</x:v>
      </x:c>
      <x:c r="L119" s="37" t="n">
        <x:f>VLOOKUP(IF(B119="Pensioner",C119,Assumptions!$B$10),Mortality!$A$2:$E$104,5,FALSE)</x:f>
        <x:v>17.296790022132885</x:v>
      </x:c>
      <x:c r="M119" s="37" t="n">
        <x:f>1+Assumptions!$B$13*Assumptions!$B$14*Assumptions!$B$15</x:f>
        <x:v>1.31875</x:v>
      </x:c>
      <x:c r="N119" s="37" t="n">
        <x:f>IF(B119="Pensioner",1,1/(1+Assumptions!$B$6)^G119)</x:f>
        <x:v>0.2837970289214199</x:v>
      </x:c>
      <x:c r="O119" s="50" t="n">
        <x:f>J119*K119*L119*M119*N119</x:f>
        <x:v>6986272.102660792</x:v>
      </x:c>
    </x:row>
    <x:row r="120">
      <x:c r="A120" s="42" t="str">
        <x:f>Members!A120</x:f>
        <x:v>A0058</x:v>
      </x:c>
      <x:c r="B120" s="42" t="str">
        <x:f>Members!B120</x:f>
        <x:v>Active</x:v>
      </x:c>
      <x:c r="C120" s="42" t="n">
        <x:f>Members!C120</x:f>
        <x:v>59</x:v>
      </x:c>
      <x:c r="D120" s="44" t="n">
        <x:f>Members!D120</x:f>
        <x:v>17.4</x:v>
      </x:c>
      <x:c r="E120" s="48" t="n">
        <x:f>Members!E120</x:f>
        <x:v>2332000</x:v>
      </x:c>
      <x:c r="F120" s="48" t="n">
        <x:f>Members!F120</x:f>
        <x:v>0</x:v>
      </x:c>
      <x:c r="G120" s="46" t="n">
        <x:f>MAX(0,Assumptions!$B$10-C120)</x:f>
        <x:v>1</x:v>
      </x:c>
      <x:c r="H120" s="50" t="n">
        <x:f>IF(B120="Active",E120*(1+Assumptions!$B$7)^G120,E120)</x:f>
        <x:v>2460260</x:v>
      </x:c>
      <x:c r="I120" s="50" t="n">
        <x:f>IF(B120="Active",MIN(Assumptions!$B$12,D120+G120),IF(B120="Deferred",MIN(Assumptions!$B$12,D120),D120))</x:f>
        <x:v>18.4</x:v>
      </x:c>
      <x:c r="J120" s="50" t="n">
        <x:f>IF(B120="Active",H120*I120*Assumptions!$B$11,IF(B120="Deferred",E120*I120*Assumptions!$B$11*(1+Assumptions!$B$9)^G120,F120))</x:f>
        <x:v>754479.7333333333</x:v>
      </x:c>
      <x:c r="K120" s="37" t="n">
        <x:f>IF(B120="Pensioner",1,VLOOKUP(Assumptions!$B$10,Mortality!$A$2:$F$104,6,FALSE)/VLOOKUP(C120,Mortality!$A$2:$F$104,6,FALSE))</x:f>
        <x:v>0.9971096011831975</x:v>
      </x:c>
      <x:c r="L120" s="37" t="n">
        <x:f>VLOOKUP(IF(B120="Pensioner",C120,Assumptions!$B$10),Mortality!$A$2:$E$104,5,FALSE)</x:f>
        <x:v>17.296790022132885</x:v>
      </x:c>
      <x:c r="M120" s="37" t="n">
        <x:f>1+Assumptions!$B$13*Assumptions!$B$14*Assumptions!$B$15</x:f>
        <x:v>1.31875</x:v>
      </x:c>
      <x:c r="N120" s="37" t="n">
        <x:f>IF(B120="Pensioner",1,1/(1+Assumptions!$B$6)^G120)</x:f>
        <x:v>0.9389671361502347</x:v>
      </x:c>
      <x:c r="O120" s="50" t="n">
        <x:f>J120*K120*L120*M120*N120</x:f>
        <x:v>16112719.791668983</x:v>
      </x:c>
    </x:row>
    <x:row r="121">
      <x:c r="A121" s="42" t="str">
        <x:f>Members!A121</x:f>
        <x:v>A0115</x:v>
      </x:c>
      <x:c r="B121" s="42" t="str">
        <x:f>Members!B121</x:f>
        <x:v>Active</x:v>
      </x:c>
      <x:c r="C121" s="42" t="n">
        <x:f>Members!C121</x:f>
        <x:v>48</x:v>
      </x:c>
      <x:c r="D121" s="44" t="n">
        <x:f>Members!D121</x:f>
        <x:v>25.1</x:v>
      </x:c>
      <x:c r="E121" s="48" t="n">
        <x:f>Members!E121</x:f>
        <x:v>1345000</x:v>
      </x:c>
      <x:c r="F121" s="48" t="n">
        <x:f>Members!F121</x:f>
        <x:v>0</x:v>
      </x:c>
      <x:c r="G121" s="46" t="n">
        <x:f>MAX(0,Assumptions!$B$10-C121)</x:f>
        <x:v>12</x:v>
      </x:c>
      <x:c r="H121" s="50" t="n">
        <x:f>IF(B121="Active",E121*(1+Assumptions!$B$7)^G121,E121)</x:f>
        <x:v>2557124.0683458652</x:v>
      </x:c>
      <x:c r="I121" s="50" t="n">
        <x:f>IF(B121="Active",MIN(Assumptions!$B$12,D121+G121),IF(B121="Deferred",MIN(Assumptions!$B$12,D121),D121))</x:f>
        <x:v>37.1</x:v>
      </x:c>
      <x:c r="J121" s="50" t="n">
        <x:f>IF(B121="Active",H121*I121*Assumptions!$B$11,IF(B121="Deferred",E121*I121*Assumptions!$B$11*(1+Assumptions!$B$9)^G121,F121))</x:f>
        <x:v>1581155.0489271933</x:v>
      </x:c>
      <x:c r="K121" s="37" t="n">
        <x:f>IF(B121="Pensioner",1,VLOOKUP(Assumptions!$B$10,Mortality!$A$2:$F$104,6,FALSE)/VLOOKUP(C121,Mortality!$A$2:$F$104,6,FALSE))</x:f>
        <x:v>0.9793037429736591</x:v>
      </x:c>
      <x:c r="L121" s="37" t="n">
        <x:f>VLOOKUP(IF(B121="Pensioner",C121,Assumptions!$B$10),Mortality!$A$2:$E$104,5,FALSE)</x:f>
        <x:v>17.296790022132885</x:v>
      </x:c>
      <x:c r="M121" s="37" t="n">
        <x:f>1+Assumptions!$B$13*Assumptions!$B$14*Assumptions!$B$15</x:f>
        <x:v>1.31875</x:v>
      </x:c>
      <x:c r="N121" s="37" t="n">
        <x:f>IF(B121="Pensioner",1,1/(1+Assumptions!$B$6)^G121)</x:f>
        <x:v>0.4696828543900276</x:v>
      </x:c>
      <x:c r="O121" s="50" t="n">
        <x:f>J121*K121*L121*M121*N121</x:f>
        <x:v>16589166.505278056</x:v>
      </x:c>
    </x:row>
    <x:row r="122">
      <x:c r="A122" s="42" t="str">
        <x:f>Members!A122</x:f>
        <x:v>P0078</x:v>
      </x:c>
      <x:c r="B122" s="42" t="str">
        <x:f>Members!B122</x:f>
        <x:v>Pensioner</x:v>
      </x:c>
      <x:c r="C122" s="42" t="n">
        <x:f>Members!C122</x:f>
        <x:v>88</x:v>
      </x:c>
      <x:c r="D122" s="44" t="n">
        <x:f>Members!D122</x:f>
        <x:v>14.7</x:v>
      </x:c>
      <x:c r="E122" s="48" t="n">
        <x:f>Members!E122</x:f>
        <x:v>0</x:v>
      </x:c>
      <x:c r="F122" s="48" t="n">
        <x:f>Members!F122</x:f>
        <x:v>771000</x:v>
      </x:c>
      <x:c r="G122" s="46" t="n">
        <x:f>MAX(0,Assumptions!$B$10-C122)</x:f>
        <x:v>0</x:v>
      </x:c>
      <x:c r="H122" s="50" t="n">
        <x:f>IF(B122="Active",E122*(1+Assumptions!$B$7)^G122,E122)</x:f>
        <x:v>0</x:v>
      </x:c>
      <x:c r="I122" s="50" t="n">
        <x:f>IF(B122="Active",MIN(Assumptions!$B$12,D122+G122),IF(B122="Deferred",MIN(Assumptions!$B$12,D122),D122))</x:f>
        <x:v>14.7</x:v>
      </x:c>
      <x:c r="J122" s="50" t="n">
        <x:f>IF(B122="Active",H122*I122*Assumptions!$B$11,IF(B122="Deferred",E122*I122*Assumptions!$B$11*(1+Assumptions!$B$9)^G122,F122))</x:f>
        <x:v>771000</x:v>
      </x:c>
      <x:c r="K122" s="37" t="n">
        <x:f>IF(B122="Pensioner",1,VLOOKUP(Assumptions!$B$10,Mortality!$A$2:$F$104,6,FALSE)/VLOOKUP(C122,Mortality!$A$2:$F$104,6,FALSE))</x:f>
        <x:v>1</x:v>
      </x:c>
      <x:c r="L122" s="37" t="n">
        <x:f>VLOOKUP(IF(B122="Pensioner",C122,Assumptions!$B$10),Mortality!$A$2:$E$104,5,FALSE)</x:f>
        <x:v>5.043742896221734</x:v>
      </x:c>
      <x:c r="M122" s="37" t="n">
        <x:f>1+Assumptions!$B$13*Assumptions!$B$14*Assumptions!$B$15</x:f>
        <x:v>1.31875</x:v>
      </x:c>
      <x:c r="N122" s="37" t="n">
        <x:f>IF(B122="Pensioner",1,1/(1+Assumptions!$B$6)^G122)</x:f>
        <x:v>1</x:v>
      </x:c>
      <x:c r="O122" s="50" t="n">
        <x:f>J122*K122*L122*M122*N122</x:f>
        <x:v>5128257.11312655</x:v>
      </x:c>
    </x:row>
    <x:row r="123">
      <x:c r="A123" s="42" t="str">
        <x:f>Members!A123</x:f>
        <x:v>D0003</x:v>
      </x:c>
      <x:c r="B123" s="42" t="str">
        <x:f>Members!B123</x:f>
        <x:v>Deferred</x:v>
      </x:c>
      <x:c r="C123" s="42" t="n">
        <x:f>Members!C123</x:f>
        <x:v>59</x:v>
      </x:c>
      <x:c r="D123" s="44" t="n">
        <x:f>Members!D123</x:f>
        <x:v>26</x:v>
      </x:c>
      <x:c r="E123" s="48" t="n">
        <x:f>Members!E123</x:f>
        <x:v>1411000</x:v>
      </x:c>
      <x:c r="F123" s="48" t="n">
        <x:f>Members!F123</x:f>
        <x:v>0</x:v>
      </x:c>
      <x:c r="G123" s="46" t="n">
        <x:f>MAX(0,Assumptions!$B$10-C123)</x:f>
        <x:v>1</x:v>
      </x:c>
      <x:c r="H123" s="50" t="n">
        <x:f>IF(B123="Active",E123*(1+Assumptions!$B$7)^G123,E123)</x:f>
        <x:v>1411000</x:v>
      </x:c>
      <x:c r="I123" s="50" t="n">
        <x:f>IF(B123="Active",MIN(Assumptions!$B$12,D123+G123),IF(B123="Deferred",MIN(Assumptions!$B$12,D123),D123))</x:f>
        <x:v>26</x:v>
      </x:c>
      <x:c r="J123" s="50" t="n">
        <x:f>IF(B123="Active",H123*I123*Assumptions!$B$11,IF(B123="Deferred",E123*I123*Assumptions!$B$11*(1+Assumptions!$B$9)^G123,F123))</x:f>
        <x:v>635890.6666666667</x:v>
      </x:c>
      <x:c r="K123" s="37" t="n">
        <x:f>IF(B123="Pensioner",1,VLOOKUP(Assumptions!$B$10,Mortality!$A$2:$F$104,6,FALSE)/VLOOKUP(C123,Mortality!$A$2:$F$104,6,FALSE))</x:f>
        <x:v>0.9971096011831975</x:v>
      </x:c>
      <x:c r="L123" s="37" t="n">
        <x:f>VLOOKUP(IF(B123="Pensioner",C123,Assumptions!$B$10),Mortality!$A$2:$E$104,5,FALSE)</x:f>
        <x:v>17.296790022132885</x:v>
      </x:c>
      <x:c r="M123" s="37" t="n">
        <x:f>1+Assumptions!$B$13*Assumptions!$B$14*Assumptions!$B$15</x:f>
        <x:v>1.31875</x:v>
      </x:c>
      <x:c r="N123" s="37" t="n">
        <x:f>IF(B123="Pensioner",1,1/(1+Assumptions!$B$6)^G123)</x:f>
        <x:v>0.9389671361502347</x:v>
      </x:c>
      <x:c r="O123" s="50" t="n">
        <x:f>J123*K123*L123*M123*N123</x:f>
        <x:v>13580123.72959378</x:v>
      </x:c>
    </x:row>
    <x:row r="124">
      <x:c r="A124" s="42" t="str">
        <x:f>Members!A124</x:f>
        <x:v>A0139</x:v>
      </x:c>
      <x:c r="B124" s="42" t="str">
        <x:f>Members!B124</x:f>
        <x:v>Active</x:v>
      </x:c>
      <x:c r="C124" s="42" t="n">
        <x:f>Members!C124</x:f>
        <x:v>23</x:v>
      </x:c>
      <x:c r="D124" s="44" t="n">
        <x:f>Members!D124</x:f>
        <x:v>1.5</x:v>
      </x:c>
      <x:c r="E124" s="48" t="n">
        <x:f>Members!E124</x:f>
        <x:v>365000</x:v>
      </x:c>
      <x:c r="F124" s="48" t="n">
        <x:f>Members!F124</x:f>
        <x:v>0</x:v>
      </x:c>
      <x:c r="G124" s="46" t="n">
        <x:f>MAX(0,Assumptions!$B$10-C124)</x:f>
        <x:v>37</x:v>
      </x:c>
      <x:c r="H124" s="50" t="n">
        <x:f>IF(B124="Active",E124*(1+Assumptions!$B$7)^G124,E124)</x:f>
        <x:v>2646268.2789569898</x:v>
      </x:c>
      <x:c r="I124" s="50" t="n">
        <x:f>IF(B124="Active",MIN(Assumptions!$B$12,D124+G124),IF(B124="Deferred",MIN(Assumptions!$B$12,D124),D124))</x:f>
        <x:v>38.5</x:v>
      </x:c>
      <x:c r="J124" s="50" t="n">
        <x:f>IF(B124="Active",H124*I124*Assumptions!$B$11,IF(B124="Deferred",E124*I124*Assumptions!$B$11*(1+Assumptions!$B$9)^G124,F124))</x:f>
        <x:v>1698022.1456640682</x:v>
      </x:c>
      <x:c r="K124" s="37" t="n">
        <x:f>IF(B124="Pensioner",1,VLOOKUP(Assumptions!$B$10,Mortality!$A$2:$F$104,6,FALSE)/VLOOKUP(C124,Mortality!$A$2:$F$104,6,FALSE))</x:f>
        <x:v>0.9684592752197081</x:v>
      </x:c>
      <x:c r="L124" s="37" t="n">
        <x:f>VLOOKUP(IF(B124="Pensioner",C124,Assumptions!$B$10),Mortality!$A$2:$E$104,5,FALSE)</x:f>
        <x:v>17.296790022132885</x:v>
      </x:c>
      <x:c r="M124" s="37" t="n">
        <x:f>1+Assumptions!$B$13*Assumptions!$B$14*Assumptions!$B$15</x:f>
        <x:v>1.31875</x:v>
      </x:c>
      <x:c r="N124" s="37" t="n">
        <x:f>IF(B124="Pensioner",1,1/(1+Assumptions!$B$6)^G124)</x:f>
        <x:v>0.09728917313808341</x:v>
      </x:c>
      <x:c r="O124" s="50" t="n">
        <x:f>J124*K124*L124*M124*N124</x:f>
        <x:v>3649364.231822599</x:v>
      </x:c>
    </x:row>
    <x:row r="125">
      <x:c r="A125" s="42" t="str">
        <x:f>Members!A125</x:f>
        <x:v>A0594</x:v>
      </x:c>
      <x:c r="B125" s="42" t="str">
        <x:f>Members!B125</x:f>
        <x:v>Active</x:v>
      </x:c>
      <x:c r="C125" s="42" t="n">
        <x:f>Members!C125</x:f>
        <x:v>44</x:v>
      </x:c>
      <x:c r="D125" s="44" t="n">
        <x:f>Members!D125</x:f>
        <x:v>2.5</x:v>
      </x:c>
      <x:c r="E125" s="48" t="n">
        <x:f>Members!E125</x:f>
        <x:v>811000</x:v>
      </x:c>
      <x:c r="F125" s="48" t="n">
        <x:f>Members!F125</x:f>
        <x:v>0</x:v>
      </x:c>
      <x:c r="G125" s="46" t="n">
        <x:f>MAX(0,Assumptions!$B$10-C125)</x:f>
        <x:v>16</x:v>
      </x:c>
      <x:c r="H125" s="50" t="n">
        <x:f>IF(B125="Active",E125*(1+Assumptions!$B$7)^G125,E125)</x:f>
        <x:v>1910118.0491412508</x:v>
      </x:c>
      <x:c r="I125" s="50" t="n">
        <x:f>IF(B125="Active",MIN(Assumptions!$B$12,D125+G125),IF(B125="Deferred",MIN(Assumptions!$B$12,D125),D125))</x:f>
        <x:v>18.5</x:v>
      </x:c>
      <x:c r="J125" s="50" t="n">
        <x:f>IF(B125="Active",H125*I125*Assumptions!$B$11,IF(B125="Deferred",E125*I125*Assumptions!$B$11*(1+Assumptions!$B$9)^G125,F125))</x:f>
        <x:v>588953.0651518856</x:v>
      </x:c>
      <x:c r="K125" s="37" t="n">
        <x:f>IF(B125="Pensioner",1,VLOOKUP(Assumptions!$B$10,Mortality!$A$2:$F$104,6,FALSE)/VLOOKUP(C125,Mortality!$A$2:$F$104,6,FALSE))</x:f>
        <x:v>0.9762682212178733</x:v>
      </x:c>
      <x:c r="L125" s="37" t="n">
        <x:f>VLOOKUP(IF(B125="Pensioner",C125,Assumptions!$B$10),Mortality!$A$2:$E$104,5,FALSE)</x:f>
        <x:v>17.296790022132885</x:v>
      </x:c>
      <x:c r="M125" s="37" t="n">
        <x:f>1+Assumptions!$B$13*Assumptions!$B$14*Assumptions!$B$15</x:f>
        <x:v>1.31875</x:v>
      </x:c>
      <x:c r="N125" s="37" t="n">
        <x:f>IF(B125="Pensioner",1,1/(1+Assumptions!$B$6)^G125)</x:f>
        <x:v>0.3650953281147565</x:v>
      </x:c>
      <x:c r="O125" s="50" t="n">
        <x:f>J125*K125*L125*M125*N125</x:f>
        <x:v>4788330.300749414</x:v>
      </x:c>
    </x:row>
    <x:row r="126">
      <x:c r="A126" s="42" t="str">
        <x:f>Members!A126</x:f>
        <x:v>A0079</x:v>
      </x:c>
      <x:c r="B126" s="42" t="str">
        <x:f>Members!B126</x:f>
        <x:v>Active</x:v>
      </x:c>
      <x:c r="C126" s="42" t="n">
        <x:f>Members!C126</x:f>
        <x:v>41</x:v>
      </x:c>
      <x:c r="D126" s="44" t="n">
        <x:f>Members!D126</x:f>
        <x:v>9.3</x:v>
      </x:c>
      <x:c r="E126" s="48" t="n">
        <x:f>Members!E126</x:f>
        <x:v>981000</x:v>
      </x:c>
      <x:c r="F126" s="48" t="n">
        <x:f>Members!F126</x:f>
        <x:v>0</x:v>
      </x:c>
      <x:c r="G126" s="46" t="n">
        <x:f>MAX(0,Assumptions!$B$10-C126)</x:f>
        <x:v>19</x:v>
      </x:c>
      <x:c r="H126" s="50" t="n">
        <x:f>IF(B126="Active",E126*(1+Assumptions!$B$7)^G126,E126)</x:f>
        <x:v>2713099.619225224</x:v>
      </x:c>
      <x:c r="I126" s="50" t="n">
        <x:f>IF(B126="Active",MIN(Assumptions!$B$12,D126+G126),IF(B126="Deferred",MIN(Assumptions!$B$12,D126),D126))</x:f>
        <x:v>28.3</x:v>
      </x:c>
      <x:c r="J126" s="50" t="n">
        <x:f>IF(B126="Active",H126*I126*Assumptions!$B$11,IF(B126="Deferred",E126*I126*Assumptions!$B$11*(1+Assumptions!$B$9)^G126,F126))</x:f>
        <x:v>1279678.653734564</x:v>
      </x:c>
      <x:c r="K126" s="37" t="n">
        <x:f>IF(B126="Pensioner",1,VLOOKUP(Assumptions!$B$10,Mortality!$A$2:$F$104,6,FALSE)/VLOOKUP(C126,Mortality!$A$2:$F$104,6,FALSE))</x:f>
        <x:v>0.9745478954079534</x:v>
      </x:c>
      <x:c r="L126" s="37" t="n">
        <x:f>VLOOKUP(IF(B126="Pensioner",C126,Assumptions!$B$10),Mortality!$A$2:$E$104,5,FALSE)</x:f>
        <x:v>17.296790022132885</x:v>
      </x:c>
      <x:c r="M126" s="37" t="n">
        <x:f>1+Assumptions!$B$13*Assumptions!$B$14*Assumptions!$B$15</x:f>
        <x:v>1.31875</x:v>
      </x:c>
      <x:c r="N126" s="37" t="n">
        <x:f>IF(B126="Pensioner",1,1/(1+Assumptions!$B$6)^G126)</x:f>
        <x:v>0.30224383580131214</x:v>
      </x:c>
      <x:c r="O126" s="50" t="n">
        <x:f>J126*K126*L126*M126*N126</x:f>
        <x:v>8597843.81562048</x:v>
      </x:c>
    </x:row>
    <x:row r="127">
      <x:c r="A127" s="42" t="str">
        <x:f>Members!A127</x:f>
        <x:v>A0374</x:v>
      </x:c>
      <x:c r="B127" s="42" t="str">
        <x:f>Members!B127</x:f>
        <x:v>Active</x:v>
      </x:c>
      <x:c r="C127" s="42" t="n">
        <x:f>Members!C127</x:f>
        <x:v>40</x:v>
      </x:c>
      <x:c r="D127" s="44" t="n">
        <x:f>Members!D127</x:f>
        <x:v>6.8</x:v>
      </x:c>
      <x:c r="E127" s="48" t="n">
        <x:f>Members!E127</x:f>
        <x:v>1030000</x:v>
      </x:c>
      <x:c r="F127" s="48" t="n">
        <x:f>Members!F127</x:f>
        <x:v>0</x:v>
      </x:c>
      <x:c r="G127" s="46" t="n">
        <x:f>MAX(0,Assumptions!$B$10-C127)</x:f>
        <x:v>20</x:v>
      </x:c>
      <x:c r="H127" s="50" t="n">
        <x:f>IF(B127="Active",E127*(1+Assumptions!$B$7)^G127,E127)</x:f>
        <x:v>3005290.215322212</x:v>
      </x:c>
      <x:c r="I127" s="50" t="n">
        <x:f>IF(B127="Active",MIN(Assumptions!$B$12,D127+G127),IF(B127="Deferred",MIN(Assumptions!$B$12,D127),D127))</x:f>
        <x:v>26.8</x:v>
      </x:c>
      <x:c r="J127" s="50" t="n">
        <x:f>IF(B127="Active",H127*I127*Assumptions!$B$11,IF(B127="Deferred",E127*I127*Assumptions!$B$11*(1+Assumptions!$B$9)^G127,F127))</x:f>
        <x:v>1342362.9628439213</x:v>
      </x:c>
      <x:c r="K127" s="37" t="n">
        <x:f>IF(B127="Pensioner",1,VLOOKUP(Assumptions!$B$10,Mortality!$A$2:$F$104,6,FALSE)/VLOOKUP(C127,Mortality!$A$2:$F$104,6,FALSE))</x:f>
        <x:v>0.9740511243198767</x:v>
      </x:c>
      <x:c r="L127" s="37" t="n">
        <x:f>VLOOKUP(IF(B127="Pensioner",C127,Assumptions!$B$10),Mortality!$A$2:$E$104,5,FALSE)</x:f>
        <x:v>17.296790022132885</x:v>
      </x:c>
      <x:c r="M127" s="37" t="n">
        <x:f>1+Assumptions!$B$13*Assumptions!$B$14*Assumptions!$B$15</x:f>
        <x:v>1.31875</x:v>
      </x:c>
      <x:c r="N127" s="37" t="n">
        <x:f>IF(B127="Pensioner",1,1/(1+Assumptions!$B$6)^G127)</x:f>
        <x:v>0.2837970289214199</x:v>
      </x:c>
      <x:c r="O127" s="50" t="n">
        <x:f>J127*K127*L127*M127*N127</x:f>
        <x:v>8464231.70303057</x:v>
      </x:c>
    </x:row>
    <x:row r="128">
      <x:c r="A128" s="42" t="str">
        <x:f>Members!A128</x:f>
        <x:v>A0281</x:v>
      </x:c>
      <x:c r="B128" s="42" t="str">
        <x:f>Members!B128</x:f>
        <x:v>Active</x:v>
      </x:c>
      <x:c r="C128" s="42" t="n">
        <x:f>Members!C128</x:f>
        <x:v>24</x:v>
      </x:c>
      <x:c r="D128" s="44" t="n">
        <x:f>Members!D128</x:f>
        <x:v>1.4</x:v>
      </x:c>
      <x:c r="E128" s="48" t="n">
        <x:f>Members!E128</x:f>
        <x:v>511000</x:v>
      </x:c>
      <x:c r="F128" s="48" t="n">
        <x:f>Members!F128</x:f>
        <x:v>0</x:v>
      </x:c>
      <x:c r="G128" s="46" t="n">
        <x:f>MAX(0,Assumptions!$B$10-C128)</x:f>
        <x:v>36</x:v>
      </x:c>
      <x:c r="H128" s="50" t="n">
        <x:f>IF(B128="Active",E128*(1+Assumptions!$B$7)^G128,E128)</x:f>
        <x:v>3511635.630843399</x:v>
      </x:c>
      <x:c r="I128" s="50" t="n">
        <x:f>IF(B128="Active",MIN(Assumptions!$B$12,D128+G128),IF(B128="Deferred",MIN(Assumptions!$B$12,D128),D128))</x:f>
        <x:v>37.4</x:v>
      </x:c>
      <x:c r="J128" s="50" t="n">
        <x:f>IF(B128="Active",H128*I128*Assumptions!$B$11,IF(B128="Deferred",E128*I128*Assumptions!$B$11*(1+Assumptions!$B$9)^G128,F128))</x:f>
        <x:v>2188919.5432257187</x:v>
      </x:c>
      <x:c r="K128" s="37" t="n">
        <x:f>IF(B128="Pensioner",1,VLOOKUP(Assumptions!$B$10,Mortality!$A$2:$F$104,6,FALSE)/VLOOKUP(C128,Mortality!$A$2:$F$104,6,FALSE))</x:f>
        <x:v>0.9687108670060764</x:v>
      </x:c>
      <x:c r="L128" s="37" t="n">
        <x:f>VLOOKUP(IF(B128="Pensioner",C128,Assumptions!$B$10),Mortality!$A$2:$E$104,5,FALSE)</x:f>
        <x:v>17.296790022132885</x:v>
      </x:c>
      <x:c r="M128" s="37" t="n">
        <x:f>1+Assumptions!$B$13*Assumptions!$B$14*Assumptions!$B$15</x:f>
        <x:v>1.31875</x:v>
      </x:c>
      <x:c r="N128" s="37" t="n">
        <x:f>IF(B128="Pensioner",1,1/(1+Assumptions!$B$6)^G128)</x:f>
        <x:v>0.10361296939205883</x:v>
      </x:c>
      <x:c r="O128" s="50" t="n">
        <x:f>J128*K128*L128*M128*N128</x:f>
        <x:v>5011480.864793715</x:v>
      </x:c>
    </x:row>
    <x:row r="129">
      <x:c r="A129" s="42" t="str">
        <x:f>Members!A129</x:f>
        <x:v>A0457</x:v>
      </x:c>
      <x:c r="B129" s="42" t="str">
        <x:f>Members!B129</x:f>
        <x:v>Active</x:v>
      </x:c>
      <x:c r="C129" s="42" t="n">
        <x:f>Members!C129</x:f>
        <x:v>32</x:v>
      </x:c>
      <x:c r="D129" s="44" t="n">
        <x:f>Members!D129</x:f>
        <x:v>6.8</x:v>
      </x:c>
      <x:c r="E129" s="48" t="n">
        <x:f>Members!E129</x:f>
        <x:v>485000</x:v>
      </x:c>
      <x:c r="F129" s="48" t="n">
        <x:f>Members!F129</x:f>
        <x:v>0</x:v>
      </x:c>
      <x:c r="G129" s="46" t="n">
        <x:f>MAX(0,Assumptions!$B$10-C129)</x:f>
        <x:v>28</x:v>
      </x:c>
      <x:c r="H129" s="50" t="n">
        <x:f>IF(B129="Active",E129*(1+Assumptions!$B$7)^G129,E129)</x:f>
        <x:v>2171753.8913066685</x:v>
      </x:c>
      <x:c r="I129" s="50" t="n">
        <x:f>IF(B129="Active",MIN(Assumptions!$B$12,D129+G129),IF(B129="Deferred",MIN(Assumptions!$B$12,D129),D129))</x:f>
        <x:v>34.8</x:v>
      </x:c>
      <x:c r="J129" s="50" t="n">
        <x:f>IF(B129="Active",H129*I129*Assumptions!$B$11,IF(B129="Deferred",E129*I129*Assumptions!$B$11*(1+Assumptions!$B$9)^G129,F129))</x:f>
        <x:v>1259617.2569578676</x:v>
      </x:c>
      <x:c r="K129" s="37" t="n">
        <x:f>IF(B129="Pensioner",1,VLOOKUP(Assumptions!$B$10,Mortality!$A$2:$F$104,6,FALSE)/VLOOKUP(C129,Mortality!$A$2:$F$104,6,FALSE))</x:f>
        <x:v>0.9709584687664957</x:v>
      </x:c>
      <x:c r="L129" s="37" t="n">
        <x:f>VLOOKUP(IF(B129="Pensioner",C129,Assumptions!$B$10),Mortality!$A$2:$E$104,5,FALSE)</x:f>
        <x:v>17.296790022132885</x:v>
      </x:c>
      <x:c r="M129" s="37" t="n">
        <x:f>1+Assumptions!$B$13*Assumptions!$B$14*Assumptions!$B$15</x:f>
        <x:v>1.31875</x:v>
      </x:c>
      <x:c r="N129" s="37" t="n">
        <x:f>IF(B129="Pensioner",1,1/(1+Assumptions!$B$6)^G129)</x:f>
        <x:v>0.17147901583340255</x:v>
      </x:c>
      <x:c r="O129" s="50" t="n">
        <x:f>J129*K129*L129*M129*N129</x:f>
        <x:v>4783857.385305787</x:v>
      </x:c>
    </x:row>
    <x:row r="130">
      <x:c r="A130" s="42" t="str">
        <x:f>Members!A130</x:f>
        <x:v>A0184</x:v>
      </x:c>
      <x:c r="B130" s="42" t="str">
        <x:f>Members!B130</x:f>
        <x:v>Active</x:v>
      </x:c>
      <x:c r="C130" s="42" t="n">
        <x:f>Members!C130</x:f>
        <x:v>41</x:v>
      </x:c>
      <x:c r="D130" s="44" t="n">
        <x:f>Members!D130</x:f>
        <x:v>16.1</x:v>
      </x:c>
      <x:c r="E130" s="48" t="n">
        <x:f>Members!E130</x:f>
        <x:v>910000</x:v>
      </x:c>
      <x:c r="F130" s="48" t="n">
        <x:f>Members!F130</x:f>
        <x:v>0</x:v>
      </x:c>
      <x:c r="G130" s="46" t="n">
        <x:f>MAX(0,Assumptions!$B$10-C130)</x:f>
        <x:v>19</x:v>
      </x:c>
      <x:c r="H130" s="50" t="n">
        <x:f>IF(B130="Active",E130*(1+Assumptions!$B$7)^G130,E130)</x:f>
        <x:v>2516738.6885779346</x:v>
      </x:c>
      <x:c r="I130" s="50" t="n">
        <x:f>IF(B130="Active",MIN(Assumptions!$B$12,D130+G130),IF(B130="Deferred",MIN(Assumptions!$B$12,D130),D130))</x:f>
        <x:v>35.1</x:v>
      </x:c>
      <x:c r="J130" s="50" t="n">
        <x:f>IF(B130="Active",H130*I130*Assumptions!$B$11,IF(B130="Deferred",E130*I130*Assumptions!$B$11*(1+Assumptions!$B$9)^G130,F130))</x:f>
        <x:v>1472292.132818092</x:v>
      </x:c>
      <x:c r="K130" s="37" t="n">
        <x:f>IF(B130="Pensioner",1,VLOOKUP(Assumptions!$B$10,Mortality!$A$2:$F$104,6,FALSE)/VLOOKUP(C130,Mortality!$A$2:$F$104,6,FALSE))</x:f>
        <x:v>0.9745478954079534</x:v>
      </x:c>
      <x:c r="L130" s="37" t="n">
        <x:f>VLOOKUP(IF(B130="Pensioner",C130,Assumptions!$B$10),Mortality!$A$2:$E$104,5,FALSE)</x:f>
        <x:v>17.296790022132885</x:v>
      </x:c>
      <x:c r="M130" s="37" t="n">
        <x:f>1+Assumptions!$B$13*Assumptions!$B$14*Assumptions!$B$15</x:f>
        <x:v>1.31875</x:v>
      </x:c>
      <x:c r="N130" s="37" t="n">
        <x:f>IF(B130="Pensioner",1,1/(1+Assumptions!$B$6)^G130)</x:f>
        <x:v>0.30224383580131214</x:v>
      </x:c>
      <x:c r="O130" s="50" t="n">
        <x:f>J130*K130*L130*M130*N130</x:f>
        <x:v>9891966.05881839</x:v>
      </x:c>
    </x:row>
    <x:row r="131">
      <x:c r="A131" s="42" t="str">
        <x:f>Members!A131</x:f>
        <x:v>A0315</x:v>
      </x:c>
      <x:c r="B131" s="42" t="str">
        <x:f>Members!B131</x:f>
        <x:v>Active</x:v>
      </x:c>
      <x:c r="C131" s="42" t="n">
        <x:f>Members!C131</x:f>
        <x:v>52</x:v>
      </x:c>
      <x:c r="D131" s="44" t="n">
        <x:f>Members!D131</x:f>
        <x:v>19.2</x:v>
      </x:c>
      <x:c r="E131" s="48" t="n">
        <x:f>Members!E131</x:f>
        <x:v>1869000</x:v>
      </x:c>
      <x:c r="F131" s="48" t="n">
        <x:f>Members!F131</x:f>
        <x:v>0</x:v>
      </x:c>
      <x:c r="G131" s="46" t="n">
        <x:f>MAX(0,Assumptions!$B$10-C131)</x:f>
        <x:v>8</x:v>
      </x:c>
      <x:c r="H131" s="50" t="n">
        <x:f>IF(B131="Active",E131*(1+Assumptions!$B$7)^G131,E131)</x:f>
        <x:v>2868329.0965278097</x:v>
      </x:c>
      <x:c r="I131" s="50" t="n">
        <x:f>IF(B131="Active",MIN(Assumptions!$B$12,D131+G131),IF(B131="Deferred",MIN(Assumptions!$B$12,D131),D131))</x:f>
        <x:v>27.2</x:v>
      </x:c>
      <x:c r="J131" s="50" t="n">
        <x:f>IF(B131="Active",H131*I131*Assumptions!$B$11,IF(B131="Deferred",E131*I131*Assumptions!$B$11*(1+Assumptions!$B$9)^G131,F131))</x:f>
        <x:v>1300309.1904259403</x:v>
      </x:c>
      <x:c r="K131" s="37" t="n">
        <x:f>IF(B131="Pensioner",1,VLOOKUP(Assumptions!$B$10,Mortality!$A$2:$F$104,6,FALSE)/VLOOKUP(C131,Mortality!$A$2:$F$104,6,FALSE))</x:f>
        <x:v>0.9836527516879843</x:v>
      </x:c>
      <x:c r="L131" s="37" t="n">
        <x:f>VLOOKUP(IF(B131="Pensioner",C131,Assumptions!$B$10),Mortality!$A$2:$E$104,5,FALSE)</x:f>
        <x:v>17.296790022132885</x:v>
      </x:c>
      <x:c r="M131" s="37" t="n">
        <x:f>1+Assumptions!$B$13*Assumptions!$B$14*Assumptions!$B$15</x:f>
        <x:v>1.31875</x:v>
      </x:c>
      <x:c r="N131" s="37" t="n">
        <x:f>IF(B131="Pensioner",1,1/(1+Assumptions!$B$6)^G131)</x:f>
        <x:v>0.6042311876382719</x:v>
      </x:c>
      <x:c r="O131" s="50" t="n">
        <x:f>J131*K131*L131*M131*N131</x:f>
        <x:v>17628670.767769422</x:v>
      </x:c>
    </x:row>
    <x:row r="132">
      <x:c r="A132" s="42" t="str">
        <x:f>Members!A132</x:f>
        <x:v>A0293</x:v>
      </x:c>
      <x:c r="B132" s="42" t="str">
        <x:f>Members!B132</x:f>
        <x:v>Active</x:v>
      </x:c>
      <x:c r="C132" s="42" t="n">
        <x:f>Members!C132</x:f>
        <x:v>50</x:v>
      </x:c>
      <x:c r="D132" s="44" t="n">
        <x:f>Members!D132</x:f>
        <x:v>1.9</x:v>
      </x:c>
      <x:c r="E132" s="48" t="n">
        <x:f>Members!E132</x:f>
        <x:v>1715000</x:v>
      </x:c>
      <x:c r="F132" s="48" t="n">
        <x:f>Members!F132</x:f>
        <x:v>0</x:v>
      </x:c>
      <x:c r="G132" s="46" t="n">
        <x:f>MAX(0,Assumptions!$B$10-C132)</x:f>
        <x:v>10</x:v>
      </x:c>
      <x:c r="H132" s="50" t="n">
        <x:f>IF(B132="Active",E132*(1+Assumptions!$B$7)^G132,E132)</x:f>
        <x:v>2929467.746076412</x:v>
      </x:c>
      <x:c r="I132" s="50" t="n">
        <x:f>IF(B132="Active",MIN(Assumptions!$B$12,D132+G132),IF(B132="Deferred",MIN(Assumptions!$B$12,D132),D132))</x:f>
        <x:v>11.9</x:v>
      </x:c>
      <x:c r="J132" s="50" t="n">
        <x:f>IF(B132="Active",H132*I132*Assumptions!$B$11,IF(B132="Deferred",E132*I132*Assumptions!$B$11*(1+Assumptions!$B$9)^G132,F132))</x:f>
        <x:v>581011.1029718218</x:v>
      </x:c>
      <x:c r="K132" s="37" t="n">
        <x:f>IF(B132="Pensioner",1,VLOOKUP(Assumptions!$B$10,Mortality!$A$2:$F$104,6,FALSE)/VLOOKUP(C132,Mortality!$A$2:$F$104,6,FALSE))</x:f>
        <x:v>0.9812729933582415</x:v>
      </x:c>
      <x:c r="L132" s="37" t="n">
        <x:f>VLOOKUP(IF(B132="Pensioner",C132,Assumptions!$B$10),Mortality!$A$2:$E$104,5,FALSE)</x:f>
        <x:v>17.296790022132885</x:v>
      </x:c>
      <x:c r="M132" s="37" t="n">
        <x:f>1+Assumptions!$B$13*Assumptions!$B$14*Assumptions!$B$15</x:f>
        <x:v>1.31875</x:v>
      </x:c>
      <x:c r="N132" s="37" t="n">
        <x:f>IF(B132="Pensioner",1,1/(1+Assumptions!$B$6)^G132)</x:f>
        <x:v>0.5327260355205289</x:v>
      </x:c>
      <x:c r="O132" s="50" t="n">
        <x:f>J132*K132*L132*M132*N132</x:f>
        <x:v>6927972.995800001</x:v>
      </x:c>
    </x:row>
    <x:row r="133">
      <x:c r="A133" s="42" t="str">
        <x:f>Members!A133</x:f>
        <x:v>D0055</x:v>
      </x:c>
      <x:c r="B133" s="42" t="str">
        <x:f>Members!B133</x:f>
        <x:v>Deferred</x:v>
      </x:c>
      <x:c r="C133" s="42" t="n">
        <x:f>Members!C133</x:f>
        <x:v>48</x:v>
      </x:c>
      <x:c r="D133" s="44" t="n">
        <x:f>Members!D133</x:f>
        <x:v>19</x:v>
      </x:c>
      <x:c r="E133" s="48" t="n">
        <x:f>Members!E133</x:f>
        <x:v>733000</x:v>
      </x:c>
      <x:c r="F133" s="48" t="n">
        <x:f>Members!F133</x:f>
        <x:v>0</x:v>
      </x:c>
      <x:c r="G133" s="46" t="n">
        <x:f>MAX(0,Assumptions!$B$10-C133)</x:f>
        <x:v>12</x:v>
      </x:c>
      <x:c r="H133" s="50" t="n">
        <x:f>IF(B133="Active",E133*(1+Assumptions!$B$7)^G133,E133)</x:f>
        <x:v>733000</x:v>
      </x:c>
      <x:c r="I133" s="50" t="n">
        <x:f>IF(B133="Active",MIN(Assumptions!$B$12,D133+G133),IF(B133="Deferred",MIN(Assumptions!$B$12,D133),D133))</x:f>
        <x:v>19</x:v>
      </x:c>
      <x:c r="J133" s="50" t="n">
        <x:f>IF(B133="Active",H133*I133*Assumptions!$B$11,IF(B133="Deferred",E133*I133*Assumptions!$B$11*(1+Assumptions!$B$9)^G133,F133))</x:f>
        <x:v>371626.26179986837</x:v>
      </x:c>
      <x:c r="K133" s="37" t="n">
        <x:f>IF(B133="Pensioner",1,VLOOKUP(Assumptions!$B$10,Mortality!$A$2:$F$104,6,FALSE)/VLOOKUP(C133,Mortality!$A$2:$F$104,6,FALSE))</x:f>
        <x:v>0.9793037429736591</x:v>
      </x:c>
      <x:c r="L133" s="37" t="n">
        <x:f>VLOOKUP(IF(B133="Pensioner",C133,Assumptions!$B$10),Mortality!$A$2:$E$104,5,FALSE)</x:f>
        <x:v>17.296790022132885</x:v>
      </x:c>
      <x:c r="M133" s="37" t="n">
        <x:f>1+Assumptions!$B$13*Assumptions!$B$14*Assumptions!$B$15</x:f>
        <x:v>1.31875</x:v>
      </x:c>
      <x:c r="N133" s="37" t="n">
        <x:f>IF(B133="Pensioner",1,1/(1+Assumptions!$B$6)^G133)</x:f>
        <x:v>0.4696828543900276</x:v>
      </x:c>
      <x:c r="O133" s="50" t="n">
        <x:f>J133*K133*L133*M133*N133</x:f>
        <x:v>3899029.344981047</x:v>
      </x:c>
    </x:row>
    <x:row r="134">
      <x:c r="A134" s="42" t="str">
        <x:f>Members!A134</x:f>
        <x:v>D0031</x:v>
      </x:c>
      <x:c r="B134" s="42" t="str">
        <x:f>Members!B134</x:f>
        <x:v>Deferred</x:v>
      </x:c>
      <x:c r="C134" s="42" t="n">
        <x:f>Members!C134</x:f>
        <x:v>55</x:v>
      </x:c>
      <x:c r="D134" s="44" t="n">
        <x:f>Members!D134</x:f>
        <x:v>27</x:v>
      </x:c>
      <x:c r="E134" s="48" t="n">
        <x:f>Members!E134</x:f>
        <x:v>1373000</x:v>
      </x:c>
      <x:c r="F134" s="48" t="n">
        <x:f>Members!F134</x:f>
        <x:v>0</x:v>
      </x:c>
      <x:c r="G134" s="46" t="n">
        <x:f>MAX(0,Assumptions!$B$10-C134)</x:f>
        <x:v>5</x:v>
      </x:c>
      <x:c r="H134" s="50" t="n">
        <x:f>IF(B134="Active",E134*(1+Assumptions!$B$7)^G134,E134)</x:f>
        <x:v>1373000</x:v>
      </x:c>
      <x:c r="I134" s="50" t="n">
        <x:f>IF(B134="Active",MIN(Assumptions!$B$12,D134+G134),IF(B134="Deferred",MIN(Assumptions!$B$12,D134),D134))</x:f>
        <x:v>27</x:v>
      </x:c>
      <x:c r="J134" s="50" t="n">
        <x:f>IF(B134="Active",H134*I134*Assumptions!$B$11,IF(B134="Deferred",E134*I134*Assumptions!$B$11*(1+Assumptions!$B$9)^G134,F134))</x:f>
        <x:v>751708.9957478403</x:v>
      </x:c>
      <x:c r="K134" s="37" t="n">
        <x:f>IF(B134="Pensioner",1,VLOOKUP(Assumptions!$B$10,Mortality!$A$2:$F$104,6,FALSE)/VLOOKUP(C134,Mortality!$A$2:$F$104,6,FALSE))</x:f>
        <x:v>0.9882419087499175</x:v>
      </x:c>
      <x:c r="L134" s="37" t="n">
        <x:f>VLOOKUP(IF(B134="Pensioner",C134,Assumptions!$B$10),Mortality!$A$2:$E$104,5,FALSE)</x:f>
        <x:v>17.296790022132885</x:v>
      </x:c>
      <x:c r="M134" s="37" t="n">
        <x:f>1+Assumptions!$B$13*Assumptions!$B$14*Assumptions!$B$15</x:f>
        <x:v>1.31875</x:v>
      </x:c>
      <x:c r="N134" s="37" t="n">
        <x:f>IF(B134="Pensioner",1,1/(1+Assumptions!$B$6)^G134)</x:f>
        <x:v>0.7298808365209549</x:v>
      </x:c>
      <x:c r="O134" s="50" t="n">
        <x:f>J134*K134*L134*M134*N134</x:f>
        <x:v>12367814.469854701</x:v>
      </x:c>
    </x:row>
    <x:row r="135">
      <x:c r="A135" s="42" t="str">
        <x:f>Members!A135</x:f>
        <x:v>P0125</x:v>
      </x:c>
      <x:c r="B135" s="42" t="str">
        <x:f>Members!B135</x:f>
        <x:v>Pensioner</x:v>
      </x:c>
      <x:c r="C135" s="42" t="n">
        <x:f>Members!C135</x:f>
        <x:v>70</x:v>
      </x:c>
      <x:c r="D135" s="44" t="n">
        <x:f>Members!D135</x:f>
        <x:v>28.9</x:v>
      </x:c>
      <x:c r="E135" s="48" t="n">
        <x:f>Members!E135</x:f>
        <x:v>0</x:v>
      </x:c>
      <x:c r="F135" s="48" t="n">
        <x:f>Members!F135</x:f>
        <x:v>196000</x:v>
      </x:c>
      <x:c r="G135" s="46" t="n">
        <x:f>MAX(0,Assumptions!$B$10-C135)</x:f>
        <x:v>0</x:v>
      </x:c>
      <x:c r="H135" s="50" t="n">
        <x:f>IF(B135="Active",E135*(1+Assumptions!$B$7)^G135,E135)</x:f>
        <x:v>0</x:v>
      </x:c>
      <x:c r="I135" s="50" t="n">
        <x:f>IF(B135="Active",MIN(Assumptions!$B$12,D135+G135),IF(B135="Deferred",MIN(Assumptions!$B$12,D135),D135))</x:f>
        <x:v>28.9</x:v>
      </x:c>
      <x:c r="J135" s="50" t="n">
        <x:f>IF(B135="Active",H135*I135*Assumptions!$B$11,IF(B135="Deferred",E135*I135*Assumptions!$B$11*(1+Assumptions!$B$9)^G135,F135))</x:f>
        <x:v>196000</x:v>
      </x:c>
      <x:c r="K135" s="37" t="n">
        <x:f>IF(B135="Pensioner",1,VLOOKUP(Assumptions!$B$10,Mortality!$A$2:$F$104,6,FALSE)/VLOOKUP(C135,Mortality!$A$2:$F$104,6,FALSE))</x:f>
        <x:v>1</x:v>
      </x:c>
      <x:c r="L135" s="37" t="n">
        <x:f>VLOOKUP(IF(B135="Pensioner",C135,Assumptions!$B$10),Mortality!$A$2:$E$104,5,FALSE)</x:f>
        <x:v>12.963998211865617</x:v>
      </x:c>
      <x:c r="M135" s="37" t="n">
        <x:f>1+Assumptions!$B$13*Assumptions!$B$14*Assumptions!$B$15</x:f>
        <x:v>1.31875</x:v>
      </x:c>
      <x:c r="N135" s="37" t="n">
        <x:f>IF(B135="Pensioner",1,1/(1+Assumptions!$B$6)^G135)</x:f>
        <x:v>1</x:v>
      </x:c>
      <x:c r="O135" s="50" t="n">
        <x:f>J135*K135*L135*M135*N135</x:f>
        <x:v>3350869.4378119656</x:v>
      </x:c>
    </x:row>
    <x:row r="136">
      <x:c r="A136" s="42" t="str">
        <x:f>Members!A136</x:f>
        <x:v>A0475</x:v>
      </x:c>
      <x:c r="B136" s="42" t="str">
        <x:f>Members!B136</x:f>
        <x:v>Active</x:v>
      </x:c>
      <x:c r="C136" s="42" t="n">
        <x:f>Members!C136</x:f>
        <x:v>50</x:v>
      </x:c>
      <x:c r="D136" s="44" t="n">
        <x:f>Members!D136</x:f>
        <x:v>19.5</x:v>
      </x:c>
      <x:c r="E136" s="48" t="n">
        <x:f>Members!E136</x:f>
        <x:v>1266000</x:v>
      </x:c>
      <x:c r="F136" s="48" t="n">
        <x:f>Members!F136</x:f>
        <x:v>0</x:v>
      </x:c>
      <x:c r="G136" s="46" t="n">
        <x:f>MAX(0,Assumptions!$B$10-C136)</x:f>
        <x:v>10</x:v>
      </x:c>
      <x:c r="H136" s="50" t="n">
        <x:f>IF(B136="Active",E136*(1+Assumptions!$B$7)^G136,E136)</x:f>
        <x:v>2162510.8842756487</x:v>
      </x:c>
      <x:c r="I136" s="50" t="n">
        <x:f>IF(B136="Active",MIN(Assumptions!$B$12,D136+G136),IF(B136="Deferred",MIN(Assumptions!$B$12,D136),D136))</x:f>
        <x:v>29.5</x:v>
      </x:c>
      <x:c r="J136" s="50" t="n">
        <x:f>IF(B136="Active",H136*I136*Assumptions!$B$11,IF(B136="Deferred",E136*I136*Assumptions!$B$11*(1+Assumptions!$B$9)^G136,F136))</x:f>
        <x:v>1063234.518102194</x:v>
      </x:c>
      <x:c r="K136" s="37" t="n">
        <x:f>IF(B136="Pensioner",1,VLOOKUP(Assumptions!$B$10,Mortality!$A$2:$F$104,6,FALSE)/VLOOKUP(C136,Mortality!$A$2:$F$104,6,FALSE))</x:f>
        <x:v>0.9812729933582415</x:v>
      </x:c>
      <x:c r="L136" s="37" t="n">
        <x:f>VLOOKUP(IF(B136="Pensioner",C136,Assumptions!$B$10),Mortality!$A$2:$E$104,5,FALSE)</x:f>
        <x:v>17.296790022132885</x:v>
      </x:c>
      <x:c r="M136" s="37" t="n">
        <x:f>1+Assumptions!$B$13*Assumptions!$B$14*Assumptions!$B$15</x:f>
        <x:v>1.31875</x:v>
      </x:c>
      <x:c r="N136" s="37" t="n">
        <x:f>IF(B136="Pensioner",1,1/(1+Assumptions!$B$6)^G136)</x:f>
        <x:v>0.5327260355205289</x:v>
      </x:c>
      <x:c r="O136" s="50" t="n">
        <x:f>J136*K136*L136*M136*N136</x:f>
        <x:v>12678002.179197028</x:v>
      </x:c>
    </x:row>
    <x:row r="137">
      <x:c r="A137" s="42" t="str">
        <x:f>Members!A137</x:f>
        <x:v>A0229</x:v>
      </x:c>
      <x:c r="B137" s="42" t="str">
        <x:f>Members!B137</x:f>
        <x:v>Active</x:v>
      </x:c>
      <x:c r="C137" s="42" t="n">
        <x:f>Members!C137</x:f>
        <x:v>47</x:v>
      </x:c>
      <x:c r="D137" s="44" t="n">
        <x:f>Members!D137</x:f>
        <x:v>4.7</x:v>
      </x:c>
      <x:c r="E137" s="48" t="n">
        <x:f>Members!E137</x:f>
        <x:v>1251000</x:v>
      </x:c>
      <x:c r="F137" s="48" t="n">
        <x:f>Members!F137</x:f>
        <x:v>0</x:v>
      </x:c>
      <x:c r="G137" s="46" t="n">
        <x:f>MAX(0,Assumptions!$B$10-C137)</x:f>
        <x:v>13</x:v>
      </x:c>
      <x:c r="H137" s="50" t="n">
        <x:f>IF(B137="Active",E137*(1+Assumptions!$B$7)^G137,E137)</x:f>
        <x:v>2509223.145742167</x:v>
      </x:c>
      <x:c r="I137" s="50" t="n">
        <x:f>IF(B137="Active",MIN(Assumptions!$B$12,D137+G137),IF(B137="Deferred",MIN(Assumptions!$B$12,D137),D137))</x:f>
        <x:v>17.7</x:v>
      </x:c>
      <x:c r="J137" s="50" t="n">
        <x:f>IF(B137="Active",H137*I137*Assumptions!$B$11,IF(B137="Deferred",E137*I137*Assumptions!$B$11*(1+Assumptions!$B$9)^G137,F137))</x:f>
        <x:v>740220.8279939392</x:v>
      </x:c>
      <x:c r="K137" s="37" t="n">
        <x:f>IF(B137="Pensioner",1,VLOOKUP(Assumptions!$B$10,Mortality!$A$2:$F$104,6,FALSE)/VLOOKUP(C137,Mortality!$A$2:$F$104,6,FALSE))</x:f>
        <x:v>0.9784451675747989</x:v>
      </x:c>
      <x:c r="L137" s="37" t="n">
        <x:f>VLOOKUP(IF(B137="Pensioner",C137,Assumptions!$B$10),Mortality!$A$2:$E$104,5,FALSE)</x:f>
        <x:v>17.296790022132885</x:v>
      </x:c>
      <x:c r="M137" s="37" t="n">
        <x:f>1+Assumptions!$B$13*Assumptions!$B$14*Assumptions!$B$15</x:f>
        <x:v>1.31875</x:v>
      </x:c>
      <x:c r="N137" s="37" t="n">
        <x:f>IF(B137="Pensioner",1,1/(1+Assumptions!$B$6)^G137)</x:f>
        <x:v>0.4410167646854719</x:v>
      </x:c>
      <x:c r="O137" s="50" t="n">
        <x:f>J137*K137*L137*M137*N137</x:f>
        <x:v>7285860.947703415</x:v>
      </x:c>
    </x:row>
    <x:row r="138">
      <x:c r="A138" s="42" t="str">
        <x:f>Members!A138</x:f>
        <x:v>A0606</x:v>
      </x:c>
      <x:c r="B138" s="42" t="str">
        <x:f>Members!B138</x:f>
        <x:v>Active</x:v>
      </x:c>
      <x:c r="C138" s="42" t="n">
        <x:f>Members!C138</x:f>
        <x:v>43</x:v>
      </x:c>
      <x:c r="D138" s="44" t="n">
        <x:f>Members!D138</x:f>
        <x:v>13.2</x:v>
      </x:c>
      <x:c r="E138" s="48" t="n">
        <x:f>Members!E138</x:f>
        <x:v>1182000</x:v>
      </x:c>
      <x:c r="F138" s="48" t="n">
        <x:f>Members!F138</x:f>
        <x:v>0</x:v>
      </x:c>
      <x:c r="G138" s="46" t="n">
        <x:f>MAX(0,Assumptions!$B$10-C138)</x:f>
        <x:v>17</x:v>
      </x:c>
      <x:c r="H138" s="50" t="n">
        <x:f>IF(B138="Active",E138*(1+Assumptions!$B$7)^G138,E138)</x:f>
        <x:v>2937036.138667856</x:v>
      </x:c>
      <x:c r="I138" s="50" t="n">
        <x:f>IF(B138="Active",MIN(Assumptions!$B$12,D138+G138),IF(B138="Deferred",MIN(Assumptions!$B$12,D138),D138))</x:f>
        <x:v>30.2</x:v>
      </x:c>
      <x:c r="J138" s="50" t="n">
        <x:f>IF(B138="Active",H138*I138*Assumptions!$B$11,IF(B138="Deferred",E138*I138*Assumptions!$B$11*(1+Assumptions!$B$9)^G138,F138))</x:f>
        <x:v>1478308.1897961542</x:v>
      </x:c>
      <x:c r="K138" s="37" t="n">
        <x:f>IF(B138="Pensioner",1,VLOOKUP(Assumptions!$B$10,Mortality!$A$2:$F$104,6,FALSE)/VLOOKUP(C138,Mortality!$A$2:$F$104,6,FALSE))</x:f>
        <x:v>0.975651758424938</x:v>
      </x:c>
      <x:c r="L138" s="37" t="n">
        <x:f>VLOOKUP(IF(B138="Pensioner",C138,Assumptions!$B$10),Mortality!$A$2:$E$104,5,FALSE)</x:f>
        <x:v>17.296790022132885</x:v>
      </x:c>
      <x:c r="M138" s="37" t="n">
        <x:f>1+Assumptions!$B$13*Assumptions!$B$14*Assumptions!$B$15</x:f>
        <x:v>1.31875</x:v>
      </x:c>
      <x:c r="N138" s="37" t="n">
        <x:f>IF(B138="Pensioner",1,1/(1+Assumptions!$B$6)^G138)</x:f>
        <x:v>0.34281251466174323</x:v>
      </x:c>
      <x:c r="O138" s="50" t="n">
        <x:f>J138*K138*L138*M138*N138</x:f>
        <x:v>11278321.442639768</x:v>
      </x:c>
    </x:row>
    <x:row r="139">
      <x:c r="A139" s="42" t="str">
        <x:f>Members!A139</x:f>
        <x:v>A0395</x:v>
      </x:c>
      <x:c r="B139" s="42" t="str">
        <x:f>Members!B139</x:f>
        <x:v>Active</x:v>
      </x:c>
      <x:c r="C139" s="42" t="n">
        <x:f>Members!C139</x:f>
        <x:v>59</x:v>
      </x:c>
      <x:c r="D139" s="44" t="n">
        <x:f>Members!D139</x:f>
        <x:v>12.8</x:v>
      </x:c>
      <x:c r="E139" s="48" t="n">
        <x:f>Members!E139</x:f>
        <x:v>1651000</x:v>
      </x:c>
      <x:c r="F139" s="48" t="n">
        <x:f>Members!F139</x:f>
        <x:v>0</x:v>
      </x:c>
      <x:c r="G139" s="46" t="n">
        <x:f>MAX(0,Assumptions!$B$10-C139)</x:f>
        <x:v>1</x:v>
      </x:c>
      <x:c r="H139" s="50" t="n">
        <x:f>IF(B139="Active",E139*(1+Assumptions!$B$7)^G139,E139)</x:f>
        <x:v>1741805</x:v>
      </x:c>
      <x:c r="I139" s="50" t="n">
        <x:f>IF(B139="Active",MIN(Assumptions!$B$12,D139+G139),IF(B139="Deferred",MIN(Assumptions!$B$12,D139),D139))</x:f>
        <x:v>13.8</x:v>
      </x:c>
      <x:c r="J139" s="50" t="n">
        <x:f>IF(B139="Active",H139*I139*Assumptions!$B$11,IF(B139="Deferred",E139*I139*Assumptions!$B$11*(1+Assumptions!$B$9)^G139,F139))</x:f>
        <x:v>400615.15</x:v>
      </x:c>
      <x:c r="K139" s="37" t="n">
        <x:f>IF(B139="Pensioner",1,VLOOKUP(Assumptions!$B$10,Mortality!$A$2:$F$104,6,FALSE)/VLOOKUP(C139,Mortality!$A$2:$F$104,6,FALSE))</x:f>
        <x:v>0.9971096011831975</x:v>
      </x:c>
      <x:c r="L139" s="37" t="n">
        <x:f>VLOOKUP(IF(B139="Pensioner",C139,Assumptions!$B$10),Mortality!$A$2:$E$104,5,FALSE)</x:f>
        <x:v>17.296790022132885</x:v>
      </x:c>
      <x:c r="M139" s="37" t="n">
        <x:f>1+Assumptions!$B$13*Assumptions!$B$14*Assumptions!$B$15</x:f>
        <x:v>1.31875</x:v>
      </x:c>
      <x:c r="N139" s="37" t="n">
        <x:f>IF(B139="Pensioner",1,1/(1+Assumptions!$B$6)^G139)</x:f>
        <x:v>0.9389671361502347</x:v>
      </x:c>
      <x:c r="O139" s="50" t="n">
        <x:f>J139*K139*L139*M139*N139</x:f>
        <x:v>8555564.014594391</x:v>
      </x:c>
    </x:row>
    <x:row r="140">
      <x:c r="A140" s="42" t="str">
        <x:f>Members!A140</x:f>
        <x:v>A0068</x:v>
      </x:c>
      <x:c r="B140" s="42" t="str">
        <x:f>Members!B140</x:f>
        <x:v>Active</x:v>
      </x:c>
      <x:c r="C140" s="42" t="n">
        <x:f>Members!C140</x:f>
        <x:v>34</x:v>
      </x:c>
      <x:c r="D140" s="44" t="n">
        <x:f>Members!D140</x:f>
        <x:v>1.8</x:v>
      </x:c>
      <x:c r="E140" s="48" t="n">
        <x:f>Members!E140</x:f>
        <x:v>686000</x:v>
      </x:c>
      <x:c r="F140" s="48" t="n">
        <x:f>Members!F140</x:f>
        <x:v>0</x:v>
      </x:c>
      <x:c r="G140" s="46" t="n">
        <x:f>MAX(0,Assumptions!$B$10-C140)</x:f>
        <x:v>26</x:v>
      </x:c>
      <x:c r="H140" s="50" t="n">
        <x:f>IF(B140="Active",E140*(1+Assumptions!$B$7)^G140,E140)</x:f>
        <x:v>2759866.4444674198</x:v>
      </x:c>
      <x:c r="I140" s="50" t="n">
        <x:f>IF(B140="Active",MIN(Assumptions!$B$12,D140+G140),IF(B140="Deferred",MIN(Assumptions!$B$12,D140),D140))</x:f>
        <x:v>27.8</x:v>
      </x:c>
      <x:c r="J140" s="50" t="n">
        <x:f>IF(B140="Active",H140*I140*Assumptions!$B$11,IF(B140="Deferred",E140*I140*Assumptions!$B$11*(1+Assumptions!$B$9)^G140,F140))</x:f>
        <x:v>1278738.1192699044</x:v>
      </x:c>
      <x:c r="K140" s="37" t="n">
        <x:f>IF(B140="Pensioner",1,VLOOKUP(Assumptions!$B$10,Mortality!$A$2:$F$104,6,FALSE)/VLOOKUP(C140,Mortality!$A$2:$F$104,6,FALSE))</x:f>
        <x:v>0.9716205819233391</x:v>
      </x:c>
      <x:c r="L140" s="37" t="n">
        <x:f>VLOOKUP(IF(B140="Pensioner",C140,Assumptions!$B$10),Mortality!$A$2:$E$104,5,FALSE)</x:f>
        <x:v>17.296790022132885</x:v>
      </x:c>
      <x:c r="M140" s="37" t="n">
        <x:f>1+Assumptions!$B$13*Assumptions!$B$14*Assumptions!$B$15</x:f>
        <x:v>1.31875</x:v>
      </x:c>
      <x:c r="N140" s="37" t="n">
        <x:f>IF(B140="Pensioner",1,1/(1+Assumptions!$B$6)^G140)</x:f>
        <x:v>0.19449578673364096</x:v>
      </x:c>
      <x:c r="O140" s="50" t="n">
        <x:f>J140*K140*L140*M140*N140</x:f>
        <x:v>5512092.55592787</x:v>
      </x:c>
    </x:row>
    <x:row r="141">
      <x:c r="A141" s="42" t="str">
        <x:f>Members!A141</x:f>
        <x:v>P0146</x:v>
      </x:c>
      <x:c r="B141" s="42" t="str">
        <x:f>Members!B141</x:f>
        <x:v>Pensioner</x:v>
      </x:c>
      <x:c r="C141" s="42" t="n">
        <x:f>Members!C141</x:f>
        <x:v>85</x:v>
      </x:c>
      <x:c r="D141" s="44" t="n">
        <x:f>Members!D141</x:f>
        <x:v>39.1</x:v>
      </x:c>
      <x:c r="E141" s="48" t="n">
        <x:f>Members!E141</x:f>
        <x:v>0</x:v>
      </x:c>
      <x:c r="F141" s="48" t="n">
        <x:f>Members!F141</x:f>
        <x:v>764000</x:v>
      </x:c>
      <x:c r="G141" s="46" t="n">
        <x:f>MAX(0,Assumptions!$B$10-C141)</x:f>
        <x:v>0</x:v>
      </x:c>
      <x:c r="H141" s="50" t="n">
        <x:f>IF(B141="Active",E141*(1+Assumptions!$B$7)^G141,E141)</x:f>
        <x:v>0</x:v>
      </x:c>
      <x:c r="I141" s="50" t="n">
        <x:f>IF(B141="Active",MIN(Assumptions!$B$12,D141+G141),IF(B141="Deferred",MIN(Assumptions!$B$12,D141),D141))</x:f>
        <x:v>39.1</x:v>
      </x:c>
      <x:c r="J141" s="50" t="n">
        <x:f>IF(B141="Active",H141*I141*Assumptions!$B$11,IF(B141="Deferred",E141*I141*Assumptions!$B$11*(1+Assumptions!$B$9)^G141,F141))</x:f>
        <x:v>764000</x:v>
      </x:c>
      <x:c r="K141" s="37" t="n">
        <x:f>IF(B141="Pensioner",1,VLOOKUP(Assumptions!$B$10,Mortality!$A$2:$F$104,6,FALSE)/VLOOKUP(C141,Mortality!$A$2:$F$104,6,FALSE))</x:f>
        <x:v>1</x:v>
      </x:c>
      <x:c r="L141" s="37" t="n">
        <x:f>VLOOKUP(IF(B141="Pensioner",C141,Assumptions!$B$10),Mortality!$A$2:$E$104,5,FALSE)</x:f>
        <x:v>6.2282827560748935</x:v>
      </x:c>
      <x:c r="M141" s="37" t="n">
        <x:f>1+Assumptions!$B$13*Assumptions!$B$14*Assumptions!$B$15</x:f>
        <x:v>1.31875</x:v>
      </x:c>
      <x:c r="N141" s="37" t="n">
        <x:f>IF(B141="Pensioner",1,1/(1+Assumptions!$B$6)^G141)</x:f>
        <x:v>1</x:v>
      </x:c>
      <x:c r="O141" s="50" t="n">
        <x:f>J141*K141*L141*M141*N141</x:f>
        <x:v>6275150.583814357</x:v>
      </x:c>
    </x:row>
    <x:row r="142">
      <x:c r="A142" s="42" t="str">
        <x:f>Members!A142</x:f>
        <x:v>A0350</x:v>
      </x:c>
      <x:c r="B142" s="42" t="str">
        <x:f>Members!B142</x:f>
        <x:v>Active</x:v>
      </x:c>
      <x:c r="C142" s="42" t="n">
        <x:f>Members!C142</x:f>
        <x:v>43</x:v>
      </x:c>
      <x:c r="D142" s="44" t="n">
        <x:f>Members!D142</x:f>
        <x:v>7.7</x:v>
      </x:c>
      <x:c r="E142" s="48" t="n">
        <x:f>Members!E142</x:f>
        <x:v>807000</x:v>
      </x:c>
      <x:c r="F142" s="48" t="n">
        <x:f>Members!F142</x:f>
        <x:v>0</x:v>
      </x:c>
      <x:c r="G142" s="46" t="n">
        <x:f>MAX(0,Assumptions!$B$10-C142)</x:f>
        <x:v>17</x:v>
      </x:c>
      <x:c r="H142" s="50" t="n">
        <x:f>IF(B142="Active",E142*(1+Assumptions!$B$7)^G142,E142)</x:f>
        <x:v>2005235.333252927</x:v>
      </x:c>
      <x:c r="I142" s="50" t="n">
        <x:f>IF(B142="Active",MIN(Assumptions!$B$12,D142+G142),IF(B142="Deferred",MIN(Assumptions!$B$12,D142),D142))</x:f>
        <x:v>24.7</x:v>
      </x:c>
      <x:c r="J142" s="50" t="n">
        <x:f>IF(B142="Active",H142*I142*Assumptions!$B$11,IF(B142="Deferred",E142*I142*Assumptions!$B$11*(1+Assumptions!$B$9)^G142,F142))</x:f>
        <x:v>825488.545522455</x:v>
      </x:c>
      <x:c r="K142" s="37" t="n">
        <x:f>IF(B142="Pensioner",1,VLOOKUP(Assumptions!$B$10,Mortality!$A$2:$F$104,6,FALSE)/VLOOKUP(C142,Mortality!$A$2:$F$104,6,FALSE))</x:f>
        <x:v>0.975651758424938</x:v>
      </x:c>
      <x:c r="L142" s="37" t="n">
        <x:f>VLOOKUP(IF(B142="Pensioner",C142,Assumptions!$B$10),Mortality!$A$2:$E$104,5,FALSE)</x:f>
        <x:v>17.296790022132885</x:v>
      </x:c>
      <x:c r="M142" s="37" t="n">
        <x:f>1+Assumptions!$B$13*Assumptions!$B$14*Assumptions!$B$15</x:f>
        <x:v>1.31875</x:v>
      </x:c>
      <x:c r="N142" s="37" t="n">
        <x:f>IF(B142="Pensioner",1,1/(1+Assumptions!$B$6)^G142)</x:f>
        <x:v>0.34281251466174323</x:v>
      </x:c>
      <x:c r="O142" s="50" t="n">
        <x:f>J142*K142*L142*M142*N142</x:f>
        <x:v>6297824.247935205</x:v>
      </x:c>
    </x:row>
    <x:row r="143">
      <x:c r="A143" s="42" t="str">
        <x:f>Members!A143</x:f>
        <x:v>A0362</x:v>
      </x:c>
      <x:c r="B143" s="42" t="str">
        <x:f>Members!B143</x:f>
        <x:v>Active</x:v>
      </x:c>
      <x:c r="C143" s="42" t="n">
        <x:f>Members!C143</x:f>
        <x:v>36</x:v>
      </x:c>
      <x:c r="D143" s="44" t="n">
        <x:f>Members!D143</x:f>
        <x:v>10.4</x:v>
      </x:c>
      <x:c r="E143" s="48" t="n">
        <x:f>Members!E143</x:f>
        <x:v>664000</x:v>
      </x:c>
      <x:c r="F143" s="48" t="n">
        <x:f>Members!F143</x:f>
        <x:v>0</x:v>
      </x:c>
      <x:c r="G143" s="46" t="n">
        <x:f>MAX(0,Assumptions!$B$10-C143)</x:f>
        <x:v>24</x:v>
      </x:c>
      <x:c r="H143" s="50" t="n">
        <x:f>IF(B143="Active",E143*(1+Assumptions!$B$7)^G143,E143)</x:f>
        <x:v>2400087.6961936415</x:v>
      </x:c>
      <x:c r="I143" s="50" t="n">
        <x:f>IF(B143="Active",MIN(Assumptions!$B$12,D143+G143),IF(B143="Deferred",MIN(Assumptions!$B$12,D143),D143))</x:f>
        <x:v>34.4</x:v>
      </x:c>
      <x:c r="J143" s="50" t="n">
        <x:f>IF(B143="Active",H143*I143*Assumptions!$B$11,IF(B143="Deferred",E143*I143*Assumptions!$B$11*(1+Assumptions!$B$9)^G143,F143))</x:f>
        <x:v>1376050.2791510213</x:v>
      </x:c>
      <x:c r="K143" s="37" t="n">
        <x:f>IF(B143="Pensioner",1,VLOOKUP(Assumptions!$B$10,Mortality!$A$2:$F$104,6,FALSE)/VLOOKUP(C143,Mortality!$A$2:$F$104,6,FALSE))</x:f>
        <x:v>0.9723450305541352</x:v>
      </x:c>
      <x:c r="L143" s="37" t="n">
        <x:f>VLOOKUP(IF(B143="Pensioner",C143,Assumptions!$B$10),Mortality!$A$2:$E$104,5,FALSE)</x:f>
        <x:v>17.296790022132885</x:v>
      </x:c>
      <x:c r="M143" s="37" t="n">
        <x:f>1+Assumptions!$B$13*Assumptions!$B$14*Assumptions!$B$15</x:f>
        <x:v>1.31875</x:v>
      </x:c>
      <x:c r="N143" s="37" t="n">
        <x:f>IF(B143="Pensioner",1,1/(1+Assumptions!$B$6)^G143)</x:f>
        <x:v>0.22060198370796386</x:v>
      </x:c>
      <x:c r="O143" s="50" t="n">
        <x:f>J143*K143*L143*M143*N143</x:f>
        <x:v>6732743.991708592</x:v>
      </x:c>
    </x:row>
    <x:row r="144">
      <x:c r="A144" s="42" t="str">
        <x:f>Members!A144</x:f>
        <x:v>P0145</x:v>
      </x:c>
      <x:c r="B144" s="42" t="str">
        <x:f>Members!B144</x:f>
        <x:v>Pensioner</x:v>
      </x:c>
      <x:c r="C144" s="42" t="n">
        <x:f>Members!C144</x:f>
        <x:v>66</x:v>
      </x:c>
      <x:c r="D144" s="44" t="n">
        <x:f>Members!D144</x:f>
        <x:v>30.9</x:v>
      </x:c>
      <x:c r="E144" s="48" t="n">
        <x:f>Members!E144</x:f>
        <x:v>0</x:v>
      </x:c>
      <x:c r="F144" s="48" t="n">
        <x:f>Members!F144</x:f>
        <x:v>288000</x:v>
      </x:c>
      <x:c r="G144" s="46" t="n">
        <x:f>MAX(0,Assumptions!$B$10-C144)</x:f>
        <x:v>0</x:v>
      </x:c>
      <x:c r="H144" s="50" t="n">
        <x:f>IF(B144="Active",E144*(1+Assumptions!$B$7)^G144,E144)</x:f>
        <x:v>0</x:v>
      </x:c>
      <x:c r="I144" s="50" t="n">
        <x:f>IF(B144="Active",MIN(Assumptions!$B$12,D144+G144),IF(B144="Deferred",MIN(Assumptions!$B$12,D144),D144))</x:f>
        <x:v>30.9</x:v>
      </x:c>
      <x:c r="J144" s="50" t="n">
        <x:f>IF(B144="Active",H144*I144*Assumptions!$B$11,IF(B144="Deferred",E144*I144*Assumptions!$B$11*(1+Assumptions!$B$9)^G144,F144))</x:f>
        <x:v>288000</x:v>
      </x:c>
      <x:c r="K144" s="37" t="n">
        <x:f>IF(B144="Pensioner",1,VLOOKUP(Assumptions!$B$10,Mortality!$A$2:$F$104,6,FALSE)/VLOOKUP(C144,Mortality!$A$2:$F$104,6,FALSE))</x:f>
        <x:v>1</x:v>
      </x:c>
      <x:c r="L144" s="37" t="n">
        <x:f>VLOOKUP(IF(B144="Pensioner",C144,Assumptions!$B$10),Mortality!$A$2:$E$104,5,FALSE)</x:f>
        <x:v>14.759005103694845</x:v>
      </x:c>
      <x:c r="M144" s="37" t="n">
        <x:f>1+Assumptions!$B$13*Assumptions!$B$14*Assumptions!$B$15</x:f>
        <x:v>1.31875</x:v>
      </x:c>
      <x:c r="N144" s="37" t="n">
        <x:f>IF(B144="Pensioner",1,1/(1+Assumptions!$B$6)^G144)</x:f>
        <x:v>1</x:v>
      </x:c>
      <x:c r="O144" s="50" t="n">
        <x:f>J144*K144*L144*M144*N144</x:f>
        <x:v>5605470.138383302</x:v>
      </x:c>
    </x:row>
    <x:row r="145">
      <x:c r="A145" s="42" t="str">
        <x:f>Members!A145</x:f>
        <x:v>D0124</x:v>
      </x:c>
      <x:c r="B145" s="42" t="str">
        <x:f>Members!B145</x:f>
        <x:v>Deferred</x:v>
      </x:c>
      <x:c r="C145" s="42" t="n">
        <x:f>Members!C145</x:f>
        <x:v>36</x:v>
      </x:c>
      <x:c r="D145" s="44" t="n">
        <x:f>Members!D145</x:f>
        <x:v>3.1</x:v>
      </x:c>
      <x:c r="E145" s="48" t="n">
        <x:f>Members!E145</x:f>
        <x:v>592000</x:v>
      </x:c>
      <x:c r="F145" s="48" t="n">
        <x:f>Members!F145</x:f>
        <x:v>0</x:v>
      </x:c>
      <x:c r="G145" s="46" t="n">
        <x:f>MAX(0,Assumptions!$B$10-C145)</x:f>
        <x:v>24</x:v>
      </x:c>
      <x:c r="H145" s="50" t="n">
        <x:f>IF(B145="Active",E145*(1+Assumptions!$B$7)^G145,E145)</x:f>
        <x:v>592000</x:v>
      </x:c>
      <x:c r="I145" s="50" t="n">
        <x:f>IF(B145="Active",MIN(Assumptions!$B$12,D145+G145),IF(B145="Deferred",MIN(Assumptions!$B$12,D145),D145))</x:f>
        <x:v>3.1</x:v>
      </x:c>
      <x:c r="J145" s="50" t="n">
        <x:f>IF(B145="Active",H145*I145*Assumptions!$B$11,IF(B145="Deferred",E145*I145*Assumptions!$B$11*(1+Assumptions!$B$9)^G145,F145))</x:f>
        <x:v>78402.93005682241</x:v>
      </x:c>
      <x:c r="K145" s="37" t="n">
        <x:f>IF(B145="Pensioner",1,VLOOKUP(Assumptions!$B$10,Mortality!$A$2:$F$104,6,FALSE)/VLOOKUP(C145,Mortality!$A$2:$F$104,6,FALSE))</x:f>
        <x:v>0.9723450305541352</x:v>
      </x:c>
      <x:c r="L145" s="37" t="n">
        <x:f>VLOOKUP(IF(B145="Pensioner",C145,Assumptions!$B$10),Mortality!$A$2:$E$104,5,FALSE)</x:f>
        <x:v>17.296790022132885</x:v>
      </x:c>
      <x:c r="M145" s="37" t="n">
        <x:f>1+Assumptions!$B$13*Assumptions!$B$14*Assumptions!$B$15</x:f>
        <x:v>1.31875</x:v>
      </x:c>
      <x:c r="N145" s="37" t="n">
        <x:f>IF(B145="Pensioner",1,1/(1+Assumptions!$B$6)^G145)</x:f>
        <x:v>0.22060198370796386</x:v>
      </x:c>
      <x:c r="O145" s="50" t="n">
        <x:f>J145*K145*L145*M145*N145</x:f>
        <x:v>383610.15165673813</x:v>
      </x:c>
    </x:row>
    <x:row r="146">
      <x:c r="A146" s="42" t="str">
        <x:f>Members!A146</x:f>
        <x:v>A0593</x:v>
      </x:c>
      <x:c r="B146" s="42" t="str">
        <x:f>Members!B146</x:f>
        <x:v>Active</x:v>
      </x:c>
      <x:c r="C146" s="42" t="n">
        <x:f>Members!C146</x:f>
        <x:v>56</x:v>
      </x:c>
      <x:c r="D146" s="44" t="n">
        <x:f>Members!D146</x:f>
        <x:v>22.6</x:v>
      </x:c>
      <x:c r="E146" s="48" t="n">
        <x:f>Members!E146</x:f>
        <x:v>2130000</x:v>
      </x:c>
      <x:c r="F146" s="48" t="n">
        <x:f>Members!F146</x:f>
        <x:v>0</x:v>
      </x:c>
      <x:c r="G146" s="46" t="n">
        <x:f>MAX(0,Assumptions!$B$10-C146)</x:f>
        <x:v>4</x:v>
      </x:c>
      <x:c r="H146" s="50" t="n">
        <x:f>IF(B146="Active",E146*(1+Assumptions!$B$7)^G146,E146)</x:f>
        <x:v>2638696.5058312495</x:v>
      </x:c>
      <x:c r="I146" s="50" t="n">
        <x:f>IF(B146="Active",MIN(Assumptions!$B$12,D146+G146),IF(B146="Deferred",MIN(Assumptions!$B$12,D146),D146))</x:f>
        <x:v>26.6</x:v>
      </x:c>
      <x:c r="J146" s="50" t="n">
        <x:f>IF(B146="Active",H146*I146*Assumptions!$B$11,IF(B146="Deferred",E146*I146*Assumptions!$B$11*(1+Assumptions!$B$9)^G146,F146))</x:f>
        <x:v>1169822.1175851873</x:v>
      </x:c>
      <x:c r="K146" s="37" t="n">
        <x:f>IF(B146="Pensioner",1,VLOOKUP(Assumptions!$B$10,Mortality!$A$2:$F$104,6,FALSE)/VLOOKUP(C146,Mortality!$A$2:$F$104,6,FALSE))</x:f>
        <x:v>0.990116255810422</x:v>
      </x:c>
      <x:c r="L146" s="37" t="n">
        <x:f>VLOOKUP(IF(B146="Pensioner",C146,Assumptions!$B$10),Mortality!$A$2:$E$104,5,FALSE)</x:f>
        <x:v>17.296790022132885</x:v>
      </x:c>
      <x:c r="M146" s="37" t="n">
        <x:f>1+Assumptions!$B$13*Assumptions!$B$14*Assumptions!$B$15</x:f>
        <x:v>1.31875</x:v>
      </x:c>
      <x:c r="N146" s="37" t="n">
        <x:f>IF(B146="Pensioner",1,1/(1+Assumptions!$B$6)^G146)</x:f>
        <x:v>0.777323090894817</x:v>
      </x:c>
      <x:c r="O146" s="50" t="n">
        <x:f>J146*K146*L146*M146*N146</x:f>
        <x:v>20536932.413571343</x:v>
      </x:c>
    </x:row>
    <x:row r="147">
      <x:c r="A147" s="42" t="str">
        <x:f>Members!A147</x:f>
        <x:v>A0051</x:v>
      </x:c>
      <x:c r="B147" s="42" t="str">
        <x:f>Members!B147</x:f>
        <x:v>Active</x:v>
      </x:c>
      <x:c r="C147" s="42" t="n">
        <x:f>Members!C147</x:f>
        <x:v>32</x:v>
      </x:c>
      <x:c r="D147" s="44" t="n">
        <x:f>Members!D147</x:f>
        <x:v>1.1</x:v>
      </x:c>
      <x:c r="E147" s="48" t="n">
        <x:f>Members!E147</x:f>
        <x:v>774000</x:v>
      </x:c>
      <x:c r="F147" s="48" t="n">
        <x:f>Members!F147</x:f>
        <x:v>0</x:v>
      </x:c>
      <x:c r="G147" s="46" t="n">
        <x:f>MAX(0,Assumptions!$B$10-C147)</x:f>
        <x:v>28</x:v>
      </x:c>
      <x:c r="H147" s="50" t="n">
        <x:f>IF(B147="Active",E147*(1+Assumptions!$B$7)^G147,E147)</x:f>
        <x:v>3465850.5399409514</x:v>
      </x:c>
      <x:c r="I147" s="50" t="n">
        <x:f>IF(B147="Active",MIN(Assumptions!$B$12,D147+G147),IF(B147="Deferred",MIN(Assumptions!$B$12,D147),D147))</x:f>
        <x:v>29.1</x:v>
      </x:c>
      <x:c r="J147" s="50" t="n">
        <x:f>IF(B147="Active",H147*I147*Assumptions!$B$11,IF(B147="Deferred",E147*I147*Assumptions!$B$11*(1+Assumptions!$B$9)^G147,F147))</x:f>
        <x:v>1680937.5118713614</x:v>
      </x:c>
      <x:c r="K147" s="37" t="n">
        <x:f>IF(B147="Pensioner",1,VLOOKUP(Assumptions!$B$10,Mortality!$A$2:$F$104,6,FALSE)/VLOOKUP(C147,Mortality!$A$2:$F$104,6,FALSE))</x:f>
        <x:v>0.9709584687664957</x:v>
      </x:c>
      <x:c r="L147" s="37" t="n">
        <x:f>VLOOKUP(IF(B147="Pensioner",C147,Assumptions!$B$10),Mortality!$A$2:$E$104,5,FALSE)</x:f>
        <x:v>17.296790022132885</x:v>
      </x:c>
      <x:c r="M147" s="37" t="n">
        <x:f>1+Assumptions!$B$13*Assumptions!$B$14*Assumptions!$B$15</x:f>
        <x:v>1.31875</x:v>
      </x:c>
      <x:c r="N147" s="37" t="n">
        <x:f>IF(B147="Pensioner",1,1/(1+Assumptions!$B$6)^G147)</x:f>
        <x:v>0.17147901583340255</x:v>
      </x:c>
      <x:c r="O147" s="50" t="n">
        <x:f>J147*K147*L147*M147*N147</x:f>
        <x:v>6383975.200390827</x:v>
      </x:c>
    </x:row>
    <x:row r="148">
      <x:c r="A148" s="42" t="str">
        <x:f>Members!A148</x:f>
        <x:v>P0097</x:v>
      </x:c>
      <x:c r="B148" s="42" t="str">
        <x:f>Members!B148</x:f>
        <x:v>Pensioner</x:v>
      </x:c>
      <x:c r="C148" s="42" t="n">
        <x:f>Members!C148</x:f>
        <x:v>83</x:v>
      </x:c>
      <x:c r="D148" s="44" t="n">
        <x:f>Members!D148</x:f>
        <x:v>24.8</x:v>
      </x:c>
      <x:c r="E148" s="48" t="n">
        <x:f>Members!E148</x:f>
        <x:v>0</x:v>
      </x:c>
      <x:c r="F148" s="48" t="n">
        <x:f>Members!F148</x:f>
        <x:v>384000</x:v>
      </x:c>
      <x:c r="G148" s="46" t="n">
        <x:f>MAX(0,Assumptions!$B$10-C148)</x:f>
        <x:v>0</x:v>
      </x:c>
      <x:c r="H148" s="50" t="n">
        <x:f>IF(B148="Active",E148*(1+Assumptions!$B$7)^G148,E148)</x:f>
        <x:v>0</x:v>
      </x:c>
      <x:c r="I148" s="50" t="n">
        <x:f>IF(B148="Active",MIN(Assumptions!$B$12,D148+G148),IF(B148="Deferred",MIN(Assumptions!$B$12,D148),D148))</x:f>
        <x:v>24.8</x:v>
      </x:c>
      <x:c r="J148" s="50" t="n">
        <x:f>IF(B148="Active",H148*I148*Assumptions!$B$11,IF(B148="Deferred",E148*I148*Assumptions!$B$11*(1+Assumptions!$B$9)^G148,F148))</x:f>
        <x:v>384000</x:v>
      </x:c>
      <x:c r="K148" s="37" t="n">
        <x:f>IF(B148="Pensioner",1,VLOOKUP(Assumptions!$B$10,Mortality!$A$2:$F$104,6,FALSE)/VLOOKUP(C148,Mortality!$A$2:$F$104,6,FALSE))</x:f>
        <x:v>1</x:v>
      </x:c>
      <x:c r="L148" s="37" t="n">
        <x:f>VLOOKUP(IF(B148="Pensioner",C148,Assumptions!$B$10),Mortality!$A$2:$E$104,5,FALSE)</x:f>
        <x:v>7.066956273830788</x:v>
      </x:c>
      <x:c r="M148" s="37" t="n">
        <x:f>1+Assumptions!$B$13*Assumptions!$B$14*Assumptions!$B$15</x:f>
        <x:v>1.31875</x:v>
      </x:c>
      <x:c r="N148" s="37" t="n">
        <x:f>IF(B148="Pensioner",1,1/(1+Assumptions!$B$6)^G148)</x:f>
        <x:v>1</x:v>
      </x:c>
      <x:c r="O148" s="50" t="n">
        <x:f>J148*K148*L148*M148*N148</x:f>
        <x:v>3578706.6570679112</x:v>
      </x:c>
    </x:row>
    <x:row r="149">
      <x:c r="A149" s="42" t="str">
        <x:f>Members!A149</x:f>
        <x:v>P0012</x:v>
      </x:c>
      <x:c r="B149" s="42" t="str">
        <x:f>Members!B149</x:f>
        <x:v>Pensioner</x:v>
      </x:c>
      <x:c r="C149" s="42" t="n">
        <x:f>Members!C149</x:f>
        <x:v>81</x:v>
      </x:c>
      <x:c r="D149" s="44" t="n">
        <x:f>Members!D149</x:f>
        <x:v>20.7</x:v>
      </x:c>
      <x:c r="E149" s="48" t="n">
        <x:f>Members!E149</x:f>
        <x:v>0</x:v>
      </x:c>
      <x:c r="F149" s="48" t="n">
        <x:f>Members!F149</x:f>
        <x:v>596000</x:v>
      </x:c>
      <x:c r="G149" s="46" t="n">
        <x:f>MAX(0,Assumptions!$B$10-C149)</x:f>
        <x:v>0</x:v>
      </x:c>
      <x:c r="H149" s="50" t="n">
        <x:f>IF(B149="Active",E149*(1+Assumptions!$B$7)^G149,E149)</x:f>
        <x:v>0</x:v>
      </x:c>
      <x:c r="I149" s="50" t="n">
        <x:f>IF(B149="Active",MIN(Assumptions!$B$12,D149+G149),IF(B149="Deferred",MIN(Assumptions!$B$12,D149),D149))</x:f>
        <x:v>20.7</x:v>
      </x:c>
      <x:c r="J149" s="50" t="n">
        <x:f>IF(B149="Active",H149*I149*Assumptions!$B$11,IF(B149="Deferred",E149*I149*Assumptions!$B$11*(1+Assumptions!$B$9)^G149,F149))</x:f>
        <x:v>596000</x:v>
      </x:c>
      <x:c r="K149" s="37" t="n">
        <x:f>IF(B149="Pensioner",1,VLOOKUP(Assumptions!$B$10,Mortality!$A$2:$F$104,6,FALSE)/VLOOKUP(C149,Mortality!$A$2:$F$104,6,FALSE))</x:f>
        <x:v>1</x:v>
      </x:c>
      <x:c r="L149" s="37" t="n">
        <x:f>VLOOKUP(IF(B149="Pensioner",C149,Assumptions!$B$10),Mortality!$A$2:$E$104,5,FALSE)</x:f>
        <x:v>7.936897714048503</x:v>
      </x:c>
      <x:c r="M149" s="37" t="n">
        <x:f>1+Assumptions!$B$13*Assumptions!$B$14*Assumptions!$B$15</x:f>
        <x:v>1.31875</x:v>
      </x:c>
      <x:c r="N149" s="37" t="n">
        <x:f>IF(B149="Pensioner",1,1/(1+Assumptions!$B$6)^G149)</x:f>
        <x:v>1</x:v>
      </x:c>
      <x:c r="O149" s="50" t="n">
        <x:f>J149*K149*L149*M149*N149</x:f>
        <x:v>6238203.180799273</x:v>
      </x:c>
    </x:row>
    <x:row r="150">
      <x:c r="A150" s="42" t="str">
        <x:f>Members!A150</x:f>
        <x:v>A0579</x:v>
      </x:c>
      <x:c r="B150" s="42" t="str">
        <x:f>Members!B150</x:f>
        <x:v>Active</x:v>
      </x:c>
      <x:c r="C150" s="42" t="n">
        <x:f>Members!C150</x:f>
        <x:v>33</x:v>
      </x:c>
      <x:c r="D150" s="44" t="n">
        <x:f>Members!D150</x:f>
        <x:v>11.7</x:v>
      </x:c>
      <x:c r="E150" s="48" t="n">
        <x:f>Members!E150</x:f>
        <x:v>577000</x:v>
      </x:c>
      <x:c r="F150" s="48" t="n">
        <x:f>Members!F150</x:f>
        <x:v>0</x:v>
      </x:c>
      <x:c r="G150" s="46" t="n">
        <x:f>MAX(0,Assumptions!$B$10-C150)</x:f>
        <x:v>27</x:v>
      </x:c>
      <x:c r="H150" s="50" t="n">
        <x:f>IF(B150="Active",E150*(1+Assumptions!$B$7)^G150,E150)</x:f>
        <x:v>2449019.3878613333</x:v>
      </x:c>
      <x:c r="I150" s="50" t="n">
        <x:f>IF(B150="Active",MIN(Assumptions!$B$12,D150+G150),IF(B150="Deferred",MIN(Assumptions!$B$12,D150),D150))</x:f>
        <x:v>38.7</x:v>
      </x:c>
      <x:c r="J150" s="50" t="n">
        <x:f>IF(B150="Active",H150*I150*Assumptions!$B$11,IF(B150="Deferred",E150*I150*Assumptions!$B$11*(1+Assumptions!$B$9)^G150,F150))</x:f>
        <x:v>1579617.5051705602</x:v>
      </x:c>
      <x:c r="K150" s="37" t="n">
        <x:f>IF(B150="Pensioner",1,VLOOKUP(Assumptions!$B$10,Mortality!$A$2:$F$104,6,FALSE)/VLOOKUP(C150,Mortality!$A$2:$F$104,6,FALSE))</x:f>
        <x:v>0.9712826176321353</x:v>
      </x:c>
      <x:c r="L150" s="37" t="n">
        <x:f>VLOOKUP(IF(B150="Pensioner",C150,Assumptions!$B$10),Mortality!$A$2:$E$104,5,FALSE)</x:f>
        <x:v>17.296790022132885</x:v>
      </x:c>
      <x:c r="M150" s="37" t="n">
        <x:f>1+Assumptions!$B$13*Assumptions!$B$14*Assumptions!$B$15</x:f>
        <x:v>1.31875</x:v>
      </x:c>
      <x:c r="N150" s="37" t="n">
        <x:f>IF(B150="Pensioner",1,1/(1+Assumptions!$B$6)^G150)</x:f>
        <x:v>0.1826251518625737</x:v>
      </x:c>
      <x:c r="O150" s="50" t="n">
        <x:f>J150*K150*L150*M150*N150</x:f>
        <x:v>6391254.778014281</x:v>
      </x:c>
    </x:row>
    <x:row r="151">
      <x:c r="A151" s="42" t="str">
        <x:f>Members!A151</x:f>
        <x:v>A0402</x:v>
      </x:c>
      <x:c r="B151" s="42" t="str">
        <x:f>Members!B151</x:f>
        <x:v>Active</x:v>
      </x:c>
      <x:c r="C151" s="42" t="n">
        <x:f>Members!C151</x:f>
        <x:v>41</x:v>
      </x:c>
      <x:c r="D151" s="44" t="n">
        <x:f>Members!D151</x:f>
        <x:v>6.5</x:v>
      </x:c>
      <x:c r="E151" s="48" t="n">
        <x:f>Members!E151</x:f>
        <x:v>935000</x:v>
      </x:c>
      <x:c r="F151" s="48" t="n">
        <x:f>Members!F151</x:f>
        <x:v>0</x:v>
      </x:c>
      <x:c r="G151" s="46" t="n">
        <x:f>MAX(0,Assumptions!$B$10-C151)</x:f>
        <x:v>19</x:v>
      </x:c>
      <x:c r="H151" s="50" t="n">
        <x:f>IF(B151="Active",E151*(1+Assumptions!$B$7)^G151,E151)</x:f>
        <x:v>2585879.861341065</x:v>
      </x:c>
      <x:c r="I151" s="50" t="n">
        <x:f>IF(B151="Active",MIN(Assumptions!$B$12,D151+G151),IF(B151="Deferred",MIN(Assumptions!$B$12,D151),D151))</x:f>
        <x:v>25.5</x:v>
      </x:c>
      <x:c r="J151" s="50" t="n">
        <x:f>IF(B151="Active",H151*I151*Assumptions!$B$11,IF(B151="Deferred",E151*I151*Assumptions!$B$11*(1+Assumptions!$B$9)^G151,F151))</x:f>
        <x:v>1098998.9410699524</x:v>
      </x:c>
      <x:c r="K151" s="37" t="n">
        <x:f>IF(B151="Pensioner",1,VLOOKUP(Assumptions!$B$10,Mortality!$A$2:$F$104,6,FALSE)/VLOOKUP(C151,Mortality!$A$2:$F$104,6,FALSE))</x:f>
        <x:v>0.9745478954079534</x:v>
      </x:c>
      <x:c r="L151" s="37" t="n">
        <x:f>VLOOKUP(IF(B151="Pensioner",C151,Assumptions!$B$10),Mortality!$A$2:$E$104,5,FALSE)</x:f>
        <x:v>17.296790022132885</x:v>
      </x:c>
      <x:c r="M151" s="37" t="n">
        <x:f>1+Assumptions!$B$13*Assumptions!$B$14*Assumptions!$B$15</x:f>
        <x:v>1.31875</x:v>
      </x:c>
      <x:c r="N151" s="37" t="n">
        <x:f>IF(B151="Pensioner",1,1/(1+Assumptions!$B$6)^G151)</x:f>
        <x:v>0.30224383580131214</x:v>
      </x:c>
      <x:c r="O151" s="50" t="n">
        <x:f>J151*K151*L151*M151*N151</x:f>
        <x:v>7383901.592228718</x:v>
      </x:c>
    </x:row>
    <x:row r="152">
      <x:c r="A152" s="42" t="str">
        <x:f>Members!A152</x:f>
        <x:v>D0007</x:v>
      </x:c>
      <x:c r="B152" s="42" t="str">
        <x:f>Members!B152</x:f>
        <x:v>Deferred</x:v>
      </x:c>
      <x:c r="C152" s="42" t="n">
        <x:f>Members!C152</x:f>
        <x:v>30</x:v>
      </x:c>
      <x:c r="D152" s="44" t="n">
        <x:f>Members!D152</x:f>
        <x:v>4.9</x:v>
      </x:c>
      <x:c r="E152" s="48" t="n">
        <x:f>Members!E152</x:f>
        <x:v>510000</x:v>
      </x:c>
      <x:c r="F152" s="48" t="n">
        <x:f>Members!F152</x:f>
        <x:v>0</x:v>
      </x:c>
      <x:c r="G152" s="46" t="n">
        <x:f>MAX(0,Assumptions!$B$10-C152)</x:f>
        <x:v>30</x:v>
      </x:c>
      <x:c r="H152" s="50" t="n">
        <x:f>IF(B152="Active",E152*(1+Assumptions!$B$7)^G152,E152)</x:f>
        <x:v>510000</x:v>
      </x:c>
      <x:c r="I152" s="50" t="n">
        <x:f>IF(B152="Active",MIN(Assumptions!$B$12,D152+G152),IF(B152="Deferred",MIN(Assumptions!$B$12,D152),D152))</x:f>
        <x:v>4.9</x:v>
      </x:c>
      <x:c r="J152" s="50" t="n">
        <x:f>IF(B152="Active",H152*I152*Assumptions!$B$11,IF(B152="Deferred",E152*I152*Assumptions!$B$11*(1+Assumptions!$B$9)^G152,F152))</x:f>
        <x:v>135087.50629264713</x:v>
      </x:c>
      <x:c r="K152" s="37" t="n">
        <x:f>IF(B152="Pensioner",1,VLOOKUP(Assumptions!$B$10,Mortality!$A$2:$F$104,6,FALSE)/VLOOKUP(C152,Mortality!$A$2:$F$104,6,FALSE))</x:f>
        <x:v>0.9703456880318753</x:v>
      </x:c>
      <x:c r="L152" s="37" t="n">
        <x:f>VLOOKUP(IF(B152="Pensioner",C152,Assumptions!$B$10),Mortality!$A$2:$E$104,5,FALSE)</x:f>
        <x:v>17.296790022132885</x:v>
      </x:c>
      <x:c r="M152" s="37" t="n">
        <x:f>1+Assumptions!$B$13*Assumptions!$B$14*Assumptions!$B$15</x:f>
        <x:v>1.31875</x:v>
      </x:c>
      <x:c r="N152" s="37" t="n">
        <x:f>IF(B152="Pensioner",1,1/(1+Assumptions!$B$6)^G152)</x:f>
        <x:v>0.1511860661098129</x:v>
      </x:c>
      <x:c r="O152" s="50" t="n">
        <x:f>J152*K152*L152*M152*N152</x:f>
        <x:v>452044.7374019793</x:v>
      </x:c>
    </x:row>
    <x:row r="153">
      <x:c r="A153" s="42" t="str">
        <x:f>Members!A153</x:f>
        <x:v>A0581</x:v>
      </x:c>
      <x:c r="B153" s="42" t="str">
        <x:f>Members!B153</x:f>
        <x:v>Active</x:v>
      </x:c>
      <x:c r="C153" s="42" t="n">
        <x:f>Members!C153</x:f>
        <x:v>45</x:v>
      </x:c>
      <x:c r="D153" s="44" t="n">
        <x:f>Members!D153</x:f>
        <x:v>10.3</x:v>
      </x:c>
      <x:c r="E153" s="48" t="n">
        <x:f>Members!E153</x:f>
        <x:v>1119000</x:v>
      </x:c>
      <x:c r="F153" s="48" t="n">
        <x:f>Members!F153</x:f>
        <x:v>0</x:v>
      </x:c>
      <x:c r="G153" s="46" t="n">
        <x:f>MAX(0,Assumptions!$B$10-C153)</x:f>
        <x:v>15</x:v>
      </x:c>
      <x:c r="H153" s="50" t="n">
        <x:f>IF(B153="Active",E153*(1+Assumptions!$B$7)^G153,E153)</x:f>
        <x:v>2498141.1948142657</x:v>
      </x:c>
      <x:c r="I153" s="50" t="n">
        <x:f>IF(B153="Active",MIN(Assumptions!$B$12,D153+G153),IF(B153="Deferred",MIN(Assumptions!$B$12,D153),D153))</x:f>
        <x:v>25.3</x:v>
      </x:c>
      <x:c r="J153" s="50" t="n">
        <x:f>IF(B153="Active",H153*I153*Assumptions!$B$11,IF(B153="Deferred",E153*I153*Assumptions!$B$11*(1+Assumptions!$B$9)^G153,F153))</x:f>
        <x:v>1053382.8704800154</x:v>
      </x:c>
      <x:c r="K153" s="37" t="n">
        <x:f>IF(B153="Pensioner",1,VLOOKUP(Assumptions!$B$10,Mortality!$A$2:$F$104,6,FALSE)/VLOOKUP(C153,Mortality!$A$2:$F$104,6,FALSE))</x:f>
        <x:v>0.9769349478194655</x:v>
      </x:c>
      <x:c r="L153" s="37" t="n">
        <x:f>VLOOKUP(IF(B153="Pensioner",C153,Assumptions!$B$10),Mortality!$A$2:$E$104,5,FALSE)</x:f>
        <x:v>17.296790022132885</x:v>
      </x:c>
      <x:c r="M153" s="37" t="n">
        <x:f>1+Assumptions!$B$13*Assumptions!$B$14*Assumptions!$B$15</x:f>
        <x:v>1.31875</x:v>
      </x:c>
      <x:c r="N153" s="37" t="n">
        <x:f>IF(B153="Pensioner",1,1/(1+Assumptions!$B$6)^G153)</x:f>
        <x:v>0.38882652444221566</x:v>
      </x:c>
      <x:c r="O153" s="50" t="n">
        <x:f>J153*K153*L153*M153*N153</x:f>
        <x:v>9127162.16744611</x:v>
      </x:c>
    </x:row>
    <x:row r="154">
      <x:c r="A154" s="42" t="str">
        <x:f>Members!A154</x:f>
        <x:v>D0120</x:v>
      </x:c>
      <x:c r="B154" s="42" t="str">
        <x:f>Members!B154</x:f>
        <x:v>Deferred</x:v>
      </x:c>
      <x:c r="C154" s="42" t="n">
        <x:f>Members!C154</x:f>
        <x:v>37</x:v>
      </x:c>
      <x:c r="D154" s="44" t="n">
        <x:f>Members!D154</x:f>
        <x:v>8.2</x:v>
      </x:c>
      <x:c r="E154" s="48" t="n">
        <x:f>Members!E154</x:f>
        <x:v>633000</x:v>
      </x:c>
      <x:c r="F154" s="48" t="n">
        <x:f>Members!F154</x:f>
        <x:v>0</x:v>
      </x:c>
      <x:c r="G154" s="46" t="n">
        <x:f>MAX(0,Assumptions!$B$10-C154)</x:f>
        <x:v>23</x:v>
      </x:c>
      <x:c r="H154" s="50" t="n">
        <x:f>IF(B154="Active",E154*(1+Assumptions!$B$7)^G154,E154)</x:f>
        <x:v>633000</x:v>
      </x:c>
      <x:c r="I154" s="50" t="n">
        <x:f>IF(B154="Active",MIN(Assumptions!$B$12,D154+G154),IF(B154="Deferred",MIN(Assumptions!$B$12,D154),D154))</x:f>
        <x:v>8.2</x:v>
      </x:c>
      <x:c r="J154" s="50" t="n">
        <x:f>IF(B154="Active",H154*I154*Assumptions!$B$11,IF(B154="Deferred",E154*I154*Assumptions!$B$11*(1+Assumptions!$B$9)^G154,F154))</x:f>
        <x:v>213222.54163921683</x:v>
      </x:c>
      <x:c r="K154" s="37" t="n">
        <x:f>IF(B154="Pensioner",1,VLOOKUP(Assumptions!$B$10,Mortality!$A$2:$F$104,6,FALSE)/VLOOKUP(C154,Mortality!$A$2:$F$104,6,FALSE))</x:f>
        <x:v>0.9727356141265188</x:v>
      </x:c>
      <x:c r="L154" s="37" t="n">
        <x:f>VLOOKUP(IF(B154="Pensioner",C154,Assumptions!$B$10),Mortality!$A$2:$E$104,5,FALSE)</x:f>
        <x:v>17.296790022132885</x:v>
      </x:c>
      <x:c r="M154" s="37" t="n">
        <x:f>1+Assumptions!$B$13*Assumptions!$B$14*Assumptions!$B$15</x:f>
        <x:v>1.31875</x:v>
      </x:c>
      <x:c r="N154" s="37" t="n">
        <x:f>IF(B154="Pensioner",1,1/(1+Assumptions!$B$6)^G154)</x:f>
        <x:v>0.23494111264898151</x:v>
      </x:c>
      <x:c r="O154" s="50" t="n">
        <x:f>J154*K154*L154*M154*N154</x:f>
        <x:v>1111514.0063007022</x:v>
      </x:c>
    </x:row>
    <x:row r="155">
      <x:c r="A155" s="42" t="str">
        <x:f>Members!A155</x:f>
        <x:v>A0460</x:v>
      </x:c>
      <x:c r="B155" s="42" t="str">
        <x:f>Members!B155</x:f>
        <x:v>Active</x:v>
      </x:c>
      <x:c r="C155" s="42" t="n">
        <x:f>Members!C155</x:f>
        <x:v>39</x:v>
      </x:c>
      <x:c r="D155" s="44" t="n">
        <x:f>Members!D155</x:f>
        <x:v>8.5</x:v>
      </x:c>
      <x:c r="E155" s="48" t="n">
        <x:f>Members!E155</x:f>
        <x:v>918000</x:v>
      </x:c>
      <x:c r="F155" s="48" t="n">
        <x:f>Members!F155</x:f>
        <x:v>0</x:v>
      </x:c>
      <x:c r="G155" s="46" t="n">
        <x:f>MAX(0,Assumptions!$B$10-C155)</x:f>
        <x:v>21</x:v>
      </x:c>
      <x:c r="H155" s="50" t="n">
        <x:f>IF(B155="Active",E155*(1+Assumptions!$B$7)^G155,E155)</x:f>
        <x:v>2825818.952075154</x:v>
      </x:c>
      <x:c r="I155" s="50" t="n">
        <x:f>IF(B155="Active",MIN(Assumptions!$B$12,D155+G155),IF(B155="Deferred",MIN(Assumptions!$B$12,D155),D155))</x:f>
        <x:v>29.5</x:v>
      </x:c>
      <x:c r="J155" s="50" t="n">
        <x:f>IF(B155="Active",H155*I155*Assumptions!$B$11,IF(B155="Deferred",E155*I155*Assumptions!$B$11*(1+Assumptions!$B$9)^G155,F155))</x:f>
        <x:v>1389360.984770284</x:v>
      </x:c>
      <x:c r="K155" s="37" t="n">
        <x:f>IF(B155="Pensioner",1,VLOOKUP(Assumptions!$B$10,Mortality!$A$2:$F$104,6,FALSE)/VLOOKUP(C155,Mortality!$A$2:$F$104,6,FALSE))</x:f>
        <x:v>0.973585741778878</x:v>
      </x:c>
      <x:c r="L155" s="37" t="n">
        <x:f>VLOOKUP(IF(B155="Pensioner",C155,Assumptions!$B$10),Mortality!$A$2:$E$104,5,FALSE)</x:f>
        <x:v>17.296790022132885</x:v>
      </x:c>
      <x:c r="M155" s="37" t="n">
        <x:f>1+Assumptions!$B$13*Assumptions!$B$14*Assumptions!$B$15</x:f>
        <x:v>1.31875</x:v>
      </x:c>
      <x:c r="N155" s="37" t="n">
        <x:f>IF(B155="Pensioner",1,1/(1+Assumptions!$B$6)^G155)</x:f>
        <x:v>0.26647608349429097</x:v>
      </x:c>
      <x:c r="O155" s="50" t="n">
        <x:f>J155*K155*L155*M155*N155</x:f>
        <x:v>8221963.163886113</x:v>
      </x:c>
    </x:row>
    <x:row r="156">
      <x:c r="A156" s="42" t="str">
        <x:f>Members!A156</x:f>
        <x:v>A0130</x:v>
      </x:c>
      <x:c r="B156" s="42" t="str">
        <x:f>Members!B156</x:f>
        <x:v>Active</x:v>
      </x:c>
      <x:c r="C156" s="42" t="n">
        <x:f>Members!C156</x:f>
        <x:v>54</x:v>
      </x:c>
      <x:c r="D156" s="44" t="n">
        <x:f>Members!D156</x:f>
        <x:v>14.3</x:v>
      </x:c>
      <x:c r="E156" s="48" t="n">
        <x:f>Members!E156</x:f>
        <x:v>1778000</x:v>
      </x:c>
      <x:c r="F156" s="48" t="n">
        <x:f>Members!F156</x:f>
        <x:v>0</x:v>
      </x:c>
      <x:c r="G156" s="46" t="n">
        <x:f>MAX(0,Assumptions!$B$10-C156)</x:f>
        <x:v>6</x:v>
      </x:c>
      <x:c r="H156" s="50" t="n">
        <x:f>IF(B156="Active",E156*(1+Assumptions!$B$7)^G156,E156)</x:f>
        <x:v>2451582.510422641</x:v>
      </x:c>
      <x:c r="I156" s="50" t="n">
        <x:f>IF(B156="Active",MIN(Assumptions!$B$12,D156+G156),IF(B156="Deferred",MIN(Assumptions!$B$12,D156),D156))</x:f>
        <x:v>20.3</x:v>
      </x:c>
      <x:c r="J156" s="50" t="n">
        <x:f>IF(B156="Active",H156*I156*Assumptions!$B$11,IF(B156="Deferred",E156*I156*Assumptions!$B$11*(1+Assumptions!$B$9)^G156,F156))</x:f>
        <x:v>829452.0826929936</x:v>
      </x:c>
      <x:c r="K156" s="37" t="n">
        <x:f>IF(B156="Pensioner",1,VLOOKUP(Assumptions!$B$10,Mortality!$A$2:$F$104,6,FALSE)/VLOOKUP(C156,Mortality!$A$2:$F$104,6,FALSE))</x:f>
        <x:v>0.9865535119056937</x:v>
      </x:c>
      <x:c r="L156" s="37" t="n">
        <x:f>VLOOKUP(IF(B156="Pensioner",C156,Assumptions!$B$10),Mortality!$A$2:$E$104,5,FALSE)</x:f>
        <x:v>17.296790022132885</x:v>
      </x:c>
      <x:c r="M156" s="37" t="n">
        <x:f>1+Assumptions!$B$13*Assumptions!$B$14*Assumptions!$B$15</x:f>
        <x:v>1.31875</x:v>
      </x:c>
      <x:c r="N156" s="37" t="n">
        <x:f>IF(B156="Pensioner",1,1/(1+Assumptions!$B$6)^G156)</x:f>
        <x:v>0.6853341187990187</x:v>
      </x:c>
      <x:c r="O156" s="50" t="n">
        <x:f>J156*K156*L156*M156*N156</x:f>
        <x:v>12792113.028994381</x:v>
      </x:c>
    </x:row>
    <x:row r="157">
      <x:c r="A157" s="42" t="str">
        <x:f>Members!A157</x:f>
        <x:v>P0194</x:v>
      </x:c>
      <x:c r="B157" s="42" t="str">
        <x:f>Members!B157</x:f>
        <x:v>Pensioner</x:v>
      </x:c>
      <x:c r="C157" s="42" t="n">
        <x:f>Members!C157</x:f>
        <x:v>84</x:v>
      </x:c>
      <x:c r="D157" s="44" t="n">
        <x:f>Members!D157</x:f>
        <x:v>17.1</x:v>
      </x:c>
      <x:c r="E157" s="48" t="n">
        <x:f>Members!E157</x:f>
        <x:v>0</x:v>
      </x:c>
      <x:c r="F157" s="48" t="n">
        <x:f>Members!F157</x:f>
        <x:v>805000</x:v>
      </x:c>
      <x:c r="G157" s="46" t="n">
        <x:f>MAX(0,Assumptions!$B$10-C157)</x:f>
        <x:v>0</x:v>
      </x:c>
      <x:c r="H157" s="50" t="n">
        <x:f>IF(B157="Active",E157*(1+Assumptions!$B$7)^G157,E157)</x:f>
        <x:v>0</x:v>
      </x:c>
      <x:c r="I157" s="50" t="n">
        <x:f>IF(B157="Active",MIN(Assumptions!$B$12,D157+G157),IF(B157="Deferred",MIN(Assumptions!$B$12,D157),D157))</x:f>
        <x:v>17.1</x:v>
      </x:c>
      <x:c r="J157" s="50" t="n">
        <x:f>IF(B157="Active",H157*I157*Assumptions!$B$11,IF(B157="Deferred",E157*I157*Assumptions!$B$11*(1+Assumptions!$B$9)^G157,F157))</x:f>
        <x:v>805000</x:v>
      </x:c>
      <x:c r="K157" s="37" t="n">
        <x:f>IF(B157="Pensioner",1,VLOOKUP(Assumptions!$B$10,Mortality!$A$2:$F$104,6,FALSE)/VLOOKUP(C157,Mortality!$A$2:$F$104,6,FALSE))</x:f>
        <x:v>1</x:v>
      </x:c>
      <x:c r="L157" s="37" t="n">
        <x:f>VLOOKUP(IF(B157="Pensioner",C157,Assumptions!$B$10),Mortality!$A$2:$E$104,5,FALSE)</x:f>
        <x:v>6.643272096517531</x:v>
      </x:c>
      <x:c r="M157" s="37" t="n">
        <x:f>1+Assumptions!$B$13*Assumptions!$B$14*Assumptions!$B$15</x:f>
        <x:v>1.31875</x:v>
      </x:c>
      <x:c r="N157" s="37" t="n">
        <x:f>IF(B157="Pensioner",1,1/(1+Assumptions!$B$6)^G157)</x:f>
        <x:v>1</x:v>
      </x:c>
      <x:c r="O157" s="50" t="n">
        <x:f>J157*K157*L157*M157*N157</x:f>
        <x:v>7052456.137212409</x:v>
      </x:c>
    </x:row>
    <x:row r="158">
      <x:c r="A158" s="42" t="str">
        <x:f>Members!A158</x:f>
        <x:v>P0168</x:v>
      </x:c>
      <x:c r="B158" s="42" t="str">
        <x:f>Members!B158</x:f>
        <x:v>Pensioner</x:v>
      </x:c>
      <x:c r="C158" s="42" t="n">
        <x:f>Members!C158</x:f>
        <x:v>69</x:v>
      </x:c>
      <x:c r="D158" s="44" t="n">
        <x:f>Members!D158</x:f>
        <x:v>27.7</x:v>
      </x:c>
      <x:c r="E158" s="48" t="n">
        <x:f>Members!E158</x:f>
        <x:v>0</x:v>
      </x:c>
      <x:c r="F158" s="48" t="n">
        <x:f>Members!F158</x:f>
        <x:v>347000</x:v>
      </x:c>
      <x:c r="G158" s="46" t="n">
        <x:f>MAX(0,Assumptions!$B$10-C158)</x:f>
        <x:v>0</x:v>
      </x:c>
      <x:c r="H158" s="50" t="n">
        <x:f>IF(B158="Active",E158*(1+Assumptions!$B$7)^G158,E158)</x:f>
        <x:v>0</x:v>
      </x:c>
      <x:c r="I158" s="50" t="n">
        <x:f>IF(B158="Active",MIN(Assumptions!$B$12,D158+G158),IF(B158="Deferred",MIN(Assumptions!$B$12,D158),D158))</x:f>
        <x:v>27.7</x:v>
      </x:c>
      <x:c r="J158" s="50" t="n">
        <x:f>IF(B158="Active",H158*I158*Assumptions!$B$11,IF(B158="Deferred",E158*I158*Assumptions!$B$11*(1+Assumptions!$B$9)^G158,F158))</x:f>
        <x:v>347000</x:v>
      </x:c>
      <x:c r="K158" s="37" t="n">
        <x:f>IF(B158="Pensioner",1,VLOOKUP(Assumptions!$B$10,Mortality!$A$2:$F$104,6,FALSE)/VLOOKUP(C158,Mortality!$A$2:$F$104,6,FALSE))</x:f>
        <x:v>1</x:v>
      </x:c>
      <x:c r="L158" s="37" t="n">
        <x:f>VLOOKUP(IF(B158="Pensioner",C158,Assumptions!$B$10),Mortality!$A$2:$E$104,5,FALSE)</x:f>
        <x:v>13.418448528291036</x:v>
      </x:c>
      <x:c r="M158" s="37" t="n">
        <x:f>1+Assumptions!$B$13*Assumptions!$B$14*Assumptions!$B$15</x:f>
        <x:v>1.31875</x:v>
      </x:c>
      <x:c r="N158" s="37" t="n">
        <x:f>IF(B158="Pensioner",1,1/(1+Assumptions!$B$6)^G158)</x:f>
        <x:v>1</x:v>
      </x:c>
      <x:c r="O158" s="50" t="n">
        <x:f>J158*K158*L158*M158*N158</x:f>
        <x:v>6140365.91184928</x:v>
      </x:c>
    </x:row>
    <x:row r="159">
      <x:c r="A159" s="42" t="str">
        <x:f>Members!A159</x:f>
        <x:v>A0386</x:v>
      </x:c>
      <x:c r="B159" s="42" t="str">
        <x:f>Members!B159</x:f>
        <x:v>Active</x:v>
      </x:c>
      <x:c r="C159" s="42" t="n">
        <x:f>Members!C159</x:f>
        <x:v>56</x:v>
      </x:c>
      <x:c r="D159" s="44" t="n">
        <x:f>Members!D159</x:f>
        <x:v>28.6</x:v>
      </x:c>
      <x:c r="E159" s="48" t="n">
        <x:f>Members!E159</x:f>
        <x:v>1579000</x:v>
      </x:c>
      <x:c r="F159" s="48" t="n">
        <x:f>Members!F159</x:f>
        <x:v>0</x:v>
      </x:c>
      <x:c r="G159" s="46" t="n">
        <x:f>MAX(0,Assumptions!$B$10-C159)</x:f>
        <x:v>4</x:v>
      </x:c>
      <x:c r="H159" s="50" t="n">
        <x:f>IF(B159="Active",E159*(1+Assumptions!$B$7)^G159,E159)</x:f>
        <x:v>1956104.1233368746</x:v>
      </x:c>
      <x:c r="I159" s="50" t="n">
        <x:f>IF(B159="Active",MIN(Assumptions!$B$12,D159+G159),IF(B159="Deferred",MIN(Assumptions!$B$12,D159),D159))</x:f>
        <x:v>32.6</x:v>
      </x:c>
      <x:c r="J159" s="50" t="n">
        <x:f>IF(B159="Active",H159*I159*Assumptions!$B$11,IF(B159="Deferred",E159*I159*Assumptions!$B$11*(1+Assumptions!$B$9)^G159,F159))</x:f>
        <x:v>1062816.573679702</x:v>
      </x:c>
      <x:c r="K159" s="37" t="n">
        <x:f>IF(B159="Pensioner",1,VLOOKUP(Assumptions!$B$10,Mortality!$A$2:$F$104,6,FALSE)/VLOOKUP(C159,Mortality!$A$2:$F$104,6,FALSE))</x:f>
        <x:v>0.990116255810422</x:v>
      </x:c>
      <x:c r="L159" s="37" t="n">
        <x:f>VLOOKUP(IF(B159="Pensioner",C159,Assumptions!$B$10),Mortality!$A$2:$E$104,5,FALSE)</x:f>
        <x:v>17.296790022132885</x:v>
      </x:c>
      <x:c r="M159" s="37" t="n">
        <x:f>1+Assumptions!$B$13*Assumptions!$B$14*Assumptions!$B$15</x:f>
        <x:v>1.31875</x:v>
      </x:c>
      <x:c r="N159" s="37" t="n">
        <x:f>IF(B159="Pensioner",1,1/(1+Assumptions!$B$6)^G159)</x:f>
        <x:v>0.777323090894817</x:v>
      </x:c>
      <x:c r="O159" s="50" t="n">
        <x:f>J159*K159*L159*M159*N159</x:f>
        <x:v>18658385.590058777</x:v>
      </x:c>
    </x:row>
    <x:row r="160">
      <x:c r="A160" s="42" t="str">
        <x:f>Members!A160</x:f>
        <x:v>A0452</x:v>
      </x:c>
      <x:c r="B160" s="42" t="str">
        <x:f>Members!B160</x:f>
        <x:v>Active</x:v>
      </x:c>
      <x:c r="C160" s="42" t="n">
        <x:f>Members!C160</x:f>
        <x:v>44</x:v>
      </x:c>
      <x:c r="D160" s="44" t="n">
        <x:f>Members!D160</x:f>
        <x:v>6.7</x:v>
      </x:c>
      <x:c r="E160" s="48" t="n">
        <x:f>Members!E160</x:f>
        <x:v>1263000</x:v>
      </x:c>
      <x:c r="F160" s="48" t="n">
        <x:f>Members!F160</x:f>
        <x:v>0</x:v>
      </x:c>
      <x:c r="G160" s="46" t="n">
        <x:f>MAX(0,Assumptions!$B$10-C160)</x:f>
        <x:v>16</x:v>
      </x:c>
      <x:c r="H160" s="50" t="n">
        <x:f>IF(B160="Active",E160*(1+Assumptions!$B$7)^G160,E160)</x:f>
        <x:v>2974696.7892298396</x:v>
      </x:c>
      <x:c r="I160" s="50" t="n">
        <x:f>IF(B160="Active",MIN(Assumptions!$B$12,D160+G160),IF(B160="Deferred",MIN(Assumptions!$B$12,D160),D160))</x:f>
        <x:v>22.7</x:v>
      </x:c>
      <x:c r="J160" s="50" t="n">
        <x:f>IF(B160="Active",H160*I160*Assumptions!$B$11,IF(B160="Deferred",E160*I160*Assumptions!$B$11*(1+Assumptions!$B$9)^G160,F160))</x:f>
        <x:v>1125426.9519252894</x:v>
      </x:c>
      <x:c r="K160" s="37" t="n">
        <x:f>IF(B160="Pensioner",1,VLOOKUP(Assumptions!$B$10,Mortality!$A$2:$F$104,6,FALSE)/VLOOKUP(C160,Mortality!$A$2:$F$104,6,FALSE))</x:f>
        <x:v>0.9762682212178733</x:v>
      </x:c>
      <x:c r="L160" s="37" t="n">
        <x:f>VLOOKUP(IF(B160="Pensioner",C160,Assumptions!$B$10),Mortality!$A$2:$E$104,5,FALSE)</x:f>
        <x:v>17.296790022132885</x:v>
      </x:c>
      <x:c r="M160" s="37" t="n">
        <x:f>1+Assumptions!$B$13*Assumptions!$B$14*Assumptions!$B$15</x:f>
        <x:v>1.31875</x:v>
      </x:c>
      <x:c r="N160" s="37" t="n">
        <x:f>IF(B160="Pensioner",1,1/(1+Assumptions!$B$6)^G160)</x:f>
        <x:v>0.3650953281147565</x:v>
      </x:c>
      <x:c r="O160" s="50" t="n">
        <x:f>J160*K160*L160*M160*N160</x:f>
        <x:v>9149992.23884532</x:v>
      </x:c>
    </x:row>
    <x:row r="161">
      <x:c r="A161" s="42" t="str">
        <x:f>Members!A161</x:f>
        <x:v>A0425</x:v>
      </x:c>
      <x:c r="B161" s="42" t="str">
        <x:f>Members!B161</x:f>
        <x:v>Active</x:v>
      </x:c>
      <x:c r="C161" s="42" t="n">
        <x:f>Members!C161</x:f>
        <x:v>47</x:v>
      </x:c>
      <x:c r="D161" s="44" t="n">
        <x:f>Members!D161</x:f>
        <x:v>16.3</x:v>
      </x:c>
      <x:c r="E161" s="48" t="n">
        <x:f>Members!E161</x:f>
        <x:v>995000</x:v>
      </x:c>
      <x:c r="F161" s="48" t="n">
        <x:f>Members!F161</x:f>
        <x:v>0</x:v>
      </x:c>
      <x:c r="G161" s="46" t="n">
        <x:f>MAX(0,Assumptions!$B$10-C161)</x:f>
        <x:v>13</x:v>
      </x:c>
      <x:c r="H161" s="50" t="n">
        <x:f>IF(B161="Active",E161*(1+Assumptions!$B$7)^G161,E161)</x:f>
        <x:v>1995745.027988374</x:v>
      </x:c>
      <x:c r="I161" s="50" t="n">
        <x:f>IF(B161="Active",MIN(Assumptions!$B$12,D161+G161),IF(B161="Deferred",MIN(Assumptions!$B$12,D161),D161))</x:f>
        <x:v>29.3</x:v>
      </x:c>
      <x:c r="J161" s="50" t="n">
        <x:f>IF(B161="Active",H161*I161*Assumptions!$B$11,IF(B161="Deferred",E161*I161*Assumptions!$B$11*(1+Assumptions!$B$9)^G161,F161))</x:f>
        <x:v>974588.8220009893</x:v>
      </x:c>
      <x:c r="K161" s="37" t="n">
        <x:f>IF(B161="Pensioner",1,VLOOKUP(Assumptions!$B$10,Mortality!$A$2:$F$104,6,FALSE)/VLOOKUP(C161,Mortality!$A$2:$F$104,6,FALSE))</x:f>
        <x:v>0.9784451675747989</x:v>
      </x:c>
      <x:c r="L161" s="37" t="n">
        <x:f>VLOOKUP(IF(B161="Pensioner",C161,Assumptions!$B$10),Mortality!$A$2:$E$104,5,FALSE)</x:f>
        <x:v>17.296790022132885</x:v>
      </x:c>
      <x:c r="M161" s="37" t="n">
        <x:f>1+Assumptions!$B$13*Assumptions!$B$14*Assumptions!$B$15</x:f>
        <x:v>1.31875</x:v>
      </x:c>
      <x:c r="N161" s="37" t="n">
        <x:f>IF(B161="Pensioner",1,1/(1+Assumptions!$B$6)^G161)</x:f>
        <x:v>0.4410167646854719</x:v>
      </x:c>
      <x:c r="O161" s="50" t="n">
        <x:f>J161*K161*L161*M161*N161</x:f>
        <x:v>9592703.109325942</x:v>
      </x:c>
    </x:row>
    <x:row r="162">
      <x:c r="A162" s="42" t="str">
        <x:f>Members!A162</x:f>
        <x:v>D0115</x:v>
      </x:c>
      <x:c r="B162" s="42" t="str">
        <x:f>Members!B162</x:f>
        <x:v>Deferred</x:v>
      </x:c>
      <x:c r="C162" s="42" t="n">
        <x:f>Members!C162</x:f>
        <x:v>43</x:v>
      </x:c>
      <x:c r="D162" s="44" t="n">
        <x:f>Members!D162</x:f>
        <x:v>16.1</x:v>
      </x:c>
      <x:c r="E162" s="48" t="n">
        <x:f>Members!E162</x:f>
        <x:v>821000</x:v>
      </x:c>
      <x:c r="F162" s="48" t="n">
        <x:f>Members!F162</x:f>
        <x:v>0</x:v>
      </x:c>
      <x:c r="G162" s="46" t="n">
        <x:f>MAX(0,Assumptions!$B$10-C162)</x:f>
        <x:v>17</x:v>
      </x:c>
      <x:c r="H162" s="50" t="n">
        <x:f>IF(B162="Active",E162*(1+Assumptions!$B$7)^G162,E162)</x:f>
        <x:v>821000</x:v>
      </x:c>
      <x:c r="I162" s="50" t="n">
        <x:f>IF(B162="Active",MIN(Assumptions!$B$12,D162+G162),IF(B162="Deferred",MIN(Assumptions!$B$12,D162),D162))</x:f>
        <x:v>16.1</x:v>
      </x:c>
      <x:c r="J162" s="50" t="n">
        <x:f>IF(B162="Active",H162*I162*Assumptions!$B$11,IF(B162="Deferred",E162*I162*Assumptions!$B$11*(1+Assumptions!$B$9)^G162,F162))</x:f>
        <x:v>429125.72567187477</x:v>
      </x:c>
      <x:c r="K162" s="37" t="n">
        <x:f>IF(B162="Pensioner",1,VLOOKUP(Assumptions!$B$10,Mortality!$A$2:$F$104,6,FALSE)/VLOOKUP(C162,Mortality!$A$2:$F$104,6,FALSE))</x:f>
        <x:v>0.975651758424938</x:v>
      </x:c>
      <x:c r="L162" s="37" t="n">
        <x:f>VLOOKUP(IF(B162="Pensioner",C162,Assumptions!$B$10),Mortality!$A$2:$E$104,5,FALSE)</x:f>
        <x:v>17.296790022132885</x:v>
      </x:c>
      <x:c r="M162" s="37" t="n">
        <x:f>1+Assumptions!$B$13*Assumptions!$B$14*Assumptions!$B$15</x:f>
        <x:v>1.31875</x:v>
      </x:c>
      <x:c r="N162" s="37" t="n">
        <x:f>IF(B162="Pensioner",1,1/(1+Assumptions!$B$6)^G162)</x:f>
        <x:v>0.34281251466174323</x:v>
      </x:c>
      <x:c r="O162" s="50" t="n">
        <x:f>J162*K162*L162*M162*N162</x:f>
        <x:v>3273889.6441484406</x:v>
      </x:c>
    </x:row>
    <x:row r="163">
      <x:c r="A163" s="42" t="str">
        <x:f>Members!A163</x:f>
        <x:v>A0316</x:v>
      </x:c>
      <x:c r="B163" s="42" t="str">
        <x:f>Members!B163</x:f>
        <x:v>Active</x:v>
      </x:c>
      <x:c r="C163" s="42" t="n">
        <x:f>Members!C163</x:f>
        <x:v>42</x:v>
      </x:c>
      <x:c r="D163" s="44" t="n">
        <x:f>Members!D163</x:f>
        <x:v>5.6</x:v>
      </x:c>
      <x:c r="E163" s="48" t="n">
        <x:f>Members!E163</x:f>
        <x:v>794000</x:v>
      </x:c>
      <x:c r="F163" s="48" t="n">
        <x:f>Members!F163</x:f>
        <x:v>0</x:v>
      </x:c>
      <x:c r="G163" s="46" t="n">
        <x:f>MAX(0,Assumptions!$B$10-C163)</x:f>
        <x:v>18</x:v>
      </x:c>
      <x:c r="H163" s="50" t="n">
        <x:f>IF(B163="Active",E163*(1+Assumptions!$B$7)^G163,E163)</x:f>
        <x:v>2081444.2151251293</x:v>
      </x:c>
      <x:c r="I163" s="50" t="n">
        <x:f>IF(B163="Active",MIN(Assumptions!$B$12,D163+G163),IF(B163="Deferred",MIN(Assumptions!$B$12,D163),D163))</x:f>
        <x:v>23.6</x:v>
      </x:c>
      <x:c r="J163" s="50" t="n">
        <x:f>IF(B163="Active",H163*I163*Assumptions!$B$11,IF(B163="Deferred",E163*I163*Assumptions!$B$11*(1+Assumptions!$B$9)^G163,F163))</x:f>
        <x:v>818701.3912825509</x:v>
      </x:c>
      <x:c r="K163" s="37" t="n">
        <x:f>IF(B163="Pensioner",1,VLOOKUP(Assumptions!$B$10,Mortality!$A$2:$F$104,6,FALSE)/VLOOKUP(C163,Mortality!$A$2:$F$104,6,FALSE))</x:f>
        <x:v>0.9750799707838386</x:v>
      </x:c>
      <x:c r="L163" s="37" t="n">
        <x:f>VLOOKUP(IF(B163="Pensioner",C163,Assumptions!$B$10),Mortality!$A$2:$E$104,5,FALSE)</x:f>
        <x:v>17.296790022132885</x:v>
      </x:c>
      <x:c r="M163" s="37" t="n">
        <x:f>1+Assumptions!$B$13*Assumptions!$B$14*Assumptions!$B$15</x:f>
        <x:v>1.31875</x:v>
      </x:c>
      <x:c r="N163" s="37" t="n">
        <x:f>IF(B163="Pensioner",1,1/(1+Assumptions!$B$6)^G163)</x:f>
        <x:v>0.3218896851283974</x:v>
      </x:c>
      <x:c r="O163" s="50" t="n">
        <x:f>J163*K163*L163*M163*N163</x:f>
        <x:v>5861392.57721183</x:v>
      </x:c>
    </x:row>
    <x:row r="164">
      <x:c r="A164" s="42" t="str">
        <x:f>Members!A164</x:f>
        <x:v>A0280</x:v>
      </x:c>
      <x:c r="B164" s="42" t="str">
        <x:f>Members!B164</x:f>
        <x:v>Active</x:v>
      </x:c>
      <x:c r="C164" s="42" t="n">
        <x:f>Members!C164</x:f>
        <x:v>47</x:v>
      </x:c>
      <x:c r="D164" s="44" t="n">
        <x:f>Members!D164</x:f>
        <x:v>20.3</x:v>
      </x:c>
      <x:c r="E164" s="48" t="n">
        <x:f>Members!E164</x:f>
        <x:v>1432000</x:v>
      </x:c>
      <x:c r="F164" s="48" t="n">
        <x:f>Members!F164</x:f>
        <x:v>0</x:v>
      </x:c>
      <x:c r="G164" s="46" t="n">
        <x:f>MAX(0,Assumptions!$B$10-C164)</x:f>
        <x:v>13</x:v>
      </x:c>
      <x:c r="H164" s="50" t="n">
        <x:f>IF(B164="Active",E164*(1+Assumptions!$B$7)^G164,E164)</x:f>
        <x:v>2872268.221185278</x:v>
      </x:c>
      <x:c r="I164" s="50" t="n">
        <x:f>IF(B164="Active",MIN(Assumptions!$B$12,D164+G164),IF(B164="Deferred",MIN(Assumptions!$B$12,D164),D164))</x:f>
        <x:v>33.3</x:v>
      </x:c>
      <x:c r="J164" s="50" t="n">
        <x:f>IF(B164="Active",H164*I164*Assumptions!$B$11,IF(B164="Deferred",E164*I164*Assumptions!$B$11*(1+Assumptions!$B$9)^G164,F164))</x:f>
        <x:v>1594108.8627578293</x:v>
      </x:c>
      <x:c r="K164" s="37" t="n">
        <x:f>IF(B164="Pensioner",1,VLOOKUP(Assumptions!$B$10,Mortality!$A$2:$F$104,6,FALSE)/VLOOKUP(C164,Mortality!$A$2:$F$104,6,FALSE))</x:f>
        <x:v>0.9784451675747989</x:v>
      </x:c>
      <x:c r="L164" s="37" t="n">
        <x:f>VLOOKUP(IF(B164="Pensioner",C164,Assumptions!$B$10),Mortality!$A$2:$E$104,5,FALSE)</x:f>
        <x:v>17.296790022132885</x:v>
      </x:c>
      <x:c r="M164" s="37" t="n">
        <x:f>1+Assumptions!$B$13*Assumptions!$B$14*Assumptions!$B$15</x:f>
        <x:v>1.31875</x:v>
      </x:c>
      <x:c r="N164" s="37" t="n">
        <x:f>IF(B164="Pensioner",1,1/(1+Assumptions!$B$6)^G164)</x:f>
        <x:v>0.4410167646854719</x:v>
      </x:c>
      <x:c r="O164" s="50" t="n">
        <x:f>J164*K164*L164*M164*N164</x:f>
        <x:v>15690527.840227526</x:v>
      </x:c>
    </x:row>
    <x:row r="165">
      <x:c r="A165" s="42" t="str">
        <x:f>Members!A165</x:f>
        <x:v>A0511</x:v>
      </x:c>
      <x:c r="B165" s="42" t="str">
        <x:f>Members!B165</x:f>
        <x:v>Active</x:v>
      </x:c>
      <x:c r="C165" s="42" t="n">
        <x:f>Members!C165</x:f>
        <x:v>48</x:v>
      </x:c>
      <x:c r="D165" s="44" t="n">
        <x:f>Members!D165</x:f>
        <x:v>7.9</x:v>
      </x:c>
      <x:c r="E165" s="48" t="n">
        <x:f>Members!E165</x:f>
        <x:v>1218000</x:v>
      </x:c>
      <x:c r="F165" s="48" t="n">
        <x:f>Members!F165</x:f>
        <x:v>0</x:v>
      </x:c>
      <x:c r="G165" s="46" t="n">
        <x:f>MAX(0,Assumptions!$B$10-C165)</x:f>
        <x:v>12</x:v>
      </x:c>
      <x:c r="H165" s="50" t="n">
        <x:f>IF(B165="Active",E165*(1+Assumptions!$B$7)^G165,E165)</x:f>
        <x:v>2315670.7176544713</x:v>
      </x:c>
      <x:c r="I165" s="50" t="n">
        <x:f>IF(B165="Active",MIN(Assumptions!$B$12,D165+G165),IF(B165="Deferred",MIN(Assumptions!$B$12,D165),D165))</x:f>
        <x:v>19.9</x:v>
      </x:c>
      <x:c r="J165" s="50" t="n">
        <x:f>IF(B165="Active",H165*I165*Assumptions!$B$11,IF(B165="Deferred",E165*I165*Assumptions!$B$11*(1+Assumptions!$B$9)^G165,F165))</x:f>
        <x:v>768030.7880220662</x:v>
      </x:c>
      <x:c r="K165" s="37" t="n">
        <x:f>IF(B165="Pensioner",1,VLOOKUP(Assumptions!$B$10,Mortality!$A$2:$F$104,6,FALSE)/VLOOKUP(C165,Mortality!$A$2:$F$104,6,FALSE))</x:f>
        <x:v>0.9793037429736591</x:v>
      </x:c>
      <x:c r="L165" s="37" t="n">
        <x:f>VLOOKUP(IF(B165="Pensioner",C165,Assumptions!$B$10),Mortality!$A$2:$E$104,5,FALSE)</x:f>
        <x:v>17.296790022132885</x:v>
      </x:c>
      <x:c r="M165" s="37" t="n">
        <x:f>1+Assumptions!$B$13*Assumptions!$B$14*Assumptions!$B$15</x:f>
        <x:v>1.31875</x:v>
      </x:c>
      <x:c r="N165" s="37" t="n">
        <x:f>IF(B165="Pensioner",1,1/(1+Assumptions!$B$6)^G165)</x:f>
        <x:v>0.4696828543900276</x:v>
      </x:c>
      <x:c r="O165" s="50" t="n">
        <x:f>J165*K165*L165*M165*N165</x:f>
        <x:v>8058027.346731541</x:v>
      </x:c>
    </x:row>
    <x:row r="166">
      <x:c r="A166" s="42" t="str">
        <x:f>Members!A166</x:f>
        <x:v>A0349</x:v>
      </x:c>
      <x:c r="B166" s="42" t="str">
        <x:f>Members!B166</x:f>
        <x:v>Active</x:v>
      </x:c>
      <x:c r="C166" s="42" t="n">
        <x:f>Members!C166</x:f>
        <x:v>55</x:v>
      </x:c>
      <x:c r="D166" s="44" t="n">
        <x:f>Members!D166</x:f>
        <x:v>4.2</x:v>
      </x:c>
      <x:c r="E166" s="48" t="n">
        <x:f>Members!E166</x:f>
        <x:v>1735000</x:v>
      </x:c>
      <x:c r="F166" s="48" t="n">
        <x:f>Members!F166</x:f>
        <x:v>0</x:v>
      </x:c>
      <x:c r="G166" s="46" t="n">
        <x:f>MAX(0,Assumptions!$B$10-C166)</x:f>
        <x:v>5</x:v>
      </x:c>
      <x:c r="H166" s="50" t="n">
        <x:f>IF(B166="Active",E166*(1+Assumptions!$B$7)^G166,E166)</x:f>
        <x:v>2267575.611120265</x:v>
      </x:c>
      <x:c r="I166" s="50" t="n">
        <x:f>IF(B166="Active",MIN(Assumptions!$B$12,D166+G166),IF(B166="Deferred",MIN(Assumptions!$B$12,D166),D166))</x:f>
        <x:v>9.2</x:v>
      </x:c>
      <x:c r="J166" s="50" t="n">
        <x:f>IF(B166="Active",H166*I166*Assumptions!$B$11,IF(B166="Deferred",E166*I166*Assumptions!$B$11*(1+Assumptions!$B$9)^G166,F166))</x:f>
        <x:v>347694.9270384406</x:v>
      </x:c>
      <x:c r="K166" s="37" t="n">
        <x:f>IF(B166="Pensioner",1,VLOOKUP(Assumptions!$B$10,Mortality!$A$2:$F$104,6,FALSE)/VLOOKUP(C166,Mortality!$A$2:$F$104,6,FALSE))</x:f>
        <x:v>0.9882419087499175</x:v>
      </x:c>
      <x:c r="L166" s="37" t="n">
        <x:f>VLOOKUP(IF(B166="Pensioner",C166,Assumptions!$B$10),Mortality!$A$2:$E$104,5,FALSE)</x:f>
        <x:v>17.296790022132885</x:v>
      </x:c>
      <x:c r="M166" s="37" t="n">
        <x:f>1+Assumptions!$B$13*Assumptions!$B$14*Assumptions!$B$15</x:f>
        <x:v>1.31875</x:v>
      </x:c>
      <x:c r="N166" s="37" t="n">
        <x:f>IF(B166="Pensioner",1,1/(1+Assumptions!$B$6)^G166)</x:f>
        <x:v>0.7298808365209549</x:v>
      </x:c>
      <x:c r="O166" s="50" t="n">
        <x:f>J166*K166*L166*M166*N166</x:f>
        <x:v>5720599.825259514</x:v>
      </x:c>
    </x:row>
    <x:row r="167">
      <x:c r="A167" s="42" t="str">
        <x:f>Members!A167</x:f>
        <x:v>P0013</x:v>
      </x:c>
      <x:c r="B167" s="42" t="str">
        <x:f>Members!B167</x:f>
        <x:v>Pensioner</x:v>
      </x:c>
      <x:c r="C167" s="42" t="n">
        <x:f>Members!C167</x:f>
        <x:v>66</x:v>
      </x:c>
      <x:c r="D167" s="44" t="n">
        <x:f>Members!D167</x:f>
        <x:v>35.8</x:v>
      </x:c>
      <x:c r="E167" s="48" t="n">
        <x:f>Members!E167</x:f>
        <x:v>0</x:v>
      </x:c>
      <x:c r="F167" s="48" t="n">
        <x:f>Members!F167</x:f>
        <x:v>255000</x:v>
      </x:c>
      <x:c r="G167" s="46" t="n">
        <x:f>MAX(0,Assumptions!$B$10-C167)</x:f>
        <x:v>0</x:v>
      </x:c>
      <x:c r="H167" s="50" t="n">
        <x:f>IF(B167="Active",E167*(1+Assumptions!$B$7)^G167,E167)</x:f>
        <x:v>0</x:v>
      </x:c>
      <x:c r="I167" s="50" t="n">
        <x:f>IF(B167="Active",MIN(Assumptions!$B$12,D167+G167),IF(B167="Deferred",MIN(Assumptions!$B$12,D167),D167))</x:f>
        <x:v>35.8</x:v>
      </x:c>
      <x:c r="J167" s="50" t="n">
        <x:f>IF(B167="Active",H167*I167*Assumptions!$B$11,IF(B167="Deferred",E167*I167*Assumptions!$B$11*(1+Assumptions!$B$9)^G167,F167))</x:f>
        <x:v>255000</x:v>
      </x:c>
      <x:c r="K167" s="37" t="n">
        <x:f>IF(B167="Pensioner",1,VLOOKUP(Assumptions!$B$10,Mortality!$A$2:$F$104,6,FALSE)/VLOOKUP(C167,Mortality!$A$2:$F$104,6,FALSE))</x:f>
        <x:v>1</x:v>
      </x:c>
      <x:c r="L167" s="37" t="n">
        <x:f>VLOOKUP(IF(B167="Pensioner",C167,Assumptions!$B$10),Mortality!$A$2:$E$104,5,FALSE)</x:f>
        <x:v>14.759005103694845</x:v>
      </x:c>
      <x:c r="M167" s="37" t="n">
        <x:f>1+Assumptions!$B$13*Assumptions!$B$14*Assumptions!$B$15</x:f>
        <x:v>1.31875</x:v>
      </x:c>
      <x:c r="N167" s="37" t="n">
        <x:f>IF(B167="Pensioner",1,1/(1+Assumptions!$B$6)^G167)</x:f>
        <x:v>1</x:v>
      </x:c>
      <x:c r="O167" s="50" t="n">
        <x:f>J167*K167*L167*M167*N167</x:f>
        <x:v>4963176.685026882</x:v>
      </x:c>
    </x:row>
    <x:row r="168">
      <x:c r="A168" s="42" t="str">
        <x:f>Members!A168</x:f>
        <x:v>D0072</x:v>
      </x:c>
      <x:c r="B168" s="42" t="str">
        <x:f>Members!B168</x:f>
        <x:v>Deferred</x:v>
      </x:c>
      <x:c r="C168" s="42" t="n">
        <x:f>Members!C168</x:f>
        <x:v>30</x:v>
      </x:c>
      <x:c r="D168" s="44" t="n">
        <x:f>Members!D168</x:f>
        <x:v>2.7</x:v>
      </x:c>
      <x:c r="E168" s="48" t="n">
        <x:f>Members!E168</x:f>
        <x:v>383000</x:v>
      </x:c>
      <x:c r="F168" s="48" t="n">
        <x:f>Members!F168</x:f>
        <x:v>0</x:v>
      </x:c>
      <x:c r="G168" s="46" t="n">
        <x:f>MAX(0,Assumptions!$B$10-C168)</x:f>
        <x:v>30</x:v>
      </x:c>
      <x:c r="H168" s="50" t="n">
        <x:f>IF(B168="Active",E168*(1+Assumptions!$B$7)^G168,E168)</x:f>
        <x:v>383000</x:v>
      </x:c>
      <x:c r="I168" s="50" t="n">
        <x:f>IF(B168="Active",MIN(Assumptions!$B$12,D168+G168),IF(B168="Deferred",MIN(Assumptions!$B$12,D168),D168))</x:f>
        <x:v>2.7</x:v>
      </x:c>
      <x:c r="J168" s="50" t="n">
        <x:f>IF(B168="Active",H168*I168*Assumptions!$B$11,IF(B168="Deferred",E168*I168*Assumptions!$B$11*(1+Assumptions!$B$9)^G168,F168))</x:f>
        <x:v>55899.956085324695</x:v>
      </x:c>
      <x:c r="K168" s="37" t="n">
        <x:f>IF(B168="Pensioner",1,VLOOKUP(Assumptions!$B$10,Mortality!$A$2:$F$104,6,FALSE)/VLOOKUP(C168,Mortality!$A$2:$F$104,6,FALSE))</x:f>
        <x:v>0.9703456880318753</x:v>
      </x:c>
      <x:c r="L168" s="37" t="n">
        <x:f>VLOOKUP(IF(B168="Pensioner",C168,Assumptions!$B$10),Mortality!$A$2:$E$104,5,FALSE)</x:f>
        <x:v>17.296790022132885</x:v>
      </x:c>
      <x:c r="M168" s="37" t="n">
        <x:f>1+Assumptions!$B$13*Assumptions!$B$14*Assumptions!$B$15</x:f>
        <x:v>1.31875</x:v>
      </x:c>
      <x:c r="N168" s="37" t="n">
        <x:f>IF(B168="Pensioner",1,1/(1+Assumptions!$B$6)^G168)</x:f>
        <x:v>0.1511860661098129</x:v>
      </x:c>
      <x:c r="O168" s="50" t="n">
        <x:f>J168*K168*L168*M168*N168</x:f>
        <x:v>187058.60862240367</x:v>
      </x:c>
    </x:row>
    <x:row r="169">
      <x:c r="A169" s="42" t="str">
        <x:f>Members!A169</x:f>
        <x:v>P0160</x:v>
      </x:c>
      <x:c r="B169" s="42" t="str">
        <x:f>Members!B169</x:f>
        <x:v>Pensioner</x:v>
      </x:c>
      <x:c r="C169" s="42" t="n">
        <x:f>Members!C169</x:f>
        <x:v>89</x:v>
      </x:c>
      <x:c r="D169" s="44" t="n">
        <x:f>Members!D169</x:f>
        <x:v>36.6</x:v>
      </x:c>
      <x:c r="E169" s="48" t="n">
        <x:f>Members!E169</x:f>
        <x:v>0</x:v>
      </x:c>
      <x:c r="F169" s="48" t="n">
        <x:f>Members!F169</x:f>
        <x:v>791000</x:v>
      </x:c>
      <x:c r="G169" s="46" t="n">
        <x:f>MAX(0,Assumptions!$B$10-C169)</x:f>
        <x:v>0</x:v>
      </x:c>
      <x:c r="H169" s="50" t="n">
        <x:f>IF(B169="Active",E169*(1+Assumptions!$B$7)^G169,E169)</x:f>
        <x:v>0</x:v>
      </x:c>
      <x:c r="I169" s="50" t="n">
        <x:f>IF(B169="Active",MIN(Assumptions!$B$12,D169+G169),IF(B169="Deferred",MIN(Assumptions!$B$12,D169),D169))</x:f>
        <x:v>36.6</x:v>
      </x:c>
      <x:c r="J169" s="50" t="n">
        <x:f>IF(B169="Active",H169*I169*Assumptions!$B$11,IF(B169="Deferred",E169*I169*Assumptions!$B$11*(1+Assumptions!$B$9)^G169,F169))</x:f>
        <x:v>791000</x:v>
      </x:c>
      <x:c r="K169" s="37" t="n">
        <x:f>IF(B169="Pensioner",1,VLOOKUP(Assumptions!$B$10,Mortality!$A$2:$F$104,6,FALSE)/VLOOKUP(C169,Mortality!$A$2:$F$104,6,FALSE))</x:f>
        <x:v>1</x:v>
      </x:c>
      <x:c r="L169" s="37" t="n">
        <x:f>VLOOKUP(IF(B169="Pensioner",C169,Assumptions!$B$10),Mortality!$A$2:$E$104,5,FALSE)</x:f>
        <x:v>4.671582182389365</x:v>
      </x:c>
      <x:c r="M169" s="37" t="n">
        <x:f>1+Assumptions!$B$13*Assumptions!$B$14*Assumptions!$B$15</x:f>
        <x:v>1.31875</x:v>
      </x:c>
      <x:c r="N169" s="37" t="n">
        <x:f>IF(B169="Pensioner",1,1/(1+Assumptions!$B$6)^G169)</x:f>
        <x:v>1</x:v>
      </x:c>
      <x:c r="O169" s="50" t="n">
        <x:f>J169*K169*L169*M169*N169</x:f>
        <x:v>4873073.361393547</x:v>
      </x:c>
    </x:row>
    <x:row r="170">
      <x:c r="A170" s="42" t="str">
        <x:f>Members!A170</x:f>
        <x:v>P0178</x:v>
      </x:c>
      <x:c r="B170" s="42" t="str">
        <x:f>Members!B170</x:f>
        <x:v>Pensioner</x:v>
      </x:c>
      <x:c r="C170" s="42" t="n">
        <x:f>Members!C170</x:f>
        <x:v>85</x:v>
      </x:c>
      <x:c r="D170" s="44" t="n">
        <x:f>Members!D170</x:f>
        <x:v>37.2</x:v>
      </x:c>
      <x:c r="E170" s="48" t="n">
        <x:f>Members!E170</x:f>
        <x:v>0</x:v>
      </x:c>
      <x:c r="F170" s="48" t="n">
        <x:f>Members!F170</x:f>
        <x:v>308000</x:v>
      </x:c>
      <x:c r="G170" s="46" t="n">
        <x:f>MAX(0,Assumptions!$B$10-C170)</x:f>
        <x:v>0</x:v>
      </x:c>
      <x:c r="H170" s="50" t="n">
        <x:f>IF(B170="Active",E170*(1+Assumptions!$B$7)^G170,E170)</x:f>
        <x:v>0</x:v>
      </x:c>
      <x:c r="I170" s="50" t="n">
        <x:f>IF(B170="Active",MIN(Assumptions!$B$12,D170+G170),IF(B170="Deferred",MIN(Assumptions!$B$12,D170),D170))</x:f>
        <x:v>37.2</x:v>
      </x:c>
      <x:c r="J170" s="50" t="n">
        <x:f>IF(B170="Active",H170*I170*Assumptions!$B$11,IF(B170="Deferred",E170*I170*Assumptions!$B$11*(1+Assumptions!$B$9)^G170,F170))</x:f>
        <x:v>308000</x:v>
      </x:c>
      <x:c r="K170" s="37" t="n">
        <x:f>IF(B170="Pensioner",1,VLOOKUP(Assumptions!$B$10,Mortality!$A$2:$F$104,6,FALSE)/VLOOKUP(C170,Mortality!$A$2:$F$104,6,FALSE))</x:f>
        <x:v>1</x:v>
      </x:c>
      <x:c r="L170" s="37" t="n">
        <x:f>VLOOKUP(IF(B170="Pensioner",C170,Assumptions!$B$10),Mortality!$A$2:$E$104,5,FALSE)</x:f>
        <x:v>6.2282827560748935</x:v>
      </x:c>
      <x:c r="M170" s="37" t="n">
        <x:f>1+Assumptions!$B$13*Assumptions!$B$14*Assumptions!$B$15</x:f>
        <x:v>1.31875</x:v>
      </x:c>
      <x:c r="N170" s="37" t="n">
        <x:f>IF(B170="Pensioner",1,1/(1+Assumptions!$B$6)^G170)</x:f>
        <x:v>1</x:v>
      </x:c>
      <x:c r="O170" s="50" t="n">
        <x:f>J170*K170*L170*M170*N170</x:f>
        <x:v>2529772.74844872</x:v>
      </x:c>
    </x:row>
    <x:row r="171">
      <x:c r="A171" s="42" t="str">
        <x:f>Members!A171</x:f>
        <x:v>A0066</x:v>
      </x:c>
      <x:c r="B171" s="42" t="str">
        <x:f>Members!B171</x:f>
        <x:v>Active</x:v>
      </x:c>
      <x:c r="C171" s="42" t="n">
        <x:f>Members!C171</x:f>
        <x:v>34</x:v>
      </x:c>
      <x:c r="D171" s="44" t="n">
        <x:f>Members!D171</x:f>
        <x:v>9.8</x:v>
      </x:c>
      <x:c r="E171" s="48" t="n">
        <x:f>Members!E171</x:f>
        <x:v>828000</x:v>
      </x:c>
      <x:c r="F171" s="48" t="n">
        <x:f>Members!F171</x:f>
        <x:v>0</x:v>
      </x:c>
      <x:c r="G171" s="46" t="n">
        <x:f>MAX(0,Assumptions!$B$10-C171)</x:f>
        <x:v>26</x:v>
      </x:c>
      <x:c r="H171" s="50" t="n">
        <x:f>IF(B171="Active",E171*(1+Assumptions!$B$7)^G171,E171)</x:f>
        <x:v>3331150.75221432</x:v>
      </x:c>
      <x:c r="I171" s="50" t="n">
        <x:f>IF(B171="Active",MIN(Assumptions!$B$12,D171+G171),IF(B171="Deferred",MIN(Assumptions!$B$12,D171),D171))</x:f>
        <x:v>35.8</x:v>
      </x:c>
      <x:c r="J171" s="50" t="n">
        <x:f>IF(B171="Active",H171*I171*Assumptions!$B$11,IF(B171="Deferred",E171*I171*Assumptions!$B$11*(1+Assumptions!$B$9)^G171,F171))</x:f>
        <x:v>1987586.6154878775</x:v>
      </x:c>
      <x:c r="K171" s="37" t="n">
        <x:f>IF(B171="Pensioner",1,VLOOKUP(Assumptions!$B$10,Mortality!$A$2:$F$104,6,FALSE)/VLOOKUP(C171,Mortality!$A$2:$F$104,6,FALSE))</x:f>
        <x:v>0.9716205819233391</x:v>
      </x:c>
      <x:c r="L171" s="37" t="n">
        <x:f>VLOOKUP(IF(B171="Pensioner",C171,Assumptions!$B$10),Mortality!$A$2:$E$104,5,FALSE)</x:f>
        <x:v>17.296790022132885</x:v>
      </x:c>
      <x:c r="M171" s="37" t="n">
        <x:f>1+Assumptions!$B$13*Assumptions!$B$14*Assumptions!$B$15</x:f>
        <x:v>1.31875</x:v>
      </x:c>
      <x:c r="N171" s="37" t="n">
        <x:f>IF(B171="Pensioner",1,1/(1+Assumptions!$B$6)^G171)</x:f>
        <x:v>0.19449578673364096</x:v>
      </x:c>
      <x:c r="O171" s="50" t="n">
        <x:f>J171*K171*L171*M171*N171</x:f>
        <x:v>8567634.938221589</x:v>
      </x:c>
    </x:row>
    <x:row r="172">
      <x:c r="A172" s="42" t="str">
        <x:f>Members!A172</x:f>
        <x:v>A0264</x:v>
      </x:c>
      <x:c r="B172" s="42" t="str">
        <x:f>Members!B172</x:f>
        <x:v>Active</x:v>
      </x:c>
      <x:c r="C172" s="42" t="n">
        <x:f>Members!C172</x:f>
        <x:v>57</x:v>
      </x:c>
      <x:c r="D172" s="44" t="n">
        <x:f>Members!D172</x:f>
        <x:v>15.8</x:v>
      </x:c>
      <x:c r="E172" s="48" t="n">
        <x:f>Members!E172</x:f>
        <x:v>1920000</x:v>
      </x:c>
      <x:c r="F172" s="48" t="n">
        <x:f>Members!F172</x:f>
        <x:v>0</x:v>
      </x:c>
      <x:c r="G172" s="46" t="n">
        <x:f>MAX(0,Assumptions!$B$10-C172)</x:f>
        <x:v>3</x:v>
      </x:c>
      <x:c r="H172" s="50" t="n">
        <x:f>IF(B172="Active",E172*(1+Assumptions!$B$7)^G172,E172)</x:f>
        <x:v>2254543.4399999995</x:v>
      </x:c>
      <x:c r="I172" s="50" t="n">
        <x:f>IF(B172="Active",MIN(Assumptions!$B$12,D172+G172),IF(B172="Deferred",MIN(Assumptions!$B$12,D172),D172))</x:f>
        <x:v>18.8</x:v>
      </x:c>
      <x:c r="J172" s="50" t="n">
        <x:f>IF(B172="Active",H172*I172*Assumptions!$B$11,IF(B172="Deferred",E172*I172*Assumptions!$B$11*(1+Assumptions!$B$9)^G172,F172))</x:f>
        <x:v>706423.6111999998</x:v>
      </x:c>
      <x:c r="K172" s="37" t="n">
        <x:f>IF(B172="Pensioner",1,VLOOKUP(Assumptions!$B$10,Mortality!$A$2:$F$104,6,FALSE)/VLOOKUP(C172,Mortality!$A$2:$F$104,6,FALSE))</x:f>
        <x:v>0.9922003892921417</x:v>
      </x:c>
      <x:c r="L172" s="37" t="n">
        <x:f>VLOOKUP(IF(B172="Pensioner",C172,Assumptions!$B$10),Mortality!$A$2:$E$104,5,FALSE)</x:f>
        <x:v>17.296790022132885</x:v>
      </x:c>
      <x:c r="M172" s="37" t="n">
        <x:f>1+Assumptions!$B$13*Assumptions!$B$14*Assumptions!$B$15</x:f>
        <x:v>1.31875</x:v>
      </x:c>
      <x:c r="N172" s="37" t="n">
        <x:f>IF(B172="Pensioner",1,1/(1+Assumptions!$B$6)^G172)</x:f>
        <x:v>0.8278490918029799</x:v>
      </x:c>
      <x:c r="O172" s="50" t="n">
        <x:f>J172*K172*L172*M172*N172</x:f>
        <x:v>13235603.916078899</x:v>
      </x:c>
    </x:row>
    <x:row r="173">
      <x:c r="A173" s="42" t="str">
        <x:f>Members!A173</x:f>
        <x:v>A0271</x:v>
      </x:c>
      <x:c r="B173" s="42" t="str">
        <x:f>Members!B173</x:f>
        <x:v>Active</x:v>
      </x:c>
      <x:c r="C173" s="42" t="n">
        <x:f>Members!C173</x:f>
        <x:v>59</x:v>
      </x:c>
      <x:c r="D173" s="44" t="n">
        <x:f>Members!D173</x:f>
        <x:v>11.5</x:v>
      </x:c>
      <x:c r="E173" s="48" t="n">
        <x:f>Members!E173</x:f>
        <x:v>2048000</x:v>
      </x:c>
      <x:c r="F173" s="48" t="n">
        <x:f>Members!F173</x:f>
        <x:v>0</x:v>
      </x:c>
      <x:c r="G173" s="46" t="n">
        <x:f>MAX(0,Assumptions!$B$10-C173)</x:f>
        <x:v>1</x:v>
      </x:c>
      <x:c r="H173" s="50" t="n">
        <x:f>IF(B173="Active",E173*(1+Assumptions!$B$7)^G173,E173)</x:f>
        <x:v>2160640</x:v>
      </x:c>
      <x:c r="I173" s="50" t="n">
        <x:f>IF(B173="Active",MIN(Assumptions!$B$12,D173+G173),IF(B173="Deferred",MIN(Assumptions!$B$12,D173),D173))</x:f>
        <x:v>12.5</x:v>
      </x:c>
      <x:c r="J173" s="50" t="n">
        <x:f>IF(B173="Active",H173*I173*Assumptions!$B$11,IF(B173="Deferred",E173*I173*Assumptions!$B$11*(1+Assumptions!$B$9)^G173,F173))</x:f>
        <x:v>450133.3333333333</x:v>
      </x:c>
      <x:c r="K173" s="37" t="n">
        <x:f>IF(B173="Pensioner",1,VLOOKUP(Assumptions!$B$10,Mortality!$A$2:$F$104,6,FALSE)/VLOOKUP(C173,Mortality!$A$2:$F$104,6,FALSE))</x:f>
        <x:v>0.9971096011831975</x:v>
      </x:c>
      <x:c r="L173" s="37" t="n">
        <x:f>VLOOKUP(IF(B173="Pensioner",C173,Assumptions!$B$10),Mortality!$A$2:$E$104,5,FALSE)</x:f>
        <x:v>17.296790022132885</x:v>
      </x:c>
      <x:c r="M173" s="37" t="n">
        <x:f>1+Assumptions!$B$13*Assumptions!$B$14*Assumptions!$B$15</x:f>
        <x:v>1.31875</x:v>
      </x:c>
      <x:c r="N173" s="37" t="n">
        <x:f>IF(B173="Pensioner",1,1/(1+Assumptions!$B$6)^G173)</x:f>
        <x:v>0.9389671361502347</x:v>
      </x:c>
      <x:c r="O173" s="50" t="n">
        <x:f>J173*K173*L173*M173*N173</x:f>
        <x:v>9613077.65928495</x:v>
      </x:c>
    </x:row>
    <x:row r="174">
      <x:c r="A174" s="42" t="str">
        <x:f>Members!A174</x:f>
        <x:v>P0218</x:v>
      </x:c>
      <x:c r="B174" s="42" t="str">
        <x:f>Members!B174</x:f>
        <x:v>Pensioner</x:v>
      </x:c>
      <x:c r="C174" s="42" t="n">
        <x:f>Members!C174</x:f>
        <x:v>78</x:v>
      </x:c>
      <x:c r="D174" s="44" t="n">
        <x:f>Members!D174</x:f>
        <x:v>30.2</x:v>
      </x:c>
      <x:c r="E174" s="48" t="n">
        <x:f>Members!E174</x:f>
        <x:v>0</x:v>
      </x:c>
      <x:c r="F174" s="48" t="n">
        <x:f>Members!F174</x:f>
        <x:v>356000</x:v>
      </x:c>
      <x:c r="G174" s="46" t="n">
        <x:f>MAX(0,Assumptions!$B$10-C174)</x:f>
        <x:v>0</x:v>
      </x:c>
      <x:c r="H174" s="50" t="n">
        <x:f>IF(B174="Active",E174*(1+Assumptions!$B$7)^G174,E174)</x:f>
        <x:v>0</x:v>
      </x:c>
      <x:c r="I174" s="50" t="n">
        <x:f>IF(B174="Active",MIN(Assumptions!$B$12,D174+G174),IF(B174="Deferred",MIN(Assumptions!$B$12,D174),D174))</x:f>
        <x:v>30.2</x:v>
      </x:c>
      <x:c r="J174" s="50" t="n">
        <x:f>IF(B174="Active",H174*I174*Assumptions!$B$11,IF(B174="Deferred",E174*I174*Assumptions!$B$11*(1+Assumptions!$B$9)^G174,F174))</x:f>
        <x:v>356000</x:v>
      </x:c>
      <x:c r="K174" s="37" t="n">
        <x:f>IF(B174="Pensioner",1,VLOOKUP(Assumptions!$B$10,Mortality!$A$2:$F$104,6,FALSE)/VLOOKUP(C174,Mortality!$A$2:$F$104,6,FALSE))</x:f>
        <x:v>1</x:v>
      </x:c>
      <x:c r="L174" s="37" t="n">
        <x:f>VLOOKUP(IF(B174="Pensioner",C174,Assumptions!$B$10),Mortality!$A$2:$E$104,5,FALSE)</x:f>
        <x:v>9.284717924120388</x:v>
      </x:c>
      <x:c r="M174" s="37" t="n">
        <x:f>1+Assumptions!$B$13*Assumptions!$B$14*Assumptions!$B$15</x:f>
        <x:v>1.31875</x:v>
      </x:c>
      <x:c r="N174" s="37" t="n">
        <x:f>IF(B174="Pensioner",1,1/(1+Assumptions!$B$6)^G174)</x:f>
        <x:v>1</x:v>
      </x:c>
      <x:c r="O174" s="50" t="n">
        <x:f>J174*K174*L174*M174*N174</x:f>
        <x:v>4358942.947426419</x:v>
      </x:c>
    </x:row>
    <x:row r="175">
      <x:c r="A175" s="42" t="str">
        <x:f>Members!A175</x:f>
        <x:v>P0005</x:v>
      </x:c>
      <x:c r="B175" s="42" t="str">
        <x:f>Members!B175</x:f>
        <x:v>Pensioner</x:v>
      </x:c>
      <x:c r="C175" s="42" t="n">
        <x:f>Members!C175</x:f>
        <x:v>86</x:v>
      </x:c>
      <x:c r="D175" s="44" t="n">
        <x:f>Members!D175</x:f>
        <x:v>18.2</x:v>
      </x:c>
      <x:c r="E175" s="48" t="n">
        <x:f>Members!E175</x:f>
        <x:v>0</x:v>
      </x:c>
      <x:c r="F175" s="48" t="n">
        <x:f>Members!F175</x:f>
        <x:v>531000</x:v>
      </x:c>
      <x:c r="G175" s="46" t="n">
        <x:f>MAX(0,Assumptions!$B$10-C175)</x:f>
        <x:v>0</x:v>
      </x:c>
      <x:c r="H175" s="50" t="n">
        <x:f>IF(B175="Active",E175*(1+Assumptions!$B$7)^G175,E175)</x:f>
        <x:v>0</x:v>
      </x:c>
      <x:c r="I175" s="50" t="n">
        <x:f>IF(B175="Active",MIN(Assumptions!$B$12,D175+G175),IF(B175="Deferred",MIN(Assumptions!$B$12,D175),D175))</x:f>
        <x:v>18.2</x:v>
      </x:c>
      <x:c r="J175" s="50" t="n">
        <x:f>IF(B175="Active",H175*I175*Assumptions!$B$11,IF(B175="Deferred",E175*I175*Assumptions!$B$11*(1+Assumptions!$B$9)^G175,F175))</x:f>
        <x:v>531000</x:v>
      </x:c>
      <x:c r="K175" s="37" t="n">
        <x:f>IF(B175="Pensioner",1,VLOOKUP(Assumptions!$B$10,Mortality!$A$2:$F$104,6,FALSE)/VLOOKUP(C175,Mortality!$A$2:$F$104,6,FALSE))</x:f>
        <x:v>1</x:v>
      </x:c>
      <x:c r="L175" s="37" t="n">
        <x:f>VLOOKUP(IF(B175="Pensioner",C175,Assumptions!$B$10),Mortality!$A$2:$E$104,5,FALSE)</x:f>
        <x:v>5.822832972912483</x:v>
      </x:c>
      <x:c r="M175" s="37" t="n">
        <x:f>1+Assumptions!$B$13*Assumptions!$B$14*Assumptions!$B$15</x:f>
        <x:v>1.31875</x:v>
      </x:c>
      <x:c r="N175" s="37" t="n">
        <x:f>IF(B175="Pensioner",1,1/(1+Assumptions!$B$6)^G175)</x:f>
        <x:v>1</x:v>
      </x:c>
      <x:c r="O175" s="50" t="n">
        <x:f>J175*K175*L175*M175*N175</x:f>
        <x:v>4077475.181988047</x:v>
      </x:c>
    </x:row>
    <x:row r="176">
      <x:c r="A176" s="42" t="str">
        <x:f>Members!A176</x:f>
        <x:v>A0582</x:v>
      </x:c>
      <x:c r="B176" s="42" t="str">
        <x:f>Members!B176</x:f>
        <x:v>Active</x:v>
      </x:c>
      <x:c r="C176" s="42" t="n">
        <x:f>Members!C176</x:f>
        <x:v>58</x:v>
      </x:c>
      <x:c r="D176" s="44" t="n">
        <x:f>Members!D176</x:f>
        <x:v>15.8</x:v>
      </x:c>
      <x:c r="E176" s="48" t="n">
        <x:f>Members!E176</x:f>
        <x:v>2255000</x:v>
      </x:c>
      <x:c r="F176" s="48" t="n">
        <x:f>Members!F176</x:f>
        <x:v>0</x:v>
      </x:c>
      <x:c r="G176" s="46" t="n">
        <x:f>MAX(0,Assumptions!$B$10-C176)</x:f>
        <x:v>2</x:v>
      </x:c>
      <x:c r="H176" s="50" t="n">
        <x:f>IF(B176="Active",E176*(1+Assumptions!$B$7)^G176,E176)</x:f>
        <x:v>2509871.375</x:v>
      </x:c>
      <x:c r="I176" s="50" t="n">
        <x:f>IF(B176="Active",MIN(Assumptions!$B$12,D176+G176),IF(B176="Deferred",MIN(Assumptions!$B$12,D176),D176))</x:f>
        <x:v>17.8</x:v>
      </x:c>
      <x:c r="J176" s="50" t="n">
        <x:f>IF(B176="Active",H176*I176*Assumptions!$B$11,IF(B176="Deferred",E176*I176*Assumptions!$B$11*(1+Assumptions!$B$9)^G176,F176))</x:f>
        <x:v>744595.1745833333</x:v>
      </x:c>
      <x:c r="K176" s="37" t="n">
        <x:f>IF(B176="Pensioner",1,VLOOKUP(Assumptions!$B$10,Mortality!$A$2:$F$104,6,FALSE)/VLOOKUP(C176,Mortality!$A$2:$F$104,6,FALSE))</x:f>
        <x:v>0.9945213044203837</x:v>
      </x:c>
      <x:c r="L176" s="37" t="n">
        <x:f>VLOOKUP(IF(B176="Pensioner",C176,Assumptions!$B$10),Mortality!$A$2:$E$104,5,FALSE)</x:f>
        <x:v>17.296790022132885</x:v>
      </x:c>
      <x:c r="M176" s="37" t="n">
        <x:f>1+Assumptions!$B$13*Assumptions!$B$14*Assumptions!$B$15</x:f>
        <x:v>1.31875</x:v>
      </x:c>
      <x:c r="N176" s="37" t="n">
        <x:f>IF(B176="Pensioner",1,1/(1+Assumptions!$B$6)^G176)</x:f>
        <x:v>0.8816592827701736</x:v>
      </x:c>
      <x:c r="O176" s="50" t="n">
        <x:f>J176*K176*L176*M176*N176</x:f>
        <x:v>14892344.65780634</x:v>
      </x:c>
    </x:row>
    <x:row r="177">
      <x:c r="A177" s="42" t="str">
        <x:f>Members!A177</x:f>
        <x:v>P0138</x:v>
      </x:c>
      <x:c r="B177" s="42" t="str">
        <x:f>Members!B177</x:f>
        <x:v>Pensioner</x:v>
      </x:c>
      <x:c r="C177" s="42" t="n">
        <x:f>Members!C177</x:f>
        <x:v>84</x:v>
      </x:c>
      <x:c r="D177" s="44" t="n">
        <x:f>Members!D177</x:f>
        <x:v>17.9</x:v>
      </x:c>
      <x:c r="E177" s="48" t="n">
        <x:f>Members!E177</x:f>
        <x:v>0</x:v>
      </x:c>
      <x:c r="F177" s="48" t="n">
        <x:f>Members!F177</x:f>
        <x:v>699000</x:v>
      </x:c>
      <x:c r="G177" s="46" t="n">
        <x:f>MAX(0,Assumptions!$B$10-C177)</x:f>
        <x:v>0</x:v>
      </x:c>
      <x:c r="H177" s="50" t="n">
        <x:f>IF(B177="Active",E177*(1+Assumptions!$B$7)^G177,E177)</x:f>
        <x:v>0</x:v>
      </x:c>
      <x:c r="I177" s="50" t="n">
        <x:f>IF(B177="Active",MIN(Assumptions!$B$12,D177+G177),IF(B177="Deferred",MIN(Assumptions!$B$12,D177),D177))</x:f>
        <x:v>17.9</x:v>
      </x:c>
      <x:c r="J177" s="50" t="n">
        <x:f>IF(B177="Active",H177*I177*Assumptions!$B$11,IF(B177="Deferred",E177*I177*Assumptions!$B$11*(1+Assumptions!$B$9)^G177,F177))</x:f>
        <x:v>699000</x:v>
      </x:c>
      <x:c r="K177" s="37" t="n">
        <x:f>IF(B177="Pensioner",1,VLOOKUP(Assumptions!$B$10,Mortality!$A$2:$F$104,6,FALSE)/VLOOKUP(C177,Mortality!$A$2:$F$104,6,FALSE))</x:f>
        <x:v>1</x:v>
      </x:c>
      <x:c r="L177" s="37" t="n">
        <x:f>VLOOKUP(IF(B177="Pensioner",C177,Assumptions!$B$10),Mortality!$A$2:$E$104,5,FALSE)</x:f>
        <x:v>6.643272096517531</x:v>
      </x:c>
      <x:c r="M177" s="37" t="n">
        <x:f>1+Assumptions!$B$13*Assumptions!$B$14*Assumptions!$B$15</x:f>
        <x:v>1.31875</x:v>
      </x:c>
      <x:c r="N177" s="37" t="n">
        <x:f>IF(B177="Pensioner",1,1/(1+Assumptions!$B$6)^G177)</x:f>
        <x:v>1</x:v>
      </x:c>
      <x:c r="O177" s="50" t="n">
        <x:f>J177*K177*L177*M177*N177</x:f>
        <x:v>6123809.739020464</x:v>
      </x:c>
    </x:row>
    <x:row r="178">
      <x:c r="A178" s="42" t="str">
        <x:f>Members!A178</x:f>
        <x:v>P0132</x:v>
      </x:c>
      <x:c r="B178" s="42" t="str">
        <x:f>Members!B178</x:f>
        <x:v>Pensioner</x:v>
      </x:c>
      <x:c r="C178" s="42" t="n">
        <x:f>Members!C178</x:f>
        <x:v>64</x:v>
      </x:c>
      <x:c r="D178" s="44" t="n">
        <x:f>Members!D178</x:f>
        <x:v>36.3</x:v>
      </x:c>
      <x:c r="E178" s="48" t="n">
        <x:f>Members!E178</x:f>
        <x:v>0</x:v>
      </x:c>
      <x:c r="F178" s="48" t="n">
        <x:f>Members!F178</x:f>
        <x:v>150000</x:v>
      </x:c>
      <x:c r="G178" s="46" t="n">
        <x:f>MAX(0,Assumptions!$B$10-C178)</x:f>
        <x:v>0</x:v>
      </x:c>
      <x:c r="H178" s="50" t="n">
        <x:f>IF(B178="Active",E178*(1+Assumptions!$B$7)^G178,E178)</x:f>
        <x:v>0</x:v>
      </x:c>
      <x:c r="I178" s="50" t="n">
        <x:f>IF(B178="Active",MIN(Assumptions!$B$12,D178+G178),IF(B178="Deferred",MIN(Assumptions!$B$12,D178),D178))</x:f>
        <x:v>36.3</x:v>
      </x:c>
      <x:c r="J178" s="50" t="n">
        <x:f>IF(B178="Active",H178*I178*Assumptions!$B$11,IF(B178="Deferred",E178*I178*Assumptions!$B$11*(1+Assumptions!$B$9)^G178,F178))</x:f>
        <x:v>150000</x:v>
      </x:c>
      <x:c r="K178" s="37" t="n">
        <x:f>IF(B178="Pensioner",1,VLOOKUP(Assumptions!$B$10,Mortality!$A$2:$F$104,6,FALSE)/VLOOKUP(C178,Mortality!$A$2:$F$104,6,FALSE))</x:f>
        <x:v>1</x:v>
      </x:c>
      <x:c r="L178" s="37" t="n">
        <x:f>VLOOKUP(IF(B178="Pensioner",C178,Assumptions!$B$10),Mortality!$A$2:$E$104,5,FALSE)</x:f>
        <x:v>15.628758769824573</x:v>
      </x:c>
      <x:c r="M178" s="37" t="n">
        <x:f>1+Assumptions!$B$13*Assumptions!$B$14*Assumptions!$B$15</x:f>
        <x:v>1.31875</x:v>
      </x:c>
      <x:c r="N178" s="37" t="n">
        <x:f>IF(B178="Pensioner",1,1/(1+Assumptions!$B$6)^G178)</x:f>
        <x:v>1</x:v>
      </x:c>
      <x:c r="O178" s="50" t="n">
        <x:f>J178*K178*L178*M178*N178</x:f>
        <x:v>3091563.8441559235</x:v>
      </x:c>
    </x:row>
    <x:row r="179">
      <x:c r="A179" s="42" t="str">
        <x:f>Members!A179</x:f>
        <x:v>P0048</x:v>
      </x:c>
      <x:c r="B179" s="42" t="str">
        <x:f>Members!B179</x:f>
        <x:v>Pensioner</x:v>
      </x:c>
      <x:c r="C179" s="42" t="n">
        <x:f>Members!C179</x:f>
        <x:v>72</x:v>
      </x:c>
      <x:c r="D179" s="44" t="n">
        <x:f>Members!D179</x:f>
        <x:v>18</x:v>
      </x:c>
      <x:c r="E179" s="48" t="n">
        <x:f>Members!E179</x:f>
        <x:v>0</x:v>
      </x:c>
      <x:c r="F179" s="48" t="n">
        <x:f>Members!F179</x:f>
        <x:v>229000</x:v>
      </x:c>
      <x:c r="G179" s="46" t="n">
        <x:f>MAX(0,Assumptions!$B$10-C179)</x:f>
        <x:v>0</x:v>
      </x:c>
      <x:c r="H179" s="50" t="n">
        <x:f>IF(B179="Active",E179*(1+Assumptions!$B$7)^G179,E179)</x:f>
        <x:v>0</x:v>
      </x:c>
      <x:c r="I179" s="50" t="n">
        <x:f>IF(B179="Active",MIN(Assumptions!$B$12,D179+G179),IF(B179="Deferred",MIN(Assumptions!$B$12,D179),D179))</x:f>
        <x:v>18</x:v>
      </x:c>
      <x:c r="J179" s="50" t="n">
        <x:f>IF(B179="Active",H179*I179*Assumptions!$B$11,IF(B179="Deferred",E179*I179*Assumptions!$B$11*(1+Assumptions!$B$9)^G179,F179))</x:f>
        <x:v>229000</x:v>
      </x:c>
      <x:c r="K179" s="37" t="n">
        <x:f>IF(B179="Pensioner",1,VLOOKUP(Assumptions!$B$10,Mortality!$A$2:$F$104,6,FALSE)/VLOOKUP(C179,Mortality!$A$2:$F$104,6,FALSE))</x:f>
        <x:v>1</x:v>
      </x:c>
      <x:c r="L179" s="37" t="n">
        <x:f>VLOOKUP(IF(B179="Pensioner",C179,Assumptions!$B$10),Mortality!$A$2:$E$104,5,FALSE)</x:f>
        <x:v>12.047202362945457</x:v>
      </x:c>
      <x:c r="M179" s="37" t="n">
        <x:f>1+Assumptions!$B$13*Assumptions!$B$14*Assumptions!$B$15</x:f>
        <x:v>1.31875</x:v>
      </x:c>
      <x:c r="N179" s="37" t="n">
        <x:f>IF(B179="Pensioner",1,1/(1+Assumptions!$B$6)^G179)</x:f>
        <x:v>1</x:v>
      </x:c>
      <x:c r="O179" s="50" t="n">
        <x:f>J179*K179*L179*M179*N179</x:f>
        <x:v>3638179.8185947603</x:v>
      </x:c>
    </x:row>
    <x:row r="180">
      <x:c r="A180" s="42" t="str">
        <x:f>Members!A180</x:f>
        <x:v>P0129</x:v>
      </x:c>
      <x:c r="B180" s="42" t="str">
        <x:f>Members!B180</x:f>
        <x:v>Pensioner</x:v>
      </x:c>
      <x:c r="C180" s="42" t="n">
        <x:f>Members!C180</x:f>
        <x:v>86</x:v>
      </x:c>
      <x:c r="D180" s="44" t="n">
        <x:f>Members!D180</x:f>
        <x:v>22.8</x:v>
      </x:c>
      <x:c r="E180" s="48" t="n">
        <x:f>Members!E180</x:f>
        <x:v>0</x:v>
      </x:c>
      <x:c r="F180" s="48" t="n">
        <x:f>Members!F180</x:f>
        <x:v>531000</x:v>
      </x:c>
      <x:c r="G180" s="46" t="n">
        <x:f>MAX(0,Assumptions!$B$10-C180)</x:f>
        <x:v>0</x:v>
      </x:c>
      <x:c r="H180" s="50" t="n">
        <x:f>IF(B180="Active",E180*(1+Assumptions!$B$7)^G180,E180)</x:f>
        <x:v>0</x:v>
      </x:c>
      <x:c r="I180" s="50" t="n">
        <x:f>IF(B180="Active",MIN(Assumptions!$B$12,D180+G180),IF(B180="Deferred",MIN(Assumptions!$B$12,D180),D180))</x:f>
        <x:v>22.8</x:v>
      </x:c>
      <x:c r="J180" s="50" t="n">
        <x:f>IF(B180="Active",H180*I180*Assumptions!$B$11,IF(B180="Deferred",E180*I180*Assumptions!$B$11*(1+Assumptions!$B$9)^G180,F180))</x:f>
        <x:v>531000</x:v>
      </x:c>
      <x:c r="K180" s="37" t="n">
        <x:f>IF(B180="Pensioner",1,VLOOKUP(Assumptions!$B$10,Mortality!$A$2:$F$104,6,FALSE)/VLOOKUP(C180,Mortality!$A$2:$F$104,6,FALSE))</x:f>
        <x:v>1</x:v>
      </x:c>
      <x:c r="L180" s="37" t="n">
        <x:f>VLOOKUP(IF(B180="Pensioner",C180,Assumptions!$B$10),Mortality!$A$2:$E$104,5,FALSE)</x:f>
        <x:v>5.822832972912483</x:v>
      </x:c>
      <x:c r="M180" s="37" t="n">
        <x:f>1+Assumptions!$B$13*Assumptions!$B$14*Assumptions!$B$15</x:f>
        <x:v>1.31875</x:v>
      </x:c>
      <x:c r="N180" s="37" t="n">
        <x:f>IF(B180="Pensioner",1,1/(1+Assumptions!$B$6)^G180)</x:f>
        <x:v>1</x:v>
      </x:c>
      <x:c r="O180" s="50" t="n">
        <x:f>J180*K180*L180*M180*N180</x:f>
        <x:v>4077475.181988047</x:v>
      </x:c>
    </x:row>
    <x:row r="181">
      <x:c r="A181" s="42" t="str">
        <x:f>Members!A181</x:f>
        <x:v>D0014</x:v>
      </x:c>
      <x:c r="B181" s="42" t="str">
        <x:f>Members!B181</x:f>
        <x:v>Deferred</x:v>
      </x:c>
      <x:c r="C181" s="42" t="n">
        <x:f>Members!C181</x:f>
        <x:v>35</x:v>
      </x:c>
      <x:c r="D181" s="44" t="n">
        <x:f>Members!D181</x:f>
        <x:v>5</x:v>
      </x:c>
      <x:c r="E181" s="48" t="n">
        <x:f>Members!E181</x:f>
        <x:v>479000</x:v>
      </x:c>
      <x:c r="F181" s="48" t="n">
        <x:f>Members!F181</x:f>
        <x:v>0</x:v>
      </x:c>
      <x:c r="G181" s="46" t="n">
        <x:f>MAX(0,Assumptions!$B$10-C181)</x:f>
        <x:v>25</x:v>
      </x:c>
      <x:c r="H181" s="50" t="n">
        <x:f>IF(B181="Active",E181*(1+Assumptions!$B$7)^G181,E181)</x:f>
        <x:v>479000</x:v>
      </x:c>
      <x:c r="I181" s="50" t="n">
        <x:f>IF(B181="Active",MIN(Assumptions!$B$12,D181+G181),IF(B181="Deferred",MIN(Assumptions!$B$12,D181),D181))</x:f>
        <x:v>5</x:v>
      </x:c>
      <x:c r="J181" s="50" t="n">
        <x:f>IF(B181="Active",H181*I181*Assumptions!$B$11,IF(B181="Deferred",E181*I181*Assumptions!$B$11*(1+Assumptions!$B$9)^G181,F181))</x:f>
        <x:v>106411.30023187297</x:v>
      </x:c>
      <x:c r="K181" s="37" t="n">
        <x:f>IF(B181="Pensioner",1,VLOOKUP(Assumptions!$B$10,Mortality!$A$2:$F$104,6,FALSE)/VLOOKUP(C181,Mortality!$A$2:$F$104,6,FALSE))</x:f>
        <x:v>0.9719740765386753</x:v>
      </x:c>
      <x:c r="L181" s="37" t="n">
        <x:f>VLOOKUP(IF(B181="Pensioner",C181,Assumptions!$B$10),Mortality!$A$2:$E$104,5,FALSE)</x:f>
        <x:v>17.296790022132885</x:v>
      </x:c>
      <x:c r="M181" s="37" t="n">
        <x:f>1+Assumptions!$B$13*Assumptions!$B$14*Assumptions!$B$15</x:f>
        <x:v>1.31875</x:v>
      </x:c>
      <x:c r="N181" s="37" t="n">
        <x:f>IF(B181="Pensioner",1,1/(1+Assumptions!$B$6)^G181)</x:f>
        <x:v>0.20713801287132758</x:v>
      </x:c>
      <x:c r="O181" s="50" t="n">
        <x:f>J181*K181*L181*M181*N181</x:f>
        <x:v>488686.3667871451</x:v>
      </x:c>
    </x:row>
    <x:row r="182">
      <x:c r="A182" s="42" t="str">
        <x:f>Members!A182</x:f>
        <x:v>A0518</x:v>
      </x:c>
      <x:c r="B182" s="42" t="str">
        <x:f>Members!B182</x:f>
        <x:v>Active</x:v>
      </x:c>
      <x:c r="C182" s="42" t="n">
        <x:f>Members!C182</x:f>
        <x:v>42</x:v>
      </x:c>
      <x:c r="D182" s="44" t="n">
        <x:f>Members!D182</x:f>
        <x:v>12.3</x:v>
      </x:c>
      <x:c r="E182" s="48" t="n">
        <x:f>Members!E182</x:f>
        <x:v>880000</x:v>
      </x:c>
      <x:c r="F182" s="48" t="n">
        <x:f>Members!F182</x:f>
        <x:v>0</x:v>
      </x:c>
      <x:c r="G182" s="46" t="n">
        <x:f>MAX(0,Assumptions!$B$10-C182)</x:f>
        <x:v>18</x:v>
      </x:c>
      <x:c r="H182" s="50" t="n">
        <x:f>IF(B182="Active",E182*(1+Assumptions!$B$7)^G182,E182)</x:f>
        <x:v>2306890.3139925865</x:v>
      </x:c>
      <x:c r="I182" s="50" t="n">
        <x:f>IF(B182="Active",MIN(Assumptions!$B$12,D182+G182),IF(B182="Deferred",MIN(Assumptions!$B$12,D182),D182))</x:f>
        <x:v>30.3</x:v>
      </x:c>
      <x:c r="J182" s="50" t="n">
        <x:f>IF(B182="Active",H182*I182*Assumptions!$B$11,IF(B182="Deferred",E182*I182*Assumptions!$B$11*(1+Assumptions!$B$9)^G182,F182))</x:f>
        <x:v>1164979.608566256</x:v>
      </x:c>
      <x:c r="K182" s="37" t="n">
        <x:f>IF(B182="Pensioner",1,VLOOKUP(Assumptions!$B$10,Mortality!$A$2:$F$104,6,FALSE)/VLOOKUP(C182,Mortality!$A$2:$F$104,6,FALSE))</x:f>
        <x:v>0.9750799707838386</x:v>
      </x:c>
      <x:c r="L182" s="37" t="n">
        <x:f>VLOOKUP(IF(B182="Pensioner",C182,Assumptions!$B$10),Mortality!$A$2:$E$104,5,FALSE)</x:f>
        <x:v>17.296790022132885</x:v>
      </x:c>
      <x:c r="M182" s="37" t="n">
        <x:f>1+Assumptions!$B$13*Assumptions!$B$14*Assumptions!$B$15</x:f>
        <x:v>1.31875</x:v>
      </x:c>
      <x:c r="N182" s="37" t="n">
        <x:f>IF(B182="Pensioner",1,1/(1+Assumptions!$B$6)^G182)</x:f>
        <x:v>0.3218896851283974</x:v>
      </x:c>
      <x:c r="O182" s="50" t="n">
        <x:f>J182*K182*L182*M182*N182</x:f>
        <x:v>8340529.163577262</x:v>
      </x:c>
    </x:row>
    <x:row r="183">
      <x:c r="A183" s="42" t="str">
        <x:f>Members!A183</x:f>
        <x:v>D0118</x:v>
      </x:c>
      <x:c r="B183" s="42" t="str">
        <x:f>Members!B183</x:f>
        <x:v>Deferred</x:v>
      </x:c>
      <x:c r="C183" s="42" t="n">
        <x:f>Members!C183</x:f>
        <x:v>37</x:v>
      </x:c>
      <x:c r="D183" s="44" t="n">
        <x:f>Members!D183</x:f>
        <x:v>5.1</x:v>
      </x:c>
      <x:c r="E183" s="48" t="n">
        <x:f>Members!E183</x:f>
        <x:v>415000</x:v>
      </x:c>
      <x:c r="F183" s="48" t="n">
        <x:f>Members!F183</x:f>
        <x:v>0</x:v>
      </x:c>
      <x:c r="G183" s="46" t="n">
        <x:f>MAX(0,Assumptions!$B$10-C183)</x:f>
        <x:v>23</x:v>
      </x:c>
      <x:c r="H183" s="50" t="n">
        <x:f>IF(B183="Active",E183*(1+Assumptions!$B$7)^G183,E183)</x:f>
        <x:v>415000</x:v>
      </x:c>
      <x:c r="I183" s="50" t="n">
        <x:f>IF(B183="Active",MIN(Assumptions!$B$12,D183+G183),IF(B183="Deferred",MIN(Assumptions!$B$12,D183),D183))</x:f>
        <x:v>5.1</x:v>
      </x:c>
      <x:c r="J183" s="50" t="n">
        <x:f>IF(B183="Active",H183*I183*Assumptions!$B$11,IF(B183="Deferred",E183*I183*Assumptions!$B$11*(1+Assumptions!$B$9)^G183,F183))</x:f>
        <x:v>86942.84078515055</x:v>
      </x:c>
      <x:c r="K183" s="37" t="n">
        <x:f>IF(B183="Pensioner",1,VLOOKUP(Assumptions!$B$10,Mortality!$A$2:$F$104,6,FALSE)/VLOOKUP(C183,Mortality!$A$2:$F$104,6,FALSE))</x:f>
        <x:v>0.9727356141265188</x:v>
      </x:c>
      <x:c r="L183" s="37" t="n">
        <x:f>VLOOKUP(IF(B183="Pensioner",C183,Assumptions!$B$10),Mortality!$A$2:$E$104,5,FALSE)</x:f>
        <x:v>17.296790022132885</x:v>
      </x:c>
      <x:c r="M183" s="37" t="n">
        <x:f>1+Assumptions!$B$13*Assumptions!$B$14*Assumptions!$B$15</x:f>
        <x:v>1.31875</x:v>
      </x:c>
      <x:c r="N183" s="37" t="n">
        <x:f>IF(B183="Pensioner",1,1/(1+Assumptions!$B$6)^G183)</x:f>
        <x:v>0.23494111264898151</x:v>
      </x:c>
      <x:c r="O183" s="50" t="n">
        <x:f>J183*K183*L183*M183*N183</x:f>
        <x:v>453226.87056129077</x:v>
      </x:c>
    </x:row>
    <x:row r="184">
      <x:c r="A184" s="42" t="str">
        <x:f>Members!A184</x:f>
        <x:v>P0208</x:v>
      </x:c>
      <x:c r="B184" s="42" t="str">
        <x:f>Members!B184</x:f>
        <x:v>Pensioner</x:v>
      </x:c>
      <x:c r="C184" s="42" t="n">
        <x:f>Members!C184</x:f>
        <x:v>82</x:v>
      </x:c>
      <x:c r="D184" s="44" t="n">
        <x:f>Members!D184</x:f>
        <x:v>20.5</x:v>
      </x:c>
      <x:c r="E184" s="48" t="n">
        <x:f>Members!E184</x:f>
        <x:v>0</x:v>
      </x:c>
      <x:c r="F184" s="48" t="n">
        <x:f>Members!F184</x:f>
        <x:v>518000</x:v>
      </x:c>
      <x:c r="G184" s="46" t="n">
        <x:f>MAX(0,Assumptions!$B$10-C184)</x:f>
        <x:v>0</x:v>
      </x:c>
      <x:c r="H184" s="50" t="n">
        <x:f>IF(B184="Active",E184*(1+Assumptions!$B$7)^G184,E184)</x:f>
        <x:v>0</x:v>
      </x:c>
      <x:c r="I184" s="50" t="n">
        <x:f>IF(B184="Active",MIN(Assumptions!$B$12,D184+G184),IF(B184="Deferred",MIN(Assumptions!$B$12,D184),D184))</x:f>
        <x:v>20.5</x:v>
      </x:c>
      <x:c r="J184" s="50" t="n">
        <x:f>IF(B184="Active",H184*I184*Assumptions!$B$11,IF(B184="Deferred",E184*I184*Assumptions!$B$11*(1+Assumptions!$B$9)^G184,F184))</x:f>
        <x:v>518000</x:v>
      </x:c>
      <x:c r="K184" s="37" t="n">
        <x:f>IF(B184="Pensioner",1,VLOOKUP(Assumptions!$B$10,Mortality!$A$2:$F$104,6,FALSE)/VLOOKUP(C184,Mortality!$A$2:$F$104,6,FALSE))</x:f>
        <x:v>1</x:v>
      </x:c>
      <x:c r="L184" s="37" t="n">
        <x:f>VLOOKUP(IF(B184="Pensioner",C184,Assumptions!$B$10),Mortality!$A$2:$E$104,5,FALSE)</x:f>
        <x:v>7.498462430808598</x:v>
      </x:c>
      <x:c r="M184" s="37" t="n">
        <x:f>1+Assumptions!$B$13*Assumptions!$B$14*Assumptions!$B$15</x:f>
        <x:v>1.31875</x:v>
      </x:c>
      <x:c r="N184" s="37" t="n">
        <x:f>IF(B184="Pensioner",1,1/(1+Assumptions!$B$6)^G184)</x:f>
        <x:v>1</x:v>
      </x:c>
      <x:c r="O184" s="50" t="n">
        <x:f>J184*K184*L184*M184*N184</x:f>
        <x:v>5122293.417265738</x:v>
      </x:c>
    </x:row>
    <x:row r="185">
      <x:c r="A185" s="42" t="str">
        <x:f>Members!A185</x:f>
        <x:v>A0208</x:v>
      </x:c>
      <x:c r="B185" s="42" t="str">
        <x:f>Members!B185</x:f>
        <x:v>Active</x:v>
      </x:c>
      <x:c r="C185" s="42" t="n">
        <x:f>Members!C185</x:f>
        <x:v>56</x:v>
      </x:c>
      <x:c r="D185" s="44" t="n">
        <x:f>Members!D185</x:f>
        <x:v>23.8</x:v>
      </x:c>
      <x:c r="E185" s="48" t="n">
        <x:f>Members!E185</x:f>
        <x:v>1452000</x:v>
      </x:c>
      <x:c r="F185" s="48" t="n">
        <x:f>Members!F185</x:f>
        <x:v>0</x:v>
      </x:c>
      <x:c r="G185" s="46" t="n">
        <x:f>MAX(0,Assumptions!$B$10-C185)</x:f>
        <x:v>4</x:v>
      </x:c>
      <x:c r="H185" s="50" t="n">
        <x:f>IF(B185="Active",E185*(1+Assumptions!$B$7)^G185,E185)</x:f>
        <x:v>1798773.3927074997</x:v>
      </x:c>
      <x:c r="I185" s="50" t="n">
        <x:f>IF(B185="Active",MIN(Assumptions!$B$12,D185+G185),IF(B185="Deferred",MIN(Assumptions!$B$12,D185),D185))</x:f>
        <x:v>27.8</x:v>
      </x:c>
      <x:c r="J185" s="50" t="n">
        <x:f>IF(B185="Active",H185*I185*Assumptions!$B$11,IF(B185="Deferred",E185*I185*Assumptions!$B$11*(1+Assumptions!$B$9)^G185,F185))</x:f>
        <x:v>833431.6719544749</x:v>
      </x:c>
      <x:c r="K185" s="37" t="n">
        <x:f>IF(B185="Pensioner",1,VLOOKUP(Assumptions!$B$10,Mortality!$A$2:$F$104,6,FALSE)/VLOOKUP(C185,Mortality!$A$2:$F$104,6,FALSE))</x:f>
        <x:v>0.990116255810422</x:v>
      </x:c>
      <x:c r="L185" s="37" t="n">
        <x:f>VLOOKUP(IF(B185="Pensioner",C185,Assumptions!$B$10),Mortality!$A$2:$E$104,5,FALSE)</x:f>
        <x:v>17.296790022132885</x:v>
      </x:c>
      <x:c r="M185" s="37" t="n">
        <x:f>1+Assumptions!$B$13*Assumptions!$B$14*Assumptions!$B$15</x:f>
        <x:v>1.31875</x:v>
      </x:c>
      <x:c r="N185" s="37" t="n">
        <x:f>IF(B185="Pensioner",1,1/(1+Assumptions!$B$6)^G185)</x:f>
        <x:v>0.777323090894817</x:v>
      </x:c>
      <x:c r="O185" s="50" t="n">
        <x:f>J185*K185*L185*M185*N185</x:f>
        <x:v>14631395.37282035</x:v>
      </x:c>
    </x:row>
    <x:row r="186">
      <x:c r="A186" s="42" t="str">
        <x:f>Members!A186</x:f>
        <x:v>A0614</x:v>
      </x:c>
      <x:c r="B186" s="42" t="str">
        <x:f>Members!B186</x:f>
        <x:v>Active</x:v>
      </x:c>
      <x:c r="C186" s="42" t="n">
        <x:f>Members!C186</x:f>
        <x:v>48</x:v>
      </x:c>
      <x:c r="D186" s="44" t="n">
        <x:f>Members!D186</x:f>
        <x:v>7.8</x:v>
      </x:c>
      <x:c r="E186" s="48" t="n">
        <x:f>Members!E186</x:f>
        <x:v>1366000</x:v>
      </x:c>
      <x:c r="F186" s="48" t="n">
        <x:f>Members!F186</x:f>
        <x:v>0</x:v>
      </x:c>
      <x:c r="G186" s="46" t="n">
        <x:f>MAX(0,Assumptions!$B$10-C186)</x:f>
        <x:v>12</x:v>
      </x:c>
      <x:c r="H186" s="50" t="n">
        <x:f>IF(B186="Active",E186*(1+Assumptions!$B$7)^G186,E186)</x:f>
        <x:v>2597049.4255468044</x:v>
      </x:c>
      <x:c r="I186" s="50" t="n">
        <x:f>IF(B186="Active",MIN(Assumptions!$B$12,D186+G186),IF(B186="Deferred",MIN(Assumptions!$B$12,D186),D186))</x:f>
        <x:v>19.8</x:v>
      </x:c>
      <x:c r="J186" s="50" t="n">
        <x:f>IF(B186="Active",H186*I186*Assumptions!$B$11,IF(B186="Deferred",E186*I186*Assumptions!$B$11*(1+Assumptions!$B$9)^G186,F186))</x:f>
        <x:v>857026.3104304455</x:v>
      </x:c>
      <x:c r="K186" s="37" t="n">
        <x:f>IF(B186="Pensioner",1,VLOOKUP(Assumptions!$B$10,Mortality!$A$2:$F$104,6,FALSE)/VLOOKUP(C186,Mortality!$A$2:$F$104,6,FALSE))</x:f>
        <x:v>0.9793037429736591</x:v>
      </x:c>
      <x:c r="L186" s="37" t="n">
        <x:f>VLOOKUP(IF(B186="Pensioner",C186,Assumptions!$B$10),Mortality!$A$2:$E$104,5,FALSE)</x:f>
        <x:v>17.296790022132885</x:v>
      </x:c>
      <x:c r="M186" s="37" t="n">
        <x:f>1+Assumptions!$B$13*Assumptions!$B$14*Assumptions!$B$15</x:f>
        <x:v>1.31875</x:v>
      </x:c>
      <x:c r="N186" s="37" t="n">
        <x:f>IF(B186="Pensioner",1,1/(1+Assumptions!$B$6)^G186)</x:f>
        <x:v>0.4696828543900276</x:v>
      </x:c>
      <x:c r="O186" s="50" t="n">
        <x:f>J186*K186*L186*M186*N186</x:f>
        <x:v>8991750.79179059</x:v>
      </x:c>
    </x:row>
    <x:row r="187">
      <x:c r="A187" s="42" t="str">
        <x:f>Members!A187</x:f>
        <x:v>A0528</x:v>
      </x:c>
      <x:c r="B187" s="42" t="str">
        <x:f>Members!B187</x:f>
        <x:v>Active</x:v>
      </x:c>
      <x:c r="C187" s="42" t="n">
        <x:f>Members!C187</x:f>
        <x:v>34</x:v>
      </x:c>
      <x:c r="D187" s="44" t="n">
        <x:f>Members!D187</x:f>
        <x:v>7.4</x:v>
      </x:c>
      <x:c r="E187" s="48" t="n">
        <x:f>Members!E187</x:f>
        <x:v>561000</x:v>
      </x:c>
      <x:c r="F187" s="48" t="n">
        <x:f>Members!F187</x:f>
        <x:v>0</x:v>
      </x:c>
      <x:c r="G187" s="46" t="n">
        <x:f>MAX(0,Assumptions!$B$10-C187)</x:f>
        <x:v>26</x:v>
      </x:c>
      <x:c r="H187" s="50" t="n">
        <x:f>IF(B187="Active",E187*(1+Assumptions!$B$7)^G187,E187)</x:f>
        <x:v>2256975.328493036</x:v>
      </x:c>
      <x:c r="I187" s="50" t="n">
        <x:f>IF(B187="Active",MIN(Assumptions!$B$12,D187+G187),IF(B187="Deferred",MIN(Assumptions!$B$12,D187),D187))</x:f>
        <x:v>33.4</x:v>
      </x:c>
      <x:c r="J187" s="50" t="n">
        <x:f>IF(B187="Active",H187*I187*Assumptions!$B$11,IF(B187="Deferred",E187*I187*Assumptions!$B$11*(1+Assumptions!$B$9)^G187,F187))</x:f>
        <x:v>1256382.9328611232</x:v>
      </x:c>
      <x:c r="K187" s="37" t="n">
        <x:f>IF(B187="Pensioner",1,VLOOKUP(Assumptions!$B$10,Mortality!$A$2:$F$104,6,FALSE)/VLOOKUP(C187,Mortality!$A$2:$F$104,6,FALSE))</x:f>
        <x:v>0.9716205819233391</x:v>
      </x:c>
      <x:c r="L187" s="37" t="n">
        <x:f>VLOOKUP(IF(B187="Pensioner",C187,Assumptions!$B$10),Mortality!$A$2:$E$104,5,FALSE)</x:f>
        <x:v>17.296790022132885</x:v>
      </x:c>
      <x:c r="M187" s="37" t="n">
        <x:f>1+Assumptions!$B$13*Assumptions!$B$14*Assumptions!$B$15</x:f>
        <x:v>1.31875</x:v>
      </x:c>
      <x:c r="N187" s="37" t="n">
        <x:f>IF(B187="Pensioner",1,1/(1+Assumptions!$B$6)^G187)</x:f>
        <x:v>0.19449578673364096</x:v>
      </x:c>
      <x:c r="O187" s="50" t="n">
        <x:f>J187*K187*L187*M187*N187</x:f>
        <x:v>5415728.918422031</x:v>
      </x:c>
    </x:row>
    <x:row r="188">
      <x:c r="A188" s="42" t="str">
        <x:f>Members!A188</x:f>
        <x:v>A0424</x:v>
      </x:c>
      <x:c r="B188" s="42" t="str">
        <x:f>Members!B188</x:f>
        <x:v>Active</x:v>
      </x:c>
      <x:c r="C188" s="42" t="n">
        <x:f>Members!C188</x:f>
        <x:v>42</x:v>
      </x:c>
      <x:c r="D188" s="44" t="n">
        <x:f>Members!D188</x:f>
        <x:v>17.6</x:v>
      </x:c>
      <x:c r="E188" s="48" t="n">
        <x:f>Members!E188</x:f>
        <x:v>732000</x:v>
      </x:c>
      <x:c r="F188" s="48" t="n">
        <x:f>Members!F188</x:f>
        <x:v>0</x:v>
      </x:c>
      <x:c r="G188" s="46" t="n">
        <x:f>MAX(0,Assumptions!$B$10-C188)</x:f>
        <x:v>18</x:v>
      </x:c>
      <x:c r="H188" s="50" t="n">
        <x:f>IF(B188="Active",E188*(1+Assumptions!$B$7)^G188,E188)</x:f>
        <x:v>1918913.306639288</x:v>
      </x:c>
      <x:c r="I188" s="50" t="n">
        <x:f>IF(B188="Active",MIN(Assumptions!$B$12,D188+G188),IF(B188="Deferred",MIN(Assumptions!$B$12,D188),D188))</x:f>
        <x:v>35.6</x:v>
      </x:c>
      <x:c r="J188" s="50" t="n">
        <x:f>IF(B188="Active",H188*I188*Assumptions!$B$11,IF(B188="Deferred",E188*I188*Assumptions!$B$11*(1+Assumptions!$B$9)^G188,F188))</x:f>
        <x:v>1138555.2286059777</x:v>
      </x:c>
      <x:c r="K188" s="37" t="n">
        <x:f>IF(B188="Pensioner",1,VLOOKUP(Assumptions!$B$10,Mortality!$A$2:$F$104,6,FALSE)/VLOOKUP(C188,Mortality!$A$2:$F$104,6,FALSE))</x:f>
        <x:v>0.9750799707838386</x:v>
      </x:c>
      <x:c r="L188" s="37" t="n">
        <x:f>VLOOKUP(IF(B188="Pensioner",C188,Assumptions!$B$10),Mortality!$A$2:$E$104,5,FALSE)</x:f>
        <x:v>17.296790022132885</x:v>
      </x:c>
      <x:c r="M188" s="37" t="n">
        <x:f>1+Assumptions!$B$13*Assumptions!$B$14*Assumptions!$B$15</x:f>
        <x:v>1.31875</x:v>
      </x:c>
      <x:c r="N188" s="37" t="n">
        <x:f>IF(B188="Pensioner",1,1/(1+Assumptions!$B$6)^G188)</x:f>
        <x:v>0.3218896851283974</x:v>
      </x:c>
      <x:c r="O188" s="50" t="n">
        <x:f>J188*K188*L188*M188*N188</x:f>
        <x:v>8151347.043935371</x:v>
      </x:c>
    </x:row>
    <x:row r="189">
      <x:c r="A189" s="42" t="str">
        <x:f>Members!A189</x:f>
        <x:v>A0485</x:v>
      </x:c>
      <x:c r="B189" s="42" t="str">
        <x:f>Members!B189</x:f>
        <x:v>Active</x:v>
      </x:c>
      <x:c r="C189" s="42" t="n">
        <x:f>Members!C189</x:f>
        <x:v>59</x:v>
      </x:c>
      <x:c r="D189" s="44" t="n">
        <x:f>Members!D189</x:f>
        <x:v>19.4</x:v>
      </x:c>
      <x:c r="E189" s="48" t="n">
        <x:f>Members!E189</x:f>
        <x:v>1728000</x:v>
      </x:c>
      <x:c r="F189" s="48" t="n">
        <x:f>Members!F189</x:f>
        <x:v>0</x:v>
      </x:c>
      <x:c r="G189" s="46" t="n">
        <x:f>MAX(0,Assumptions!$B$10-C189)</x:f>
        <x:v>1</x:v>
      </x:c>
      <x:c r="H189" s="50" t="n">
        <x:f>IF(B189="Active",E189*(1+Assumptions!$B$7)^G189,E189)</x:f>
        <x:v>1823040</x:v>
      </x:c>
      <x:c r="I189" s="50" t="n">
        <x:f>IF(B189="Active",MIN(Assumptions!$B$12,D189+G189),IF(B189="Deferred",MIN(Assumptions!$B$12,D189),D189))</x:f>
        <x:v>20.4</x:v>
      </x:c>
      <x:c r="J189" s="50" t="n">
        <x:f>IF(B189="Active",H189*I189*Assumptions!$B$11,IF(B189="Deferred",E189*I189*Assumptions!$B$11*(1+Assumptions!$B$9)^G189,F189))</x:f>
        <x:v>619833.6</x:v>
      </x:c>
      <x:c r="K189" s="37" t="n">
        <x:f>IF(B189="Pensioner",1,VLOOKUP(Assumptions!$B$10,Mortality!$A$2:$F$104,6,FALSE)/VLOOKUP(C189,Mortality!$A$2:$F$104,6,FALSE))</x:f>
        <x:v>0.9971096011831975</x:v>
      </x:c>
      <x:c r="L189" s="37" t="n">
        <x:f>VLOOKUP(IF(B189="Pensioner",C189,Assumptions!$B$10),Mortality!$A$2:$E$104,5,FALSE)</x:f>
        <x:v>17.296790022132885</x:v>
      </x:c>
      <x:c r="M189" s="37" t="n">
        <x:f>1+Assumptions!$B$13*Assumptions!$B$14*Assumptions!$B$15</x:f>
        <x:v>1.31875</x:v>
      </x:c>
      <x:c r="N189" s="37" t="n">
        <x:f>IF(B189="Pensioner",1,1/(1+Assumptions!$B$6)^G189)</x:f>
        <x:v>0.9389671361502347</x:v>
      </x:c>
      <x:c r="O189" s="50" t="n">
        <x:f>J189*K189*L189*M189*N189</x:f>
        <x:v>13237207.936835373</x:v>
      </x:c>
    </x:row>
    <x:row r="190">
      <x:c r="A190" s="42" t="str">
        <x:f>Members!A190</x:f>
        <x:v>A0075</x:v>
      </x:c>
      <x:c r="B190" s="42" t="str">
        <x:f>Members!B190</x:f>
        <x:v>Active</x:v>
      </x:c>
      <x:c r="C190" s="42" t="n">
        <x:f>Members!C190</x:f>
        <x:v>43</x:v>
      </x:c>
      <x:c r="D190" s="44" t="n">
        <x:f>Members!D190</x:f>
        <x:v>17.1</x:v>
      </x:c>
      <x:c r="E190" s="48" t="n">
        <x:f>Members!E190</x:f>
        <x:v>1155000</x:v>
      </x:c>
      <x:c r="F190" s="48" t="n">
        <x:f>Members!F190</x:f>
        <x:v>0</x:v>
      </x:c>
      <x:c r="G190" s="46" t="n">
        <x:f>MAX(0,Assumptions!$B$10-C190)</x:f>
        <x:v>17</x:v>
      </x:c>
      <x:c r="H190" s="50" t="n">
        <x:f>IF(B190="Active",E190*(1+Assumptions!$B$7)^G190,E190)</x:f>
        <x:v>2869946.480677981</x:v>
      </x:c>
      <x:c r="I190" s="50" t="n">
        <x:f>IF(B190="Active",MIN(Assumptions!$B$12,D190+G190),IF(B190="Deferred",MIN(Assumptions!$B$12,D190),D190))</x:f>
        <x:v>34.1</x:v>
      </x:c>
      <x:c r="J190" s="50" t="n">
        <x:f>IF(B190="Active",H190*I190*Assumptions!$B$11,IF(B190="Deferred",E190*I190*Assumptions!$B$11*(1+Assumptions!$B$9)^G190,F190))</x:f>
        <x:v>1631086.2498519858</x:v>
      </x:c>
      <x:c r="K190" s="37" t="n">
        <x:f>IF(B190="Pensioner",1,VLOOKUP(Assumptions!$B$10,Mortality!$A$2:$F$104,6,FALSE)/VLOOKUP(C190,Mortality!$A$2:$F$104,6,FALSE))</x:f>
        <x:v>0.975651758424938</x:v>
      </x:c>
      <x:c r="L190" s="37" t="n">
        <x:f>VLOOKUP(IF(B190="Pensioner",C190,Assumptions!$B$10),Mortality!$A$2:$E$104,5,FALSE)</x:f>
        <x:v>17.296790022132885</x:v>
      </x:c>
      <x:c r="M190" s="37" t="n">
        <x:f>1+Assumptions!$B$13*Assumptions!$B$14*Assumptions!$B$15</x:f>
        <x:v>1.31875</x:v>
      </x:c>
      <x:c r="N190" s="37" t="n">
        <x:f>IF(B190="Pensioner",1,1/(1+Assumptions!$B$6)^G190)</x:f>
        <x:v>0.34281251466174323</x:v>
      </x:c>
      <x:c r="O190" s="50" t="n">
        <x:f>J190*K190*L190*M190*N190</x:f>
        <x:v>12443897.120692525</x:v>
      </x:c>
    </x:row>
    <x:row r="191">
      <x:c r="A191" s="42" t="str">
        <x:f>Members!A191</x:f>
        <x:v>A0173</x:v>
      </x:c>
      <x:c r="B191" s="42" t="str">
        <x:f>Members!B191</x:f>
        <x:v>Active</x:v>
      </x:c>
      <x:c r="C191" s="42" t="n">
        <x:f>Members!C191</x:f>
        <x:v>24</x:v>
      </x:c>
      <x:c r="D191" s="44" t="n">
        <x:f>Members!D191</x:f>
        <x:v>1</x:v>
      </x:c>
      <x:c r="E191" s="48" t="n">
        <x:f>Members!E191</x:f>
        <x:v>480000</x:v>
      </x:c>
      <x:c r="F191" s="48" t="n">
        <x:f>Members!F191</x:f>
        <x:v>0</x:v>
      </x:c>
      <x:c r="G191" s="46" t="n">
        <x:f>MAX(0,Assumptions!$B$10-C191)</x:f>
        <x:v>36</x:v>
      </x:c>
      <x:c r="H191" s="50" t="n">
        <x:f>IF(B191="Active",E191*(1+Assumptions!$B$7)^G191,E191)</x:f>
        <x:v>3298600.9839624884</x:v>
      </x:c>
      <x:c r="I191" s="50" t="n">
        <x:f>IF(B191="Active",MIN(Assumptions!$B$12,D191+G191),IF(B191="Deferred",MIN(Assumptions!$B$12,D191),D191))</x:f>
        <x:v>37</x:v>
      </x:c>
      <x:c r="J191" s="50" t="n">
        <x:f>IF(B191="Active",H191*I191*Assumptions!$B$11,IF(B191="Deferred",E191*I191*Assumptions!$B$11*(1+Assumptions!$B$9)^G191,F191))</x:f>
        <x:v>2034137.2734435345</x:v>
      </x:c>
      <x:c r="K191" s="37" t="n">
        <x:f>IF(B191="Pensioner",1,VLOOKUP(Assumptions!$B$10,Mortality!$A$2:$F$104,6,FALSE)/VLOOKUP(C191,Mortality!$A$2:$F$104,6,FALSE))</x:f>
        <x:v>0.9687108670060764</x:v>
      </x:c>
      <x:c r="L191" s="37" t="n">
        <x:f>VLOOKUP(IF(B191="Pensioner",C191,Assumptions!$B$10),Mortality!$A$2:$E$104,5,FALSE)</x:f>
        <x:v>17.296790022132885</x:v>
      </x:c>
      <x:c r="M191" s="37" t="n">
        <x:f>1+Assumptions!$B$13*Assumptions!$B$14*Assumptions!$B$15</x:f>
        <x:v>1.31875</x:v>
      </x:c>
      <x:c r="N191" s="37" t="n">
        <x:f>IF(B191="Pensioner",1,1/(1+Assumptions!$B$6)^G191)</x:f>
        <x:v>0.10361296939205883</x:v>
      </x:c>
      <x:c r="O191" s="50" t="n">
        <x:f>J191*K191*L191*M191*N191</x:f>
        <x:v>4657110.424078632</x:v>
      </x:c>
    </x:row>
    <x:row r="192">
      <x:c r="A192" s="42" t="str">
        <x:f>Members!A192</x:f>
        <x:v>D0129</x:v>
      </x:c>
      <x:c r="B192" s="42" t="str">
        <x:f>Members!B192</x:f>
        <x:v>Deferred</x:v>
      </x:c>
      <x:c r="C192" s="42" t="n">
        <x:f>Members!C192</x:f>
        <x:v>53</x:v>
      </x:c>
      <x:c r="D192" s="44" t="n">
        <x:f>Members!D192</x:f>
        <x:v>16.8</x:v>
      </x:c>
      <x:c r="E192" s="48" t="n">
        <x:f>Members!E192</x:f>
        <x:v>1229000</x:v>
      </x:c>
      <x:c r="F192" s="48" t="n">
        <x:f>Members!F192</x:f>
        <x:v>0</x:v>
      </x:c>
      <x:c r="G192" s="46" t="n">
        <x:f>MAX(0,Assumptions!$B$10-C192)</x:f>
        <x:v>7</x:v>
      </x:c>
      <x:c r="H192" s="50" t="n">
        <x:f>IF(B192="Active",E192*(1+Assumptions!$B$7)^G192,E192)</x:f>
        <x:v>1229000</x:v>
      </x:c>
      <x:c r="I192" s="50" t="n">
        <x:f>IF(B192="Active",MIN(Assumptions!$B$12,D192+G192),IF(B192="Deferred",MIN(Assumptions!$B$12,D192),D192))</x:f>
        <x:v>16.8</x:v>
      </x:c>
      <x:c r="J192" s="50" t="n">
        <x:f>IF(B192="Active",H192*I192*Assumptions!$B$11,IF(B192="Deferred",E192*I192*Assumptions!$B$11*(1+Assumptions!$B$9)^G192,F192))</x:f>
        <x:v>452838.44387063733</x:v>
      </x:c>
      <x:c r="K192" s="37" t="n">
        <x:f>IF(B192="Pensioner",1,VLOOKUP(Assumptions!$B$10,Mortality!$A$2:$F$104,6,FALSE)/VLOOKUP(C192,Mortality!$A$2:$F$104,6,FALSE))</x:f>
        <x:v>0.9850300017431317</x:v>
      </x:c>
      <x:c r="L192" s="37" t="n">
        <x:f>VLOOKUP(IF(B192="Pensioner",C192,Assumptions!$B$10),Mortality!$A$2:$E$104,5,FALSE)</x:f>
        <x:v>17.296790022132885</x:v>
      </x:c>
      <x:c r="M192" s="37" t="n">
        <x:f>1+Assumptions!$B$13*Assumptions!$B$14*Assumptions!$B$15</x:f>
        <x:v>1.31875</x:v>
      </x:c>
      <x:c r="N192" s="37" t="n">
        <x:f>IF(B192="Pensioner",1,1/(1+Assumptions!$B$6)^G192)</x:f>
        <x:v>0.6435062148347594</x:v>
      </x:c>
      <x:c r="O192" s="50" t="n">
        <x:f>J192*K192*L192*M192*N192</x:f>
        <x:v>6547469.425468261</x:v>
      </x:c>
    </x:row>
    <x:row r="193">
      <x:c r="A193" s="42" t="str">
        <x:f>Members!A193</x:f>
        <x:v>A0290</x:v>
      </x:c>
      <x:c r="B193" s="42" t="str">
        <x:f>Members!B193</x:f>
        <x:v>Active</x:v>
      </x:c>
      <x:c r="C193" s="42" t="n">
        <x:f>Members!C193</x:f>
        <x:v>53</x:v>
      </x:c>
      <x:c r="D193" s="44" t="n">
        <x:f>Members!D193</x:f>
        <x:v>8.8</x:v>
      </x:c>
      <x:c r="E193" s="48" t="n">
        <x:f>Members!E193</x:f>
        <x:v>1222000</x:v>
      </x:c>
      <x:c r="F193" s="48" t="n">
        <x:f>Members!F193</x:f>
        <x:v>0</x:v>
      </x:c>
      <x:c r="G193" s="46" t="n">
        <x:f>MAX(0,Assumptions!$B$10-C193)</x:f>
        <x:v>7</x:v>
      </x:c>
      <x:c r="H193" s="50" t="n">
        <x:f>IF(B193="Active",E193*(1+Assumptions!$B$7)^G193,E193)</x:f>
        <x:v>1777617.9349054964</x:v>
      </x:c>
      <x:c r="I193" s="50" t="n">
        <x:f>IF(B193="Active",MIN(Assumptions!$B$12,D193+G193),IF(B193="Deferred",MIN(Assumptions!$B$12,D193),D193))</x:f>
        <x:v>15.8</x:v>
      </x:c>
      <x:c r="J193" s="50" t="n">
        <x:f>IF(B193="Active",H193*I193*Assumptions!$B$11,IF(B193="Deferred",E193*I193*Assumptions!$B$11*(1+Assumptions!$B$9)^G193,F193))</x:f>
        <x:v>468106.0561917807</x:v>
      </x:c>
      <x:c r="K193" s="37" t="n">
        <x:f>IF(B193="Pensioner",1,VLOOKUP(Assumptions!$B$10,Mortality!$A$2:$F$104,6,FALSE)/VLOOKUP(C193,Mortality!$A$2:$F$104,6,FALSE))</x:f>
        <x:v>0.9850300017431317</x:v>
      </x:c>
      <x:c r="L193" s="37" t="n">
        <x:f>VLOOKUP(IF(B193="Pensioner",C193,Assumptions!$B$10),Mortality!$A$2:$E$104,5,FALSE)</x:f>
        <x:v>17.296790022132885</x:v>
      </x:c>
      <x:c r="M193" s="37" t="n">
        <x:f>1+Assumptions!$B$13*Assumptions!$B$14*Assumptions!$B$15</x:f>
        <x:v>1.31875</x:v>
      </x:c>
      <x:c r="N193" s="37" t="n">
        <x:f>IF(B193="Pensioner",1,1/(1+Assumptions!$B$6)^G193)</x:f>
        <x:v>0.6435062148347594</x:v>
      </x:c>
      <x:c r="O193" s="50" t="n">
        <x:f>J193*K193*L193*M193*N193</x:f>
        <x:v>6768219.731069845</x:v>
      </x:c>
    </x:row>
    <x:row r="194">
      <x:c r="A194" s="42" t="str">
        <x:f>Members!A194</x:f>
        <x:v>A0463</x:v>
      </x:c>
      <x:c r="B194" s="42" t="str">
        <x:f>Members!B194</x:f>
        <x:v>Active</x:v>
      </x:c>
      <x:c r="C194" s="42" t="n">
        <x:f>Members!C194</x:f>
        <x:v>55</x:v>
      </x:c>
      <x:c r="D194" s="44" t="n">
        <x:f>Members!D194</x:f>
        <x:v>25.1</x:v>
      </x:c>
      <x:c r="E194" s="48" t="n">
        <x:f>Members!E194</x:f>
        <x:v>2105000</x:v>
      </x:c>
      <x:c r="F194" s="48" t="n">
        <x:f>Members!F194</x:f>
        <x:v>0</x:v>
      </x:c>
      <x:c r="G194" s="46" t="n">
        <x:f>MAX(0,Assumptions!$B$10-C194)</x:f>
        <x:v>5</x:v>
      </x:c>
      <x:c r="H194" s="50" t="n">
        <x:f>IF(B194="Active",E194*(1+Assumptions!$B$7)^G194,E194)</x:f>
        <x:v>2751150.8134917337</x:v>
      </x:c>
      <x:c r="I194" s="50" t="n">
        <x:f>IF(B194="Active",MIN(Assumptions!$B$12,D194+G194),IF(B194="Deferred",MIN(Assumptions!$B$12,D194),D194))</x:f>
        <x:v>30.1</x:v>
      </x:c>
      <x:c r="J194" s="50" t="n">
        <x:f>IF(B194="Active",H194*I194*Assumptions!$B$11,IF(B194="Deferred",E194*I194*Assumptions!$B$11*(1+Assumptions!$B$9)^G194,F194))</x:f>
        <x:v>1380160.6581016865</x:v>
      </x:c>
      <x:c r="K194" s="37" t="n">
        <x:f>IF(B194="Pensioner",1,VLOOKUP(Assumptions!$B$10,Mortality!$A$2:$F$104,6,FALSE)/VLOOKUP(C194,Mortality!$A$2:$F$104,6,FALSE))</x:f>
        <x:v>0.9882419087499175</x:v>
      </x:c>
      <x:c r="L194" s="37" t="n">
        <x:f>VLOOKUP(IF(B194="Pensioner",C194,Assumptions!$B$10),Mortality!$A$2:$E$104,5,FALSE)</x:f>
        <x:v>17.296790022132885</x:v>
      </x:c>
      <x:c r="M194" s="37" t="n">
        <x:f>1+Assumptions!$B$13*Assumptions!$B$14*Assumptions!$B$15</x:f>
        <x:v>1.31875</x:v>
      </x:c>
      <x:c r="N194" s="37" t="n">
        <x:f>IF(B194="Pensioner",1,1/(1+Assumptions!$B$6)^G194)</x:f>
        <x:v>0.7298808365209549</x:v>
      </x:c>
      <x:c r="O194" s="50" t="n">
        <x:f>J194*K194*L194*M194*N194</x:f>
        <x:v>22707684.828239292</x:v>
      </x:c>
    </x:row>
    <x:row r="195">
      <x:c r="A195" s="42" t="str">
        <x:f>Members!A195</x:f>
        <x:v>A0516</x:v>
      </x:c>
      <x:c r="B195" s="42" t="str">
        <x:f>Members!B195</x:f>
        <x:v>Active</x:v>
      </x:c>
      <x:c r="C195" s="42" t="n">
        <x:f>Members!C195</x:f>
        <x:v>36</x:v>
      </x:c>
      <x:c r="D195" s="44" t="n">
        <x:f>Members!D195</x:f>
        <x:v>2.9</x:v>
      </x:c>
      <x:c r="E195" s="48" t="n">
        <x:f>Members!E195</x:f>
        <x:v>586000</x:v>
      </x:c>
      <x:c r="F195" s="48" t="n">
        <x:f>Members!F195</x:f>
        <x:v>0</x:v>
      </x:c>
      <x:c r="G195" s="46" t="n">
        <x:f>MAX(0,Assumptions!$B$10-C195)</x:f>
        <x:v>24</x:v>
      </x:c>
      <x:c r="H195" s="50" t="n">
        <x:f>IF(B195="Active",E195*(1+Assumptions!$B$7)^G195,E195)</x:f>
        <x:v>2118149.683688967</x:v>
      </x:c>
      <x:c r="I195" s="50" t="n">
        <x:f>IF(B195="Active",MIN(Assumptions!$B$12,D195+G195),IF(B195="Deferred",MIN(Assumptions!$B$12,D195),D195))</x:f>
        <x:v>26.9</x:v>
      </x:c>
      <x:c r="J195" s="50" t="n">
        <x:f>IF(B195="Active",H195*I195*Assumptions!$B$11,IF(B195="Deferred",E195*I195*Assumptions!$B$11*(1+Assumptions!$B$9)^G195,F195))</x:f>
        <x:v>949637.1081872201</x:v>
      </x:c>
      <x:c r="K195" s="37" t="n">
        <x:f>IF(B195="Pensioner",1,VLOOKUP(Assumptions!$B$10,Mortality!$A$2:$F$104,6,FALSE)/VLOOKUP(C195,Mortality!$A$2:$F$104,6,FALSE))</x:f>
        <x:v>0.9723450305541352</x:v>
      </x:c>
      <x:c r="L195" s="37" t="n">
        <x:f>VLOOKUP(IF(B195="Pensioner",C195,Assumptions!$B$10),Mortality!$A$2:$E$104,5,FALSE)</x:f>
        <x:v>17.296790022132885</x:v>
      </x:c>
      <x:c r="M195" s="37" t="n">
        <x:f>1+Assumptions!$B$13*Assumptions!$B$14*Assumptions!$B$15</x:f>
        <x:v>1.31875</x:v>
      </x:c>
      <x:c r="N195" s="37" t="n">
        <x:f>IF(B195="Pensioner",1,1/(1+Assumptions!$B$6)^G195)</x:f>
        <x:v>0.22060198370796386</x:v>
      </x:c>
      <x:c r="O195" s="50" t="n">
        <x:f>J195*K195*L195*M195*N195</x:f>
        <x:v>4646388.0218066685</x:v>
      </x:c>
    </x:row>
    <x:row r="196">
      <x:c r="A196" s="42" t="str">
        <x:f>Members!A196</x:f>
        <x:v>A0335</x:v>
      </x:c>
      <x:c r="B196" s="42" t="str">
        <x:f>Members!B196</x:f>
        <x:v>Active</x:v>
      </x:c>
      <x:c r="C196" s="42" t="n">
        <x:f>Members!C196</x:f>
        <x:v>35</x:v>
      </x:c>
      <x:c r="D196" s="44" t="n">
        <x:f>Members!D196</x:f>
        <x:v>10.5</x:v>
      </x:c>
      <x:c r="E196" s="48" t="n">
        <x:f>Members!E196</x:f>
        <x:v>547000</x:v>
      </x:c>
      <x:c r="F196" s="48" t="n">
        <x:f>Members!F196</x:f>
        <x:v>0</x:v>
      </x:c>
      <x:c r="G196" s="46" t="n">
        <x:f>MAX(0,Assumptions!$B$10-C196)</x:f>
        <x:v>25</x:v>
      </x:c>
      <x:c r="H196" s="50" t="n">
        <x:f>IF(B196="Active",E196*(1+Assumptions!$B$7)^G196,E196)</x:f>
        <x:v>2085925.6146956442</x:v>
      </x:c>
      <x:c r="I196" s="50" t="n">
        <x:f>IF(B196="Active",MIN(Assumptions!$B$12,D196+G196),IF(B196="Deferred",MIN(Assumptions!$B$12,D196),D196))</x:f>
        <x:v>35.5</x:v>
      </x:c>
      <x:c r="J196" s="50" t="n">
        <x:f>IF(B196="Active",H196*I196*Assumptions!$B$11,IF(B196="Deferred",E196*I196*Assumptions!$B$11*(1+Assumptions!$B$9)^G196,F196))</x:f>
        <x:v>1234172.6553615895</x:v>
      </x:c>
      <x:c r="K196" s="37" t="n">
        <x:f>IF(B196="Pensioner",1,VLOOKUP(Assumptions!$B$10,Mortality!$A$2:$F$104,6,FALSE)/VLOOKUP(C196,Mortality!$A$2:$F$104,6,FALSE))</x:f>
        <x:v>0.9719740765386753</x:v>
      </x:c>
      <x:c r="L196" s="37" t="n">
        <x:f>VLOOKUP(IF(B196="Pensioner",C196,Assumptions!$B$10),Mortality!$A$2:$E$104,5,FALSE)</x:f>
        <x:v>17.296790022132885</x:v>
      </x:c>
      <x:c r="M196" s="37" t="n">
        <x:f>1+Assumptions!$B$13*Assumptions!$B$14*Assumptions!$B$15</x:f>
        <x:v>1.31875</x:v>
      </x:c>
      <x:c r="N196" s="37" t="n">
        <x:f>IF(B196="Pensioner",1,1/(1+Assumptions!$B$6)^G196)</x:f>
        <x:v>0.20713801287132758</x:v>
      </x:c>
      <x:c r="O196" s="50" t="n">
        <x:f>J196*K196*L196*M196*N196</x:f>
        <x:v>5667850.591266878</x:v>
      </x:c>
    </x:row>
    <x:row r="197">
      <x:c r="A197" s="42" t="str">
        <x:f>Members!A197</x:f>
        <x:v>A0256</x:v>
      </x:c>
      <x:c r="B197" s="42" t="str">
        <x:f>Members!B197</x:f>
        <x:v>Active</x:v>
      </x:c>
      <x:c r="C197" s="42" t="n">
        <x:f>Members!C197</x:f>
        <x:v>52</x:v>
      </x:c>
      <x:c r="D197" s="44" t="n">
        <x:f>Members!D197</x:f>
        <x:v>9.9</x:v>
      </x:c>
      <x:c r="E197" s="48" t="n">
        <x:f>Members!E197</x:f>
        <x:v>1085000</x:v>
      </x:c>
      <x:c r="F197" s="48" t="n">
        <x:f>Members!F197</x:f>
        <x:v>0</x:v>
      </x:c>
      <x:c r="G197" s="46" t="n">
        <x:f>MAX(0,Assumptions!$B$10-C197)</x:f>
        <x:v>8</x:v>
      </x:c>
      <x:c r="H197" s="50" t="n">
        <x:f>IF(B197="Active",E197*(1+Assumptions!$B$7)^G197,E197)</x:f>
        <x:v>1665134.868770826</x:v>
      </x:c>
      <x:c r="I197" s="50" t="n">
        <x:f>IF(B197="Active",MIN(Assumptions!$B$12,D197+G197),IF(B197="Deferred",MIN(Assumptions!$B$12,D197),D197))</x:f>
        <x:v>17.9</x:v>
      </x:c>
      <x:c r="J197" s="50" t="n">
        <x:f>IF(B197="Active",H197*I197*Assumptions!$B$11,IF(B197="Deferred",E197*I197*Assumptions!$B$11*(1+Assumptions!$B$9)^G197,F197))</x:f>
        <x:v>496765.235849963</x:v>
      </x:c>
      <x:c r="K197" s="37" t="n">
        <x:f>IF(B197="Pensioner",1,VLOOKUP(Assumptions!$B$10,Mortality!$A$2:$F$104,6,FALSE)/VLOOKUP(C197,Mortality!$A$2:$F$104,6,FALSE))</x:f>
        <x:v>0.9836527516879843</x:v>
      </x:c>
      <x:c r="L197" s="37" t="n">
        <x:f>VLOOKUP(IF(B197="Pensioner",C197,Assumptions!$B$10),Mortality!$A$2:$E$104,5,FALSE)</x:f>
        <x:v>17.296790022132885</x:v>
      </x:c>
      <x:c r="M197" s="37" t="n">
        <x:f>1+Assumptions!$B$13*Assumptions!$B$14*Assumptions!$B$15</x:f>
        <x:v>1.31875</x:v>
      </x:c>
      <x:c r="N197" s="37" t="n">
        <x:f>IF(B197="Pensioner",1,1/(1+Assumptions!$B$6)^G197)</x:f>
        <x:v>0.6042311876382719</x:v>
      </x:c>
      <x:c r="O197" s="50" t="n">
        <x:f>J197*K197*L197*M197*N197</x:f>
        <x:v>6734791.1221051235</x:v>
      </x:c>
    </x:row>
    <x:row r="198">
      <x:c r="A198" s="42" t="str">
        <x:f>Members!A198</x:f>
        <x:v>P0173</x:v>
      </x:c>
      <x:c r="B198" s="42" t="str">
        <x:f>Members!B198</x:f>
        <x:v>Pensioner</x:v>
      </x:c>
      <x:c r="C198" s="42" t="n">
        <x:f>Members!C198</x:f>
        <x:v>69</x:v>
      </x:c>
      <x:c r="D198" s="44" t="n">
        <x:f>Members!D198</x:f>
        <x:v>23.2</x:v>
      </x:c>
      <x:c r="E198" s="48" t="n">
        <x:f>Members!E198</x:f>
        <x:v>0</x:v>
      </x:c>
      <x:c r="F198" s="48" t="n">
        <x:f>Members!F198</x:f>
        <x:v>250000</x:v>
      </x:c>
      <x:c r="G198" s="46" t="n">
        <x:f>MAX(0,Assumptions!$B$10-C198)</x:f>
        <x:v>0</x:v>
      </x:c>
      <x:c r="H198" s="50" t="n">
        <x:f>IF(B198="Active",E198*(1+Assumptions!$B$7)^G198,E198)</x:f>
        <x:v>0</x:v>
      </x:c>
      <x:c r="I198" s="50" t="n">
        <x:f>IF(B198="Active",MIN(Assumptions!$B$12,D198+G198),IF(B198="Deferred",MIN(Assumptions!$B$12,D198),D198))</x:f>
        <x:v>23.2</x:v>
      </x:c>
      <x:c r="J198" s="50" t="n">
        <x:f>IF(B198="Active",H198*I198*Assumptions!$B$11,IF(B198="Deferred",E198*I198*Assumptions!$B$11*(1+Assumptions!$B$9)^G198,F198))</x:f>
        <x:v>250000</x:v>
      </x:c>
      <x:c r="K198" s="37" t="n">
        <x:f>IF(B198="Pensioner",1,VLOOKUP(Assumptions!$B$10,Mortality!$A$2:$F$104,6,FALSE)/VLOOKUP(C198,Mortality!$A$2:$F$104,6,FALSE))</x:f>
        <x:v>1</x:v>
      </x:c>
      <x:c r="L198" s="37" t="n">
        <x:f>VLOOKUP(IF(B198="Pensioner",C198,Assumptions!$B$10),Mortality!$A$2:$E$104,5,FALSE)</x:f>
        <x:v>13.418448528291036</x:v>
      </x:c>
      <x:c r="M198" s="37" t="n">
        <x:f>1+Assumptions!$B$13*Assumptions!$B$14*Assumptions!$B$15</x:f>
        <x:v>1.31875</x:v>
      </x:c>
      <x:c r="N198" s="37" t="n">
        <x:f>IF(B198="Pensioner",1,1/(1+Assumptions!$B$6)^G198)</x:f>
        <x:v>1</x:v>
      </x:c>
      <x:c r="O198" s="50" t="n">
        <x:f>J198*K198*L198*M198*N198</x:f>
        <x:v>4423894.749170951</x:v>
      </x:c>
    </x:row>
    <x:row r="199">
      <x:c r="A199" s="42" t="str">
        <x:f>Members!A199</x:f>
        <x:v>P0060</x:v>
      </x:c>
      <x:c r="B199" s="42" t="str">
        <x:f>Members!B199</x:f>
        <x:v>Pensioner</x:v>
      </x:c>
      <x:c r="C199" s="42" t="n">
        <x:f>Members!C199</x:f>
        <x:v>74</x:v>
      </x:c>
      <x:c r="D199" s="44" t="n">
        <x:f>Members!D199</x:f>
        <x:v>24.2</x:v>
      </x:c>
      <x:c r="E199" s="48" t="n">
        <x:f>Members!E199</x:f>
        <x:v>0</x:v>
      </x:c>
      <x:c r="F199" s="48" t="n">
        <x:f>Members!F199</x:f>
        <x:v>345000</x:v>
      </x:c>
      <x:c r="G199" s="46" t="n">
        <x:f>MAX(0,Assumptions!$B$10-C199)</x:f>
        <x:v>0</x:v>
      </x:c>
      <x:c r="H199" s="50" t="n">
        <x:f>IF(B199="Active",E199*(1+Assumptions!$B$7)^G199,E199)</x:f>
        <x:v>0</x:v>
      </x:c>
      <x:c r="I199" s="50" t="n">
        <x:f>IF(B199="Active",MIN(Assumptions!$B$12,D199+G199),IF(B199="Deferred",MIN(Assumptions!$B$12,D199),D199))</x:f>
        <x:v>24.2</x:v>
      </x:c>
      <x:c r="J199" s="50" t="n">
        <x:f>IF(B199="Active",H199*I199*Assumptions!$B$11,IF(B199="Deferred",E199*I199*Assumptions!$B$11*(1+Assumptions!$B$9)^G199,F199))</x:f>
        <x:v>345000</x:v>
      </x:c>
      <x:c r="K199" s="37" t="n">
        <x:f>IF(B199="Pensioner",1,VLOOKUP(Assumptions!$B$10,Mortality!$A$2:$F$104,6,FALSE)/VLOOKUP(C199,Mortality!$A$2:$F$104,6,FALSE))</x:f>
        <x:v>1</x:v>
      </x:c>
      <x:c r="L199" s="37" t="n">
        <x:f>VLOOKUP(IF(B199="Pensioner",C199,Assumptions!$B$10),Mortality!$A$2:$E$104,5,FALSE)</x:f>
        <x:v>11.124346929912107</x:v>
      </x:c>
      <x:c r="M199" s="37" t="n">
        <x:f>1+Assumptions!$B$13*Assumptions!$B$14*Assumptions!$B$15</x:f>
        <x:v>1.31875</x:v>
      </x:c>
      <x:c r="N199" s="37" t="n">
        <x:f>IF(B199="Pensioner",1,1/(1+Assumptions!$B$6)^G199)</x:f>
        <x:v>1</x:v>
      </x:c>
      <x:c r="O199" s="50" t="n">
        <x:f>J199*K199*L199*M199*N199</x:f>
        <x:v>5061230.217268449</x:v>
      </x:c>
    </x:row>
    <x:row r="200">
      <x:c r="A200" s="42" t="str">
        <x:f>Members!A200</x:f>
        <x:v>A0032</x:v>
      </x:c>
      <x:c r="B200" s="42" t="str">
        <x:f>Members!B200</x:f>
        <x:v>Active</x:v>
      </x:c>
      <x:c r="C200" s="42" t="n">
        <x:f>Members!C200</x:f>
        <x:v>53</x:v>
      </x:c>
      <x:c r="D200" s="44" t="n">
        <x:f>Members!D200</x:f>
        <x:v>11</x:v>
      </x:c>
      <x:c r="E200" s="48" t="n">
        <x:f>Members!E200</x:f>
        <x:v>1460000</x:v>
      </x:c>
      <x:c r="F200" s="48" t="n">
        <x:f>Members!F200</x:f>
        <x:v>0</x:v>
      </x:c>
      <x:c r="G200" s="46" t="n">
        <x:f>MAX(0,Assumptions!$B$10-C200)</x:f>
        <x:v>7</x:v>
      </x:c>
      <x:c r="H200" s="50" t="n">
        <x:f>IF(B200="Active",E200*(1+Assumptions!$B$7)^G200,E200)</x:f>
        <x:v>2123831.5752553395</x:v>
      </x:c>
      <x:c r="I200" s="50" t="n">
        <x:f>IF(B200="Active",MIN(Assumptions!$B$12,D200+G200),IF(B200="Deferred",MIN(Assumptions!$B$12,D200),D200))</x:f>
        <x:v>18</x:v>
      </x:c>
      <x:c r="J200" s="50" t="n">
        <x:f>IF(B200="Active",H200*I200*Assumptions!$B$11,IF(B200="Deferred",E200*I200*Assumptions!$B$11*(1+Assumptions!$B$9)^G200,F200))</x:f>
        <x:v>637149.4725766018</x:v>
      </x:c>
      <x:c r="K200" s="37" t="n">
        <x:f>IF(B200="Pensioner",1,VLOOKUP(Assumptions!$B$10,Mortality!$A$2:$F$104,6,FALSE)/VLOOKUP(C200,Mortality!$A$2:$F$104,6,FALSE))</x:f>
        <x:v>0.9850300017431317</x:v>
      </x:c>
      <x:c r="L200" s="37" t="n">
        <x:f>VLOOKUP(IF(B200="Pensioner",C200,Assumptions!$B$10),Mortality!$A$2:$E$104,5,FALSE)</x:f>
        <x:v>17.296790022132885</x:v>
      </x:c>
      <x:c r="M200" s="37" t="n">
        <x:f>1+Assumptions!$B$13*Assumptions!$B$14*Assumptions!$B$15</x:f>
        <x:v>1.31875</x:v>
      </x:c>
      <x:c r="N200" s="37" t="n">
        <x:f>IF(B200="Pensioner",1,1/(1+Assumptions!$B$6)^G200)</x:f>
        <x:v>0.6435062148347594</x:v>
      </x:c>
      <x:c r="O200" s="50" t="n">
        <x:f>J200*K200*L200*M200*N200</x:f>
        <x:v>9212373.082750604</x:v>
      </x:c>
    </x:row>
    <x:row r="201">
      <x:c r="A201" s="42" t="str">
        <x:f>Members!A201</x:f>
        <x:v>P0030</x:v>
      </x:c>
      <x:c r="B201" s="42" t="str">
        <x:f>Members!B201</x:f>
        <x:v>Pensioner</x:v>
      </x:c>
      <x:c r="C201" s="42" t="n">
        <x:f>Members!C201</x:f>
        <x:v>85</x:v>
      </x:c>
      <x:c r="D201" s="44" t="n">
        <x:f>Members!D201</x:f>
        <x:v>35.3</x:v>
      </x:c>
      <x:c r="E201" s="48" t="n">
        <x:f>Members!E201</x:f>
        <x:v>0</x:v>
      </x:c>
      <x:c r="F201" s="48" t="n">
        <x:f>Members!F201</x:f>
        <x:v>316000</x:v>
      </x:c>
      <x:c r="G201" s="46" t="n">
        <x:f>MAX(0,Assumptions!$B$10-C201)</x:f>
        <x:v>0</x:v>
      </x:c>
      <x:c r="H201" s="50" t="n">
        <x:f>IF(B201="Active",E201*(1+Assumptions!$B$7)^G201,E201)</x:f>
        <x:v>0</x:v>
      </x:c>
      <x:c r="I201" s="50" t="n">
        <x:f>IF(B201="Active",MIN(Assumptions!$B$12,D201+G201),IF(B201="Deferred",MIN(Assumptions!$B$12,D201),D201))</x:f>
        <x:v>35.3</x:v>
      </x:c>
      <x:c r="J201" s="50" t="n">
        <x:f>IF(B201="Active",H201*I201*Assumptions!$B$11,IF(B201="Deferred",E201*I201*Assumptions!$B$11*(1+Assumptions!$B$9)^G201,F201))</x:f>
        <x:v>316000</x:v>
      </x:c>
      <x:c r="K201" s="37" t="n">
        <x:f>IF(B201="Pensioner",1,VLOOKUP(Assumptions!$B$10,Mortality!$A$2:$F$104,6,FALSE)/VLOOKUP(C201,Mortality!$A$2:$F$104,6,FALSE))</x:f>
        <x:v>1</x:v>
      </x:c>
      <x:c r="L201" s="37" t="n">
        <x:f>VLOOKUP(IF(B201="Pensioner",C201,Assumptions!$B$10),Mortality!$A$2:$E$104,5,FALSE)</x:f>
        <x:v>6.2282827560748935</x:v>
      </x:c>
      <x:c r="M201" s="37" t="n">
        <x:f>1+Assumptions!$B$13*Assumptions!$B$14*Assumptions!$B$15</x:f>
        <x:v>1.31875</x:v>
      </x:c>
      <x:c r="N201" s="37" t="n">
        <x:f>IF(B201="Pensioner",1,1/(1+Assumptions!$B$6)^G201)</x:f>
        <x:v>1</x:v>
      </x:c>
      <x:c r="O201" s="50" t="n">
        <x:f>J201*K201*L201*M201*N201</x:f>
        <x:v>2595481.13152531</x:v>
      </x:c>
    </x:row>
    <x:row r="202">
      <x:c r="A202" s="42" t="str">
        <x:f>Members!A202</x:f>
        <x:v>A0611</x:v>
      </x:c>
      <x:c r="B202" s="42" t="str">
        <x:f>Members!B202</x:f>
        <x:v>Active</x:v>
      </x:c>
      <x:c r="C202" s="42" t="n">
        <x:f>Members!C202</x:f>
        <x:v>32</x:v>
      </x:c>
      <x:c r="D202" s="44" t="n">
        <x:f>Members!D202</x:f>
        <x:v>4</x:v>
      </x:c>
      <x:c r="E202" s="48" t="n">
        <x:f>Members!E202</x:f>
        <x:v>492000</x:v>
      </x:c>
      <x:c r="F202" s="48" t="n">
        <x:f>Members!F202</x:f>
        <x:v>0</x:v>
      </x:c>
      <x:c r="G202" s="46" t="n">
        <x:f>MAX(0,Assumptions!$B$10-C202)</x:f>
        <x:v>28</x:v>
      </x:c>
      <x:c r="H202" s="50" t="n">
        <x:f>IF(B202="Active",E202*(1+Assumptions!$B$7)^G202,E202)</x:f>
        <x:v>2203098.7928306824</x:v>
      </x:c>
      <x:c r="I202" s="50" t="n">
        <x:f>IF(B202="Active",MIN(Assumptions!$B$12,D202+G202),IF(B202="Deferred",MIN(Assumptions!$B$12,D202),D202))</x:f>
        <x:v>32</x:v>
      </x:c>
      <x:c r="J202" s="50" t="n">
        <x:f>IF(B202="Active",H202*I202*Assumptions!$B$11,IF(B202="Deferred",E202*I202*Assumptions!$B$11*(1+Assumptions!$B$9)^G202,F202))</x:f>
        <x:v>1174986.0228430305</x:v>
      </x:c>
      <x:c r="K202" s="37" t="n">
        <x:f>IF(B202="Pensioner",1,VLOOKUP(Assumptions!$B$10,Mortality!$A$2:$F$104,6,FALSE)/VLOOKUP(C202,Mortality!$A$2:$F$104,6,FALSE))</x:f>
        <x:v>0.9709584687664957</x:v>
      </x:c>
      <x:c r="L202" s="37" t="n">
        <x:f>VLOOKUP(IF(B202="Pensioner",C202,Assumptions!$B$10),Mortality!$A$2:$E$104,5,FALSE)</x:f>
        <x:v>17.296790022132885</x:v>
      </x:c>
      <x:c r="M202" s="37" t="n">
        <x:f>1+Assumptions!$B$13*Assumptions!$B$14*Assumptions!$B$15</x:f>
        <x:v>1.31875</x:v>
      </x:c>
      <x:c r="N202" s="37" t="n">
        <x:f>IF(B202="Pensioner",1,1/(1+Assumptions!$B$6)^G202)</x:f>
        <x:v>0.17147901583340255</x:v>
      </x:c>
      <x:c r="O202" s="50" t="n">
        <x:f>J202*K202*L202*M202*N202</x:f>
        <x:v>4462439.310004404</x:v>
      </x:c>
    </x:row>
    <x:row r="203">
      <x:c r="A203" s="42" t="str">
        <x:f>Members!A203</x:f>
        <x:v>P0114</x:v>
      </x:c>
      <x:c r="B203" s="42" t="str">
        <x:f>Members!B203</x:f>
        <x:v>Pensioner</x:v>
      </x:c>
      <x:c r="C203" s="42" t="n">
        <x:f>Members!C203</x:f>
        <x:v>81</x:v>
      </x:c>
      <x:c r="D203" s="44" t="n">
        <x:f>Members!D203</x:f>
        <x:v>33.4</x:v>
      </x:c>
      <x:c r="E203" s="48" t="n">
        <x:f>Members!E203</x:f>
        <x:v>0</x:v>
      </x:c>
      <x:c r="F203" s="48" t="n">
        <x:f>Members!F203</x:f>
        <x:v>473000</x:v>
      </x:c>
      <x:c r="G203" s="46" t="n">
        <x:f>MAX(0,Assumptions!$B$10-C203)</x:f>
        <x:v>0</x:v>
      </x:c>
      <x:c r="H203" s="50" t="n">
        <x:f>IF(B203="Active",E203*(1+Assumptions!$B$7)^G203,E203)</x:f>
        <x:v>0</x:v>
      </x:c>
      <x:c r="I203" s="50" t="n">
        <x:f>IF(B203="Active",MIN(Assumptions!$B$12,D203+G203),IF(B203="Deferred",MIN(Assumptions!$B$12,D203),D203))</x:f>
        <x:v>33.4</x:v>
      </x:c>
      <x:c r="J203" s="50" t="n">
        <x:f>IF(B203="Active",H203*I203*Assumptions!$B$11,IF(B203="Deferred",E203*I203*Assumptions!$B$11*(1+Assumptions!$B$9)^G203,F203))</x:f>
        <x:v>473000</x:v>
      </x:c>
      <x:c r="K203" s="37" t="n">
        <x:f>IF(B203="Pensioner",1,VLOOKUP(Assumptions!$B$10,Mortality!$A$2:$F$104,6,FALSE)/VLOOKUP(C203,Mortality!$A$2:$F$104,6,FALSE))</x:f>
        <x:v>1</x:v>
      </x:c>
      <x:c r="L203" s="37" t="n">
        <x:f>VLOOKUP(IF(B203="Pensioner",C203,Assumptions!$B$10),Mortality!$A$2:$E$104,5,FALSE)</x:f>
        <x:v>7.936897714048503</x:v>
      </x:c>
      <x:c r="M203" s="37" t="n">
        <x:f>1+Assumptions!$B$13*Assumptions!$B$14*Assumptions!$B$15</x:f>
        <x:v>1.31875</x:v>
      </x:c>
      <x:c r="N203" s="37" t="n">
        <x:f>IF(B203="Pensioner",1,1/(1+Assumptions!$B$6)^G203)</x:f>
        <x:v>1</x:v>
      </x:c>
      <x:c r="O203" s="50" t="n">
        <x:f>J203*K203*L203*M203*N203</x:f>
        <x:v>4950788.765969892</x:v>
      </x:c>
    </x:row>
    <x:row r="204">
      <x:c r="A204" s="42" t="str">
        <x:f>Members!A204</x:f>
        <x:v>A0052</x:v>
      </x:c>
      <x:c r="B204" s="42" t="str">
        <x:f>Members!B204</x:f>
        <x:v>Active</x:v>
      </x:c>
      <x:c r="C204" s="42" t="n">
        <x:f>Members!C204</x:f>
        <x:v>45</x:v>
      </x:c>
      <x:c r="D204" s="44" t="n">
        <x:f>Members!D204</x:f>
        <x:v>19.1</x:v>
      </x:c>
      <x:c r="E204" s="48" t="n">
        <x:f>Members!E204</x:f>
        <x:v>1408000</x:v>
      </x:c>
      <x:c r="F204" s="48" t="n">
        <x:f>Members!F204</x:f>
        <x:v>0</x:v>
      </x:c>
      <x:c r="G204" s="46" t="n">
        <x:f>MAX(0,Assumptions!$B$10-C204)</x:f>
        <x:v>15</x:v>
      </x:c>
      <x:c r="H204" s="50" t="n">
        <x:f>IF(B204="Active",E204*(1+Assumptions!$B$7)^G204,E204)</x:f>
        <x:v>3143326.901071033</x:v>
      </x:c>
      <x:c r="I204" s="50" t="n">
        <x:f>IF(B204="Active",MIN(Assumptions!$B$12,D204+G204),IF(B204="Deferred",MIN(Assumptions!$B$12,D204),D204))</x:f>
        <x:v>34.1</x:v>
      </x:c>
      <x:c r="J204" s="50" t="n">
        <x:f>IF(B204="Active",H204*I204*Assumptions!$B$11,IF(B204="Deferred",E204*I204*Assumptions!$B$11*(1+Assumptions!$B$9)^G204,F204))</x:f>
        <x:v>1786457.4554420372</x:v>
      </x:c>
      <x:c r="K204" s="37" t="n">
        <x:f>IF(B204="Pensioner",1,VLOOKUP(Assumptions!$B$10,Mortality!$A$2:$F$104,6,FALSE)/VLOOKUP(C204,Mortality!$A$2:$F$104,6,FALSE))</x:f>
        <x:v>0.9769349478194655</x:v>
      </x:c>
      <x:c r="L204" s="37" t="n">
        <x:f>VLOOKUP(IF(B204="Pensioner",C204,Assumptions!$B$10),Mortality!$A$2:$E$104,5,FALSE)</x:f>
        <x:v>17.296790022132885</x:v>
      </x:c>
      <x:c r="M204" s="37" t="n">
        <x:f>1+Assumptions!$B$13*Assumptions!$B$14*Assumptions!$B$15</x:f>
        <x:v>1.31875</x:v>
      </x:c>
      <x:c r="N204" s="37" t="n">
        <x:f>IF(B204="Pensioner",1,1/(1+Assumptions!$B$6)^G204)</x:f>
        <x:v>0.38882652444221566</x:v>
      </x:c>
      <x:c r="O204" s="50" t="n">
        <x:f>J204*K204*L204*M204*N204</x:f>
        <x:v>15478974.794447212</x:v>
      </x:c>
    </x:row>
    <x:row r="205">
      <x:c r="A205" s="42" t="str">
        <x:f>Members!A205</x:f>
        <x:v>P0151</x:v>
      </x:c>
      <x:c r="B205" s="42" t="str">
        <x:f>Members!B205</x:f>
        <x:v>Pensioner</x:v>
      </x:c>
      <x:c r="C205" s="42" t="n">
        <x:f>Members!C205</x:f>
        <x:v>76</x:v>
      </x:c>
      <x:c r="D205" s="44" t="n">
        <x:f>Members!D205</x:f>
        <x:v>19.9</x:v>
      </x:c>
      <x:c r="E205" s="48" t="n">
        <x:f>Members!E205</x:f>
        <x:v>0</x:v>
      </x:c>
      <x:c r="F205" s="48" t="n">
        <x:f>Members!F205</x:f>
        <x:v>351000</x:v>
      </x:c>
      <x:c r="G205" s="46" t="n">
        <x:f>MAX(0,Assumptions!$B$10-C205)</x:f>
        <x:v>0</x:v>
      </x:c>
      <x:c r="H205" s="50" t="n">
        <x:f>IF(B205="Active",E205*(1+Assumptions!$B$7)^G205,E205)</x:f>
        <x:v>0</x:v>
      </x:c>
      <x:c r="I205" s="50" t="n">
        <x:f>IF(B205="Active",MIN(Assumptions!$B$12,D205+G205),IF(B205="Deferred",MIN(Assumptions!$B$12,D205),D205))</x:f>
        <x:v>19.9</x:v>
      </x:c>
      <x:c r="J205" s="50" t="n">
        <x:f>IF(B205="Active",H205*I205*Assumptions!$B$11,IF(B205="Deferred",E205*I205*Assumptions!$B$11*(1+Assumptions!$B$9)^G205,F205))</x:f>
        <x:v>351000</x:v>
      </x:c>
      <x:c r="K205" s="37" t="n">
        <x:f>IF(B205="Pensioner",1,VLOOKUP(Assumptions!$B$10,Mortality!$A$2:$F$104,6,FALSE)/VLOOKUP(C205,Mortality!$A$2:$F$104,6,FALSE))</x:f>
        <x:v>1</x:v>
      </x:c>
      <x:c r="L205" s="37" t="n">
        <x:f>VLOOKUP(IF(B205="Pensioner",C205,Assumptions!$B$10),Mortality!$A$2:$E$104,5,FALSE)</x:f>
        <x:v>10.201355966192867</x:v>
      </x:c>
      <x:c r="M205" s="37" t="n">
        <x:f>1+Assumptions!$B$13*Assumptions!$B$14*Assumptions!$B$15</x:f>
        <x:v>1.31875</x:v>
      </x:c>
      <x:c r="N205" s="37" t="n">
        <x:f>IF(B205="Pensioner",1,1/(1+Assumptions!$B$6)^G205)</x:f>
        <x:v>1</x:v>
      </x:c>
      <x:c r="O205" s="50" t="n">
        <x:f>J205*K205*L205*M205*N205</x:f>
        <x:v>4722016.401326313</x:v>
      </x:c>
    </x:row>
    <x:row r="206">
      <x:c r="A206" s="42" t="str">
        <x:f>Members!A206</x:f>
        <x:v>D0010</x:v>
      </x:c>
      <x:c r="B206" s="42" t="str">
        <x:f>Members!B206</x:f>
        <x:v>Deferred</x:v>
      </x:c>
      <x:c r="C206" s="42" t="n">
        <x:f>Members!C206</x:f>
        <x:v>31</x:v>
      </x:c>
      <x:c r="D206" s="44" t="n">
        <x:f>Members!D206</x:f>
        <x:v>2.6</x:v>
      </x:c>
      <x:c r="E206" s="48" t="n">
        <x:f>Members!E206</x:f>
        <x:v>336000</x:v>
      </x:c>
      <x:c r="F206" s="48" t="n">
        <x:f>Members!F206</x:f>
        <x:v>0</x:v>
      </x:c>
      <x:c r="G206" s="46" t="n">
        <x:f>MAX(0,Assumptions!$B$10-C206)</x:f>
        <x:v>29</x:v>
      </x:c>
      <x:c r="H206" s="50" t="n">
        <x:f>IF(B206="Active",E206*(1+Assumptions!$B$7)^G206,E206)</x:f>
        <x:v>336000</x:v>
      </x:c>
      <x:c r="I206" s="50" t="n">
        <x:f>IF(B206="Active",MIN(Assumptions!$B$12,D206+G206),IF(B206="Deferred",MIN(Assumptions!$B$12,D206),D206))</x:f>
        <x:v>2.6</x:v>
      </x:c>
      <x:c r="J206" s="50" t="n">
        <x:f>IF(B206="Active",H206*I206*Assumptions!$B$11,IF(B206="Deferred",E206*I206*Assumptions!$B$11*(1+Assumptions!$B$9)^G206,F206))</x:f>
        <x:v>45407.565140385595</x:v>
      </x:c>
      <x:c r="K206" s="37" t="n">
        <x:f>IF(B206="Pensioner",1,VLOOKUP(Assumptions!$B$10,Mortality!$A$2:$F$104,6,FALSE)/VLOOKUP(C206,Mortality!$A$2:$F$104,6,FALSE))</x:f>
        <x:v>0.9706466107295209</x:v>
      </x:c>
      <x:c r="L206" s="37" t="n">
        <x:f>VLOOKUP(IF(B206="Pensioner",C206,Assumptions!$B$10),Mortality!$A$2:$E$104,5,FALSE)</x:f>
        <x:v>17.296790022132885</x:v>
      </x:c>
      <x:c r="M206" s="37" t="n">
        <x:f>1+Assumptions!$B$13*Assumptions!$B$14*Assumptions!$B$15</x:f>
        <x:v>1.31875</x:v>
      </x:c>
      <x:c r="N206" s="37" t="n">
        <x:f>IF(B206="Pensioner",1,1/(1+Assumptions!$B$6)^G206)</x:f>
        <x:v>0.16101316040695074</x:v>
      </x:c>
      <x:c r="O206" s="50" t="n">
        <x:f>J206*K206*L206*M206*N206</x:f>
        <x:v>161874.60343677865</x:v>
      </x:c>
    </x:row>
    <x:row r="207">
      <x:c r="A207" s="42" t="str">
        <x:f>Members!A207</x:f>
        <x:v>A0556</x:v>
      </x:c>
      <x:c r="B207" s="42" t="str">
        <x:f>Members!B207</x:f>
        <x:v>Active</x:v>
      </x:c>
      <x:c r="C207" s="42" t="n">
        <x:f>Members!C207</x:f>
        <x:v>35</x:v>
      </x:c>
      <x:c r="D207" s="44" t="n">
        <x:f>Members!D207</x:f>
        <x:v>4.7</x:v>
      </x:c>
      <x:c r="E207" s="48" t="n">
        <x:f>Members!E207</x:f>
        <x:v>858000</x:v>
      </x:c>
      <x:c r="F207" s="48" t="n">
        <x:f>Members!F207</x:f>
        <x:v>0</x:v>
      </x:c>
      <x:c r="G207" s="46" t="n">
        <x:f>MAX(0,Assumptions!$B$10-C207)</x:f>
        <x:v>25</x:v>
      </x:c>
      <x:c r="H207" s="50" t="n">
        <x:f>IF(B207="Active",E207*(1+Assumptions!$B$7)^G207,E207)</x:f>
        <x:v>3271890.635116751</x:v>
      </x:c>
      <x:c r="I207" s="50" t="n">
        <x:f>IF(B207="Active",MIN(Assumptions!$B$12,D207+G207),IF(B207="Deferred",MIN(Assumptions!$B$12,D207),D207))</x:f>
        <x:v>29.7</x:v>
      </x:c>
      <x:c r="J207" s="50" t="n">
        <x:f>IF(B207="Active",H207*I207*Assumptions!$B$11,IF(B207="Deferred",E207*I207*Assumptions!$B$11*(1+Assumptions!$B$9)^G207,F207))</x:f>
        <x:v>1619585.8643827916</x:v>
      </x:c>
      <x:c r="K207" s="37" t="n">
        <x:f>IF(B207="Pensioner",1,VLOOKUP(Assumptions!$B$10,Mortality!$A$2:$F$104,6,FALSE)/VLOOKUP(C207,Mortality!$A$2:$F$104,6,FALSE))</x:f>
        <x:v>0.9719740765386753</x:v>
      </x:c>
      <x:c r="L207" s="37" t="n">
        <x:f>VLOOKUP(IF(B207="Pensioner",C207,Assumptions!$B$10),Mortality!$A$2:$E$104,5,FALSE)</x:f>
        <x:v>17.296790022132885</x:v>
      </x:c>
      <x:c r="M207" s="37" t="n">
        <x:f>1+Assumptions!$B$13*Assumptions!$B$14*Assumptions!$B$15</x:f>
        <x:v>1.31875</x:v>
      </x:c>
      <x:c r="N207" s="37" t="n">
        <x:f>IF(B207="Pensioner",1,1/(1+Assumptions!$B$6)^G207)</x:f>
        <x:v>0.20713801287132758</x:v>
      </x:c>
      <x:c r="O207" s="50" t="n">
        <x:f>J207*K207*L207*M207*N207</x:f>
        <x:v>7437833.4823501995</x:v>
      </x:c>
    </x:row>
    <x:row r="208">
      <x:c r="A208" s="42" t="str">
        <x:f>Members!A208</x:f>
        <x:v>A0082</x:v>
      </x:c>
      <x:c r="B208" s="42" t="str">
        <x:f>Members!B208</x:f>
        <x:v>Active</x:v>
      </x:c>
      <x:c r="C208" s="42" t="n">
        <x:f>Members!C208</x:f>
        <x:v>26</x:v>
      </x:c>
      <x:c r="D208" s="44" t="n">
        <x:f>Members!D208</x:f>
        <x:v>2.3</x:v>
      </x:c>
      <x:c r="E208" s="48" t="n">
        <x:f>Members!E208</x:f>
        <x:v>452000</x:v>
      </x:c>
      <x:c r="F208" s="48" t="n">
        <x:f>Members!F208</x:f>
        <x:v>0</x:v>
      </x:c>
      <x:c r="G208" s="46" t="n">
        <x:f>MAX(0,Assumptions!$B$10-C208)</x:f>
        <x:v>34</x:v>
      </x:c>
      <x:c r="H208" s="50" t="n">
        <x:f>IF(B208="Active",E208*(1+Assumptions!$B$7)^G208,E208)</x:f>
        <x:v>2790757.2545372685</x:v>
      </x:c>
      <x:c r="I208" s="50" t="n">
        <x:f>IF(B208="Active",MIN(Assumptions!$B$12,D208+G208),IF(B208="Deferred",MIN(Assumptions!$B$12,D208),D208))</x:f>
        <x:v>36.3</x:v>
      </x:c>
      <x:c r="J208" s="50" t="n">
        <x:f>IF(B208="Active",H208*I208*Assumptions!$B$11,IF(B208="Deferred",E208*I208*Assumptions!$B$11*(1+Assumptions!$B$9)^G208,F208))</x:f>
        <x:v>1688408.1389950474</x:v>
      </x:c>
      <x:c r="K208" s="37" t="n">
        <x:f>IF(B208="Pensioner",1,VLOOKUP(Assumptions!$B$10,Mortality!$A$2:$F$104,6,FALSE)/VLOOKUP(C208,Mortality!$A$2:$F$104,6,FALSE))</x:f>
        <x:v>0.9692291629189255</x:v>
      </x:c>
      <x:c r="L208" s="37" t="n">
        <x:f>VLOOKUP(IF(B208="Pensioner",C208,Assumptions!$B$10),Mortality!$A$2:$E$104,5,FALSE)</x:f>
        <x:v>17.296790022132885</x:v>
      </x:c>
      <x:c r="M208" s="37" t="n">
        <x:f>1+Assumptions!$B$13*Assumptions!$B$14*Assumptions!$B$15</x:f>
        <x:v>1.31875</x:v>
      </x:c>
      <x:c r="N208" s="37" t="n">
        <x:f>IF(B208="Pensioner",1,1/(1+Assumptions!$B$6)^G208)</x:f>
        <x:v>0.11752042020870793</x:v>
      </x:c>
      <x:c r="O208" s="50" t="n">
        <x:f>J208*K208*L208*M208*N208</x:f>
        <x:v>4386773.705273193</x:v>
      </x:c>
    </x:row>
    <x:row r="209">
      <x:c r="A209" s="42" t="str">
        <x:f>Members!A209</x:f>
        <x:v>A0558</x:v>
      </x:c>
      <x:c r="B209" s="42" t="str">
        <x:f>Members!B209</x:f>
        <x:v>Active</x:v>
      </x:c>
      <x:c r="C209" s="42" t="n">
        <x:f>Members!C209</x:f>
        <x:v>37</x:v>
      </x:c>
      <x:c r="D209" s="44" t="n">
        <x:f>Members!D209</x:f>
        <x:v>3.8</x:v>
      </x:c>
      <x:c r="E209" s="48" t="n">
        <x:f>Members!E209</x:f>
        <x:v>773000</x:v>
      </x:c>
      <x:c r="F209" s="48" t="n">
        <x:f>Members!F209</x:f>
        <x:v>0</x:v>
      </x:c>
      <x:c r="G209" s="46" t="n">
        <x:f>MAX(0,Assumptions!$B$10-C209)</x:f>
        <x:v>23</x:v>
      </x:c>
      <x:c r="H209" s="50" t="n">
        <x:f>IF(B209="Active",E209*(1+Assumptions!$B$7)^G209,E209)</x:f>
        <x:v>2648415.1618193416</x:v>
      </x:c>
      <x:c r="I209" s="50" t="n">
        <x:f>IF(B209="Active",MIN(Assumptions!$B$12,D209+G209),IF(B209="Deferred",MIN(Assumptions!$B$12,D209),D209))</x:f>
        <x:v>26.8</x:v>
      </x:c>
      <x:c r="J209" s="50" t="n">
        <x:f>IF(B209="Active",H209*I209*Assumptions!$B$11,IF(B209="Deferred",E209*I209*Assumptions!$B$11*(1+Assumptions!$B$9)^G209,F209))</x:f>
        <x:v>1182958.772279306</x:v>
      </x:c>
      <x:c r="K209" s="37" t="n">
        <x:f>IF(B209="Pensioner",1,VLOOKUP(Assumptions!$B$10,Mortality!$A$2:$F$104,6,FALSE)/VLOOKUP(C209,Mortality!$A$2:$F$104,6,FALSE))</x:f>
        <x:v>0.9727356141265188</x:v>
      </x:c>
      <x:c r="L209" s="37" t="n">
        <x:f>VLOOKUP(IF(B209="Pensioner",C209,Assumptions!$B$10),Mortality!$A$2:$E$104,5,FALSE)</x:f>
        <x:v>17.296790022132885</x:v>
      </x:c>
      <x:c r="M209" s="37" t="n">
        <x:f>1+Assumptions!$B$13*Assumptions!$B$14*Assumptions!$B$15</x:f>
        <x:v>1.31875</x:v>
      </x:c>
      <x:c r="N209" s="37" t="n">
        <x:f>IF(B209="Pensioner",1,1/(1+Assumptions!$B$6)^G209)</x:f>
        <x:v>0.23494111264898151</x:v>
      </x:c>
      <x:c r="O209" s="50" t="n">
        <x:f>J209*K209*L209*M209*N209</x:f>
        <x:v>6166680.2869725</x:v>
      </x:c>
    </x:row>
    <x:row r="210">
      <x:c r="A210" s="42" t="str">
        <x:f>Members!A210</x:f>
        <x:v>A0401</x:v>
      </x:c>
      <x:c r="B210" s="42" t="str">
        <x:f>Members!B210</x:f>
        <x:v>Active</x:v>
      </x:c>
      <x:c r="C210" s="42" t="n">
        <x:f>Members!C210</x:f>
        <x:v>35</x:v>
      </x:c>
      <x:c r="D210" s="44" t="n">
        <x:f>Members!D210</x:f>
        <x:v>11.4</x:v>
      </x:c>
      <x:c r="E210" s="48" t="n">
        <x:f>Members!E210</x:f>
        <x:v>516000</x:v>
      </x:c>
      <x:c r="F210" s="48" t="n">
        <x:f>Members!F210</x:f>
        <x:v>0</x:v>
      </x:c>
      <x:c r="G210" s="46" t="n">
        <x:f>MAX(0,Assumptions!$B$10-C210)</x:f>
        <x:v>25</x:v>
      </x:c>
      <x:c r="H210" s="50" t="n">
        <x:f>IF(B210="Active",E210*(1+Assumptions!$B$7)^G210,E210)</x:f>
        <x:v>1967710.4518883957</x:v>
      </x:c>
      <x:c r="I210" s="50" t="n">
        <x:f>IF(B210="Active",MIN(Assumptions!$B$12,D210+G210),IF(B210="Deferred",MIN(Assumptions!$B$12,D210),D210))</x:f>
        <x:v>36.4</x:v>
      </x:c>
      <x:c r="J210" s="50" t="n">
        <x:f>IF(B210="Active",H210*I210*Assumptions!$B$11,IF(B210="Deferred",E210*I210*Assumptions!$B$11*(1+Assumptions!$B$9)^G210,F210))</x:f>
        <x:v>1193744.3408122933</x:v>
      </x:c>
      <x:c r="K210" s="37" t="n">
        <x:f>IF(B210="Pensioner",1,VLOOKUP(Assumptions!$B$10,Mortality!$A$2:$F$104,6,FALSE)/VLOOKUP(C210,Mortality!$A$2:$F$104,6,FALSE))</x:f>
        <x:v>0.9719740765386753</x:v>
      </x:c>
      <x:c r="L210" s="37" t="n">
        <x:f>VLOOKUP(IF(B210="Pensioner",C210,Assumptions!$B$10),Mortality!$A$2:$E$104,5,FALSE)</x:f>
        <x:v>17.296790022132885</x:v>
      </x:c>
      <x:c r="M210" s="37" t="n">
        <x:f>1+Assumptions!$B$13*Assumptions!$B$14*Assumptions!$B$15</x:f>
        <x:v>1.31875</x:v>
      </x:c>
      <x:c r="N210" s="37" t="n">
        <x:f>IF(B210="Pensioner",1,1/(1+Assumptions!$B$6)^G210)</x:f>
        <x:v>0.20713801287132758</x:v>
      </x:c>
      <x:c r="O210" s="50" t="n">
        <x:f>J210*K210*L210*M210*N210</x:f>
        <x:v>5482186.417355152</x:v>
      </x:c>
    </x:row>
    <x:row r="211">
      <x:c r="A211" s="42" t="str">
        <x:f>Members!A211</x:f>
        <x:v>D0066</x:v>
      </x:c>
      <x:c r="B211" s="42" t="str">
        <x:f>Members!B211</x:f>
        <x:v>Deferred</x:v>
      </x:c>
      <x:c r="C211" s="42" t="n">
        <x:f>Members!C211</x:f>
        <x:v>57</x:v>
      </x:c>
      <x:c r="D211" s="44" t="n">
        <x:f>Members!D211</x:f>
        <x:v>27.8</x:v>
      </x:c>
      <x:c r="E211" s="48" t="n">
        <x:f>Members!E211</x:f>
        <x:v>1519000</x:v>
      </x:c>
      <x:c r="F211" s="48" t="n">
        <x:f>Members!F211</x:f>
        <x:v>0</x:v>
      </x:c>
      <x:c r="G211" s="46" t="n">
        <x:f>MAX(0,Assumptions!$B$10-C211)</x:f>
        <x:v>3</x:v>
      </x:c>
      <x:c r="H211" s="50" t="n">
        <x:f>IF(B211="Active",E211*(1+Assumptions!$B$7)^G211,E211)</x:f>
        <x:v>1519000</x:v>
      </x:c>
      <x:c r="I211" s="50" t="n">
        <x:f>IF(B211="Active",MIN(Assumptions!$B$12,D211+G211),IF(B211="Deferred",MIN(Assumptions!$B$12,D211),D211))</x:f>
        <x:v>27.8</x:v>
      </x:c>
      <x:c r="J211" s="50" t="n">
        <x:f>IF(B211="Active",H211*I211*Assumptions!$B$11,IF(B211="Deferred",E211*I211*Assumptions!$B$11*(1+Assumptions!$B$9)^G211,F211))</x:f>
        <x:v>791683.0327466668</x:v>
      </x:c>
      <x:c r="K211" s="37" t="n">
        <x:f>IF(B211="Pensioner",1,VLOOKUP(Assumptions!$B$10,Mortality!$A$2:$F$104,6,FALSE)/VLOOKUP(C211,Mortality!$A$2:$F$104,6,FALSE))</x:f>
        <x:v>0.9922003892921417</x:v>
      </x:c>
      <x:c r="L211" s="37" t="n">
        <x:f>VLOOKUP(IF(B211="Pensioner",C211,Assumptions!$B$10),Mortality!$A$2:$E$104,5,FALSE)</x:f>
        <x:v>17.296790022132885</x:v>
      </x:c>
      <x:c r="M211" s="37" t="n">
        <x:f>1+Assumptions!$B$13*Assumptions!$B$14*Assumptions!$B$15</x:f>
        <x:v>1.31875</x:v>
      </x:c>
      <x:c r="N211" s="37" t="n">
        <x:f>IF(B211="Pensioner",1,1/(1+Assumptions!$B$6)^G211)</x:f>
        <x:v>0.8278490918029799</x:v>
      </x:c>
      <x:c r="O211" s="50" t="n">
        <x:f>J211*K211*L211*M211*N211</x:f>
        <x:v>14833030.609941488</x:v>
      </x:c>
    </x:row>
    <x:row r="212">
      <x:c r="A212" s="42" t="str">
        <x:f>Members!A212</x:f>
        <x:v>A0304</x:v>
      </x:c>
      <x:c r="B212" s="42" t="str">
        <x:f>Members!B212</x:f>
        <x:v>Active</x:v>
      </x:c>
      <x:c r="C212" s="42" t="n">
        <x:f>Members!C212</x:f>
        <x:v>46</x:v>
      </x:c>
      <x:c r="D212" s="44" t="n">
        <x:f>Members!D212</x:f>
        <x:v>6.6</x:v>
      </x:c>
      <x:c r="E212" s="48" t="n">
        <x:f>Members!E212</x:f>
        <x:v>872000</x:v>
      </x:c>
      <x:c r="F212" s="48" t="n">
        <x:f>Members!F212</x:f>
        <x:v>0</x:v>
      </x:c>
      <x:c r="G212" s="46" t="n">
        <x:f>MAX(0,Assumptions!$B$10-C212)</x:f>
        <x:v>14</x:v>
      </x:c>
      <x:c r="H212" s="50" t="n">
        <x:f>IF(B212="Active",E212*(1+Assumptions!$B$7)^G212,E212)</x:f>
        <x:v>1845231.7547217936</x:v>
      </x:c>
      <x:c r="I212" s="50" t="n">
        <x:f>IF(B212="Active",MIN(Assumptions!$B$12,D212+G212),IF(B212="Deferred",MIN(Assumptions!$B$12,D212),D212))</x:f>
        <x:v>20.6</x:v>
      </x:c>
      <x:c r="J212" s="50" t="n">
        <x:f>IF(B212="Active",H212*I212*Assumptions!$B$11,IF(B212="Deferred",E212*I212*Assumptions!$B$11*(1+Assumptions!$B$9)^G212,F212))</x:f>
        <x:v>633529.5691211491</x:v>
      </x:c>
      <x:c r="K212" s="37" t="n">
        <x:f>IF(B212="Pensioner",1,VLOOKUP(Assumptions!$B$10,Mortality!$A$2:$F$104,6,FALSE)/VLOOKUP(C212,Mortality!$A$2:$F$104,6,FALSE))</x:f>
        <x:v>0.9776582328304806</x:v>
      </x:c>
      <x:c r="L212" s="37" t="n">
        <x:f>VLOOKUP(IF(B212="Pensioner",C212,Assumptions!$B$10),Mortality!$A$2:$E$104,5,FALSE)</x:f>
        <x:v>17.296790022132885</x:v>
      </x:c>
      <x:c r="M212" s="37" t="n">
        <x:f>1+Assumptions!$B$13*Assumptions!$B$14*Assumptions!$B$15</x:f>
        <x:v>1.31875</x:v>
      </x:c>
      <x:c r="N212" s="37" t="n">
        <x:f>IF(B212="Pensioner",1,1/(1+Assumptions!$B$6)^G212)</x:f>
        <x:v>0.41410024853095956</x:v>
      </x:c>
      <x:c r="O212" s="50" t="n">
        <x:f>J212*K212*L212*M212*N212</x:f>
        <x:v>5850425.1668972755</x:v>
      </x:c>
    </x:row>
    <x:row r="213">
      <x:c r="A213" s="42" t="str">
        <x:f>Members!A213</x:f>
        <x:v>P0215</x:v>
      </x:c>
      <x:c r="B213" s="42" t="str">
        <x:f>Members!B213</x:f>
        <x:v>Pensioner</x:v>
      </x:c>
      <x:c r="C213" s="42" t="n">
        <x:f>Members!C213</x:f>
        <x:v>63</x:v>
      </x:c>
      <x:c r="D213" s="44" t="n">
        <x:f>Members!D213</x:f>
        <x:v>13.7</x:v>
      </x:c>
      <x:c r="E213" s="48" t="n">
        <x:f>Members!E213</x:f>
        <x:v>0</x:v>
      </x:c>
      <x:c r="F213" s="48" t="n">
        <x:f>Members!F213</x:f>
        <x:v>141000</x:v>
      </x:c>
      <x:c r="G213" s="46" t="n">
        <x:f>MAX(0,Assumptions!$B$10-C213)</x:f>
        <x:v>0</x:v>
      </x:c>
      <x:c r="H213" s="50" t="n">
        <x:f>IF(B213="Active",E213*(1+Assumptions!$B$7)^G213,E213)</x:f>
        <x:v>0</x:v>
      </x:c>
      <x:c r="I213" s="50" t="n">
        <x:f>IF(B213="Active",MIN(Assumptions!$B$12,D213+G213),IF(B213="Deferred",MIN(Assumptions!$B$12,D213),D213))</x:f>
        <x:v>13.7</x:v>
      </x:c>
      <x:c r="J213" s="50" t="n">
        <x:f>IF(B213="Active",H213*I213*Assumptions!$B$11,IF(B213="Deferred",E213*I213*Assumptions!$B$11*(1+Assumptions!$B$9)^G213,F213))</x:f>
        <x:v>141000</x:v>
      </x:c>
      <x:c r="K213" s="37" t="n">
        <x:f>IF(B213="Pensioner",1,VLOOKUP(Assumptions!$B$10,Mortality!$A$2:$F$104,6,FALSE)/VLOOKUP(C213,Mortality!$A$2:$F$104,6,FALSE))</x:f>
        <x:v>1</x:v>
      </x:c>
      <x:c r="L213" s="37" t="n">
        <x:f>VLOOKUP(IF(B213="Pensioner",C213,Assumptions!$B$10),Mortality!$A$2:$E$104,5,FALSE)</x:f>
        <x:v>16.055191398346196</x:v>
      </x:c>
      <x:c r="M213" s="37" t="n">
        <x:f>1+Assumptions!$B$13*Assumptions!$B$14*Assumptions!$B$15</x:f>
        <x:v>1.31875</x:v>
      </x:c>
      <x:c r="N213" s="37" t="n">
        <x:f>IF(B213="Pensioner",1,1/(1+Assumptions!$B$6)^G213)</x:f>
        <x:v>1</x:v>
      </x:c>
      <x:c r="O213" s="50" t="n">
        <x:f>J213*K213*L213*M213*N213</x:f>
        <x:v>2985362.4955762355</x:v>
      </x:c>
    </x:row>
    <x:row r="214">
      <x:c r="A214" s="42" t="str">
        <x:f>Members!A214</x:f>
        <x:v>A0042</x:v>
      </x:c>
      <x:c r="B214" s="42" t="str">
        <x:f>Members!B214</x:f>
        <x:v>Active</x:v>
      </x:c>
      <x:c r="C214" s="42" t="n">
        <x:f>Members!C214</x:f>
        <x:v>41</x:v>
      </x:c>
      <x:c r="D214" s="44" t="n">
        <x:f>Members!D214</x:f>
        <x:v>2.1</x:v>
      </x:c>
      <x:c r="E214" s="48" t="n">
        <x:f>Members!E214</x:f>
        <x:v>716000</x:v>
      </x:c>
      <x:c r="F214" s="48" t="n">
        <x:f>Members!F214</x:f>
        <x:v>0</x:v>
      </x:c>
      <x:c r="G214" s="46" t="n">
        <x:f>MAX(0,Assumptions!$B$10-C214)</x:f>
        <x:v>19</x:v>
      </x:c>
      <x:c r="H214" s="50" t="n">
        <x:f>IF(B214="Active",E214*(1+Assumptions!$B$7)^G214,E214)</x:f>
        <x:v>1980203.1879360455</x:v>
      </x:c>
      <x:c r="I214" s="50" t="n">
        <x:f>IF(B214="Active",MIN(Assumptions!$B$12,D214+G214),IF(B214="Deferred",MIN(Assumptions!$B$12,D214),D214))</x:f>
        <x:v>21.1</x:v>
      </x:c>
      <x:c r="J214" s="50" t="n">
        <x:f>IF(B214="Active",H214*I214*Assumptions!$B$11,IF(B214="Deferred",E214*I214*Assumptions!$B$11*(1+Assumptions!$B$9)^G214,F214))</x:f>
        <x:v>696371.454424176</x:v>
      </x:c>
      <x:c r="K214" s="37" t="n">
        <x:f>IF(B214="Pensioner",1,VLOOKUP(Assumptions!$B$10,Mortality!$A$2:$F$104,6,FALSE)/VLOOKUP(C214,Mortality!$A$2:$F$104,6,FALSE))</x:f>
        <x:v>0.9745478954079534</x:v>
      </x:c>
      <x:c r="L214" s="37" t="n">
        <x:f>VLOOKUP(IF(B214="Pensioner",C214,Assumptions!$B$10),Mortality!$A$2:$E$104,5,FALSE)</x:f>
        <x:v>17.296790022132885</x:v>
      </x:c>
      <x:c r="M214" s="37" t="n">
        <x:f>1+Assumptions!$B$13*Assumptions!$B$14*Assumptions!$B$15</x:f>
        <x:v>1.31875</x:v>
      </x:c>
      <x:c r="N214" s="37" t="n">
        <x:f>IF(B214="Pensioner",1,1/(1+Assumptions!$B$6)^G214)</x:f>
        <x:v>0.30224383580131214</x:v>
      </x:c>
      <x:c r="O214" s="50" t="n">
        <x:f>J214*K214*L214*M214*N214</x:f>
        <x:v>4678747.266215984</x:v>
      </x:c>
    </x:row>
    <x:row r="215">
      <x:c r="A215" s="42" t="str">
        <x:f>Members!A215</x:f>
        <x:v>D0104</x:v>
      </x:c>
      <x:c r="B215" s="42" t="str">
        <x:f>Members!B215</x:f>
        <x:v>Deferred</x:v>
      </x:c>
      <x:c r="C215" s="42" t="n">
        <x:f>Members!C215</x:f>
        <x:v>46</x:v>
      </x:c>
      <x:c r="D215" s="44" t="n">
        <x:f>Members!D215</x:f>
        <x:v>10.1</x:v>
      </x:c>
      <x:c r="E215" s="48" t="n">
        <x:f>Members!E215</x:f>
        <x:v>795000</x:v>
      </x:c>
      <x:c r="F215" s="48" t="n">
        <x:f>Members!F215</x:f>
        <x:v>0</x:v>
      </x:c>
      <x:c r="G215" s="46" t="n">
        <x:f>MAX(0,Assumptions!$B$10-C215)</x:f>
        <x:v>14</x:v>
      </x:c>
      <x:c r="H215" s="50" t="n">
        <x:f>IF(B215="Active",E215*(1+Assumptions!$B$7)^G215,E215)</x:f>
        <x:v>795000</x:v>
      </x:c>
      <x:c r="I215" s="50" t="n">
        <x:f>IF(B215="Active",MIN(Assumptions!$B$12,D215+G215),IF(B215="Deferred",MIN(Assumptions!$B$12,D215),D215))</x:f>
        <x:v>10.1</x:v>
      </x:c>
      <x:c r="J215" s="50" t="n">
        <x:f>IF(B215="Active",H215*I215*Assumptions!$B$11,IF(B215="Deferred",E215*I215*Assumptions!$B$11*(1+Assumptions!$B$9)^G215,F215))</x:f>
        <x:v>231741.60060044532</x:v>
      </x:c>
      <x:c r="K215" s="37" t="n">
        <x:f>IF(B215="Pensioner",1,VLOOKUP(Assumptions!$B$10,Mortality!$A$2:$F$104,6,FALSE)/VLOOKUP(C215,Mortality!$A$2:$F$104,6,FALSE))</x:f>
        <x:v>0.9776582328304806</x:v>
      </x:c>
      <x:c r="L215" s="37" t="n">
        <x:f>VLOOKUP(IF(B215="Pensioner",C215,Assumptions!$B$10),Mortality!$A$2:$E$104,5,FALSE)</x:f>
        <x:v>17.296790022132885</x:v>
      </x:c>
      <x:c r="M215" s="37" t="n">
        <x:f>1+Assumptions!$B$13*Assumptions!$B$14*Assumptions!$B$15</x:f>
        <x:v>1.31875</x:v>
      </x:c>
      <x:c r="N215" s="37" t="n">
        <x:f>IF(B215="Pensioner",1,1/(1+Assumptions!$B$6)^G215)</x:f>
        <x:v>0.41410024853095956</x:v>
      </x:c>
      <x:c r="O215" s="50" t="n">
        <x:f>J215*K215*L215*M215*N215</x:f>
        <x:v>2140053.059008263</x:v>
      </x:c>
    </x:row>
    <x:row r="216">
      <x:c r="A216" s="42" t="str">
        <x:f>Members!A216</x:f>
        <x:v>A0390</x:v>
      </x:c>
      <x:c r="B216" s="42" t="str">
        <x:f>Members!B216</x:f>
        <x:v>Active</x:v>
      </x:c>
      <x:c r="C216" s="42" t="n">
        <x:f>Members!C216</x:f>
        <x:v>49</x:v>
      </x:c>
      <x:c r="D216" s="44" t="n">
        <x:f>Members!D216</x:f>
        <x:v>4.5</x:v>
      </x:c>
      <x:c r="E216" s="48" t="n">
        <x:f>Members!E216</x:f>
        <x:v>1040000</x:v>
      </x:c>
      <x:c r="F216" s="48" t="n">
        <x:f>Members!F216</x:f>
        <x:v>0</x:v>
      </x:c>
      <x:c r="G216" s="46" t="n">
        <x:f>MAX(0,Assumptions!$B$10-C216)</x:f>
        <x:v>11</x:v>
      </x:c>
      <x:c r="H216" s="50" t="n">
        <x:f>IF(B216="Active",E216*(1+Assumptions!$B$7)^G216,E216)</x:f>
        <x:v>1874176.099705562</x:v>
      </x:c>
      <x:c r="I216" s="50" t="n">
        <x:f>IF(B216="Active",MIN(Assumptions!$B$12,D216+G216),IF(B216="Deferred",MIN(Assumptions!$B$12,D216),D216))</x:f>
        <x:v>15.5</x:v>
      </x:c>
      <x:c r="J216" s="50" t="n">
        <x:f>IF(B216="Active",H216*I216*Assumptions!$B$11,IF(B216="Deferred",E216*I216*Assumptions!$B$11*(1+Assumptions!$B$9)^G216,F216))</x:f>
        <x:v>484162.1590906035</x:v>
      </x:c>
      <x:c r="K216" s="37" t="n">
        <x:f>IF(B216="Pensioner",1,VLOOKUP(Assumptions!$B$10,Mortality!$A$2:$F$104,6,FALSE)/VLOOKUP(C216,Mortality!$A$2:$F$104,6,FALSE))</x:f>
        <x:v>0.9802429662359576</x:v>
      </x:c>
      <x:c r="L216" s="37" t="n">
        <x:f>VLOOKUP(IF(B216="Pensioner",C216,Assumptions!$B$10),Mortality!$A$2:$E$104,5,FALSE)</x:f>
        <x:v>17.296790022132885</x:v>
      </x:c>
      <x:c r="M216" s="37" t="n">
        <x:f>1+Assumptions!$B$13*Assumptions!$B$14*Assumptions!$B$15</x:f>
        <x:v>1.31875</x:v>
      </x:c>
      <x:c r="N216" s="37" t="n">
        <x:f>IF(B216="Pensioner",1,1/(1+Assumptions!$B$6)^G216)</x:f>
        <x:v>0.5002122399253793</x:v>
      </x:c>
      <x:c r="O216" s="50" t="n">
        <x:f>J216*K216*L216*M216*N216</x:f>
        <x:v>5415104.950201627</x:v>
      </x:c>
    </x:row>
    <x:row r="217">
      <x:c r="A217" s="42" t="str">
        <x:f>Members!A217</x:f>
        <x:v>A0513</x:v>
      </x:c>
      <x:c r="B217" s="42" t="str">
        <x:f>Members!B217</x:f>
        <x:v>Active</x:v>
      </x:c>
      <x:c r="C217" s="42" t="n">
        <x:f>Members!C217</x:f>
        <x:v>47</x:v>
      </x:c>
      <x:c r="D217" s="44" t="n">
        <x:f>Members!D217</x:f>
        <x:v>17.1</x:v>
      </x:c>
      <x:c r="E217" s="48" t="n">
        <x:f>Members!E217</x:f>
        <x:v>1461000</x:v>
      </x:c>
      <x:c r="F217" s="48" t="n">
        <x:f>Members!F217</x:f>
        <x:v>0</x:v>
      </x:c>
      <x:c r="G217" s="46" t="n">
        <x:f>MAX(0,Assumptions!$B$10-C217)</x:f>
        <x:v>13</x:v>
      </x:c>
      <x:c r="H217" s="50" t="n">
        <x:f>IF(B217="Active",E217*(1+Assumptions!$B$7)^G217,E217)</x:f>
        <x:v>2930435.664212075</x:v>
      </x:c>
      <x:c r="I217" s="50" t="n">
        <x:f>IF(B217="Active",MIN(Assumptions!$B$12,D217+G217),IF(B217="Deferred",MIN(Assumptions!$B$12,D217),D217))</x:f>
        <x:v>30.1</x:v>
      </x:c>
      <x:c r="J217" s="50" t="n">
        <x:f>IF(B217="Active",H217*I217*Assumptions!$B$11,IF(B217="Deferred",E217*I217*Assumptions!$B$11*(1+Assumptions!$B$9)^G217,F217))</x:f>
        <x:v>1470101.891546391</x:v>
      </x:c>
      <x:c r="K217" s="37" t="n">
        <x:f>IF(B217="Pensioner",1,VLOOKUP(Assumptions!$B$10,Mortality!$A$2:$F$104,6,FALSE)/VLOOKUP(C217,Mortality!$A$2:$F$104,6,FALSE))</x:f>
        <x:v>0.9784451675747989</x:v>
      </x:c>
      <x:c r="L217" s="37" t="n">
        <x:f>VLOOKUP(IF(B217="Pensioner",C217,Assumptions!$B$10),Mortality!$A$2:$E$104,5,FALSE)</x:f>
        <x:v>17.296790022132885</x:v>
      </x:c>
      <x:c r="M217" s="37" t="n">
        <x:f>1+Assumptions!$B$13*Assumptions!$B$14*Assumptions!$B$15</x:f>
        <x:v>1.31875</x:v>
      </x:c>
      <x:c r="N217" s="37" t="n">
        <x:f>IF(B217="Pensioner",1,1/(1+Assumptions!$B$6)^G217)</x:f>
        <x:v>0.4410167646854719</x:v>
      </x:c>
      <x:c r="O217" s="50" t="n">
        <x:f>J217*K217*L217*M217*N217</x:f>
        <x:v>14469949.447099956</x:v>
      </x:c>
    </x:row>
    <x:row r="218">
      <x:c r="A218" s="42" t="str">
        <x:f>Members!A218</x:f>
        <x:v>A0234</x:v>
      </x:c>
      <x:c r="B218" s="42" t="str">
        <x:f>Members!B218</x:f>
        <x:v>Active</x:v>
      </x:c>
      <x:c r="C218" s="42" t="n">
        <x:f>Members!C218</x:f>
        <x:v>33</x:v>
      </x:c>
      <x:c r="D218" s="44" t="n">
        <x:f>Members!D218</x:f>
        <x:v>2.7</x:v>
      </x:c>
      <x:c r="E218" s="48" t="n">
        <x:f>Members!E218</x:f>
        <x:v>649000</x:v>
      </x:c>
      <x:c r="F218" s="48" t="n">
        <x:f>Members!F218</x:f>
        <x:v>0</x:v>
      </x:c>
      <x:c r="G218" s="46" t="n">
        <x:f>MAX(0,Assumptions!$B$10-C218)</x:f>
        <x:v>27</x:v>
      </x:c>
      <x:c r="H218" s="50" t="n">
        <x:f>IF(B218="Active",E218*(1+Assumptions!$B$7)^G218,E218)</x:f>
        <x:v>2754616.261216647</x:v>
      </x:c>
      <x:c r="I218" s="50" t="n">
        <x:f>IF(B218="Active",MIN(Assumptions!$B$12,D218+G218),IF(B218="Deferred",MIN(Assumptions!$B$12,D218),D218))</x:f>
        <x:v>29.7</x:v>
      </x:c>
      <x:c r="J218" s="50" t="n">
        <x:f>IF(B218="Active",H218*I218*Assumptions!$B$11,IF(B218="Deferred",E218*I218*Assumptions!$B$11*(1+Assumptions!$B$9)^G218,F218))</x:f>
        <x:v>1363535.0493022401</x:v>
      </x:c>
      <x:c r="K218" s="37" t="n">
        <x:f>IF(B218="Pensioner",1,VLOOKUP(Assumptions!$B$10,Mortality!$A$2:$F$104,6,FALSE)/VLOOKUP(C218,Mortality!$A$2:$F$104,6,FALSE))</x:f>
        <x:v>0.9712826176321353</x:v>
      </x:c>
      <x:c r="L218" s="37" t="n">
        <x:f>VLOOKUP(IF(B218="Pensioner",C218,Assumptions!$B$10),Mortality!$A$2:$E$104,5,FALSE)</x:f>
        <x:v>17.296790022132885</x:v>
      </x:c>
      <x:c r="M218" s="37" t="n">
        <x:f>1+Assumptions!$B$13*Assumptions!$B$14*Assumptions!$B$15</x:f>
        <x:v>1.31875</x:v>
      </x:c>
      <x:c r="N218" s="37" t="n">
        <x:f>IF(B218="Pensioner",1,1/(1+Assumptions!$B$6)^G218)</x:f>
        <x:v>0.1826251518625737</x:v>
      </x:c>
      <x:c r="O218" s="50" t="n">
        <x:f>J218*K218*L218*M218*N218</x:f>
        <x:v>5516968.424518634</x:v>
      </x:c>
    </x:row>
    <x:row r="219">
      <x:c r="A219" s="42" t="str">
        <x:f>Members!A219</x:f>
        <x:v>P0100</x:v>
      </x:c>
      <x:c r="B219" s="42" t="str">
        <x:f>Members!B219</x:f>
        <x:v>Pensioner</x:v>
      </x:c>
      <x:c r="C219" s="42" t="n">
        <x:f>Members!C219</x:f>
        <x:v>77</x:v>
      </x:c>
      <x:c r="D219" s="44" t="n">
        <x:f>Members!D219</x:f>
        <x:v>16.2</x:v>
      </x:c>
      <x:c r="E219" s="48" t="n">
        <x:f>Members!E219</x:f>
        <x:v>0</x:v>
      </x:c>
      <x:c r="F219" s="48" t="n">
        <x:f>Members!F219</x:f>
        <x:v>508000</x:v>
      </x:c>
      <x:c r="G219" s="46" t="n">
        <x:f>MAX(0,Assumptions!$B$10-C219)</x:f>
        <x:v>0</x:v>
      </x:c>
      <x:c r="H219" s="50" t="n">
        <x:f>IF(B219="Active",E219*(1+Assumptions!$B$7)^G219,E219)</x:f>
        <x:v>0</x:v>
      </x:c>
      <x:c r="I219" s="50" t="n">
        <x:f>IF(B219="Active",MIN(Assumptions!$B$12,D219+G219),IF(B219="Deferred",MIN(Assumptions!$B$12,D219),D219))</x:f>
        <x:v>16.2</x:v>
      </x:c>
      <x:c r="J219" s="50" t="n">
        <x:f>IF(B219="Active",H219*I219*Assumptions!$B$11,IF(B219="Deferred",E219*I219*Assumptions!$B$11*(1+Assumptions!$B$9)^G219,F219))</x:f>
        <x:v>508000</x:v>
      </x:c>
      <x:c r="K219" s="37" t="n">
        <x:f>IF(B219="Pensioner",1,VLOOKUP(Assumptions!$B$10,Mortality!$A$2:$F$104,6,FALSE)/VLOOKUP(C219,Mortality!$A$2:$F$104,6,FALSE))</x:f>
        <x:v>1</x:v>
      </x:c>
      <x:c r="L219" s="37" t="n">
        <x:f>VLOOKUP(IF(B219="Pensioner",C219,Assumptions!$B$10),Mortality!$A$2:$E$104,5,FALSE)</x:f>
        <x:v>9.741818456431972</x:v>
      </x:c>
      <x:c r="M219" s="37" t="n">
        <x:f>1+Assumptions!$B$13*Assumptions!$B$14*Assumptions!$B$15</x:f>
        <x:v>1.31875</x:v>
      </x:c>
      <x:c r="N219" s="37" t="n">
        <x:f>IF(B219="Pensioner",1,1/(1+Assumptions!$B$6)^G219)</x:f>
        <x:v>1</x:v>
      </x:c>
      <x:c r="O219" s="50" t="n">
        <x:f>J219*K219*L219*M219*N219</x:f>
        <x:v>6526287.729425189</x:v>
      </x:c>
    </x:row>
    <x:row r="220">
      <x:c r="A220" s="42" t="str">
        <x:f>Members!A220</x:f>
        <x:v>A0370</x:v>
      </x:c>
      <x:c r="B220" s="42" t="str">
        <x:f>Members!B220</x:f>
        <x:v>Active</x:v>
      </x:c>
      <x:c r="C220" s="42" t="n">
        <x:f>Members!C220</x:f>
        <x:v>22</x:v>
      </x:c>
      <x:c r="D220" s="44" t="n">
        <x:f>Members!D220</x:f>
        <x:v>1.8</x:v>
      </x:c>
      <x:c r="E220" s="48" t="n">
        <x:f>Members!E220</x:f>
        <x:v>445000</x:v>
      </x:c>
      <x:c r="F220" s="48" t="n">
        <x:f>Members!F220</x:f>
        <x:v>0</x:v>
      </x:c>
      <x:c r="G220" s="46" t="n">
        <x:f>MAX(0,Assumptions!$B$10-C220)</x:f>
        <x:v>38</x:v>
      </x:c>
      <x:c r="H220" s="50" t="n">
        <x:f>IF(B220="Active",E220*(1+Assumptions!$B$7)^G220,E220)</x:f>
        <x:v>3403717.2609954323</x:v>
      </x:c>
      <x:c r="I220" s="50" t="n">
        <x:f>IF(B220="Active",MIN(Assumptions!$B$12,D220+G220),IF(B220="Deferred",MIN(Assumptions!$B$12,D220),D220))</x:f>
        <x:v>39.8</x:v>
      </x:c>
      <x:c r="J220" s="50" t="n">
        <x:f>IF(B220="Active",H220*I220*Assumptions!$B$11,IF(B220="Deferred",E220*I220*Assumptions!$B$11*(1+Assumptions!$B$9)^G220,F220))</x:f>
        <x:v>2257799.1164603033</x:v>
      </x:c>
      <x:c r="K220" s="37" t="n">
        <x:f>IF(B220="Pensioner",1,VLOOKUP(Assumptions!$B$10,Mortality!$A$2:$F$104,6,FALSE)/VLOOKUP(C220,Mortality!$A$2:$F$104,6,FALSE))</x:f>
        <x:v>0.9682119922904866</x:v>
      </x:c>
      <x:c r="L220" s="37" t="n">
        <x:f>VLOOKUP(IF(B220="Pensioner",C220,Assumptions!$B$10),Mortality!$A$2:$E$104,5,FALSE)</x:f>
        <x:v>17.296790022132885</x:v>
      </x:c>
      <x:c r="M220" s="37" t="n">
        <x:f>1+Assumptions!$B$13*Assumptions!$B$14*Assumptions!$B$15</x:f>
        <x:v>1.31875</x:v>
      </x:c>
      <x:c r="N220" s="37" t="n">
        <x:f>IF(B220="Pensioner",1,1/(1+Assumptions!$B$6)^G220)</x:f>
        <x:v>0.09135133627989055</x:v>
      </x:c>
      <x:c r="O220" s="50" t="n">
        <x:f>J220*K220*L220*M220*N220</x:f>
        <x:v>4555107.6676551495</x:v>
      </x:c>
    </x:row>
    <x:row r="221">
      <x:c r="A221" s="42" t="str">
        <x:f>Members!A221</x:f>
        <x:v>A0609</x:v>
      </x:c>
      <x:c r="B221" s="42" t="str">
        <x:f>Members!B221</x:f>
        <x:v>Active</x:v>
      </x:c>
      <x:c r="C221" s="42" t="n">
        <x:f>Members!C221</x:f>
        <x:v>30</x:v>
      </x:c>
      <x:c r="D221" s="44" t="n">
        <x:f>Members!D221</x:f>
        <x:v>2.2</x:v>
      </x:c>
      <x:c r="E221" s="48" t="n">
        <x:f>Members!E221</x:f>
        <x:v>701000</x:v>
      </x:c>
      <x:c r="F221" s="48" t="n">
        <x:f>Members!F221</x:f>
        <x:v>0</x:v>
      </x:c>
      <x:c r="G221" s="46" t="n">
        <x:f>MAX(0,Assumptions!$B$10-C221)</x:f>
        <x:v>30</x:v>
      </x:c>
      <x:c r="H221" s="50" t="n">
        <x:f>IF(B221="Active",E221*(1+Assumptions!$B$7)^G221,E221)</x:f>
        <x:v>3493749.853164937</x:v>
      </x:c>
      <x:c r="I221" s="50" t="n">
        <x:f>IF(B221="Active",MIN(Assumptions!$B$12,D221+G221),IF(B221="Deferred",MIN(Assumptions!$B$12,D221),D221))</x:f>
        <x:v>32.2</x:v>
      </x:c>
      <x:c r="J221" s="50" t="n">
        <x:f>IF(B221="Active",H221*I221*Assumptions!$B$11,IF(B221="Deferred",E221*I221*Assumptions!$B$11*(1+Assumptions!$B$9)^G221,F221))</x:f>
        <x:v>1874979.087865183</x:v>
      </x:c>
      <x:c r="K221" s="37" t="n">
        <x:f>IF(B221="Pensioner",1,VLOOKUP(Assumptions!$B$10,Mortality!$A$2:$F$104,6,FALSE)/VLOOKUP(C221,Mortality!$A$2:$F$104,6,FALSE))</x:f>
        <x:v>0.9703456880318753</x:v>
      </x:c>
      <x:c r="L221" s="37" t="n">
        <x:f>VLOOKUP(IF(B221="Pensioner",C221,Assumptions!$B$10),Mortality!$A$2:$E$104,5,FALSE)</x:f>
        <x:v>17.296790022132885</x:v>
      </x:c>
      <x:c r="M221" s="37" t="n">
        <x:f>1+Assumptions!$B$13*Assumptions!$B$14*Assumptions!$B$15</x:f>
        <x:v>1.31875</x:v>
      </x:c>
      <x:c r="N221" s="37" t="n">
        <x:f>IF(B221="Pensioner",1,1/(1+Assumptions!$B$6)^G221)</x:f>
        <x:v>0.1511860661098129</x:v>
      </x:c>
      <x:c r="O221" s="50" t="n">
        <x:f>J221*K221*L221*M221*N221</x:f>
        <x:v>6274262.162868522</x:v>
      </x:c>
    </x:row>
    <x:row r="222">
      <x:c r="A222" s="42" t="str">
        <x:f>Members!A222</x:f>
        <x:v>P0230</x:v>
      </x:c>
      <x:c r="B222" s="42" t="str">
        <x:f>Members!B222</x:f>
        <x:v>Pensioner</x:v>
      </x:c>
      <x:c r="C222" s="42" t="n">
        <x:f>Members!C222</x:f>
        <x:v>81</x:v>
      </x:c>
      <x:c r="D222" s="44" t="n">
        <x:f>Members!D222</x:f>
        <x:v>25.8</x:v>
      </x:c>
      <x:c r="E222" s="48" t="n">
        <x:f>Members!E222</x:f>
        <x:v>0</x:v>
      </x:c>
      <x:c r="F222" s="48" t="n">
        <x:f>Members!F222</x:f>
        <x:v>294000</x:v>
      </x:c>
      <x:c r="G222" s="46" t="n">
        <x:f>MAX(0,Assumptions!$B$10-C222)</x:f>
        <x:v>0</x:v>
      </x:c>
      <x:c r="H222" s="50" t="n">
        <x:f>IF(B222="Active",E222*(1+Assumptions!$B$7)^G222,E222)</x:f>
        <x:v>0</x:v>
      </x:c>
      <x:c r="I222" s="50" t="n">
        <x:f>IF(B222="Active",MIN(Assumptions!$B$12,D222+G222),IF(B222="Deferred",MIN(Assumptions!$B$12,D222),D222))</x:f>
        <x:v>25.8</x:v>
      </x:c>
      <x:c r="J222" s="50" t="n">
        <x:f>IF(B222="Active",H222*I222*Assumptions!$B$11,IF(B222="Deferred",E222*I222*Assumptions!$B$11*(1+Assumptions!$B$9)^G222,F222))</x:f>
        <x:v>294000</x:v>
      </x:c>
      <x:c r="K222" s="37" t="n">
        <x:f>IF(B222="Pensioner",1,VLOOKUP(Assumptions!$B$10,Mortality!$A$2:$F$104,6,FALSE)/VLOOKUP(C222,Mortality!$A$2:$F$104,6,FALSE))</x:f>
        <x:v>1</x:v>
      </x:c>
      <x:c r="L222" s="37" t="n">
        <x:f>VLOOKUP(IF(B222="Pensioner",C222,Assumptions!$B$10),Mortality!$A$2:$E$104,5,FALSE)</x:f>
        <x:v>7.936897714048503</x:v>
      </x:c>
      <x:c r="M222" s="37" t="n">
        <x:f>1+Assumptions!$B$13*Assumptions!$B$14*Assumptions!$B$15</x:f>
        <x:v>1.31875</x:v>
      </x:c>
      <x:c r="N222" s="37" t="n">
        <x:f>IF(B222="Pensioner",1,1/(1+Assumptions!$B$6)^G222)</x:f>
        <x:v>1</x:v>
      </x:c>
      <x:c r="O222" s="50" t="n">
        <x:f>J222*K222*L222*M222*N222</x:f>
        <x:v>3077234.4549580305</x:v>
      </x:c>
    </x:row>
    <x:row r="223">
      <x:c r="A223" s="42" t="str">
        <x:f>Members!A223</x:f>
        <x:v>A0240</x:v>
      </x:c>
      <x:c r="B223" s="42" t="str">
        <x:f>Members!B223</x:f>
        <x:v>Active</x:v>
      </x:c>
      <x:c r="C223" s="42" t="n">
        <x:f>Members!C223</x:f>
        <x:v>31</x:v>
      </x:c>
      <x:c r="D223" s="44" t="n">
        <x:f>Members!D223</x:f>
        <x:v>5</x:v>
      </x:c>
      <x:c r="E223" s="48" t="n">
        <x:f>Members!E223</x:f>
        <x:v>526000</x:v>
      </x:c>
      <x:c r="F223" s="48" t="n">
        <x:f>Members!F223</x:f>
        <x:v>0</x:v>
      </x:c>
      <x:c r="G223" s="46" t="n">
        <x:f>MAX(0,Assumptions!$B$10-C223)</x:f>
        <x:v>29</x:v>
      </x:c>
      <x:c r="H223" s="50" t="n">
        <x:f>IF(B223="Active",E223*(1+Assumptions!$B$7)^G223,E223)</x:f>
        <x:v>2484889.4575315653</x:v>
      </x:c>
      <x:c r="I223" s="50" t="n">
        <x:f>IF(B223="Active",MIN(Assumptions!$B$12,D223+G223),IF(B223="Deferred",MIN(Assumptions!$B$12,D223),D223))</x:f>
        <x:v>34</x:v>
      </x:c>
      <x:c r="J223" s="50" t="n">
        <x:f>IF(B223="Active",H223*I223*Assumptions!$B$11,IF(B223="Deferred",E223*I223*Assumptions!$B$11*(1+Assumptions!$B$9)^G223,F223))</x:f>
        <x:v>1408104.0259345537</x:v>
      </x:c>
      <x:c r="K223" s="37" t="n">
        <x:f>IF(B223="Pensioner",1,VLOOKUP(Assumptions!$B$10,Mortality!$A$2:$F$104,6,FALSE)/VLOOKUP(C223,Mortality!$A$2:$F$104,6,FALSE))</x:f>
        <x:v>0.9706466107295209</x:v>
      </x:c>
      <x:c r="L223" s="37" t="n">
        <x:f>VLOOKUP(IF(B223="Pensioner",C223,Assumptions!$B$10),Mortality!$A$2:$E$104,5,FALSE)</x:f>
        <x:v>17.296790022132885</x:v>
      </x:c>
      <x:c r="M223" s="37" t="n">
        <x:f>1+Assumptions!$B$13*Assumptions!$B$14*Assumptions!$B$15</x:f>
        <x:v>1.31875</x:v>
      </x:c>
      <x:c r="N223" s="37" t="n">
        <x:f>IF(B223="Pensioner",1,1/(1+Assumptions!$B$6)^G223)</x:f>
        <x:v>0.16101316040695074</x:v>
      </x:c>
      <x:c r="O223" s="50" t="n">
        <x:f>J223*K223*L223*M223*N223</x:f>
        <x:v>5019786.46270025</x:v>
      </x:c>
    </x:row>
    <x:row r="224">
      <x:c r="A224" s="42" t="str">
        <x:f>Members!A224</x:f>
        <x:v>A0332</x:v>
      </x:c>
      <x:c r="B224" s="42" t="str">
        <x:f>Members!B224</x:f>
        <x:v>Active</x:v>
      </x:c>
      <x:c r="C224" s="42" t="n">
        <x:f>Members!C224</x:f>
        <x:v>35</x:v>
      </x:c>
      <x:c r="D224" s="44" t="n">
        <x:f>Members!D224</x:f>
        <x:v>7.5</x:v>
      </x:c>
      <x:c r="E224" s="48" t="n">
        <x:f>Members!E224</x:f>
        <x:v>774000</x:v>
      </x:c>
      <x:c r="F224" s="48" t="n">
        <x:f>Members!F224</x:f>
        <x:v>0</x:v>
      </x:c>
      <x:c r="G224" s="46" t="n">
        <x:f>MAX(0,Assumptions!$B$10-C224)</x:f>
        <x:v>25</x:v>
      </x:c>
      <x:c r="H224" s="50" t="n">
        <x:f>IF(B224="Active",E224*(1+Assumptions!$B$7)^G224,E224)</x:f>
        <x:v>2951565.6778325937</x:v>
      </x:c>
      <x:c r="I224" s="50" t="n">
        <x:f>IF(B224="Active",MIN(Assumptions!$B$12,D224+G224),IF(B224="Deferred",MIN(Assumptions!$B$12,D224),D224))</x:f>
        <x:v>32.5</x:v>
      </x:c>
      <x:c r="J224" s="50" t="n">
        <x:f>IF(B224="Active",H224*I224*Assumptions!$B$11,IF(B224="Deferred",E224*I224*Assumptions!$B$11*(1+Assumptions!$B$9)^G224,F224))</x:f>
        <x:v>1598764.7421593217</x:v>
      </x:c>
      <x:c r="K224" s="37" t="n">
        <x:f>IF(B224="Pensioner",1,VLOOKUP(Assumptions!$B$10,Mortality!$A$2:$F$104,6,FALSE)/VLOOKUP(C224,Mortality!$A$2:$F$104,6,FALSE))</x:f>
        <x:v>0.9719740765386753</x:v>
      </x:c>
      <x:c r="L224" s="37" t="n">
        <x:f>VLOOKUP(IF(B224="Pensioner",C224,Assumptions!$B$10),Mortality!$A$2:$E$104,5,FALSE)</x:f>
        <x:v>17.296790022132885</x:v>
      </x:c>
      <x:c r="M224" s="37" t="n">
        <x:f>1+Assumptions!$B$13*Assumptions!$B$14*Assumptions!$B$15</x:f>
        <x:v>1.31875</x:v>
      </x:c>
      <x:c r="N224" s="37" t="n">
        <x:f>IF(B224="Pensioner",1,1/(1+Assumptions!$B$6)^G224)</x:f>
        <x:v>0.20713801287132758</x:v>
      </x:c>
      <x:c r="O224" s="50" t="n">
        <x:f>J224*K224*L224*M224*N224</x:f>
        <x:v>7342213.951814937</x:v>
      </x:c>
    </x:row>
    <x:row r="225">
      <x:c r="A225" s="42" t="str">
        <x:f>Members!A225</x:f>
        <x:v>D0046</x:v>
      </x:c>
      <x:c r="B225" s="42" t="str">
        <x:f>Members!B225</x:f>
        <x:v>Deferred</x:v>
      </x:c>
      <x:c r="C225" s="42" t="n">
        <x:f>Members!C225</x:f>
        <x:v>53</x:v>
      </x:c>
      <x:c r="D225" s="44" t="n">
        <x:f>Members!D225</x:f>
        <x:v>10.6</x:v>
      </x:c>
      <x:c r="E225" s="48" t="n">
        <x:f>Members!E225</x:f>
        <x:v>855000</x:v>
      </x:c>
      <x:c r="F225" s="48" t="n">
        <x:f>Members!F225</x:f>
        <x:v>0</x:v>
      </x:c>
      <x:c r="G225" s="46" t="n">
        <x:f>MAX(0,Assumptions!$B$10-C225)</x:f>
        <x:v>7</x:v>
      </x:c>
      <x:c r="H225" s="50" t="n">
        <x:f>IF(B225="Active",E225*(1+Assumptions!$B$7)^G225,E225)</x:f>
        <x:v>855000</x:v>
      </x:c>
      <x:c r="I225" s="50" t="n">
        <x:f>IF(B225="Active",MIN(Assumptions!$B$12,D225+G225),IF(B225="Deferred",MIN(Assumptions!$B$12,D225),D225))</x:f>
        <x:v>10.6</x:v>
      </x:c>
      <x:c r="J225" s="50" t="n">
        <x:f>IF(B225="Active",H225*I225*Assumptions!$B$11,IF(B225="Deferred",E225*I225*Assumptions!$B$11*(1+Assumptions!$B$9)^G225,F225))</x:f>
        <x:v>198771.49525357367</x:v>
      </x:c>
      <x:c r="K225" s="37" t="n">
        <x:f>IF(B225="Pensioner",1,VLOOKUP(Assumptions!$B$10,Mortality!$A$2:$F$104,6,FALSE)/VLOOKUP(C225,Mortality!$A$2:$F$104,6,FALSE))</x:f>
        <x:v>0.9850300017431317</x:v>
      </x:c>
      <x:c r="L225" s="37" t="n">
        <x:f>VLOOKUP(IF(B225="Pensioner",C225,Assumptions!$B$10),Mortality!$A$2:$E$104,5,FALSE)</x:f>
        <x:v>17.296790022132885</x:v>
      </x:c>
      <x:c r="M225" s="37" t="n">
        <x:f>1+Assumptions!$B$13*Assumptions!$B$14*Assumptions!$B$15</x:f>
        <x:v>1.31875</x:v>
      </x:c>
      <x:c r="N225" s="37" t="n">
        <x:f>IF(B225="Pensioner",1,1/(1+Assumptions!$B$6)^G225)</x:f>
        <x:v>0.6435062148347594</x:v>
      </x:c>
      <x:c r="O225" s="50" t="n">
        <x:f>J225*K225*L225*M225*N225</x:f>
        <x:v>2873983.658947405</x:v>
      </x:c>
    </x:row>
    <x:row r="226">
      <x:c r="A226" s="42" t="str">
        <x:f>Members!A226</x:f>
        <x:v>D0059</x:v>
      </x:c>
      <x:c r="B226" s="42" t="str">
        <x:f>Members!B226</x:f>
        <x:v>Deferred</x:v>
      </x:c>
      <x:c r="C226" s="42" t="n">
        <x:f>Members!C226</x:f>
        <x:v>37</x:v>
      </x:c>
      <x:c r="D226" s="44" t="n">
        <x:f>Members!D226</x:f>
        <x:v>7.6</x:v>
      </x:c>
      <x:c r="E226" s="48" t="n">
        <x:f>Members!E226</x:f>
        <x:v>685000</x:v>
      </x:c>
      <x:c r="F226" s="48" t="n">
        <x:f>Members!F226</x:f>
        <x:v>0</x:v>
      </x:c>
      <x:c r="G226" s="46" t="n">
        <x:f>MAX(0,Assumptions!$B$10-C226)</x:f>
        <x:v>23</x:v>
      </x:c>
      <x:c r="H226" s="50" t="n">
        <x:f>IF(B226="Active",E226*(1+Assumptions!$B$7)^G226,E226)</x:f>
        <x:v>685000</x:v>
      </x:c>
      <x:c r="I226" s="50" t="n">
        <x:f>IF(B226="Active",MIN(Assumptions!$B$12,D226+G226),IF(B226="Deferred",MIN(Assumptions!$B$12,D226),D226))</x:f>
        <x:v>7.6</x:v>
      </x:c>
      <x:c r="J226" s="50" t="n">
        <x:f>IF(B226="Active",H226*I226*Assumptions!$B$11,IF(B226="Deferred",E226*I226*Assumptions!$B$11*(1+Assumptions!$B$9)^G226,F226))</x:f>
        <x:v>213855.15196196258</x:v>
      </x:c>
      <x:c r="K226" s="37" t="n">
        <x:f>IF(B226="Pensioner",1,VLOOKUP(Assumptions!$B$10,Mortality!$A$2:$F$104,6,FALSE)/VLOOKUP(C226,Mortality!$A$2:$F$104,6,FALSE))</x:f>
        <x:v>0.9727356141265188</x:v>
      </x:c>
      <x:c r="L226" s="37" t="n">
        <x:f>VLOOKUP(IF(B226="Pensioner",C226,Assumptions!$B$10),Mortality!$A$2:$E$104,5,FALSE)</x:f>
        <x:v>17.296790022132885</x:v>
      </x:c>
      <x:c r="M226" s="37" t="n">
        <x:f>1+Assumptions!$B$13*Assumptions!$B$14*Assumptions!$B$15</x:f>
        <x:v>1.31875</x:v>
      </x:c>
      <x:c r="N226" s="37" t="n">
        <x:f>IF(B226="Pensioner",1,1/(1+Assumptions!$B$6)^G226)</x:f>
        <x:v>0.23494111264898151</x:v>
      </x:c>
      <x:c r="O226" s="50" t="n">
        <x:f>J226*K226*L226*M226*N226</x:f>
        <x:v>1114811.7591032747</x:v>
      </x:c>
    </x:row>
    <x:row r="227">
      <x:c r="A227" s="42" t="str">
        <x:f>Members!A227</x:f>
        <x:v>A0326</x:v>
      </x:c>
      <x:c r="B227" s="42" t="str">
        <x:f>Members!B227</x:f>
        <x:v>Active</x:v>
      </x:c>
      <x:c r="C227" s="42" t="n">
        <x:f>Members!C227</x:f>
        <x:v>30</x:v>
      </x:c>
      <x:c r="D227" s="44" t="n">
        <x:f>Members!D227</x:f>
        <x:v>2.8</x:v>
      </x:c>
      <x:c r="E227" s="48" t="n">
        <x:f>Members!E227</x:f>
        <x:v>710000</x:v>
      </x:c>
      <x:c r="F227" s="48" t="n">
        <x:f>Members!F227</x:f>
        <x:v>0</x:v>
      </x:c>
      <x:c r="G227" s="46" t="n">
        <x:f>MAX(0,Assumptions!$B$10-C227)</x:f>
        <x:v>30</x:v>
      </x:c>
      <x:c r="H227" s="50" t="n">
        <x:f>IF(B227="Active",E227*(1+Assumptions!$B$7)^G227,E227)</x:f>
        <x:v>3538605.4147604927</x:v>
      </x:c>
      <x:c r="I227" s="50" t="n">
        <x:f>IF(B227="Active",MIN(Assumptions!$B$12,D227+G227),IF(B227="Deferred",MIN(Assumptions!$B$12,D227),D227))</x:f>
        <x:v>32.8</x:v>
      </x:c>
      <x:c r="J227" s="50" t="n">
        <x:f>IF(B227="Active",H227*I227*Assumptions!$B$11,IF(B227="Deferred",E227*I227*Assumptions!$B$11*(1+Assumptions!$B$9)^G227,F227))</x:f>
        <x:v>1934437.626735736</x:v>
      </x:c>
      <x:c r="K227" s="37" t="n">
        <x:f>IF(B227="Pensioner",1,VLOOKUP(Assumptions!$B$10,Mortality!$A$2:$F$104,6,FALSE)/VLOOKUP(C227,Mortality!$A$2:$F$104,6,FALSE))</x:f>
        <x:v>0.9703456880318753</x:v>
      </x:c>
      <x:c r="L227" s="37" t="n">
        <x:f>VLOOKUP(IF(B227="Pensioner",C227,Assumptions!$B$10),Mortality!$A$2:$E$104,5,FALSE)</x:f>
        <x:v>17.296790022132885</x:v>
      </x:c>
      <x:c r="M227" s="37" t="n">
        <x:f>1+Assumptions!$B$13*Assumptions!$B$14*Assumptions!$B$15</x:f>
        <x:v>1.31875</x:v>
      </x:c>
      <x:c r="N227" s="37" t="n">
        <x:f>IF(B227="Pensioner",1,1/(1+Assumptions!$B$6)^G227)</x:f>
        <x:v>0.1511860661098129</x:v>
      </x:c>
      <x:c r="O227" s="50" t="n">
        <x:f>J227*K227*L227*M227*N227</x:f>
        <x:v>6473228.894342693</x:v>
      </x:c>
    </x:row>
    <x:row r="228">
      <x:c r="A228" s="42" t="str">
        <x:f>Members!A228</x:f>
        <x:v>A0517</x:v>
      </x:c>
      <x:c r="B228" s="42" t="str">
        <x:f>Members!B228</x:f>
        <x:v>Active</x:v>
      </x:c>
      <x:c r="C228" s="42" t="n">
        <x:f>Members!C228</x:f>
        <x:v>31</x:v>
      </x:c>
      <x:c r="D228" s="44" t="n">
        <x:f>Members!D228</x:f>
        <x:v>7.1</x:v>
      </x:c>
      <x:c r="E228" s="48" t="n">
        <x:f>Members!E228</x:f>
        <x:v>746000</x:v>
      </x:c>
      <x:c r="F228" s="48" t="n">
        <x:f>Members!F228</x:f>
        <x:v>0</x:v>
      </x:c>
      <x:c r="G228" s="46" t="n">
        <x:f>MAX(0,Assumptions!$B$10-C228)</x:f>
        <x:v>29</x:v>
      </x:c>
      <x:c r="H228" s="50" t="n">
        <x:f>IF(B228="Active",E228*(1+Assumptions!$B$7)^G228,E228)</x:f>
        <x:v>3524196.8352063647</x:v>
      </x:c>
      <x:c r="I228" s="50" t="n">
        <x:f>IF(B228="Active",MIN(Assumptions!$B$12,D228+G228),IF(B228="Deferred",MIN(Assumptions!$B$12,D228),D228))</x:f>
        <x:v>36.1</x:v>
      </x:c>
      <x:c r="J228" s="50" t="n">
        <x:f>IF(B228="Active",H228*I228*Assumptions!$B$11,IF(B228="Deferred",E228*I228*Assumptions!$B$11*(1+Assumptions!$B$9)^G228,F228))</x:f>
        <x:v>2120391.7625158294</x:v>
      </x:c>
      <x:c r="K228" s="37" t="n">
        <x:f>IF(B228="Pensioner",1,VLOOKUP(Assumptions!$B$10,Mortality!$A$2:$F$104,6,FALSE)/VLOOKUP(C228,Mortality!$A$2:$F$104,6,FALSE))</x:f>
        <x:v>0.9706466107295209</x:v>
      </x:c>
      <x:c r="L228" s="37" t="n">
        <x:f>VLOOKUP(IF(B228="Pensioner",C228,Assumptions!$B$10),Mortality!$A$2:$E$104,5,FALSE)</x:f>
        <x:v>17.296790022132885</x:v>
      </x:c>
      <x:c r="M228" s="37" t="n">
        <x:f>1+Assumptions!$B$13*Assumptions!$B$14*Assumptions!$B$15</x:f>
        <x:v>1.31875</x:v>
      </x:c>
      <x:c r="N228" s="37" t="n">
        <x:f>IF(B228="Pensioner",1,1/(1+Assumptions!$B$6)^G228)</x:f>
        <x:v>0.16101316040695074</x:v>
      </x:c>
      <x:c r="O228" s="50" t="n">
        <x:f>J228*K228*L228*M228*N228</x:f>
        <x:v>7559039.438179118</x:v>
      </x:c>
    </x:row>
    <x:row r="229">
      <x:c r="A229" s="42" t="str">
        <x:f>Members!A229</x:f>
        <x:v>A0235</x:v>
      </x:c>
      <x:c r="B229" s="42" t="str">
        <x:f>Members!B229</x:f>
        <x:v>Active</x:v>
      </x:c>
      <x:c r="C229" s="42" t="n">
        <x:f>Members!C229</x:f>
        <x:v>28</x:v>
      </x:c>
      <x:c r="D229" s="44" t="n">
        <x:f>Members!D229</x:f>
        <x:v>1.4</x:v>
      </x:c>
      <x:c r="E229" s="48" t="n">
        <x:f>Members!E229</x:f>
        <x:v>390000</x:v>
      </x:c>
      <x:c r="F229" s="48" t="n">
        <x:f>Members!F229</x:f>
        <x:v>0</x:v>
      </x:c>
      <x:c r="G229" s="46" t="n">
        <x:f>MAX(0,Assumptions!$B$10-C229)</x:f>
        <x:v>32</x:v>
      </x:c>
      <x:c r="H229" s="50" t="n">
        <x:f>IF(B229="Active",E229*(1+Assumptions!$B$7)^G229,E229)</x:f>
        <x:v>2163432.3292787056</x:v>
      </x:c>
      <x:c r="I229" s="50" t="n">
        <x:f>IF(B229="Active",MIN(Assumptions!$B$12,D229+G229),IF(B229="Deferred",MIN(Assumptions!$B$12,D229),D229))</x:f>
        <x:v>33.4</x:v>
      </x:c>
      <x:c r="J229" s="50" t="n">
        <x:f>IF(B229="Active",H229*I229*Assumptions!$B$11,IF(B229="Deferred",E229*I229*Assumptions!$B$11*(1+Assumptions!$B$9)^G229,F229))</x:f>
        <x:v>1204310.6632984795</x:v>
      </x:c>
      <x:c r="K229" s="37" t="n">
        <x:f>IF(B229="Pensioner",1,VLOOKUP(Assumptions!$B$10,Mortality!$A$2:$F$104,6,FALSE)/VLOOKUP(C229,Mortality!$A$2:$F$104,6,FALSE))</x:f>
        <x:v>0.9697719614347323</x:v>
      </x:c>
      <x:c r="L229" s="37" t="n">
        <x:f>VLOOKUP(IF(B229="Pensioner",C229,Assumptions!$B$10),Mortality!$A$2:$E$104,5,FALSE)</x:f>
        <x:v>17.296790022132885</x:v>
      </x:c>
      <x:c r="M229" s="37" t="n">
        <x:f>1+Assumptions!$B$13*Assumptions!$B$14*Assumptions!$B$15</x:f>
        <x:v>1.31875</x:v>
      </x:c>
      <x:c r="N229" s="37" t="n">
        <x:f>IF(B229="Pensioner",1,1/(1+Assumptions!$B$6)^G229)</x:f>
        <x:v>0.13329459861122173</x:v>
      </x:c>
      <x:c r="O229" s="50" t="n">
        <x:f>J229*K229*L229*M229*N229</x:f>
        <x:v>3550983.8100426234</x:v>
      </x:c>
    </x:row>
    <x:row r="230">
      <x:c r="A230" s="42" t="str">
        <x:f>Members!A230</x:f>
        <x:v>P0009</x:v>
      </x:c>
      <x:c r="B230" s="42" t="str">
        <x:f>Members!B230</x:f>
        <x:v>Pensioner</x:v>
      </x:c>
      <x:c r="C230" s="42" t="n">
        <x:f>Members!C230</x:f>
        <x:v>75</x:v>
      </x:c>
      <x:c r="D230" s="44" t="n">
        <x:f>Members!D230</x:f>
        <x:v>14.5</x:v>
      </x:c>
      <x:c r="E230" s="48" t="n">
        <x:f>Members!E230</x:f>
        <x:v>0</x:v>
      </x:c>
      <x:c r="F230" s="48" t="n">
        <x:f>Members!F230</x:f>
        <x:v>270000</x:v>
      </x:c>
      <x:c r="G230" s="46" t="n">
        <x:f>MAX(0,Assumptions!$B$10-C230)</x:f>
        <x:v>0</x:v>
      </x:c>
      <x:c r="H230" s="50" t="n">
        <x:f>IF(B230="Active",E230*(1+Assumptions!$B$7)^G230,E230)</x:f>
        <x:v>0</x:v>
      </x:c>
      <x:c r="I230" s="50" t="n">
        <x:f>IF(B230="Active",MIN(Assumptions!$B$12,D230+G230),IF(B230="Deferred",MIN(Assumptions!$B$12,D230),D230))</x:f>
        <x:v>14.5</x:v>
      </x:c>
      <x:c r="J230" s="50" t="n">
        <x:f>IF(B230="Active",H230*I230*Assumptions!$B$11,IF(B230="Deferred",E230*I230*Assumptions!$B$11*(1+Assumptions!$B$9)^G230,F230))</x:f>
        <x:v>270000</x:v>
      </x:c>
      <x:c r="K230" s="37" t="n">
        <x:f>IF(B230="Pensioner",1,VLOOKUP(Assumptions!$B$10,Mortality!$A$2:$F$104,6,FALSE)/VLOOKUP(C230,Mortality!$A$2:$F$104,6,FALSE))</x:f>
        <x:v>1</x:v>
      </x:c>
      <x:c r="L230" s="37" t="n">
        <x:f>VLOOKUP(IF(B230="Pensioner",C230,Assumptions!$B$10),Mortality!$A$2:$E$104,5,FALSE)</x:f>
        <x:v>10.662474804432929</x:v>
      </x:c>
      <x:c r="M230" s="37" t="n">
        <x:f>1+Assumptions!$B$13*Assumptions!$B$14*Assumptions!$B$15</x:f>
        <x:v>1.31875</x:v>
      </x:c>
      <x:c r="N230" s="37" t="n">
        <x:f>IF(B230="Pensioner",1,1/(1+Assumptions!$B$6)^G230)</x:f>
        <x:v>1</x:v>
      </x:c>
      <x:c r="O230" s="50" t="n">
        <x:f>J230*K230*L230*M230*N230</x:f>
        <x:v>3796507.4350533998</x:v>
      </x:c>
    </x:row>
    <x:row r="231">
      <x:c r="A231" s="42" t="str">
        <x:f>Members!A231</x:f>
        <x:v>P0035</x:v>
      </x:c>
      <x:c r="B231" s="42" t="str">
        <x:f>Members!B231</x:f>
        <x:v>Pensioner</x:v>
      </x:c>
      <x:c r="C231" s="42" t="n">
        <x:f>Members!C231</x:f>
        <x:v>61</x:v>
      </x:c>
      <x:c r="D231" s="44" t="n">
        <x:f>Members!D231</x:f>
        <x:v>28.9</x:v>
      </x:c>
      <x:c r="E231" s="48" t="n">
        <x:f>Members!E231</x:f>
        <x:v>0</x:v>
      </x:c>
      <x:c r="F231" s="48" t="n">
        <x:f>Members!F231</x:f>
        <x:v>230000</x:v>
      </x:c>
      <x:c r="G231" s="46" t="n">
        <x:f>MAX(0,Assumptions!$B$10-C231)</x:f>
        <x:v>0</x:v>
      </x:c>
      <x:c r="H231" s="50" t="n">
        <x:f>IF(B231="Active",E231*(1+Assumptions!$B$7)^G231,E231)</x:f>
        <x:v>0</x:v>
      </x:c>
      <x:c r="I231" s="50" t="n">
        <x:f>IF(B231="Active",MIN(Assumptions!$B$12,D231+G231),IF(B231="Deferred",MIN(Assumptions!$B$12,D231),D231))</x:f>
        <x:v>28.9</x:v>
      </x:c>
      <x:c r="J231" s="50" t="n">
        <x:f>IF(B231="Active",H231*I231*Assumptions!$B$11,IF(B231="Deferred",E231*I231*Assumptions!$B$11*(1+Assumptions!$B$9)^G231,F231))</x:f>
        <x:v>230000</x:v>
      </x:c>
      <x:c r="K231" s="37" t="n">
        <x:f>IF(B231="Pensioner",1,VLOOKUP(Assumptions!$B$10,Mortality!$A$2:$F$104,6,FALSE)/VLOOKUP(C231,Mortality!$A$2:$F$104,6,FALSE))</x:f>
        <x:v>1</x:v>
      </x:c>
      <x:c r="L231" s="37" t="n">
        <x:f>VLOOKUP(IF(B231="Pensioner",C231,Assumptions!$B$10),Mortality!$A$2:$E$104,5,FALSE)</x:f>
        <x:v>16.889485221588366</x:v>
      </x:c>
      <x:c r="M231" s="37" t="n">
        <x:f>1+Assumptions!$B$13*Assumptions!$B$14*Assumptions!$B$15</x:f>
        <x:v>1.31875</x:v>
      </x:c>
      <x:c r="N231" s="37" t="n">
        <x:f>IF(B231="Pensioner",1,1/(1+Assumptions!$B$6)^G231)</x:f>
        <x:v>1</x:v>
      </x:c>
      <x:c r="O231" s="50" t="n">
        <x:f>J231*K231*L231*M231*N231</x:f>
        <x:v>5122791.986273021</x:v>
      </x:c>
    </x:row>
    <x:row r="232">
      <x:c r="A232" s="42" t="str">
        <x:f>Members!A232</x:f>
        <x:v>P0054</x:v>
      </x:c>
      <x:c r="B232" s="42" t="str">
        <x:f>Members!B232</x:f>
        <x:v>Pensioner</x:v>
      </x:c>
      <x:c r="C232" s="42" t="n">
        <x:f>Members!C232</x:f>
        <x:v>65</x:v>
      </x:c>
      <x:c r="D232" s="44" t="n">
        <x:f>Members!D232</x:f>
        <x:v>38.8</x:v>
      </x:c>
      <x:c r="E232" s="48" t="n">
        <x:f>Members!E232</x:f>
        <x:v>0</x:v>
      </x:c>
      <x:c r="F232" s="48" t="n">
        <x:f>Members!F232</x:f>
        <x:v>217000</x:v>
      </x:c>
      <x:c r="G232" s="46" t="n">
        <x:f>MAX(0,Assumptions!$B$10-C232)</x:f>
        <x:v>0</x:v>
      </x:c>
      <x:c r="H232" s="50" t="n">
        <x:f>IF(B232="Active",E232*(1+Assumptions!$B$7)^G232,E232)</x:f>
        <x:v>0</x:v>
      </x:c>
      <x:c r="I232" s="50" t="n">
        <x:f>IF(B232="Active",MIN(Assumptions!$B$12,D232+G232),IF(B232="Deferred",MIN(Assumptions!$B$12,D232),D232))</x:f>
        <x:v>38.8</x:v>
      </x:c>
      <x:c r="J232" s="50" t="n">
        <x:f>IF(B232="Active",H232*I232*Assumptions!$B$11,IF(B232="Deferred",E232*I232*Assumptions!$B$11*(1+Assumptions!$B$9)^G232,F232))</x:f>
        <x:v>217000</x:v>
      </x:c>
      <x:c r="K232" s="37" t="n">
        <x:f>IF(B232="Pensioner",1,VLOOKUP(Assumptions!$B$10,Mortality!$A$2:$F$104,6,FALSE)/VLOOKUP(C232,Mortality!$A$2:$F$104,6,FALSE))</x:f>
        <x:v>1</x:v>
      </x:c>
      <x:c r="L232" s="37" t="n">
        <x:f>VLOOKUP(IF(B232="Pensioner",C232,Assumptions!$B$10),Mortality!$A$2:$E$104,5,FALSE)</x:f>
        <x:v>15.196570962158528</x:v>
      </x:c>
      <x:c r="M232" s="37" t="n">
        <x:f>1+Assumptions!$B$13*Assumptions!$B$14*Assumptions!$B$15</x:f>
        <x:v>1.31875</x:v>
      </x:c>
      <x:c r="N232" s="37" t="n">
        <x:f>IF(B232="Pensioner",1,1/(1+Assumptions!$B$6)^G232)</x:f>
        <x:v>1</x:v>
      </x:c>
      <x:c r="O232" s="50" t="n">
        <x:f>J232*K232*L232*M232*N232</x:f>
        <x:v>4348783.716527203</x:v>
      </x:c>
    </x:row>
    <x:row r="233">
      <x:c r="A233" s="42" t="str">
        <x:f>Members!A233</x:f>
        <x:v>A0209</x:v>
      </x:c>
      <x:c r="B233" s="42" t="str">
        <x:f>Members!B233</x:f>
        <x:v>Active</x:v>
      </x:c>
      <x:c r="C233" s="42" t="n">
        <x:f>Members!C233</x:f>
        <x:v>33</x:v>
      </x:c>
      <x:c r="D233" s="44" t="n">
        <x:f>Members!D233</x:f>
        <x:v>5.3</x:v>
      </x:c>
      <x:c r="E233" s="48" t="n">
        <x:f>Members!E233</x:f>
        <x:v>515000</x:v>
      </x:c>
      <x:c r="F233" s="48" t="n">
        <x:f>Members!F233</x:f>
        <x:v>0</x:v>
      </x:c>
      <x:c r="G233" s="46" t="n">
        <x:f>MAX(0,Assumptions!$B$10-C233)</x:f>
        <x:v>27</x:v>
      </x:c>
      <x:c r="H233" s="50" t="n">
        <x:f>IF(B233="Active",E233*(1+Assumptions!$B$7)^G233,E233)</x:f>
        <x:v>2185866.5246942574</x:v>
      </x:c>
      <x:c r="I233" s="50" t="n">
        <x:f>IF(B233="Active",MIN(Assumptions!$B$12,D233+G233),IF(B233="Deferred",MIN(Assumptions!$B$12,D233),D233))</x:f>
        <x:v>32.3</x:v>
      </x:c>
      <x:c r="J233" s="50" t="n">
        <x:f>IF(B233="Active",H233*I233*Assumptions!$B$11,IF(B233="Deferred",E233*I233*Assumptions!$B$11*(1+Assumptions!$B$9)^G233,F233))</x:f>
        <x:v>1176724.8124604083</x:v>
      </x:c>
      <x:c r="K233" s="37" t="n">
        <x:f>IF(B233="Pensioner",1,VLOOKUP(Assumptions!$B$10,Mortality!$A$2:$F$104,6,FALSE)/VLOOKUP(C233,Mortality!$A$2:$F$104,6,FALSE))</x:f>
        <x:v>0.9712826176321353</x:v>
      </x:c>
      <x:c r="L233" s="37" t="n">
        <x:f>VLOOKUP(IF(B233="Pensioner",C233,Assumptions!$B$10),Mortality!$A$2:$E$104,5,FALSE)</x:f>
        <x:v>17.296790022132885</x:v>
      </x:c>
      <x:c r="M233" s="37" t="n">
        <x:f>1+Assumptions!$B$13*Assumptions!$B$14*Assumptions!$B$15</x:f>
        <x:v>1.31875</x:v>
      </x:c>
      <x:c r="N233" s="37" t="n">
        <x:f>IF(B233="Pensioner",1,1/(1+Assumptions!$B$6)^G233)</x:f>
        <x:v>0.1826251518625737</x:v>
      </x:c>
      <x:c r="O233" s="50" t="n">
        <x:f>J233*K233*L233*M233*N233</x:f>
        <x:v>4761119.736536146</x:v>
      </x:c>
    </x:row>
    <x:row r="234">
      <x:c r="A234" s="42" t="str">
        <x:f>Members!A234</x:f>
        <x:v>A0445</x:v>
      </x:c>
      <x:c r="B234" s="42" t="str">
        <x:f>Members!B234</x:f>
        <x:v>Active</x:v>
      </x:c>
      <x:c r="C234" s="42" t="n">
        <x:f>Members!C234</x:f>
        <x:v>25</x:v>
      </x:c>
      <x:c r="D234" s="44" t="n">
        <x:f>Members!D234</x:f>
        <x:v>1.6</x:v>
      </x:c>
      <x:c r="E234" s="48" t="n">
        <x:f>Members!E234</x:f>
        <x:v>378000</x:v>
      </x:c>
      <x:c r="F234" s="48" t="n">
        <x:f>Members!F234</x:f>
        <x:v>0</x:v>
      </x:c>
      <x:c r="G234" s="46" t="n">
        <x:f>MAX(0,Assumptions!$B$10-C234)</x:f>
        <x:v>35</x:v>
      </x:c>
      <x:c r="H234" s="50" t="n">
        <x:f>IF(B234="Active",E234*(1+Assumptions!$B$7)^G234,E234)</x:f>
        <x:v>2462225.8529577814</x:v>
      </x:c>
      <x:c r="I234" s="50" t="n">
        <x:f>IF(B234="Active",MIN(Assumptions!$B$12,D234+G234),IF(B234="Deferred",MIN(Assumptions!$B$12,D234),D234))</x:f>
        <x:v>36.6</x:v>
      </x:c>
      <x:c r="J234" s="50" t="n">
        <x:f>IF(B234="Active",H234*I234*Assumptions!$B$11,IF(B234="Deferred",E234*I234*Assumptions!$B$11*(1+Assumptions!$B$9)^G234,F234))</x:f>
        <x:v>1501957.7703042468</x:v>
      </x:c>
      <x:c r="K234" s="37" t="n">
        <x:f>IF(B234="Pensioner",1,VLOOKUP(Assumptions!$B$10,Mortality!$A$2:$F$104,6,FALSE)/VLOOKUP(C234,Mortality!$A$2:$F$104,6,FALSE))</x:f>
        <x:v>0.9689672976041144</x:v>
      </x:c>
      <x:c r="L234" s="37" t="n">
        <x:f>VLOOKUP(IF(B234="Pensioner",C234,Assumptions!$B$10),Mortality!$A$2:$E$104,5,FALSE)</x:f>
        <x:v>17.296790022132885</x:v>
      </x:c>
      <x:c r="M234" s="37" t="n">
        <x:f>1+Assumptions!$B$13*Assumptions!$B$14*Assumptions!$B$15</x:f>
        <x:v>1.31875</x:v>
      </x:c>
      <x:c r="N234" s="37" t="n">
        <x:f>IF(B234="Pensioner",1,1/(1+Assumptions!$B$6)^G234)</x:f>
        <x:v>0.11034781240254267</x:v>
      </x:c>
      <x:c r="O234" s="50" t="n">
        <x:f>J234*K234*L234*M234*N234</x:f>
        <x:v>3663182.499862776</x:v>
      </x:c>
    </x:row>
    <x:row r="235">
      <x:c r="A235" s="42" t="str">
        <x:f>Members!A235</x:f>
        <x:v>P0095</x:v>
      </x:c>
      <x:c r="B235" s="42" t="str">
        <x:f>Members!B235</x:f>
        <x:v>Pensioner</x:v>
      </x:c>
      <x:c r="C235" s="42" t="n">
        <x:f>Members!C235</x:f>
        <x:v>79</x:v>
      </x:c>
      <x:c r="D235" s="44" t="n">
        <x:f>Members!D235</x:f>
        <x:v>35.6</x:v>
      </x:c>
      <x:c r="E235" s="48" t="n">
        <x:f>Members!E235</x:f>
        <x:v>0</x:v>
      </x:c>
      <x:c r="F235" s="48" t="n">
        <x:f>Members!F235</x:f>
        <x:v>592000</x:v>
      </x:c>
      <x:c r="G235" s="46" t="n">
        <x:f>MAX(0,Assumptions!$B$10-C235)</x:f>
        <x:v>0</x:v>
      </x:c>
      <x:c r="H235" s="50" t="n">
        <x:f>IF(B235="Active",E235*(1+Assumptions!$B$7)^G235,E235)</x:f>
        <x:v>0</x:v>
      </x:c>
      <x:c r="I235" s="50" t="n">
        <x:f>IF(B235="Active",MIN(Assumptions!$B$12,D235+G235),IF(B235="Deferred",MIN(Assumptions!$B$12,D235),D235))</x:f>
        <x:v>35.6</x:v>
      </x:c>
      <x:c r="J235" s="50" t="n">
        <x:f>IF(B235="Active",H235*I235*Assumptions!$B$11,IF(B235="Deferred",E235*I235*Assumptions!$B$11*(1+Assumptions!$B$9)^G235,F235))</x:f>
        <x:v>592000</x:v>
      </x:c>
      <x:c r="K235" s="37" t="n">
        <x:f>IF(B235="Pensioner",1,VLOOKUP(Assumptions!$B$10,Mortality!$A$2:$F$104,6,FALSE)/VLOOKUP(C235,Mortality!$A$2:$F$104,6,FALSE))</x:f>
        <x:v>1</x:v>
      </x:c>
      <x:c r="L235" s="37" t="n">
        <x:f>VLOOKUP(IF(B235="Pensioner",C235,Assumptions!$B$10),Mortality!$A$2:$E$104,5,FALSE)</x:f>
        <x:v>8.83093256291476</x:v>
      </x:c>
      <x:c r="M235" s="37" t="n">
        <x:f>1+Assumptions!$B$13*Assumptions!$B$14*Assumptions!$B$15</x:f>
        <x:v>1.31875</x:v>
      </x:c>
      <x:c r="N235" s="37" t="n">
        <x:f>IF(B235="Pensioner",1,1/(1+Assumptions!$B$6)^G235)</x:f>
        <x:v>1</x:v>
      </x:c>
      <x:c r="O235" s="50" t="n">
        <x:f>J235*K235*L235*M235*N235</x:f>
        <x:v>6894309.051867554</x:v>
      </x:c>
    </x:row>
    <x:row r="236">
      <x:c r="A236" s="42" t="str">
        <x:f>Members!A236</x:f>
        <x:v>P0003</x:v>
      </x:c>
      <x:c r="B236" s="42" t="str">
        <x:f>Members!B236</x:f>
        <x:v>Pensioner</x:v>
      </x:c>
      <x:c r="C236" s="42" t="n">
        <x:f>Members!C236</x:f>
        <x:v>63</x:v>
      </x:c>
      <x:c r="D236" s="44" t="n">
        <x:f>Members!D236</x:f>
        <x:v>24.1</x:v>
      </x:c>
      <x:c r="E236" s="48" t="n">
        <x:f>Members!E236</x:f>
        <x:v>0</x:v>
      </x:c>
      <x:c r="F236" s="48" t="n">
        <x:f>Members!F236</x:f>
        <x:v>332000</x:v>
      </x:c>
      <x:c r="G236" s="46" t="n">
        <x:f>MAX(0,Assumptions!$B$10-C236)</x:f>
        <x:v>0</x:v>
      </x:c>
      <x:c r="H236" s="50" t="n">
        <x:f>IF(B236="Active",E236*(1+Assumptions!$B$7)^G236,E236)</x:f>
        <x:v>0</x:v>
      </x:c>
      <x:c r="I236" s="50" t="n">
        <x:f>IF(B236="Active",MIN(Assumptions!$B$12,D236+G236),IF(B236="Deferred",MIN(Assumptions!$B$12,D236),D236))</x:f>
        <x:v>24.1</x:v>
      </x:c>
      <x:c r="J236" s="50" t="n">
        <x:f>IF(B236="Active",H236*I236*Assumptions!$B$11,IF(B236="Deferred",E236*I236*Assumptions!$B$11*(1+Assumptions!$B$9)^G236,F236))</x:f>
        <x:v>332000</x:v>
      </x:c>
      <x:c r="K236" s="37" t="n">
        <x:f>IF(B236="Pensioner",1,VLOOKUP(Assumptions!$B$10,Mortality!$A$2:$F$104,6,FALSE)/VLOOKUP(C236,Mortality!$A$2:$F$104,6,FALSE))</x:f>
        <x:v>1</x:v>
      </x:c>
      <x:c r="L236" s="37" t="n">
        <x:f>VLOOKUP(IF(B236="Pensioner",C236,Assumptions!$B$10),Mortality!$A$2:$E$104,5,FALSE)</x:f>
        <x:v>16.055191398346196</x:v>
      </x:c>
      <x:c r="M236" s="37" t="n">
        <x:f>1+Assumptions!$B$13*Assumptions!$B$14*Assumptions!$B$15</x:f>
        <x:v>1.31875</x:v>
      </x:c>
      <x:c r="N236" s="37" t="n">
        <x:f>IF(B236="Pensioner",1,1/(1+Assumptions!$B$6)^G236)</x:f>
        <x:v>1</x:v>
      </x:c>
      <x:c r="O236" s="50" t="n">
        <x:f>J236*K236*L236*M236*N236</x:f>
        <x:v>7029364.173980924</x:v>
      </x:c>
    </x:row>
    <x:row r="237">
      <x:c r="A237" s="42" t="str">
        <x:f>Members!A237</x:f>
        <x:v>A0118</x:v>
      </x:c>
      <x:c r="B237" s="42" t="str">
        <x:f>Members!B237</x:f>
        <x:v>Active</x:v>
      </x:c>
      <x:c r="C237" s="42" t="n">
        <x:f>Members!C237</x:f>
        <x:v>49</x:v>
      </x:c>
      <x:c r="D237" s="44" t="n">
        <x:f>Members!D237</x:f>
        <x:v>13.7</x:v>
      </x:c>
      <x:c r="E237" s="48" t="n">
        <x:f>Members!E237</x:f>
        <x:v>1189000</x:v>
      </x:c>
      <x:c r="F237" s="48" t="n">
        <x:f>Members!F237</x:f>
        <x:v>0</x:v>
      </x:c>
      <x:c r="G237" s="46" t="n">
        <x:f>MAX(0,Assumptions!$B$10-C237)</x:f>
        <x:v>11</x:v>
      </x:c>
      <x:c r="H237" s="50" t="n">
        <x:f>IF(B237="Active",E237*(1+Assumptions!$B$7)^G237,E237)</x:f>
        <x:v>2142687.867836455</x:v>
      </x:c>
      <x:c r="I237" s="50" t="n">
        <x:f>IF(B237="Active",MIN(Assumptions!$B$12,D237+G237),IF(B237="Deferred",MIN(Assumptions!$B$12,D237),D237))</x:f>
        <x:v>24.7</x:v>
      </x:c>
      <x:c r="J237" s="50" t="n">
        <x:f>IF(B237="Active",H237*I237*Assumptions!$B$11,IF(B237="Deferred",E237*I237*Assumptions!$B$11*(1+Assumptions!$B$9)^G237,F237))</x:f>
        <x:v>882073.1722593405</x:v>
      </x:c>
      <x:c r="K237" s="37" t="n">
        <x:f>IF(B237="Pensioner",1,VLOOKUP(Assumptions!$B$10,Mortality!$A$2:$F$104,6,FALSE)/VLOOKUP(C237,Mortality!$A$2:$F$104,6,FALSE))</x:f>
        <x:v>0.9802429662359576</x:v>
      </x:c>
      <x:c r="L237" s="37" t="n">
        <x:f>VLOOKUP(IF(B237="Pensioner",C237,Assumptions!$B$10),Mortality!$A$2:$E$104,5,FALSE)</x:f>
        <x:v>17.296790022132885</x:v>
      </x:c>
      <x:c r="M237" s="37" t="n">
        <x:f>1+Assumptions!$B$13*Assumptions!$B$14*Assumptions!$B$15</x:f>
        <x:v>1.31875</x:v>
      </x:c>
      <x:c r="N237" s="37" t="n">
        <x:f>IF(B237="Pensioner",1,1/(1+Assumptions!$B$6)^G237)</x:f>
        <x:v>0.5002122399253793</x:v>
      </x:c>
      <x:c r="O237" s="50" t="n">
        <x:f>J237*K237*L237*M237*N237</x:f>
        <x:v>9865535.15564556</x:v>
      </x:c>
    </x:row>
    <x:row r="238">
      <x:c r="A238" s="42" t="str">
        <x:f>Members!A238</x:f>
        <x:v>A0361</x:v>
      </x:c>
      <x:c r="B238" s="42" t="str">
        <x:f>Members!B238</x:f>
        <x:v>Active</x:v>
      </x:c>
      <x:c r="C238" s="42" t="n">
        <x:f>Members!C238</x:f>
        <x:v>37</x:v>
      </x:c>
      <x:c r="D238" s="44" t="n">
        <x:f>Members!D238</x:f>
        <x:v>14.8</x:v>
      </x:c>
      <x:c r="E238" s="48" t="n">
        <x:f>Members!E238</x:f>
        <x:v>601000</x:v>
      </x:c>
      <x:c r="F238" s="48" t="n">
        <x:f>Members!F238</x:f>
        <x:v>0</x:v>
      </x:c>
      <x:c r="G238" s="46" t="n">
        <x:f>MAX(0,Assumptions!$B$10-C238)</x:f>
        <x:v>23</x:v>
      </x:c>
      <x:c r="H238" s="50" t="n">
        <x:f>IF(B238="Active",E238*(1+Assumptions!$B$7)^G238,E238)</x:f>
        <x:v>2059117.0921777803</x:v>
      </x:c>
      <x:c r="I238" s="50" t="n">
        <x:f>IF(B238="Active",MIN(Assumptions!$B$12,D238+G238),IF(B238="Deferred",MIN(Assumptions!$B$12,D238),D238))</x:f>
        <x:v>37.8</x:v>
      </x:c>
      <x:c r="J238" s="50" t="n">
        <x:f>IF(B238="Active",H238*I238*Assumptions!$B$11,IF(B238="Deferred",E238*I238*Assumptions!$B$11*(1+Assumptions!$B$9)^G238,F238))</x:f>
        <x:v>1297243.7680720016</x:v>
      </x:c>
      <x:c r="K238" s="37" t="n">
        <x:f>IF(B238="Pensioner",1,VLOOKUP(Assumptions!$B$10,Mortality!$A$2:$F$104,6,FALSE)/VLOOKUP(C238,Mortality!$A$2:$F$104,6,FALSE))</x:f>
        <x:v>0.9727356141265188</x:v>
      </x:c>
      <x:c r="L238" s="37" t="n">
        <x:f>VLOOKUP(IF(B238="Pensioner",C238,Assumptions!$B$10),Mortality!$A$2:$E$104,5,FALSE)</x:f>
        <x:v>17.296790022132885</x:v>
      </x:c>
      <x:c r="M238" s="37" t="n">
        <x:f>1+Assumptions!$B$13*Assumptions!$B$14*Assumptions!$B$15</x:f>
        <x:v>1.31875</x:v>
      </x:c>
      <x:c r="N238" s="37" t="n">
        <x:f>IF(B238="Pensioner",1,1/(1+Assumptions!$B$6)^G238)</x:f>
        <x:v>0.23494111264898151</x:v>
      </x:c>
      <x:c r="O238" s="50" t="n">
        <x:f>J238*K238*L238*M238*N238</x:f>
        <x:v>6762439.874851995</x:v>
      </x:c>
    </x:row>
    <x:row r="239">
      <x:c r="A239" s="42" t="str">
        <x:f>Members!A239</x:f>
        <x:v>A0201</x:v>
      </x:c>
      <x:c r="B239" s="42" t="str">
        <x:f>Members!B239</x:f>
        <x:v>Active</x:v>
      </x:c>
      <x:c r="C239" s="42" t="n">
        <x:f>Members!C239</x:f>
        <x:v>36</x:v>
      </x:c>
      <x:c r="D239" s="44" t="n">
        <x:f>Members!D239</x:f>
        <x:v>6.7</x:v>
      </x:c>
      <x:c r="E239" s="48" t="n">
        <x:f>Members!E239</x:f>
        <x:v>826000</x:v>
      </x:c>
      <x:c r="F239" s="48" t="n">
        <x:f>Members!F239</x:f>
        <x:v>0</x:v>
      </x:c>
      <x:c r="G239" s="46" t="n">
        <x:f>MAX(0,Assumptions!$B$10-C239)</x:f>
        <x:v>24</x:v>
      </x:c>
      <x:c r="H239" s="50" t="n">
        <x:f>IF(B239="Active",E239*(1+Assumptions!$B$7)^G239,E239)</x:f>
        <x:v>2985651.260626428</x:v>
      </x:c>
      <x:c r="I239" s="50" t="n">
        <x:f>IF(B239="Active",MIN(Assumptions!$B$12,D239+G239),IF(B239="Deferred",MIN(Assumptions!$B$12,D239),D239))</x:f>
        <x:v>30.7</x:v>
      </x:c>
      <x:c r="J239" s="50" t="n">
        <x:f>IF(B239="Active",H239*I239*Assumptions!$B$11,IF(B239="Deferred",E239*I239*Assumptions!$B$11*(1+Assumptions!$B$9)^G239,F239))</x:f>
        <x:v>1527658.2283538554</x:v>
      </x:c>
      <x:c r="K239" s="37" t="n">
        <x:f>IF(B239="Pensioner",1,VLOOKUP(Assumptions!$B$10,Mortality!$A$2:$F$104,6,FALSE)/VLOOKUP(C239,Mortality!$A$2:$F$104,6,FALSE))</x:f>
        <x:v>0.9723450305541352</x:v>
      </x:c>
      <x:c r="L239" s="37" t="n">
        <x:f>VLOOKUP(IF(B239="Pensioner",C239,Assumptions!$B$10),Mortality!$A$2:$E$104,5,FALSE)</x:f>
        <x:v>17.296790022132885</x:v>
      </x:c>
      <x:c r="M239" s="37" t="n">
        <x:f>1+Assumptions!$B$13*Assumptions!$B$14*Assumptions!$B$15</x:f>
        <x:v>1.31875</x:v>
      </x:c>
      <x:c r="N239" s="37" t="n">
        <x:f>IF(B239="Pensioner",1,1/(1+Assumptions!$B$6)^G239)</x:f>
        <x:v>0.22060198370796386</x:v>
      </x:c>
      <x:c r="O239" s="50" t="n">
        <x:f>J239*K239*L239*M239*N239</x:f>
        <x:v>7474531.936928446</x:v>
      </x:c>
    </x:row>
    <x:row r="240">
      <x:c r="A240" s="42" t="str">
        <x:f>Members!A240</x:f>
        <x:v>A0484</x:v>
      </x:c>
      <x:c r="B240" s="42" t="str">
        <x:f>Members!B240</x:f>
        <x:v>Active</x:v>
      </x:c>
      <x:c r="C240" s="42" t="n">
        <x:f>Members!C240</x:f>
        <x:v>28</x:v>
      </x:c>
      <x:c r="D240" s="44" t="n">
        <x:f>Members!D240</x:f>
        <x:v>2.6</x:v>
      </x:c>
      <x:c r="E240" s="48" t="n">
        <x:f>Members!E240</x:f>
        <x:v>663000</x:v>
      </x:c>
      <x:c r="F240" s="48" t="n">
        <x:f>Members!F240</x:f>
        <x:v>0</x:v>
      </x:c>
      <x:c r="G240" s="46" t="n">
        <x:f>MAX(0,Assumptions!$B$10-C240)</x:f>
        <x:v>32</x:v>
      </x:c>
      <x:c r="H240" s="50" t="n">
        <x:f>IF(B240="Active",E240*(1+Assumptions!$B$7)^G240,E240)</x:f>
        <x:v>3677834.9597737994</x:v>
      </x:c>
      <x:c r="I240" s="50" t="n">
        <x:f>IF(B240="Active",MIN(Assumptions!$B$12,D240+G240),IF(B240="Deferred",MIN(Assumptions!$B$12,D240),D240))</x:f>
        <x:v>34.6</x:v>
      </x:c>
      <x:c r="J240" s="50" t="n">
        <x:f>IF(B240="Active",H240*I240*Assumptions!$B$11,IF(B240="Deferred",E240*I240*Assumptions!$B$11*(1+Assumptions!$B$9)^G240,F240))</x:f>
        <x:v>2120884.8268028907</x:v>
      </x:c>
      <x:c r="K240" s="37" t="n">
        <x:f>IF(B240="Pensioner",1,VLOOKUP(Assumptions!$B$10,Mortality!$A$2:$F$104,6,FALSE)/VLOOKUP(C240,Mortality!$A$2:$F$104,6,FALSE))</x:f>
        <x:v>0.9697719614347323</x:v>
      </x:c>
      <x:c r="L240" s="37" t="n">
        <x:f>VLOOKUP(IF(B240="Pensioner",C240,Assumptions!$B$10),Mortality!$A$2:$E$104,5,FALSE)</x:f>
        <x:v>17.296790022132885</x:v>
      </x:c>
      <x:c r="M240" s="37" t="n">
        <x:f>1+Assumptions!$B$13*Assumptions!$B$14*Assumptions!$B$15</x:f>
        <x:v>1.31875</x:v>
      </x:c>
      <x:c r="N240" s="37" t="n">
        <x:f>IF(B240="Pensioner",1,1/(1+Assumptions!$B$6)^G240)</x:f>
        <x:v>0.13329459861122173</x:v>
      </x:c>
      <x:c r="O240" s="50" t="n">
        <x:f>J240*K240*L240*M240*N240</x:f>
        <x:v>6253558.913374463</x:v>
      </x:c>
    </x:row>
    <x:row r="241">
      <x:c r="A241" s="42" t="str">
        <x:f>Members!A241</x:f>
        <x:v>A0197</x:v>
      </x:c>
      <x:c r="B241" s="42" t="str">
        <x:f>Members!B241</x:f>
        <x:v>Active</x:v>
      </x:c>
      <x:c r="C241" s="42" t="n">
        <x:f>Members!C241</x:f>
        <x:v>49</x:v>
      </x:c>
      <x:c r="D241" s="44" t="n">
        <x:f>Members!D241</x:f>
        <x:v>18.8</x:v>
      </x:c>
      <x:c r="E241" s="48" t="n">
        <x:f>Members!E241</x:f>
        <x:v>1602000</x:v>
      </x:c>
      <x:c r="F241" s="48" t="n">
        <x:f>Members!F241</x:f>
        <x:v>0</x:v>
      </x:c>
      <x:c r="G241" s="46" t="n">
        <x:f>MAX(0,Assumptions!$B$10-C241)</x:f>
        <x:v>11</x:v>
      </x:c>
      <x:c r="H241" s="50" t="n">
        <x:f>IF(B241="Active",E241*(1+Assumptions!$B$7)^G241,E241)</x:f>
        <x:v>2886952.0305079906</x:v>
      </x:c>
      <x:c r="I241" s="50" t="n">
        <x:f>IF(B241="Active",MIN(Assumptions!$B$12,D241+G241),IF(B241="Deferred",MIN(Assumptions!$B$12,D241),D241))</x:f>
        <x:v>29.8</x:v>
      </x:c>
      <x:c r="J241" s="50" t="n">
        <x:f>IF(B241="Active",H241*I241*Assumptions!$B$11,IF(B241="Deferred",E241*I241*Assumptions!$B$11*(1+Assumptions!$B$9)^G241,F241))</x:f>
        <x:v>1433852.8418189688</x:v>
      </x:c>
      <x:c r="K241" s="37" t="n">
        <x:f>IF(B241="Pensioner",1,VLOOKUP(Assumptions!$B$10,Mortality!$A$2:$F$104,6,FALSE)/VLOOKUP(C241,Mortality!$A$2:$F$104,6,FALSE))</x:f>
        <x:v>0.9802429662359576</x:v>
      </x:c>
      <x:c r="L241" s="37" t="n">
        <x:f>VLOOKUP(IF(B241="Pensioner",C241,Assumptions!$B$10),Mortality!$A$2:$E$104,5,FALSE)</x:f>
        <x:v>17.296790022132885</x:v>
      </x:c>
      <x:c r="M241" s="37" t="n">
        <x:f>1+Assumptions!$B$13*Assumptions!$B$14*Assumptions!$B$15</x:f>
        <x:v>1.31875</x:v>
      </x:c>
      <x:c r="N241" s="37" t="n">
        <x:f>IF(B241="Pensioner",1,1/(1+Assumptions!$B$6)^G241)</x:f>
        <x:v>0.5002122399253793</x:v>
      </x:c>
      <x:c r="O241" s="50" t="n">
        <x:f>J241*K241*L241*M241*N241</x:f>
        <x:v>16036907.213439554</x:v>
      </x:c>
    </x:row>
    <x:row r="242">
      <x:c r="A242" s="42" t="str">
        <x:f>Members!A242</x:f>
        <x:v>D0009</x:v>
      </x:c>
      <x:c r="B242" s="42" t="str">
        <x:f>Members!B242</x:f>
        <x:v>Deferred</x:v>
      </x:c>
      <x:c r="C242" s="42" t="n">
        <x:f>Members!C242</x:f>
        <x:v>40</x:v>
      </x:c>
      <x:c r="D242" s="44" t="n">
        <x:f>Members!D242</x:f>
        <x:v>5.3</x:v>
      </x:c>
      <x:c r="E242" s="48" t="n">
        <x:f>Members!E242</x:f>
        <x:v>541000</x:v>
      </x:c>
      <x:c r="F242" s="48" t="n">
        <x:f>Members!F242</x:f>
        <x:v>0</x:v>
      </x:c>
      <x:c r="G242" s="46" t="n">
        <x:f>MAX(0,Assumptions!$B$10-C242)</x:f>
        <x:v>20</x:v>
      </x:c>
      <x:c r="H242" s="50" t="n">
        <x:f>IF(B242="Active",E242*(1+Assumptions!$B$7)^G242,E242)</x:f>
        <x:v>541000</x:v>
      </x:c>
      <x:c r="I242" s="50" t="n">
        <x:f>IF(B242="Active",MIN(Assumptions!$B$12,D242+G242),IF(B242="Deferred",MIN(Assumptions!$B$12,D242),D242))</x:f>
        <x:v>5.3</x:v>
      </x:c>
      <x:c r="J242" s="50" t="n">
        <x:f>IF(B242="Active",H242*I242*Assumptions!$B$11,IF(B242="Deferred",E242*I242*Assumptions!$B$11*(1+Assumptions!$B$9)^G242,F242))</x:f>
        <x:v>104710.12313366216</x:v>
      </x:c>
      <x:c r="K242" s="37" t="n">
        <x:f>IF(B242="Pensioner",1,VLOOKUP(Assumptions!$B$10,Mortality!$A$2:$F$104,6,FALSE)/VLOOKUP(C242,Mortality!$A$2:$F$104,6,FALSE))</x:f>
        <x:v>0.9740511243198767</x:v>
      </x:c>
      <x:c r="L242" s="37" t="n">
        <x:f>VLOOKUP(IF(B242="Pensioner",C242,Assumptions!$B$10),Mortality!$A$2:$E$104,5,FALSE)</x:f>
        <x:v>17.296790022132885</x:v>
      </x:c>
      <x:c r="M242" s="37" t="n">
        <x:f>1+Assumptions!$B$13*Assumptions!$B$14*Assumptions!$B$15</x:f>
        <x:v>1.31875</x:v>
      </x:c>
      <x:c r="N242" s="37" t="n">
        <x:f>IF(B242="Pensioner",1,1/(1+Assumptions!$B$6)^G242)</x:f>
        <x:v>0.2837970289214199</x:v>
      </x:c>
      <x:c r="O242" s="50" t="n">
        <x:f>J242*K242*L242*M242*N242</x:f>
        <x:v>660246.7204387764</x:v>
      </x:c>
    </x:row>
    <x:row r="243">
      <x:c r="A243" s="42" t="str">
        <x:f>Members!A243</x:f>
        <x:v>A0151</x:v>
      </x:c>
      <x:c r="B243" s="42" t="str">
        <x:f>Members!B243</x:f>
        <x:v>Active</x:v>
      </x:c>
      <x:c r="C243" s="42" t="n">
        <x:f>Members!C243</x:f>
        <x:v>23</x:v>
      </x:c>
      <x:c r="D243" s="44" t="n">
        <x:f>Members!D243</x:f>
        <x:v>1</x:v>
      </x:c>
      <x:c r="E243" s="48" t="n">
        <x:f>Members!E243</x:f>
        <x:v>332000</x:v>
      </x:c>
      <x:c r="F243" s="48" t="n">
        <x:f>Members!F243</x:f>
        <x:v>0</x:v>
      </x:c>
      <x:c r="G243" s="46" t="n">
        <x:f>MAX(0,Assumptions!$B$10-C243)</x:f>
        <x:v>37</x:v>
      </x:c>
      <x:c r="H243" s="50" t="n">
        <x:f>IF(B243="Active",E243*(1+Assumptions!$B$7)^G243,E243)</x:f>
        <x:v>2407016.6263389606</x:v>
      </x:c>
      <x:c r="I243" s="50" t="n">
        <x:f>IF(B243="Active",MIN(Assumptions!$B$12,D243+G243),IF(B243="Deferred",MIN(Assumptions!$B$12,D243),D243))</x:f>
        <x:v>38</x:v>
      </x:c>
      <x:c r="J243" s="50" t="n">
        <x:f>IF(B243="Active",H243*I243*Assumptions!$B$11,IF(B243="Deferred",E243*I243*Assumptions!$B$11*(1+Assumptions!$B$9)^G243,F243))</x:f>
        <x:v>1524443.8633480084</x:v>
      </x:c>
      <x:c r="K243" s="37" t="n">
        <x:f>IF(B243="Pensioner",1,VLOOKUP(Assumptions!$B$10,Mortality!$A$2:$F$104,6,FALSE)/VLOOKUP(C243,Mortality!$A$2:$F$104,6,FALSE))</x:f>
        <x:v>0.9684592752197081</x:v>
      </x:c>
      <x:c r="L243" s="37" t="n">
        <x:f>VLOOKUP(IF(B243="Pensioner",C243,Assumptions!$B$10),Mortality!$A$2:$E$104,5,FALSE)</x:f>
        <x:v>17.296790022132885</x:v>
      </x:c>
      <x:c r="M243" s="37" t="n">
        <x:f>1+Assumptions!$B$13*Assumptions!$B$14*Assumptions!$B$15</x:f>
        <x:v>1.31875</x:v>
      </x:c>
      <x:c r="N243" s="37" t="n">
        <x:f>IF(B243="Pensioner",1,1/(1+Assumptions!$B$6)^G243)</x:f>
        <x:v>0.09728917313808341</x:v>
      </x:c>
      <x:c r="O243" s="50" t="n">
        <x:f>J243*K243*L243*M243*N243</x:f>
        <x:v>3276312.3393470137</x:v>
      </x:c>
    </x:row>
    <x:row r="244">
      <x:c r="A244" s="42" t="str">
        <x:f>Members!A244</x:f>
        <x:v>P0155</x:v>
      </x:c>
      <x:c r="B244" s="42" t="str">
        <x:f>Members!B244</x:f>
        <x:v>Pensioner</x:v>
      </x:c>
      <x:c r="C244" s="42" t="n">
        <x:f>Members!C244</x:f>
        <x:v>73</x:v>
      </x:c>
      <x:c r="D244" s="44" t="n">
        <x:f>Members!D244</x:f>
        <x:v>22.3</x:v>
      </x:c>
      <x:c r="E244" s="48" t="n">
        <x:f>Members!E244</x:f>
        <x:v>0</x:v>
      </x:c>
      <x:c r="F244" s="48" t="n">
        <x:f>Members!F244</x:f>
        <x:v>425000</x:v>
      </x:c>
      <x:c r="G244" s="46" t="n">
        <x:f>MAX(0,Assumptions!$B$10-C244)</x:f>
        <x:v>0</x:v>
      </x:c>
      <x:c r="H244" s="50" t="n">
        <x:f>IF(B244="Active",E244*(1+Assumptions!$B$7)^G244,E244)</x:f>
        <x:v>0</x:v>
      </x:c>
      <x:c r="I244" s="50" t="n">
        <x:f>IF(B244="Active",MIN(Assumptions!$B$12,D244+G244),IF(B244="Deferred",MIN(Assumptions!$B$12,D244),D244))</x:f>
        <x:v>22.3</x:v>
      </x:c>
      <x:c r="J244" s="50" t="n">
        <x:f>IF(B244="Active",H244*I244*Assumptions!$B$11,IF(B244="Deferred",E244*I244*Assumptions!$B$11*(1+Assumptions!$B$9)^G244,F244))</x:f>
        <x:v>425000</x:v>
      </x:c>
      <x:c r="K244" s="37" t="n">
        <x:f>IF(B244="Pensioner",1,VLOOKUP(Assumptions!$B$10,Mortality!$A$2:$F$104,6,FALSE)/VLOOKUP(C244,Mortality!$A$2:$F$104,6,FALSE))</x:f>
        <x:v>1</x:v>
      </x:c>
      <x:c r="L244" s="37" t="n">
        <x:f>VLOOKUP(IF(B244="Pensioner",C244,Assumptions!$B$10),Mortality!$A$2:$E$104,5,FALSE)</x:f>
        <x:v>11.586176267789867</x:v>
      </x:c>
      <x:c r="M244" s="37" t="n">
        <x:f>1+Assumptions!$B$13*Assumptions!$B$14*Assumptions!$B$15</x:f>
        <x:v>1.31875</x:v>
      </x:c>
      <x:c r="N244" s="37" t="n">
        <x:f>IF(B244="Pensioner",1,1/(1+Assumptions!$B$6)^G244)</x:f>
        <x:v>1</x:v>
      </x:c>
      <x:c r="O244" s="50" t="n">
        <x:f>J244*K244*L244*M244*N244</x:f>
        <x:v>6493689.730087853</x:v>
      </x:c>
    </x:row>
    <x:row r="245">
      <x:c r="A245" s="42" t="str">
        <x:f>Members!A245</x:f>
        <x:v>A0039</x:v>
      </x:c>
      <x:c r="B245" s="42" t="str">
        <x:f>Members!B245</x:f>
        <x:v>Active</x:v>
      </x:c>
      <x:c r="C245" s="42" t="n">
        <x:f>Members!C245</x:f>
        <x:v>30</x:v>
      </x:c>
      <x:c r="D245" s="44" t="n">
        <x:f>Members!D245</x:f>
        <x:v>4.8</x:v>
      </x:c>
      <x:c r="E245" s="48" t="n">
        <x:f>Members!E245</x:f>
        <x:v>637000</x:v>
      </x:c>
      <x:c r="F245" s="48" t="n">
        <x:f>Members!F245</x:f>
        <x:v>0</x:v>
      </x:c>
      <x:c r="G245" s="46" t="n">
        <x:f>MAX(0,Assumptions!$B$10-C245)</x:f>
        <x:v>30</x:v>
      </x:c>
      <x:c r="H245" s="50" t="n">
        <x:f>IF(B245="Active",E245*(1+Assumptions!$B$7)^G245,E245)</x:f>
        <x:v>3174776.970707653</x:v>
      </x:c>
      <x:c r="I245" s="50" t="n">
        <x:f>IF(B245="Active",MIN(Assumptions!$B$12,D245+G245),IF(B245="Deferred",MIN(Assumptions!$B$12,D245),D245))</x:f>
        <x:v>34.8</x:v>
      </x:c>
      <x:c r="J245" s="50" t="n">
        <x:f>IF(B245="Active",H245*I245*Assumptions!$B$11,IF(B245="Deferred",E245*I245*Assumptions!$B$11*(1+Assumptions!$B$9)^G245,F245))</x:f>
        <x:v>1841370.6430104387</x:v>
      </x:c>
      <x:c r="K245" s="37" t="n">
        <x:f>IF(B245="Pensioner",1,VLOOKUP(Assumptions!$B$10,Mortality!$A$2:$F$104,6,FALSE)/VLOOKUP(C245,Mortality!$A$2:$F$104,6,FALSE))</x:f>
        <x:v>0.9703456880318753</x:v>
      </x:c>
      <x:c r="L245" s="37" t="n">
        <x:f>VLOOKUP(IF(B245="Pensioner",C245,Assumptions!$B$10),Mortality!$A$2:$E$104,5,FALSE)</x:f>
        <x:v>17.296790022132885</x:v>
      </x:c>
      <x:c r="M245" s="37" t="n">
        <x:f>1+Assumptions!$B$13*Assumptions!$B$14*Assumptions!$B$15</x:f>
        <x:v>1.31875</x:v>
      </x:c>
      <x:c r="N245" s="37" t="n">
        <x:f>IF(B245="Pensioner",1,1/(1+Assumptions!$B$6)^G245)</x:f>
        <x:v>0.1511860661098129</x:v>
      </x:c>
      <x:c r="O245" s="50" t="n">
        <x:f>J245*K245*L245*M245*N245</x:f>
        <x:v>6161797.871789379</x:v>
      </x:c>
    </x:row>
    <x:row r="246">
      <x:c r="A246" s="42" t="str">
        <x:f>Members!A246</x:f>
        <x:v>A0583</x:v>
      </x:c>
      <x:c r="B246" s="42" t="str">
        <x:f>Members!B246</x:f>
        <x:v>Active</x:v>
      </x:c>
      <x:c r="C246" s="42" t="n">
        <x:f>Members!C246</x:f>
        <x:v>42</x:v>
      </x:c>
      <x:c r="D246" s="44" t="n">
        <x:f>Members!D246</x:f>
        <x:v>3.8</x:v>
      </x:c>
      <x:c r="E246" s="48" t="n">
        <x:f>Members!E246</x:f>
        <x:v>1224000</x:v>
      </x:c>
      <x:c r="F246" s="48" t="n">
        <x:f>Members!F246</x:f>
        <x:v>0</x:v>
      </x:c>
      <x:c r="G246" s="46" t="n">
        <x:f>MAX(0,Assumptions!$B$10-C246)</x:f>
        <x:v>18</x:v>
      </x:c>
      <x:c r="H246" s="50" t="n">
        <x:f>IF(B246="Active",E246*(1+Assumptions!$B$7)^G246,E246)</x:f>
        <x:v>3208674.709462416</x:v>
      </x:c>
      <x:c r="I246" s="50" t="n">
        <x:f>IF(B246="Active",MIN(Assumptions!$B$12,D246+G246),IF(B246="Deferred",MIN(Assumptions!$B$12,D246),D246))</x:f>
        <x:v>21.8</x:v>
      </x:c>
      <x:c r="J246" s="50" t="n">
        <x:f>IF(B246="Active",H246*I246*Assumptions!$B$11,IF(B246="Deferred",E246*I246*Assumptions!$B$11*(1+Assumptions!$B$9)^G246,F246))</x:f>
        <x:v>1165818.4777713446</x:v>
      </x:c>
      <x:c r="K246" s="37" t="n">
        <x:f>IF(B246="Pensioner",1,VLOOKUP(Assumptions!$B$10,Mortality!$A$2:$F$104,6,FALSE)/VLOOKUP(C246,Mortality!$A$2:$F$104,6,FALSE))</x:f>
        <x:v>0.9750799707838386</x:v>
      </x:c>
      <x:c r="L246" s="37" t="n">
        <x:f>VLOOKUP(IF(B246="Pensioner",C246,Assumptions!$B$10),Mortality!$A$2:$E$104,5,FALSE)</x:f>
        <x:v>17.296790022132885</x:v>
      </x:c>
      <x:c r="M246" s="37" t="n">
        <x:f>1+Assumptions!$B$13*Assumptions!$B$14*Assumptions!$B$15</x:f>
        <x:v>1.31875</x:v>
      </x:c>
      <x:c r="N246" s="37" t="n">
        <x:f>IF(B246="Pensioner",1,1/(1+Assumptions!$B$6)^G246)</x:f>
        <x:v>0.3218896851283974</x:v>
      </x:c>
      <x:c r="O246" s="50" t="n">
        <x:f>J246*K246*L246*M246*N246</x:f>
        <x:v>8346534.945153198</x:v>
      </x:c>
    </x:row>
    <x:row r="247">
      <x:c r="A247" s="42" t="str">
        <x:f>Members!A247</x:f>
        <x:v>A0266</x:v>
      </x:c>
      <x:c r="B247" s="42" t="str">
        <x:f>Members!B247</x:f>
        <x:v>Active</x:v>
      </x:c>
      <x:c r="C247" s="42" t="n">
        <x:f>Members!C247</x:f>
        <x:v>39</x:v>
      </x:c>
      <x:c r="D247" s="44" t="n">
        <x:f>Members!D247</x:f>
        <x:v>4.1</x:v>
      </x:c>
      <x:c r="E247" s="48" t="n">
        <x:f>Members!E247</x:f>
        <x:v>997000</x:v>
      </x:c>
      <x:c r="F247" s="48" t="n">
        <x:f>Members!F247</x:f>
        <x:v>0</x:v>
      </x:c>
      <x:c r="G247" s="46" t="n">
        <x:f>MAX(0,Assumptions!$B$10-C247)</x:f>
        <x:v>21</x:v>
      </x:c>
      <x:c r="H247" s="50" t="n">
        <x:f>IF(B247="Active",E247*(1+Assumptions!$B$7)^G247,E247)</x:f>
        <x:v>3068999.4501295523</x:v>
      </x:c>
      <x:c r="I247" s="50" t="n">
        <x:f>IF(B247="Active",MIN(Assumptions!$B$12,D247+G247),IF(B247="Deferred",MIN(Assumptions!$B$12,D247),D247))</x:f>
        <x:v>25.1</x:v>
      </x:c>
      <x:c r="J247" s="50" t="n">
        <x:f>IF(B247="Active",H247*I247*Assumptions!$B$11,IF(B247="Deferred",E247*I247*Assumptions!$B$11*(1+Assumptions!$B$9)^G247,F247))</x:f>
        <x:v>1283864.769970863</x:v>
      </x:c>
      <x:c r="K247" s="37" t="n">
        <x:f>IF(B247="Pensioner",1,VLOOKUP(Assumptions!$B$10,Mortality!$A$2:$F$104,6,FALSE)/VLOOKUP(C247,Mortality!$A$2:$F$104,6,FALSE))</x:f>
        <x:v>0.973585741778878</x:v>
      </x:c>
      <x:c r="L247" s="37" t="n">
        <x:f>VLOOKUP(IF(B247="Pensioner",C247,Assumptions!$B$10),Mortality!$A$2:$E$104,5,FALSE)</x:f>
        <x:v>17.296790022132885</x:v>
      </x:c>
      <x:c r="M247" s="37" t="n">
        <x:f>1+Assumptions!$B$13*Assumptions!$B$14*Assumptions!$B$15</x:f>
        <x:v>1.31875</x:v>
      </x:c>
      <x:c r="N247" s="37" t="n">
        <x:f>IF(B247="Pensioner",1,1/(1+Assumptions!$B$6)^G247)</x:f>
        <x:v>0.26647608349429097</x:v>
      </x:c>
      <x:c r="O247" s="50" t="n">
        <x:f>J247*K247*L247*M247*N247</x:f>
        <x:v>7597657.456788926</x:v>
      </x:c>
    </x:row>
    <x:row r="248">
      <x:c r="A248" s="42" t="str">
        <x:f>Members!A248</x:f>
        <x:v>A0183</x:v>
      </x:c>
      <x:c r="B248" s="42" t="str">
        <x:f>Members!B248</x:f>
        <x:v>Active</x:v>
      </x:c>
      <x:c r="C248" s="42" t="n">
        <x:f>Members!C248</x:f>
        <x:v>32</x:v>
      </x:c>
      <x:c r="D248" s="44" t="n">
        <x:f>Members!D248</x:f>
        <x:v>8.7</x:v>
      </x:c>
      <x:c r="E248" s="48" t="n">
        <x:f>Members!E248</x:f>
        <x:v>458000</x:v>
      </x:c>
      <x:c r="F248" s="48" t="n">
        <x:f>Members!F248</x:f>
        <x:v>0</x:v>
      </x:c>
      <x:c r="G248" s="46" t="n">
        <x:f>MAX(0,Assumptions!$B$10-C248)</x:f>
        <x:v>28</x:v>
      </x:c>
      <x:c r="H248" s="50" t="n">
        <x:f>IF(B248="Active",E248*(1+Assumptions!$B$7)^G248,E248)</x:f>
        <x:v>2050852.1282854725</x:v>
      </x:c>
      <x:c r="I248" s="50" t="n">
        <x:f>IF(B248="Active",MIN(Assumptions!$B$12,D248+G248),IF(B248="Deferred",MIN(Assumptions!$B$12,D248),D248))</x:f>
        <x:v>36.7</x:v>
      </x:c>
      <x:c r="J248" s="50" t="n">
        <x:f>IF(B248="Active",H248*I248*Assumptions!$B$11,IF(B248="Deferred",E248*I248*Assumptions!$B$11*(1+Assumptions!$B$9)^G248,F248))</x:f>
        <x:v>1254437.885134614</x:v>
      </x:c>
      <x:c r="K248" s="37" t="n">
        <x:f>IF(B248="Pensioner",1,VLOOKUP(Assumptions!$B$10,Mortality!$A$2:$F$104,6,FALSE)/VLOOKUP(C248,Mortality!$A$2:$F$104,6,FALSE))</x:f>
        <x:v>0.9709584687664957</x:v>
      </x:c>
      <x:c r="L248" s="37" t="n">
        <x:f>VLOOKUP(IF(B248="Pensioner",C248,Assumptions!$B$10),Mortality!$A$2:$E$104,5,FALSE)</x:f>
        <x:v>17.296790022132885</x:v>
      </x:c>
      <x:c r="M248" s="37" t="n">
        <x:f>1+Assumptions!$B$13*Assumptions!$B$14*Assumptions!$B$15</x:f>
        <x:v>1.31875</x:v>
      </x:c>
      <x:c r="N248" s="37" t="n">
        <x:f>IF(B248="Pensioner",1,1/(1+Assumptions!$B$6)^G248)</x:f>
        <x:v>0.17147901583340255</x:v>
      </x:c>
      <x:c r="O248" s="50" t="n">
        <x:f>J248*K248*L248*M248*N248</x:f>
        <x:v>4764186.825847308</x:v>
      </x:c>
    </x:row>
    <x:row r="249">
      <x:c r="A249" s="42" t="str">
        <x:f>Members!A249</x:f>
        <x:v>D0101</x:v>
      </x:c>
      <x:c r="B249" s="42" t="str">
        <x:f>Members!B249</x:f>
        <x:v>Deferred</x:v>
      </x:c>
      <x:c r="C249" s="42" t="n">
        <x:f>Members!C249</x:f>
        <x:v>30</x:v>
      </x:c>
      <x:c r="D249" s="44" t="n">
        <x:f>Members!D249</x:f>
        <x:v>2</x:v>
      </x:c>
      <x:c r="E249" s="48" t="n">
        <x:f>Members!E249</x:f>
        <x:v>325000</x:v>
      </x:c>
      <x:c r="F249" s="48" t="n">
        <x:f>Members!F249</x:f>
        <x:v>0</x:v>
      </x:c>
      <x:c r="G249" s="46" t="n">
        <x:f>MAX(0,Assumptions!$B$10-C249)</x:f>
        <x:v>30</x:v>
      </x:c>
      <x:c r="H249" s="50" t="n">
        <x:f>IF(B249="Active",E249*(1+Assumptions!$B$7)^G249,E249)</x:f>
        <x:v>325000</x:v>
      </x:c>
      <x:c r="I249" s="50" t="n">
        <x:f>IF(B249="Active",MIN(Assumptions!$B$12,D249+G249),IF(B249="Deferred",MIN(Assumptions!$B$12,D249),D249))</x:f>
        <x:v>2</x:v>
      </x:c>
      <x:c r="J249" s="50" t="n">
        <x:f>IF(B249="Active",H249*I249*Assumptions!$B$11,IF(B249="Deferred",E249*I249*Assumptions!$B$11*(1+Assumptions!$B$9)^G249,F249))</x:f>
        <x:v>35136.80635863171</x:v>
      </x:c>
      <x:c r="K249" s="37" t="n">
        <x:f>IF(B249="Pensioner",1,VLOOKUP(Assumptions!$B$10,Mortality!$A$2:$F$104,6,FALSE)/VLOOKUP(C249,Mortality!$A$2:$F$104,6,FALSE))</x:f>
        <x:v>0.9703456880318753</x:v>
      </x:c>
      <x:c r="L249" s="37" t="n">
        <x:f>VLOOKUP(IF(B249="Pensioner",C249,Assumptions!$B$10),Mortality!$A$2:$E$104,5,FALSE)</x:f>
        <x:v>17.296790022132885</x:v>
      </x:c>
      <x:c r="M249" s="37" t="n">
        <x:f>1+Assumptions!$B$13*Assumptions!$B$14*Assumptions!$B$15</x:f>
        <x:v>1.31875</x:v>
      </x:c>
      <x:c r="N249" s="37" t="n">
        <x:f>IF(B249="Pensioner",1,1/(1+Assumptions!$B$6)^G249)</x:f>
        <x:v>0.1511860661098129</x:v>
      </x:c>
      <x:c r="O249" s="50" t="n">
        <x:f>J249*K249*L249*M249*N249</x:f>
        <x:v>117578.66318979053</x:v>
      </x:c>
    </x:row>
    <x:row r="250">
      <x:c r="A250" s="42" t="str">
        <x:f>Members!A250</x:f>
        <x:v>A0490</x:v>
      </x:c>
      <x:c r="B250" s="42" t="str">
        <x:f>Members!B250</x:f>
        <x:v>Active</x:v>
      </x:c>
      <x:c r="C250" s="42" t="n">
        <x:f>Members!C250</x:f>
        <x:v>42</x:v>
      </x:c>
      <x:c r="D250" s="44" t="n">
        <x:f>Members!D250</x:f>
        <x:v>3.9</x:v>
      </x:c>
      <x:c r="E250" s="48" t="n">
        <x:f>Members!E250</x:f>
        <x:v>726000</x:v>
      </x:c>
      <x:c r="F250" s="48" t="n">
        <x:f>Members!F250</x:f>
        <x:v>0</x:v>
      </x:c>
      <x:c r="G250" s="46" t="n">
        <x:f>MAX(0,Assumptions!$B$10-C250)</x:f>
        <x:v>18</x:v>
      </x:c>
      <x:c r="H250" s="50" t="n">
        <x:f>IF(B250="Active",E250*(1+Assumptions!$B$7)^G250,E250)</x:f>
        <x:v>1903184.509043884</x:v>
      </x:c>
      <x:c r="I250" s="50" t="n">
        <x:f>IF(B250="Active",MIN(Assumptions!$B$12,D250+G250),IF(B250="Deferred",MIN(Assumptions!$B$12,D250),D250))</x:f>
        <x:v>21.9</x:v>
      </x:c>
      <x:c r="J250" s="50" t="n">
        <x:f>IF(B250="Active",H250*I250*Assumptions!$B$11,IF(B250="Deferred",E250*I250*Assumptions!$B$11*(1+Assumptions!$B$9)^G250,F250))</x:f>
        <x:v>694662.3458010176</x:v>
      </x:c>
      <x:c r="K250" s="37" t="n">
        <x:f>IF(B250="Pensioner",1,VLOOKUP(Assumptions!$B$10,Mortality!$A$2:$F$104,6,FALSE)/VLOOKUP(C250,Mortality!$A$2:$F$104,6,FALSE))</x:f>
        <x:v>0.9750799707838386</x:v>
      </x:c>
      <x:c r="L250" s="37" t="n">
        <x:f>VLOOKUP(IF(B250="Pensioner",C250,Assumptions!$B$10),Mortality!$A$2:$E$104,5,FALSE)</x:f>
        <x:v>17.296790022132885</x:v>
      </x:c>
      <x:c r="M250" s="37" t="n">
        <x:f>1+Assumptions!$B$13*Assumptions!$B$14*Assumptions!$B$15</x:f>
        <x:v>1.31875</x:v>
      </x:c>
      <x:c r="N250" s="37" t="n">
        <x:f>IF(B250="Pensioner",1,1/(1+Assumptions!$B$6)^G250)</x:f>
        <x:v>0.3218896851283974</x:v>
      </x:c>
      <x:c r="O250" s="50" t="n">
        <x:f>J250*K250*L250*M250*N250</x:f>
        <x:v>4973350.186895453</x:v>
      </x:c>
    </x:row>
    <x:row r="251">
      <x:c r="A251" s="42" t="str">
        <x:f>Members!A251</x:f>
        <x:v>P0228</x:v>
      </x:c>
      <x:c r="B251" s="42" t="str">
        <x:f>Members!B251</x:f>
        <x:v>Pensioner</x:v>
      </x:c>
      <x:c r="C251" s="42" t="n">
        <x:f>Members!C251</x:f>
        <x:v>77</x:v>
      </x:c>
      <x:c r="D251" s="44" t="n">
        <x:f>Members!D251</x:f>
        <x:v>29.2</x:v>
      </x:c>
      <x:c r="E251" s="48" t="n">
        <x:f>Members!E251</x:f>
        <x:v>0</x:v>
      </x:c>
      <x:c r="F251" s="48" t="n">
        <x:f>Members!F251</x:f>
        <x:v>240000</x:v>
      </x:c>
      <x:c r="G251" s="46" t="n">
        <x:f>MAX(0,Assumptions!$B$10-C251)</x:f>
        <x:v>0</x:v>
      </x:c>
      <x:c r="H251" s="50" t="n">
        <x:f>IF(B251="Active",E251*(1+Assumptions!$B$7)^G251,E251)</x:f>
        <x:v>0</x:v>
      </x:c>
      <x:c r="I251" s="50" t="n">
        <x:f>IF(B251="Active",MIN(Assumptions!$B$12,D251+G251),IF(B251="Deferred",MIN(Assumptions!$B$12,D251),D251))</x:f>
        <x:v>29.2</x:v>
      </x:c>
      <x:c r="J251" s="50" t="n">
        <x:f>IF(B251="Active",H251*I251*Assumptions!$B$11,IF(B251="Deferred",E251*I251*Assumptions!$B$11*(1+Assumptions!$B$9)^G251,F251))</x:f>
        <x:v>240000</x:v>
      </x:c>
      <x:c r="K251" s="37" t="n">
        <x:f>IF(B251="Pensioner",1,VLOOKUP(Assumptions!$B$10,Mortality!$A$2:$F$104,6,FALSE)/VLOOKUP(C251,Mortality!$A$2:$F$104,6,FALSE))</x:f>
        <x:v>1</x:v>
      </x:c>
      <x:c r="L251" s="37" t="n">
        <x:f>VLOOKUP(IF(B251="Pensioner",C251,Assumptions!$B$10),Mortality!$A$2:$E$104,5,FALSE)</x:f>
        <x:v>9.741818456431972</x:v>
      </x:c>
      <x:c r="M251" s="37" t="n">
        <x:f>1+Assumptions!$B$13*Assumptions!$B$14*Assumptions!$B$15</x:f>
        <x:v>1.31875</x:v>
      </x:c>
      <x:c r="N251" s="37" t="n">
        <x:f>IF(B251="Pensioner",1,1/(1+Assumptions!$B$6)^G251)</x:f>
        <x:v>1</x:v>
      </x:c>
      <x:c r="O251" s="50" t="n">
        <x:f>J251*K251*L251*M251*N251</x:f>
        <x:v>3083285.541460719</x:v>
      </x:c>
    </x:row>
    <x:row r="252">
      <x:c r="A252" s="42" t="str">
        <x:f>Members!A252</x:f>
        <x:v>A0398</x:v>
      </x:c>
      <x:c r="B252" s="42" t="str">
        <x:f>Members!B252</x:f>
        <x:v>Active</x:v>
      </x:c>
      <x:c r="C252" s="42" t="n">
        <x:f>Members!C252</x:f>
        <x:v>57</x:v>
      </x:c>
      <x:c r="D252" s="44" t="n">
        <x:f>Members!D252</x:f>
        <x:v>13.4</x:v>
      </x:c>
      <x:c r="E252" s="48" t="n">
        <x:f>Members!E252</x:f>
        <x:v>1650000</x:v>
      </x:c>
      <x:c r="F252" s="48" t="n">
        <x:f>Members!F252</x:f>
        <x:v>0</x:v>
      </x:c>
      <x:c r="G252" s="46" t="n">
        <x:f>MAX(0,Assumptions!$B$10-C252)</x:f>
        <x:v>3</x:v>
      </x:c>
      <x:c r="H252" s="50" t="n">
        <x:f>IF(B252="Active",E252*(1+Assumptions!$B$7)^G252,E252)</x:f>
        <x:v>1937498.2687499996</x:v>
      </x:c>
      <x:c r="I252" s="50" t="n">
        <x:f>IF(B252="Active",MIN(Assumptions!$B$12,D252+G252),IF(B252="Deferred",MIN(Assumptions!$B$12,D252),D252))</x:f>
        <x:v>16.4</x:v>
      </x:c>
      <x:c r="J252" s="50" t="n">
        <x:f>IF(B252="Active",H252*I252*Assumptions!$B$11,IF(B252="Deferred",E252*I252*Assumptions!$B$11*(1+Assumptions!$B$9)^G252,F252))</x:f>
        <x:v>529582.8601249999</x:v>
      </x:c>
      <x:c r="K252" s="37" t="n">
        <x:f>IF(B252="Pensioner",1,VLOOKUP(Assumptions!$B$10,Mortality!$A$2:$F$104,6,FALSE)/VLOOKUP(C252,Mortality!$A$2:$F$104,6,FALSE))</x:f>
        <x:v>0.9922003892921417</x:v>
      </x:c>
      <x:c r="L252" s="37" t="n">
        <x:f>VLOOKUP(IF(B252="Pensioner",C252,Assumptions!$B$10),Mortality!$A$2:$E$104,5,FALSE)</x:f>
        <x:v>17.296790022132885</x:v>
      </x:c>
      <x:c r="M252" s="37" t="n">
        <x:f>1+Assumptions!$B$13*Assumptions!$B$14*Assumptions!$B$15</x:f>
        <x:v>1.31875</x:v>
      </x:c>
      <x:c r="N252" s="37" t="n">
        <x:f>IF(B252="Pensioner",1,1/(1+Assumptions!$B$6)^G252)</x:f>
        <x:v>0.8278490918029799</x:v>
      </x:c>
      <x:c r="O252" s="50" t="n">
        <x:f>J252*K252*L252*M252*N252</x:f>
        <x:v>9922302.802778563</x:v>
      </x:c>
    </x:row>
    <x:row r="253">
      <x:c r="A253" s="42" t="str">
        <x:f>Members!A253</x:f>
        <x:v>A0607</x:v>
      </x:c>
      <x:c r="B253" s="42" t="str">
        <x:f>Members!B253</x:f>
        <x:v>Active</x:v>
      </x:c>
      <x:c r="C253" s="42" t="n">
        <x:f>Members!C253</x:f>
        <x:v>30</x:v>
      </x:c>
      <x:c r="D253" s="44" t="n">
        <x:f>Members!D253</x:f>
        <x:v>7.2</x:v>
      </x:c>
      <x:c r="E253" s="48" t="n">
        <x:f>Members!E253</x:f>
        <x:v>442000</x:v>
      </x:c>
      <x:c r="F253" s="48" t="n">
        <x:f>Members!F253</x:f>
        <x:v>0</x:v>
      </x:c>
      <x:c r="G253" s="46" t="n">
        <x:f>MAX(0,Assumptions!$B$10-C253)</x:f>
        <x:v>30</x:v>
      </x:c>
      <x:c r="H253" s="50" t="n">
        <x:f>IF(B253="Active",E253*(1+Assumptions!$B$7)^G253,E253)</x:f>
        <x:v>2202906.4694706164</x:v>
      </x:c>
      <x:c r="I253" s="50" t="n">
        <x:f>IF(B253="Active",MIN(Assumptions!$B$12,D253+G253),IF(B253="Deferred",MIN(Assumptions!$B$12,D253),D253))</x:f>
        <x:v>37.2</x:v>
      </x:c>
      <x:c r="J253" s="50" t="n">
        <x:f>IF(B253="Active",H253*I253*Assumptions!$B$11,IF(B253="Deferred",E253*I253*Assumptions!$B$11*(1+Assumptions!$B$9)^G253,F253))</x:f>
        <x:v>1365802.0110717823</x:v>
      </x:c>
      <x:c r="K253" s="37" t="n">
        <x:f>IF(B253="Pensioner",1,VLOOKUP(Assumptions!$B$10,Mortality!$A$2:$F$104,6,FALSE)/VLOOKUP(C253,Mortality!$A$2:$F$104,6,FALSE))</x:f>
        <x:v>0.9703456880318753</x:v>
      </x:c>
      <x:c r="L253" s="37" t="n">
        <x:f>VLOOKUP(IF(B253="Pensioner",C253,Assumptions!$B$10),Mortality!$A$2:$E$104,5,FALSE)</x:f>
        <x:v>17.296790022132885</x:v>
      </x:c>
      <x:c r="M253" s="37" t="n">
        <x:f>1+Assumptions!$B$13*Assumptions!$B$14*Assumptions!$B$15</x:f>
        <x:v>1.31875</x:v>
      </x:c>
      <x:c r="N253" s="37" t="n">
        <x:f>IF(B253="Pensioner",1,1/(1+Assumptions!$B$6)^G253)</x:f>
        <x:v>0.1511860661098129</x:v>
      </x:c>
      <x:c r="O253" s="50" t="n">
        <x:f>J253*K253*L253*M253*N253</x:f>
        <x:v>4570397.576964114</x:v>
      </x:c>
    </x:row>
    <x:row r="254">
      <x:c r="A254" s="42" t="str">
        <x:f>Members!A254</x:f>
        <x:v>A0444</x:v>
      </x:c>
      <x:c r="B254" s="42" t="str">
        <x:f>Members!B254</x:f>
        <x:v>Active</x:v>
      </x:c>
      <x:c r="C254" s="42" t="n">
        <x:f>Members!C254</x:f>
        <x:v>41</x:v>
      </x:c>
      <x:c r="D254" s="44" t="n">
        <x:f>Members!D254</x:f>
        <x:v>16.8</x:v>
      </x:c>
      <x:c r="E254" s="48" t="n">
        <x:f>Members!E254</x:f>
        <x:v>749000</x:v>
      </x:c>
      <x:c r="F254" s="48" t="n">
        <x:f>Members!F254</x:f>
        <x:v>0</x:v>
      </x:c>
      <x:c r="G254" s="46" t="n">
        <x:f>MAX(0,Assumptions!$B$10-C254)</x:f>
        <x:v>19</x:v>
      </x:c>
      <x:c r="H254" s="50" t="n">
        <x:f>IF(B254="Active",E254*(1+Assumptions!$B$7)^G254,E254)</x:f>
        <x:v>2071469.5359833771</x:v>
      </x:c>
      <x:c r="I254" s="50" t="n">
        <x:f>IF(B254="Active",MIN(Assumptions!$B$12,D254+G254),IF(B254="Deferred",MIN(Assumptions!$B$12,D254),D254))</x:f>
        <x:v>35.8</x:v>
      </x:c>
      <x:c r="J254" s="50" t="n">
        <x:f>IF(B254="Active",H254*I254*Assumptions!$B$11,IF(B254="Deferred",E254*I254*Assumptions!$B$11*(1+Assumptions!$B$9)^G254,F254))</x:f>
        <x:v>1235976.8231367483</x:v>
      </x:c>
      <x:c r="K254" s="37" t="n">
        <x:f>IF(B254="Pensioner",1,VLOOKUP(Assumptions!$B$10,Mortality!$A$2:$F$104,6,FALSE)/VLOOKUP(C254,Mortality!$A$2:$F$104,6,FALSE))</x:f>
        <x:v>0.9745478954079534</x:v>
      </x:c>
      <x:c r="L254" s="37" t="n">
        <x:f>VLOOKUP(IF(B254="Pensioner",C254,Assumptions!$B$10),Mortality!$A$2:$E$104,5,FALSE)</x:f>
        <x:v>17.296790022132885</x:v>
      </x:c>
      <x:c r="M254" s="37" t="n">
        <x:f>1+Assumptions!$B$13*Assumptions!$B$14*Assumptions!$B$15</x:f>
        <x:v>1.31875</x:v>
      </x:c>
      <x:c r="N254" s="37" t="n">
        <x:f>IF(B254="Pensioner",1,1/(1+Assumptions!$B$6)^G254)</x:f>
        <x:v>0.30224383580131214</x:v>
      </x:c>
      <x:c r="O254" s="50" t="n">
        <x:f>J254*K254*L254*M254*N254</x:f>
        <x:v>8304222.043591875</x:v>
      </x:c>
    </x:row>
    <x:row r="255">
      <x:c r="A255" s="42" t="str">
        <x:f>Members!A255</x:f>
        <x:v>A0546</x:v>
      </x:c>
      <x:c r="B255" s="42" t="str">
        <x:f>Members!B255</x:f>
        <x:v>Active</x:v>
      </x:c>
      <x:c r="C255" s="42" t="n">
        <x:f>Members!C255</x:f>
        <x:v>43</x:v>
      </x:c>
      <x:c r="D255" s="44" t="n">
        <x:f>Members!D255</x:f>
        <x:v>18.3</x:v>
      </x:c>
      <x:c r="E255" s="48" t="n">
        <x:f>Members!E255</x:f>
        <x:v>1278000</x:v>
      </x:c>
      <x:c r="F255" s="48" t="n">
        <x:f>Members!F255</x:f>
        <x:v>0</x:v>
      </x:c>
      <x:c r="G255" s="46" t="n">
        <x:f>MAX(0,Assumptions!$B$10-C255)</x:f>
        <x:v>17</x:v>
      </x:c>
      <x:c r="H255" s="50" t="n">
        <x:f>IF(B255="Active",E255*(1+Assumptions!$B$7)^G255,E255)</x:f>
        <x:v>3175577.1448540776</x:v>
      </x:c>
      <x:c r="I255" s="50" t="n">
        <x:f>IF(B255="Active",MIN(Assumptions!$B$12,D255+G255),IF(B255="Deferred",MIN(Assumptions!$B$12,D255),D255))</x:f>
        <x:v>35.3</x:v>
      </x:c>
      <x:c r="J255" s="50" t="n">
        <x:f>IF(B255="Active",H255*I255*Assumptions!$B$11,IF(B255="Deferred",E255*I255*Assumptions!$B$11*(1+Assumptions!$B$9)^G255,F255))</x:f>
        <x:v>1868297.8868891487</x:v>
      </x:c>
      <x:c r="K255" s="37" t="n">
        <x:f>IF(B255="Pensioner",1,VLOOKUP(Assumptions!$B$10,Mortality!$A$2:$F$104,6,FALSE)/VLOOKUP(C255,Mortality!$A$2:$F$104,6,FALSE))</x:f>
        <x:v>0.975651758424938</x:v>
      </x:c>
      <x:c r="L255" s="37" t="n">
        <x:f>VLOOKUP(IF(B255="Pensioner",C255,Assumptions!$B$10),Mortality!$A$2:$E$104,5,FALSE)</x:f>
        <x:v>17.296790022132885</x:v>
      </x:c>
      <x:c r="M255" s="37" t="n">
        <x:f>1+Assumptions!$B$13*Assumptions!$B$14*Assumptions!$B$15</x:f>
        <x:v>1.31875</x:v>
      </x:c>
      <x:c r="N255" s="37" t="n">
        <x:f>IF(B255="Pensioner",1,1/(1+Assumptions!$B$6)^G255)</x:f>
        <x:v>0.34281251466174323</x:v>
      </x:c>
      <x:c r="O255" s="50" t="n">
        <x:f>J255*K255*L255*M255*N255</x:f>
        <x:v>14253634.163960086</x:v>
      </x:c>
    </x:row>
    <x:row r="256">
      <x:c r="A256" s="42" t="str">
        <x:f>Members!A256</x:f>
        <x:v>A0407</x:v>
      </x:c>
      <x:c r="B256" s="42" t="str">
        <x:f>Members!B256</x:f>
        <x:v>Active</x:v>
      </x:c>
      <x:c r="C256" s="42" t="n">
        <x:f>Members!C256</x:f>
        <x:v>52</x:v>
      </x:c>
      <x:c r="D256" s="44" t="n">
        <x:f>Members!D256</x:f>
        <x:v>9.4</x:v>
      </x:c>
      <x:c r="E256" s="48" t="n">
        <x:f>Members!E256</x:f>
        <x:v>1629000</x:v>
      </x:c>
      <x:c r="F256" s="48" t="n">
        <x:f>Members!F256</x:f>
        <x:v>0</x:v>
      </x:c>
      <x:c r="G256" s="46" t="n">
        <x:f>MAX(0,Assumptions!$B$10-C256)</x:f>
        <x:v>8</x:v>
      </x:c>
      <x:c r="H256" s="50" t="n">
        <x:f>IF(B256="Active",E256*(1+Assumptions!$B$7)^G256,E256)</x:f>
        <x:v>2500004.332928733</x:v>
      </x:c>
      <x:c r="I256" s="50" t="n">
        <x:f>IF(B256="Active",MIN(Assumptions!$B$12,D256+G256),IF(B256="Deferred",MIN(Assumptions!$B$12,D256),D256))</x:f>
        <x:v>17.4</x:v>
      </x:c>
      <x:c r="J256" s="50" t="n">
        <x:f>IF(B256="Active",H256*I256*Assumptions!$B$11,IF(B256="Deferred",E256*I256*Assumptions!$B$11*(1+Assumptions!$B$9)^G256,F256))</x:f>
        <x:v>725001.2565493325</x:v>
      </x:c>
      <x:c r="K256" s="37" t="n">
        <x:f>IF(B256="Pensioner",1,VLOOKUP(Assumptions!$B$10,Mortality!$A$2:$F$104,6,FALSE)/VLOOKUP(C256,Mortality!$A$2:$F$104,6,FALSE))</x:f>
        <x:v>0.9836527516879843</x:v>
      </x:c>
      <x:c r="L256" s="37" t="n">
        <x:f>VLOOKUP(IF(B256="Pensioner",C256,Assumptions!$B$10),Mortality!$A$2:$E$104,5,FALSE)</x:f>
        <x:v>17.296790022132885</x:v>
      </x:c>
      <x:c r="M256" s="37" t="n">
        <x:f>1+Assumptions!$B$13*Assumptions!$B$14*Assumptions!$B$15</x:f>
        <x:v>1.31875</x:v>
      </x:c>
      <x:c r="N256" s="37" t="n">
        <x:f>IF(B256="Pensioner",1,1/(1+Assumptions!$B$6)^G256)</x:f>
        <x:v>0.6042311876382719</x:v>
      </x:c>
      <x:c r="O256" s="50" t="n">
        <x:f>J256*K256*L256*M256*N256</x:f>
        <x:v>9829053.391325127</x:v>
      </x:c>
    </x:row>
    <x:row r="257">
      <x:c r="A257" s="42" t="str">
        <x:f>Members!A257</x:f>
        <x:v>A0287</x:v>
      </x:c>
      <x:c r="B257" s="42" t="str">
        <x:f>Members!B257</x:f>
        <x:v>Active</x:v>
      </x:c>
      <x:c r="C257" s="42" t="n">
        <x:f>Members!C257</x:f>
        <x:v>36</x:v>
      </x:c>
      <x:c r="D257" s="44" t="n">
        <x:f>Members!D257</x:f>
        <x:v>4</x:v>
      </x:c>
      <x:c r="E257" s="48" t="n">
        <x:f>Members!E257</x:f>
        <x:v>583000</x:v>
      </x:c>
      <x:c r="F257" s="48" t="n">
        <x:f>Members!F257</x:f>
        <x:v>0</x:v>
      </x:c>
      <x:c r="G257" s="46" t="n">
        <x:f>MAX(0,Assumptions!$B$10-C257)</x:f>
        <x:v>24</x:v>
      </x:c>
      <x:c r="H257" s="50" t="n">
        <x:f>IF(B257="Active",E257*(1+Assumptions!$B$7)^G257,E257)</x:f>
        <x:v>2107305.9139772486</x:v>
      </x:c>
      <x:c r="I257" s="50" t="n">
        <x:f>IF(B257="Active",MIN(Assumptions!$B$12,D257+G257),IF(B257="Deferred",MIN(Assumptions!$B$12,D257),D257))</x:f>
        <x:v>28</x:v>
      </x:c>
      <x:c r="J257" s="50" t="n">
        <x:f>IF(B257="Active",H257*I257*Assumptions!$B$11,IF(B257="Deferred",E257*I257*Assumptions!$B$11*(1+Assumptions!$B$9)^G257,F257))</x:f>
        <x:v>983409.426522716</x:v>
      </x:c>
      <x:c r="K257" s="37" t="n">
        <x:f>IF(B257="Pensioner",1,VLOOKUP(Assumptions!$B$10,Mortality!$A$2:$F$104,6,FALSE)/VLOOKUP(C257,Mortality!$A$2:$F$104,6,FALSE))</x:f>
        <x:v>0.9723450305541352</x:v>
      </x:c>
      <x:c r="L257" s="37" t="n">
        <x:f>VLOOKUP(IF(B257="Pensioner",C257,Assumptions!$B$10),Mortality!$A$2:$E$104,5,FALSE)</x:f>
        <x:v>17.296790022132885</x:v>
      </x:c>
      <x:c r="M257" s="37" t="n">
        <x:f>1+Assumptions!$B$13*Assumptions!$B$14*Assumptions!$B$15</x:f>
        <x:v>1.31875</x:v>
      </x:c>
      <x:c r="N257" s="37" t="n">
        <x:f>IF(B257="Pensioner",1,1/(1+Assumptions!$B$6)^G257)</x:f>
        <x:v>0.22060198370796386</x:v>
      </x:c>
      <x:c r="O257" s="50" t="n">
        <x:f>J257*K257*L257*M257*N257</x:f>
        <x:v>4811629.348235282</x:v>
      </x:c>
    </x:row>
    <x:row r="258">
      <x:c r="A258" s="42" t="str">
        <x:f>Members!A258</x:f>
        <x:v>A0330</x:v>
      </x:c>
      <x:c r="B258" s="42" t="str">
        <x:f>Members!B258</x:f>
        <x:v>Active</x:v>
      </x:c>
      <x:c r="C258" s="42" t="n">
        <x:f>Members!C258</x:f>
        <x:v>48</x:v>
      </x:c>
      <x:c r="D258" s="44" t="n">
        <x:f>Members!D258</x:f>
        <x:v>6.3</x:v>
      </x:c>
      <x:c r="E258" s="48" t="n">
        <x:f>Members!E258</x:f>
        <x:v>1371000</x:v>
      </x:c>
      <x:c r="F258" s="48" t="n">
        <x:f>Members!F258</x:f>
        <x:v>0</x:v>
      </x:c>
      <x:c r="G258" s="46" t="n">
        <x:f>MAX(0,Assumptions!$B$10-C258)</x:f>
        <x:v>12</x:v>
      </x:c>
      <x:c r="H258" s="50" t="n">
        <x:f>IF(B258="Active",E258*(1+Assumptions!$B$7)^G258,E258)</x:f>
        <x:v>2606555.4629755993</x:v>
      </x:c>
      <x:c r="I258" s="50" t="n">
        <x:f>IF(B258="Active",MIN(Assumptions!$B$12,D258+G258),IF(B258="Deferred",MIN(Assumptions!$B$12,D258),D258))</x:f>
        <x:v>18.3</x:v>
      </x:c>
      <x:c r="J258" s="50" t="n">
        <x:f>IF(B258="Active",H258*I258*Assumptions!$B$11,IF(B258="Deferred",E258*I258*Assumptions!$B$11*(1+Assumptions!$B$9)^G258,F258))</x:f>
        <x:v>794999.4162075578</x:v>
      </x:c>
      <x:c r="K258" s="37" t="n">
        <x:f>IF(B258="Pensioner",1,VLOOKUP(Assumptions!$B$10,Mortality!$A$2:$F$104,6,FALSE)/VLOOKUP(C258,Mortality!$A$2:$F$104,6,FALSE))</x:f>
        <x:v>0.9793037429736591</x:v>
      </x:c>
      <x:c r="L258" s="37" t="n">
        <x:f>VLOOKUP(IF(B258="Pensioner",C258,Assumptions!$B$10),Mortality!$A$2:$E$104,5,FALSE)</x:f>
        <x:v>17.296790022132885</x:v>
      </x:c>
      <x:c r="M258" s="37" t="n">
        <x:f>1+Assumptions!$B$13*Assumptions!$B$14*Assumptions!$B$15</x:f>
        <x:v>1.31875</x:v>
      </x:c>
      <x:c r="N258" s="37" t="n">
        <x:f>IF(B258="Pensioner",1,1/(1+Assumptions!$B$6)^G258)</x:f>
        <x:v>0.4696828543900276</x:v>
      </x:c>
      <x:c r="O258" s="50" t="n">
        <x:f>J258*K258*L258*M258*N258</x:f>
        <x:v>8340976.867521171</x:v>
      </x:c>
    </x:row>
    <x:row r="259">
      <x:c r="A259" s="42" t="str">
        <x:f>Members!A259</x:f>
        <x:v>P0158</x:v>
      </x:c>
      <x:c r="B259" s="42" t="str">
        <x:f>Members!B259</x:f>
        <x:v>Pensioner</x:v>
      </x:c>
      <x:c r="C259" s="42" t="n">
        <x:f>Members!C259</x:f>
        <x:v>61</x:v>
      </x:c>
      <x:c r="D259" s="44" t="n">
        <x:f>Members!D259</x:f>
        <x:v>28.6</x:v>
      </x:c>
      <x:c r="E259" s="48" t="n">
        <x:f>Members!E259</x:f>
        <x:v>0</x:v>
      </x:c>
      <x:c r="F259" s="48" t="n">
        <x:f>Members!F259</x:f>
        <x:v>274000</x:v>
      </x:c>
      <x:c r="G259" s="46" t="n">
        <x:f>MAX(0,Assumptions!$B$10-C259)</x:f>
        <x:v>0</x:v>
      </x:c>
      <x:c r="H259" s="50" t="n">
        <x:f>IF(B259="Active",E259*(1+Assumptions!$B$7)^G259,E259)</x:f>
        <x:v>0</x:v>
      </x:c>
      <x:c r="I259" s="50" t="n">
        <x:f>IF(B259="Active",MIN(Assumptions!$B$12,D259+G259),IF(B259="Deferred",MIN(Assumptions!$B$12,D259),D259))</x:f>
        <x:v>28.6</x:v>
      </x:c>
      <x:c r="J259" s="50" t="n">
        <x:f>IF(B259="Active",H259*I259*Assumptions!$B$11,IF(B259="Deferred",E259*I259*Assumptions!$B$11*(1+Assumptions!$B$9)^G259,F259))</x:f>
        <x:v>274000</x:v>
      </x:c>
      <x:c r="K259" s="37" t="n">
        <x:f>IF(B259="Pensioner",1,VLOOKUP(Assumptions!$B$10,Mortality!$A$2:$F$104,6,FALSE)/VLOOKUP(C259,Mortality!$A$2:$F$104,6,FALSE))</x:f>
        <x:v>1</x:v>
      </x:c>
      <x:c r="L259" s="37" t="n">
        <x:f>VLOOKUP(IF(B259="Pensioner",C259,Assumptions!$B$10),Mortality!$A$2:$E$104,5,FALSE)</x:f>
        <x:v>16.889485221588366</x:v>
      </x:c>
      <x:c r="M259" s="37" t="n">
        <x:f>1+Assumptions!$B$13*Assumptions!$B$14*Assumptions!$B$15</x:f>
        <x:v>1.31875</x:v>
      </x:c>
      <x:c r="N259" s="37" t="n">
        <x:f>IF(B259="Pensioner",1,1/(1+Assumptions!$B$6)^G259)</x:f>
        <x:v>1</x:v>
      </x:c>
      <x:c r="O259" s="50" t="n">
        <x:f>J259*K259*L259*M259*N259</x:f>
        <x:v>6102804.366255687</x:v>
      </x:c>
    </x:row>
    <x:row r="260">
      <x:c r="A260" s="42" t="str">
        <x:f>Members!A260</x:f>
        <x:v>A0537</x:v>
      </x:c>
      <x:c r="B260" s="42" t="str">
        <x:f>Members!B260</x:f>
        <x:v>Active</x:v>
      </x:c>
      <x:c r="C260" s="42" t="n">
        <x:f>Members!C260</x:f>
        <x:v>35</x:v>
      </x:c>
      <x:c r="D260" s="44" t="n">
        <x:f>Members!D260</x:f>
        <x:v>9.3</x:v>
      </x:c>
      <x:c r="E260" s="48" t="n">
        <x:f>Members!E260</x:f>
        <x:v>578000</x:v>
      </x:c>
      <x:c r="F260" s="48" t="n">
        <x:f>Members!F260</x:f>
        <x:v>0</x:v>
      </x:c>
      <x:c r="G260" s="46" t="n">
        <x:f>MAX(0,Assumptions!$B$10-C260)</x:f>
        <x:v>25</x:v>
      </x:c>
      <x:c r="H260" s="50" t="n">
        <x:f>IF(B260="Active",E260*(1+Assumptions!$B$7)^G260,E260)</x:f>
        <x:v>2204140.777502893</x:v>
      </x:c>
      <x:c r="I260" s="50" t="n">
        <x:f>IF(B260="Active",MIN(Assumptions!$B$12,D260+G260),IF(B260="Deferred",MIN(Assumptions!$B$12,D260),D260))</x:f>
        <x:v>34.3</x:v>
      </x:c>
      <x:c r="J260" s="50" t="n">
        <x:f>IF(B260="Active",H260*I260*Assumptions!$B$11,IF(B260="Deferred",E260*I260*Assumptions!$B$11*(1+Assumptions!$B$9)^G260,F260))</x:f>
        <x:v>1260033.8111391538</x:v>
      </x:c>
      <x:c r="K260" s="37" t="n">
        <x:f>IF(B260="Pensioner",1,VLOOKUP(Assumptions!$B$10,Mortality!$A$2:$F$104,6,FALSE)/VLOOKUP(C260,Mortality!$A$2:$F$104,6,FALSE))</x:f>
        <x:v>0.9719740765386753</x:v>
      </x:c>
      <x:c r="L260" s="37" t="n">
        <x:f>VLOOKUP(IF(B260="Pensioner",C260,Assumptions!$B$10),Mortality!$A$2:$E$104,5,FALSE)</x:f>
        <x:v>17.296790022132885</x:v>
      </x:c>
      <x:c r="M260" s="37" t="n">
        <x:f>1+Assumptions!$B$13*Assumptions!$B$14*Assumptions!$B$15</x:f>
        <x:v>1.31875</x:v>
      </x:c>
      <x:c r="N260" s="37" t="n">
        <x:f>IF(B260="Pensioner",1,1/(1+Assumptions!$B$6)^G260)</x:f>
        <x:v>0.20713801287132758</x:v>
      </x:c>
      <x:c r="O260" s="50" t="n">
        <x:f>J260*K260*L260*M260*N260</x:f>
        <x:v>5786616.11927298</x:v>
      </x:c>
    </x:row>
    <x:row r="261">
      <x:c r="A261" s="42" t="str">
        <x:f>Members!A261</x:f>
        <x:v>D0084</x:v>
      </x:c>
      <x:c r="B261" s="42" t="str">
        <x:f>Members!B261</x:f>
        <x:v>Deferred</x:v>
      </x:c>
      <x:c r="C261" s="42" t="n">
        <x:f>Members!C261</x:f>
        <x:v>55</x:v>
      </x:c>
      <x:c r="D261" s="44" t="n">
        <x:f>Members!D261</x:f>
        <x:v>4.8</x:v>
      </x:c>
      <x:c r="E261" s="48" t="n">
        <x:f>Members!E261</x:f>
        <x:v>1176000</x:v>
      </x:c>
      <x:c r="F261" s="48" t="n">
        <x:f>Members!F261</x:f>
        <x:v>0</x:v>
      </x:c>
      <x:c r="G261" s="46" t="n">
        <x:f>MAX(0,Assumptions!$B$10-C261)</x:f>
        <x:v>5</x:v>
      </x:c>
      <x:c r="H261" s="50" t="n">
        <x:f>IF(B261="Active",E261*(1+Assumptions!$B$7)^G261,E261)</x:f>
        <x:v>1176000</x:v>
      </x:c>
      <x:c r="I261" s="50" t="n">
        <x:f>IF(B261="Active",MIN(Assumptions!$B$12,D261+G261),IF(B261="Deferred",MIN(Assumptions!$B$12,D261),D261))</x:f>
        <x:v>4.8</x:v>
      </x:c>
      <x:c r="J261" s="50" t="n">
        <x:f>IF(B261="Active",H261*I261*Assumptions!$B$11,IF(B261="Deferred",E261*I261*Assumptions!$B$11*(1+Assumptions!$B$9)^G261,F261))</x:f>
        <x:v>114462.70505779203</x:v>
      </x:c>
      <x:c r="K261" s="37" t="n">
        <x:f>IF(B261="Pensioner",1,VLOOKUP(Assumptions!$B$10,Mortality!$A$2:$F$104,6,FALSE)/VLOOKUP(C261,Mortality!$A$2:$F$104,6,FALSE))</x:f>
        <x:v>0.9882419087499175</x:v>
      </x:c>
      <x:c r="L261" s="37" t="n">
        <x:f>VLOOKUP(IF(B261="Pensioner",C261,Assumptions!$B$10),Mortality!$A$2:$E$104,5,FALSE)</x:f>
        <x:v>17.296790022132885</x:v>
      </x:c>
      <x:c r="M261" s="37" t="n">
        <x:f>1+Assumptions!$B$13*Assumptions!$B$14*Assumptions!$B$15</x:f>
        <x:v>1.31875</x:v>
      </x:c>
      <x:c r="N261" s="37" t="n">
        <x:f>IF(B261="Pensioner",1,1/(1+Assumptions!$B$6)^G261)</x:f>
        <x:v>0.7298808365209549</x:v>
      </x:c>
      <x:c r="O261" s="50" t="n">
        <x:f>J261*K261*L261*M261*N261</x:f>
        <x:v>1883246.7189834588</x:v>
      </x:c>
    </x:row>
    <x:row r="262">
      <x:c r="A262" s="42" t="str">
        <x:f>Members!A262</x:f>
        <x:v>P0203</x:v>
      </x:c>
      <x:c r="B262" s="42" t="str">
        <x:f>Members!B262</x:f>
        <x:v>Pensioner</x:v>
      </x:c>
      <x:c r="C262" s="42" t="n">
        <x:f>Members!C262</x:f>
        <x:v>87</x:v>
      </x:c>
      <x:c r="D262" s="44" t="n">
        <x:f>Members!D262</x:f>
        <x:v>20.6</x:v>
      </x:c>
      <x:c r="E262" s="48" t="n">
        <x:f>Members!E262</x:f>
        <x:v>0</x:v>
      </x:c>
      <x:c r="F262" s="48" t="n">
        <x:f>Members!F262</x:f>
        <x:v>860000</x:v>
      </x:c>
      <x:c r="G262" s="46" t="n">
        <x:f>MAX(0,Assumptions!$B$10-C262)</x:f>
        <x:v>0</x:v>
      </x:c>
      <x:c r="H262" s="50" t="n">
        <x:f>IF(B262="Active",E262*(1+Assumptions!$B$7)^G262,E262)</x:f>
        <x:v>0</x:v>
      </x:c>
      <x:c r="I262" s="50" t="n">
        <x:f>IF(B262="Active",MIN(Assumptions!$B$12,D262+G262),IF(B262="Deferred",MIN(Assumptions!$B$12,D262),D262))</x:f>
        <x:v>20.6</x:v>
      </x:c>
      <x:c r="J262" s="50" t="n">
        <x:f>IF(B262="Active",H262*I262*Assumptions!$B$11,IF(B262="Deferred",E262*I262*Assumptions!$B$11*(1+Assumptions!$B$9)^G262,F262))</x:f>
        <x:v>860000</x:v>
      </x:c>
      <x:c r="K262" s="37" t="n">
        <x:f>IF(B262="Pensioner",1,VLOOKUP(Assumptions!$B$10,Mortality!$A$2:$F$104,6,FALSE)/VLOOKUP(C262,Mortality!$A$2:$F$104,6,FALSE))</x:f>
        <x:v>1</x:v>
      </x:c>
      <x:c r="L262" s="37" t="n">
        <x:f>VLOOKUP(IF(B262="Pensioner",C262,Assumptions!$B$10),Mortality!$A$2:$E$104,5,FALSE)</x:f>
        <x:v>5.427731360162463</x:v>
      </x:c>
      <x:c r="M262" s="37" t="n">
        <x:f>1+Assumptions!$B$13*Assumptions!$B$14*Assumptions!$B$15</x:f>
        <x:v>1.31875</x:v>
      </x:c>
      <x:c r="N262" s="37" t="n">
        <x:f>IF(B262="Pensioner",1,1/(1+Assumptions!$B$6)^G262)</x:f>
        <x:v>1</x:v>
      </x:c>
      <x:c r="O262" s="50" t="n">
        <x:f>J262*K262*L262*M262*N262</x:f>
        <x:v>6155725.828844254</x:v>
      </x:c>
    </x:row>
    <x:row r="263">
      <x:c r="A263" s="42" t="str">
        <x:f>Members!A263</x:f>
        <x:v>A0585</x:v>
      </x:c>
      <x:c r="B263" s="42" t="str">
        <x:f>Members!B263</x:f>
        <x:v>Active</x:v>
      </x:c>
      <x:c r="C263" s="42" t="n">
        <x:f>Members!C263</x:f>
        <x:v>52</x:v>
      </x:c>
      <x:c r="D263" s="44" t="n">
        <x:f>Members!D263</x:f>
        <x:v>24.5</x:v>
      </x:c>
      <x:c r="E263" s="48" t="n">
        <x:f>Members!E263</x:f>
        <x:v>1709000</x:v>
      </x:c>
      <x:c r="F263" s="48" t="n">
        <x:f>Members!F263</x:f>
        <x:v>0</x:v>
      </x:c>
      <x:c r="G263" s="46" t="n">
        <x:f>MAX(0,Assumptions!$B$10-C263)</x:f>
        <x:v>8</x:v>
      </x:c>
      <x:c r="H263" s="50" t="n">
        <x:f>IF(B263="Active",E263*(1+Assumptions!$B$7)^G263,E263)</x:f>
        <x:v>2622779.2541284254</x:v>
      </x:c>
      <x:c r="I263" s="50" t="n">
        <x:f>IF(B263="Active",MIN(Assumptions!$B$12,D263+G263),IF(B263="Deferred",MIN(Assumptions!$B$12,D263),D263))</x:f>
        <x:v>32.5</x:v>
      </x:c>
      <x:c r="J263" s="50" t="n">
        <x:f>IF(B263="Active",H263*I263*Assumptions!$B$11,IF(B263="Deferred",E263*I263*Assumptions!$B$11*(1+Assumptions!$B$9)^G263,F263))</x:f>
        <x:v>1420672.0959862303</x:v>
      </x:c>
      <x:c r="K263" s="37" t="n">
        <x:f>IF(B263="Pensioner",1,VLOOKUP(Assumptions!$B$10,Mortality!$A$2:$F$104,6,FALSE)/VLOOKUP(C263,Mortality!$A$2:$F$104,6,FALSE))</x:f>
        <x:v>0.9836527516879843</x:v>
      </x:c>
      <x:c r="L263" s="37" t="n">
        <x:f>VLOOKUP(IF(B263="Pensioner",C263,Assumptions!$B$10),Mortality!$A$2:$E$104,5,FALSE)</x:f>
        <x:v>17.296790022132885</x:v>
      </x:c>
      <x:c r="M263" s="37" t="n">
        <x:f>1+Assumptions!$B$13*Assumptions!$B$14*Assumptions!$B$15</x:f>
        <x:v>1.31875</x:v>
      </x:c>
      <x:c r="N263" s="37" t="n">
        <x:f>IF(B263="Pensioner",1,1/(1+Assumptions!$B$6)^G263)</x:f>
        <x:v>0.6042311876382719</x:v>
      </x:c>
      <x:c r="O263" s="50" t="n">
        <x:f>J263*K263*L263*M263*N263</x:f>
        <x:v>19260465.767295208</x:v>
      </x:c>
    </x:row>
    <x:row r="264">
      <x:c r="A264" s="42" t="str">
        <x:f>Members!A264</x:f>
        <x:v>D0039</x:v>
      </x:c>
      <x:c r="B264" s="42" t="str">
        <x:f>Members!B264</x:f>
        <x:v>Deferred</x:v>
      </x:c>
      <x:c r="C264" s="42" t="n">
        <x:f>Members!C264</x:f>
        <x:v>58</x:v>
      </x:c>
      <x:c r="D264" s="44" t="n">
        <x:f>Members!D264</x:f>
        <x:v>14.1</x:v>
      </x:c>
      <x:c r="E264" s="48" t="n">
        <x:f>Members!E264</x:f>
        <x:v>1243000</x:v>
      </x:c>
      <x:c r="F264" s="48" t="n">
        <x:f>Members!F264</x:f>
        <x:v>0</x:v>
      </x:c>
      <x:c r="G264" s="46" t="n">
        <x:f>MAX(0,Assumptions!$B$10-C264)</x:f>
        <x:v>2</x:v>
      </x:c>
      <x:c r="H264" s="50" t="n">
        <x:f>IF(B264="Active",E264*(1+Assumptions!$B$7)^G264,E264)</x:f>
        <x:v>1243000</x:v>
      </x:c>
      <x:c r="I264" s="50" t="n">
        <x:f>IF(B264="Active",MIN(Assumptions!$B$12,D264+G264),IF(B264="Deferred",MIN(Assumptions!$B$12,D264),D264))</x:f>
        <x:v>14.1</x:v>
      </x:c>
      <x:c r="J264" s="50" t="n">
        <x:f>IF(B264="Active",H264*I264*Assumptions!$B$11,IF(B264="Deferred",E264*I264*Assumptions!$B$11*(1+Assumptions!$B$9)^G264,F264))</x:f>
        <x:v>315940.76800000004</x:v>
      </x:c>
      <x:c r="K264" s="37" t="n">
        <x:f>IF(B264="Pensioner",1,VLOOKUP(Assumptions!$B$10,Mortality!$A$2:$F$104,6,FALSE)/VLOOKUP(C264,Mortality!$A$2:$F$104,6,FALSE))</x:f>
        <x:v>0.9945213044203837</x:v>
      </x:c>
      <x:c r="L264" s="37" t="n">
        <x:f>VLOOKUP(IF(B264="Pensioner",C264,Assumptions!$B$10),Mortality!$A$2:$E$104,5,FALSE)</x:f>
        <x:v>17.296790022132885</x:v>
      </x:c>
      <x:c r="M264" s="37" t="n">
        <x:f>1+Assumptions!$B$13*Assumptions!$B$14*Assumptions!$B$15</x:f>
        <x:v>1.31875</x:v>
      </x:c>
      <x:c r="N264" s="37" t="n">
        <x:f>IF(B264="Pensioner",1,1/(1+Assumptions!$B$6)^G264)</x:f>
        <x:v>0.8816592827701736</x:v>
      </x:c>
      <x:c r="O264" s="50" t="n">
        <x:f>J264*K264*L264*M264*N264</x:f>
        <x:v>6319002.552146475</x:v>
      </x:c>
    </x:row>
    <x:row r="265">
      <x:c r="A265" s="42" t="str">
        <x:f>Members!A265</x:f>
        <x:v>A0011</x:v>
      </x:c>
      <x:c r="B265" s="42" t="str">
        <x:f>Members!B265</x:f>
        <x:v>Active</x:v>
      </x:c>
      <x:c r="C265" s="42" t="n">
        <x:f>Members!C265</x:f>
        <x:v>34</x:v>
      </x:c>
      <x:c r="D265" s="44" t="n">
        <x:f>Members!D265</x:f>
        <x:v>11.5</x:v>
      </x:c>
      <x:c r="E265" s="48" t="n">
        <x:f>Members!E265</x:f>
        <x:v>869000</x:v>
      </x:c>
      <x:c r="F265" s="48" t="n">
        <x:f>Members!F265</x:f>
        <x:v>0</x:v>
      </x:c>
      <x:c r="G265" s="46" t="n">
        <x:f>MAX(0,Assumptions!$B$10-C265)</x:f>
        <x:v>26</x:v>
      </x:c>
      <x:c r="H265" s="50" t="n">
        <x:f>IF(B265="Active",E265*(1+Assumptions!$B$7)^G265,E265)</x:f>
        <x:v>3496099.0382539183</x:v>
      </x:c>
      <x:c r="I265" s="50" t="n">
        <x:f>IF(B265="Active",MIN(Assumptions!$B$12,D265+G265),IF(B265="Deferred",MIN(Assumptions!$B$12,D265),D265))</x:f>
        <x:v>37.5</x:v>
      </x:c>
      <x:c r="J265" s="50" t="n">
        <x:f>IF(B265="Active",H265*I265*Assumptions!$B$11,IF(B265="Deferred",E265*I265*Assumptions!$B$11*(1+Assumptions!$B$9)^G265,F265))</x:f>
        <x:v>2185061.898908699</x:v>
      </x:c>
      <x:c r="K265" s="37" t="n">
        <x:f>IF(B265="Pensioner",1,VLOOKUP(Assumptions!$B$10,Mortality!$A$2:$F$104,6,FALSE)/VLOOKUP(C265,Mortality!$A$2:$F$104,6,FALSE))</x:f>
        <x:v>0.9716205819233391</x:v>
      </x:c>
      <x:c r="L265" s="37" t="n">
        <x:f>VLOOKUP(IF(B265="Pensioner",C265,Assumptions!$B$10),Mortality!$A$2:$E$104,5,FALSE)</x:f>
        <x:v>17.296790022132885</x:v>
      </x:c>
      <x:c r="M265" s="37" t="n">
        <x:f>1+Assumptions!$B$13*Assumptions!$B$14*Assumptions!$B$15</x:f>
        <x:v>1.31875</x:v>
      </x:c>
      <x:c r="N265" s="37" t="n">
        <x:f>IF(B265="Pensioner",1,1/(1+Assumptions!$B$6)^G265)</x:f>
        <x:v>0.19449578673364096</x:v>
      </x:c>
      <x:c r="O265" s="50" t="n">
        <x:f>J265*K265*L265*M265*N265</x:f>
        <x:v>9418866.338396892</x:v>
      </x:c>
    </x:row>
    <x:row r="266">
      <x:c r="A266" s="42" t="str">
        <x:f>Members!A266</x:f>
        <x:v>A0481</x:v>
      </x:c>
      <x:c r="B266" s="42" t="str">
        <x:f>Members!B266</x:f>
        <x:v>Active</x:v>
      </x:c>
      <x:c r="C266" s="42" t="n">
        <x:f>Members!C266</x:f>
        <x:v>31</x:v>
      </x:c>
      <x:c r="D266" s="44" t="n">
        <x:f>Members!D266</x:f>
        <x:v>8.5</x:v>
      </x:c>
      <x:c r="E266" s="48" t="n">
        <x:f>Members!E266</x:f>
        <x:v>542000</x:v>
      </x:c>
      <x:c r="F266" s="48" t="n">
        <x:f>Members!F266</x:f>
        <x:v>0</x:v>
      </x:c>
      <x:c r="G266" s="46" t="n">
        <x:f>MAX(0,Assumptions!$B$10-C266)</x:f>
        <x:v>29</x:v>
      </x:c>
      <x:c r="H266" s="50" t="n">
        <x:f>IF(B266="Active",E266*(1+Assumptions!$B$7)^G266,E266)</x:f>
        <x:v>2560475.4486351875</x:v>
      </x:c>
      <x:c r="I266" s="50" t="n">
        <x:f>IF(B266="Active",MIN(Assumptions!$B$12,D266+G266),IF(B266="Deferred",MIN(Assumptions!$B$12,D266),D266))</x:f>
        <x:v>37.5</x:v>
      </x:c>
      <x:c r="J266" s="50" t="n">
        <x:f>IF(B266="Active",H266*I266*Assumptions!$B$11,IF(B266="Deferred",E266*I266*Assumptions!$B$11*(1+Assumptions!$B$9)^G266,F266))</x:f>
        <x:v>1600297.155396992</x:v>
      </x:c>
      <x:c r="K266" s="37" t="n">
        <x:f>IF(B266="Pensioner",1,VLOOKUP(Assumptions!$B$10,Mortality!$A$2:$F$104,6,FALSE)/VLOOKUP(C266,Mortality!$A$2:$F$104,6,FALSE))</x:f>
        <x:v>0.9706466107295209</x:v>
      </x:c>
      <x:c r="L266" s="37" t="n">
        <x:f>VLOOKUP(IF(B266="Pensioner",C266,Assumptions!$B$10),Mortality!$A$2:$E$104,5,FALSE)</x:f>
        <x:v>17.296790022132885</x:v>
      </x:c>
      <x:c r="M266" s="37" t="n">
        <x:f>1+Assumptions!$B$13*Assumptions!$B$14*Assumptions!$B$15</x:f>
        <x:v>1.31875</x:v>
      </x:c>
      <x:c r="N266" s="37" t="n">
        <x:f>IF(B266="Pensioner",1,1/(1+Assumptions!$B$6)^G266)</x:f>
        <x:v>0.16101316040695074</x:v>
      </x:c>
      <x:c r="O266" s="50" t="n">
        <x:f>J266*K266*L266*M266*N266</x:f>
        <x:v>5704940.721001038</x:v>
      </x:c>
    </x:row>
    <x:row r="267">
      <x:c r="A267" s="42" t="str">
        <x:f>Members!A267</x:f>
        <x:v>A0030</x:v>
      </x:c>
      <x:c r="B267" s="42" t="str">
        <x:f>Members!B267</x:f>
        <x:v>Active</x:v>
      </x:c>
      <x:c r="C267" s="42" t="n">
        <x:f>Members!C267</x:f>
        <x:v>29</x:v>
      </x:c>
      <x:c r="D267" s="44" t="n">
        <x:f>Members!D267</x:f>
        <x:v>1</x:v>
      </x:c>
      <x:c r="E267" s="48" t="n">
        <x:f>Members!E267</x:f>
        <x:v>526000</x:v>
      </x:c>
      <x:c r="F267" s="48" t="n">
        <x:f>Members!F267</x:f>
        <x:v>0</x:v>
      </x:c>
      <x:c r="G267" s="46" t="n">
        <x:f>MAX(0,Assumptions!$B$10-C267)</x:f>
        <x:v>31</x:v>
      </x:c>
      <x:c r="H267" s="50" t="n">
        <x:f>IF(B267="Active",E267*(1+Assumptions!$B$7)^G267,E267)</x:f>
        <x:v>2765744.0884690704</x:v>
      </x:c>
      <x:c r="I267" s="50" t="n">
        <x:f>IF(B267="Active",MIN(Assumptions!$B$12,D267+G267),IF(B267="Deferred",MIN(Assumptions!$B$12,D267),D267))</x:f>
        <x:v>32</x:v>
      </x:c>
      <x:c r="J267" s="50" t="n">
        <x:f>IF(B267="Active",H267*I267*Assumptions!$B$11,IF(B267="Deferred",E267*I267*Assumptions!$B$11*(1+Assumptions!$B$9)^G267,F267))</x:f>
        <x:v>1475063.513850171</x:v>
      </x:c>
      <x:c r="K267" s="37" t="n">
        <x:f>IF(B267="Pensioner",1,VLOOKUP(Assumptions!$B$10,Mortality!$A$2:$F$104,6,FALSE)/VLOOKUP(C267,Mortality!$A$2:$F$104,6,FALSE))</x:f>
        <x:v>0.9700544954739736</x:v>
      </x:c>
      <x:c r="L267" s="37" t="n">
        <x:f>VLOOKUP(IF(B267="Pensioner",C267,Assumptions!$B$10),Mortality!$A$2:$E$104,5,FALSE)</x:f>
        <x:v>17.296790022132885</x:v>
      </x:c>
      <x:c r="M267" s="37" t="n">
        <x:f>1+Assumptions!$B$13*Assumptions!$B$14*Assumptions!$B$15</x:f>
        <x:v>1.31875</x:v>
      </x:c>
      <x:c r="N267" s="37" t="n">
        <x:f>IF(B267="Pensioner",1,1/(1+Assumptions!$B$6)^G267)</x:f>
        <x:v>0.1419587475209511</x:v>
      </x:c>
      <x:c r="O267" s="50" t="n">
        <x:f>J267*K267*L267*M267*N267</x:f>
        <x:v>4633370.16915161</x:v>
      </x:c>
    </x:row>
    <x:row r="268">
      <x:c r="A268" s="42" t="str">
        <x:f>Members!A268</x:f>
        <x:v>P0063</x:v>
      </x:c>
      <x:c r="B268" s="42" t="str">
        <x:f>Members!B268</x:f>
        <x:v>Pensioner</x:v>
      </x:c>
      <x:c r="C268" s="42" t="n">
        <x:f>Members!C268</x:f>
        <x:v>74</x:v>
      </x:c>
      <x:c r="D268" s="44" t="n">
        <x:f>Members!D268</x:f>
        <x:v>19.4</x:v>
      </x:c>
      <x:c r="E268" s="48" t="n">
        <x:f>Members!E268</x:f>
        <x:v>0</x:v>
      </x:c>
      <x:c r="F268" s="48" t="n">
        <x:f>Members!F268</x:f>
        <x:v>471000</x:v>
      </x:c>
      <x:c r="G268" s="46" t="n">
        <x:f>MAX(0,Assumptions!$B$10-C268)</x:f>
        <x:v>0</x:v>
      </x:c>
      <x:c r="H268" s="50" t="n">
        <x:f>IF(B268="Active",E268*(1+Assumptions!$B$7)^G268,E268)</x:f>
        <x:v>0</x:v>
      </x:c>
      <x:c r="I268" s="50" t="n">
        <x:f>IF(B268="Active",MIN(Assumptions!$B$12,D268+G268),IF(B268="Deferred",MIN(Assumptions!$B$12,D268),D268))</x:f>
        <x:v>19.4</x:v>
      </x:c>
      <x:c r="J268" s="50" t="n">
        <x:f>IF(B268="Active",H268*I268*Assumptions!$B$11,IF(B268="Deferred",E268*I268*Assumptions!$B$11*(1+Assumptions!$B$9)^G268,F268))</x:f>
        <x:v>471000</x:v>
      </x:c>
      <x:c r="K268" s="37" t="n">
        <x:f>IF(B268="Pensioner",1,VLOOKUP(Assumptions!$B$10,Mortality!$A$2:$F$104,6,FALSE)/VLOOKUP(C268,Mortality!$A$2:$F$104,6,FALSE))</x:f>
        <x:v>1</x:v>
      </x:c>
      <x:c r="L268" s="37" t="n">
        <x:f>VLOOKUP(IF(B268="Pensioner",C268,Assumptions!$B$10),Mortality!$A$2:$E$104,5,FALSE)</x:f>
        <x:v>11.124346929912107</x:v>
      </x:c>
      <x:c r="M268" s="37" t="n">
        <x:f>1+Assumptions!$B$13*Assumptions!$B$14*Assumptions!$B$15</x:f>
        <x:v>1.31875</x:v>
      </x:c>
      <x:c r="N268" s="37" t="n">
        <x:f>IF(B268="Pensioner",1,1/(1+Assumptions!$B$6)^G268)</x:f>
        <x:v>1</x:v>
      </x:c>
      <x:c r="O268" s="50" t="n">
        <x:f>J268*K268*L268*M268*N268</x:f>
        <x:v>6909679.51400997</x:v>
      </x:c>
    </x:row>
    <x:row r="269">
      <x:c r="A269" s="42" t="str">
        <x:f>Members!A269</x:f>
        <x:v>A0443</x:v>
      </x:c>
      <x:c r="B269" s="42" t="str">
        <x:f>Members!B269</x:f>
        <x:v>Active</x:v>
      </x:c>
      <x:c r="C269" s="42" t="n">
        <x:f>Members!C269</x:f>
        <x:v>23</x:v>
      </x:c>
      <x:c r="D269" s="44" t="n">
        <x:f>Members!D269</x:f>
        <x:v>1</x:v>
      </x:c>
      <x:c r="E269" s="48" t="n">
        <x:f>Members!E269</x:f>
        <x:v>540000</x:v>
      </x:c>
      <x:c r="F269" s="48" t="n">
        <x:f>Members!F269</x:f>
        <x:v>0</x:v>
      </x:c>
      <x:c r="G269" s="46" t="n">
        <x:f>MAX(0,Assumptions!$B$10-C269)</x:f>
        <x:v>37</x:v>
      </x:c>
      <x:c r="H269" s="50" t="n">
        <x:f>IF(B269="Active",E269*(1+Assumptions!$B$7)^G269,E269)</x:f>
        <x:v>3915027.0428404785</x:v>
      </x:c>
      <x:c r="I269" s="50" t="n">
        <x:f>IF(B269="Active",MIN(Assumptions!$B$12,D269+G269),IF(B269="Deferred",MIN(Assumptions!$B$12,D269),D269))</x:f>
        <x:v>38</x:v>
      </x:c>
      <x:c r="J269" s="50" t="n">
        <x:f>IF(B269="Active",H269*I269*Assumptions!$B$11,IF(B269="Deferred",E269*I269*Assumptions!$B$11*(1+Assumptions!$B$9)^G269,F269))</x:f>
        <x:v>2479517.127132303</x:v>
      </x:c>
      <x:c r="K269" s="37" t="n">
        <x:f>IF(B269="Pensioner",1,VLOOKUP(Assumptions!$B$10,Mortality!$A$2:$F$104,6,FALSE)/VLOOKUP(C269,Mortality!$A$2:$F$104,6,FALSE))</x:f>
        <x:v>0.9684592752197081</x:v>
      </x:c>
      <x:c r="L269" s="37" t="n">
        <x:f>VLOOKUP(IF(B269="Pensioner",C269,Assumptions!$B$10),Mortality!$A$2:$E$104,5,FALSE)</x:f>
        <x:v>17.296790022132885</x:v>
      </x:c>
      <x:c r="M269" s="37" t="n">
        <x:f>1+Assumptions!$B$13*Assumptions!$B$14*Assumptions!$B$15</x:f>
        <x:v>1.31875</x:v>
      </x:c>
      <x:c r="N269" s="37" t="n">
        <x:f>IF(B269="Pensioner",1,1/(1+Assumptions!$B$6)^G269)</x:f>
        <x:v>0.09728917313808341</x:v>
      </x:c>
      <x:c r="O269" s="50" t="n">
        <x:f>J269*K269*L269*M269*N269</x:f>
        <x:v>5328941.75676924</x:v>
      </x:c>
    </x:row>
    <x:row r="270">
      <x:c r="A270" s="42" t="str">
        <x:f>Members!A270</x:f>
        <x:v>A0497</x:v>
      </x:c>
      <x:c r="B270" s="42" t="str">
        <x:f>Members!B270</x:f>
        <x:v>Active</x:v>
      </x:c>
      <x:c r="C270" s="42" t="n">
        <x:f>Members!C270</x:f>
        <x:v>49</x:v>
      </x:c>
      <x:c r="D270" s="44" t="n">
        <x:f>Members!D270</x:f>
        <x:v>14.2</x:v>
      </x:c>
      <x:c r="E270" s="48" t="n">
        <x:f>Members!E270</x:f>
        <x:v>1034000</x:v>
      </x:c>
      <x:c r="F270" s="48" t="n">
        <x:f>Members!F270</x:f>
        <x:v>0</x:v>
      </x:c>
      <x:c r="G270" s="46" t="n">
        <x:f>MAX(0,Assumptions!$B$10-C270)</x:f>
        <x:v>11</x:v>
      </x:c>
      <x:c r="H270" s="50" t="n">
        <x:f>IF(B270="Active",E270*(1+Assumptions!$B$7)^G270,E270)</x:f>
        <x:v>1863363.5452841837</x:v>
      </x:c>
      <x:c r="I270" s="50" t="n">
        <x:f>IF(B270="Active",MIN(Assumptions!$B$12,D270+G270),IF(B270="Deferred",MIN(Assumptions!$B$12,D270),D270))</x:f>
        <x:v>25.2</x:v>
      </x:c>
      <x:c r="J270" s="50" t="n">
        <x:f>IF(B270="Active",H270*I270*Assumptions!$B$11,IF(B270="Deferred",E270*I270*Assumptions!$B$11*(1+Assumptions!$B$9)^G270,F270))</x:f>
        <x:v>782612.6890193572</x:v>
      </x:c>
      <x:c r="K270" s="37" t="n">
        <x:f>IF(B270="Pensioner",1,VLOOKUP(Assumptions!$B$10,Mortality!$A$2:$F$104,6,FALSE)/VLOOKUP(C270,Mortality!$A$2:$F$104,6,FALSE))</x:f>
        <x:v>0.9802429662359576</x:v>
      </x:c>
      <x:c r="L270" s="37" t="n">
        <x:f>VLOOKUP(IF(B270="Pensioner",C270,Assumptions!$B$10),Mortality!$A$2:$E$104,5,FALSE)</x:f>
        <x:v>17.296790022132885</x:v>
      </x:c>
      <x:c r="M270" s="37" t="n">
        <x:f>1+Assumptions!$B$13*Assumptions!$B$14*Assumptions!$B$15</x:f>
        <x:v>1.31875</x:v>
      </x:c>
      <x:c r="N270" s="37" t="n">
        <x:f>IF(B270="Pensioner",1,1/(1+Assumptions!$B$6)^G270)</x:f>
        <x:v>0.5002122399253793</x:v>
      </x:c>
      <x:c r="O270" s="50" t="n">
        <x:f>J270*K270*L270*M270*N270</x:f>
        <x:v>8753120.760943782</x:v>
      </x:c>
    </x:row>
    <x:row r="271">
      <x:c r="A271" s="42" t="str">
        <x:f>Members!A271</x:f>
        <x:v>A0128</x:v>
      </x:c>
      <x:c r="B271" s="42" t="str">
        <x:f>Members!B271</x:f>
        <x:v>Active</x:v>
      </x:c>
      <x:c r="C271" s="42" t="n">
        <x:f>Members!C271</x:f>
        <x:v>55</x:v>
      </x:c>
      <x:c r="D271" s="44" t="n">
        <x:f>Members!D271</x:f>
        <x:v>17.2</x:v>
      </x:c>
      <x:c r="E271" s="48" t="n">
        <x:f>Members!E271</x:f>
        <x:v>2189000</x:v>
      </x:c>
      <x:c r="F271" s="48" t="n">
        <x:f>Members!F271</x:f>
        <x:v>0</x:v>
      </x:c>
      <x:c r="G271" s="46" t="n">
        <x:f>MAX(0,Assumptions!$B$10-C271)</x:f>
        <x:v>5</x:v>
      </x:c>
      <x:c r="H271" s="50" t="n">
        <x:f>IF(B271="Active",E271*(1+Assumptions!$B$7)^G271,E271)</x:f>
        <x:v>2860935.454030121</x:v>
      </x:c>
      <x:c r="I271" s="50" t="n">
        <x:f>IF(B271="Active",MIN(Assumptions!$B$12,D271+G271),IF(B271="Deferred",MIN(Assumptions!$B$12,D271),D271))</x:f>
        <x:v>22.2</x:v>
      </x:c>
      <x:c r="J271" s="50" t="n">
        <x:f>IF(B271="Active",H271*I271*Assumptions!$B$11,IF(B271="Deferred",E271*I271*Assumptions!$B$11*(1+Assumptions!$B$9)^G271,F271))</x:f>
        <x:v>1058546.1179911448</x:v>
      </x:c>
      <x:c r="K271" s="37" t="n">
        <x:f>IF(B271="Pensioner",1,VLOOKUP(Assumptions!$B$10,Mortality!$A$2:$F$104,6,FALSE)/VLOOKUP(C271,Mortality!$A$2:$F$104,6,FALSE))</x:f>
        <x:v>0.9882419087499175</x:v>
      </x:c>
      <x:c r="L271" s="37" t="n">
        <x:f>VLOOKUP(IF(B271="Pensioner",C271,Assumptions!$B$10),Mortality!$A$2:$E$104,5,FALSE)</x:f>
        <x:v>17.296790022132885</x:v>
      </x:c>
      <x:c r="M271" s="37" t="n">
        <x:f>1+Assumptions!$B$13*Assumptions!$B$14*Assumptions!$B$15</x:f>
        <x:v>1.31875</x:v>
      </x:c>
      <x:c r="N271" s="37" t="n">
        <x:f>IF(B271="Pensioner",1,1/(1+Assumptions!$B$6)^G271)</x:f>
        <x:v>0.7298808365209549</x:v>
      </x:c>
      <x:c r="O271" s="50" t="n">
        <x:f>J271*K271*L271*M271*N271</x:f>
        <x:v>17416183.748173557</x:v>
      </x:c>
    </x:row>
    <x:row r="272">
      <x:c r="A272" s="42" t="str">
        <x:f>Members!A272</x:f>
        <x:v>P0105</x:v>
      </x:c>
      <x:c r="B272" s="42" t="str">
        <x:f>Members!B272</x:f>
        <x:v>Pensioner</x:v>
      </x:c>
      <x:c r="C272" s="42" t="n">
        <x:f>Members!C272</x:f>
        <x:v>65</x:v>
      </x:c>
      <x:c r="D272" s="44" t="n">
        <x:f>Members!D272</x:f>
        <x:v>22.2</x:v>
      </x:c>
      <x:c r="E272" s="48" t="n">
        <x:f>Members!E272</x:f>
        <x:v>0</x:v>
      </x:c>
      <x:c r="F272" s="48" t="n">
        <x:f>Members!F272</x:f>
        <x:v>314000</x:v>
      </x:c>
      <x:c r="G272" s="46" t="n">
        <x:f>MAX(0,Assumptions!$B$10-C272)</x:f>
        <x:v>0</x:v>
      </x:c>
      <x:c r="H272" s="50" t="n">
        <x:f>IF(B272="Active",E272*(1+Assumptions!$B$7)^G272,E272)</x:f>
        <x:v>0</x:v>
      </x:c>
      <x:c r="I272" s="50" t="n">
        <x:f>IF(B272="Active",MIN(Assumptions!$B$12,D272+G272),IF(B272="Deferred",MIN(Assumptions!$B$12,D272),D272))</x:f>
        <x:v>22.2</x:v>
      </x:c>
      <x:c r="J272" s="50" t="n">
        <x:f>IF(B272="Active",H272*I272*Assumptions!$B$11,IF(B272="Deferred",E272*I272*Assumptions!$B$11*(1+Assumptions!$B$9)^G272,F272))</x:f>
        <x:v>314000</x:v>
      </x:c>
      <x:c r="K272" s="37" t="n">
        <x:f>IF(B272="Pensioner",1,VLOOKUP(Assumptions!$B$10,Mortality!$A$2:$F$104,6,FALSE)/VLOOKUP(C272,Mortality!$A$2:$F$104,6,FALSE))</x:f>
        <x:v>1</x:v>
      </x:c>
      <x:c r="L272" s="37" t="n">
        <x:f>VLOOKUP(IF(B272="Pensioner",C272,Assumptions!$B$10),Mortality!$A$2:$E$104,5,FALSE)</x:f>
        <x:v>15.196570962158528</x:v>
      </x:c>
      <x:c r="M272" s="37" t="n">
        <x:f>1+Assumptions!$B$13*Assumptions!$B$14*Assumptions!$B$15</x:f>
        <x:v>1.31875</x:v>
      </x:c>
      <x:c r="N272" s="37" t="n">
        <x:f>IF(B272="Pensioner",1,1/(1+Assumptions!$B$6)^G272)</x:f>
        <x:v>1</x:v>
      </x:c>
      <x:c r="O272" s="50" t="n">
        <x:f>J272*K272*L272*M272*N272</x:f>
        <x:v>6292710.07829282</x:v>
      </x:c>
    </x:row>
    <x:row r="273">
      <x:c r="A273" s="42" t="str">
        <x:f>Members!A273</x:f>
        <x:v>D0041</x:v>
      </x:c>
      <x:c r="B273" s="42" t="str">
        <x:f>Members!B273</x:f>
        <x:v>Deferred</x:v>
      </x:c>
      <x:c r="C273" s="42" t="n">
        <x:f>Members!C273</x:f>
        <x:v>42</x:v>
      </x:c>
      <x:c r="D273" s="44" t="n">
        <x:f>Members!D273</x:f>
        <x:v>4.9</x:v>
      </x:c>
      <x:c r="E273" s="48" t="n">
        <x:f>Members!E273</x:f>
        <x:v>762000</x:v>
      </x:c>
      <x:c r="F273" s="48" t="n">
        <x:f>Members!F273</x:f>
        <x:v>0</x:v>
      </x:c>
      <x:c r="G273" s="46" t="n">
        <x:f>MAX(0,Assumptions!$B$10-C273)</x:f>
        <x:v>18</x:v>
      </x:c>
      <x:c r="H273" s="50" t="n">
        <x:f>IF(B273="Active",E273*(1+Assumptions!$B$7)^G273,E273)</x:f>
        <x:v>762000</x:v>
      </x:c>
      <x:c r="I273" s="50" t="n">
        <x:f>IF(B273="Active",MIN(Assumptions!$B$12,D273+G273),IF(B273="Deferred",MIN(Assumptions!$B$12,D273),D273))</x:f>
        <x:v>4.9</x:v>
      </x:c>
      <x:c r="J273" s="50" t="n">
        <x:f>IF(B273="Active",H273*I273*Assumptions!$B$11,IF(B273="Deferred",E273*I273*Assumptions!$B$11*(1+Assumptions!$B$9)^G273,F273))</x:f>
        <x:v>126066.56175200612</x:v>
      </x:c>
      <x:c r="K273" s="37" t="n">
        <x:f>IF(B273="Pensioner",1,VLOOKUP(Assumptions!$B$10,Mortality!$A$2:$F$104,6,FALSE)/VLOOKUP(C273,Mortality!$A$2:$F$104,6,FALSE))</x:f>
        <x:v>0.9750799707838386</x:v>
      </x:c>
      <x:c r="L273" s="37" t="n">
        <x:f>VLOOKUP(IF(B273="Pensioner",C273,Assumptions!$B$10),Mortality!$A$2:$E$104,5,FALSE)</x:f>
        <x:v>17.296790022132885</x:v>
      </x:c>
      <x:c r="M273" s="37" t="n">
        <x:f>1+Assumptions!$B$13*Assumptions!$B$14*Assumptions!$B$15</x:f>
        <x:v>1.31875</x:v>
      </x:c>
      <x:c r="N273" s="37" t="n">
        <x:f>IF(B273="Pensioner",1,1/(1+Assumptions!$B$6)^G273)</x:f>
        <x:v>0.3218896851283974</x:v>
      </x:c>
      <x:c r="O273" s="50" t="n">
        <x:f>J273*K273*L273*M273*N273</x:f>
        <x:v>902558.1453211515</x:v>
      </x:c>
    </x:row>
    <x:row r="274">
      <x:c r="A274" s="42" t="str">
        <x:f>Members!A274</x:f>
        <x:v>P0075</x:v>
      </x:c>
      <x:c r="B274" s="42" t="str">
        <x:f>Members!B274</x:f>
        <x:v>Pensioner</x:v>
      </x:c>
      <x:c r="C274" s="42" t="n">
        <x:f>Members!C274</x:f>
        <x:v>61</x:v>
      </x:c>
      <x:c r="D274" s="44" t="n">
        <x:f>Members!D274</x:f>
        <x:v>28.5</x:v>
      </x:c>
      <x:c r="E274" s="48" t="n">
        <x:f>Members!E274</x:f>
        <x:v>0</x:v>
      </x:c>
      <x:c r="F274" s="48" t="n">
        <x:f>Members!F274</x:f>
        <x:v>165000</x:v>
      </x:c>
      <x:c r="G274" s="46" t="n">
        <x:f>MAX(0,Assumptions!$B$10-C274)</x:f>
        <x:v>0</x:v>
      </x:c>
      <x:c r="H274" s="50" t="n">
        <x:f>IF(B274="Active",E274*(1+Assumptions!$B$7)^G274,E274)</x:f>
        <x:v>0</x:v>
      </x:c>
      <x:c r="I274" s="50" t="n">
        <x:f>IF(B274="Active",MIN(Assumptions!$B$12,D274+G274),IF(B274="Deferred",MIN(Assumptions!$B$12,D274),D274))</x:f>
        <x:v>28.5</x:v>
      </x:c>
      <x:c r="J274" s="50" t="n">
        <x:f>IF(B274="Active",H274*I274*Assumptions!$B$11,IF(B274="Deferred",E274*I274*Assumptions!$B$11*(1+Assumptions!$B$9)^G274,F274))</x:f>
        <x:v>165000</x:v>
      </x:c>
      <x:c r="K274" s="37" t="n">
        <x:f>IF(B274="Pensioner",1,VLOOKUP(Assumptions!$B$10,Mortality!$A$2:$F$104,6,FALSE)/VLOOKUP(C274,Mortality!$A$2:$F$104,6,FALSE))</x:f>
        <x:v>1</x:v>
      </x:c>
      <x:c r="L274" s="37" t="n">
        <x:f>VLOOKUP(IF(B274="Pensioner",C274,Assumptions!$B$10),Mortality!$A$2:$E$104,5,FALSE)</x:f>
        <x:v>16.889485221588366</x:v>
      </x:c>
      <x:c r="M274" s="37" t="n">
        <x:f>1+Assumptions!$B$13*Assumptions!$B$14*Assumptions!$B$15</x:f>
        <x:v>1.31875</x:v>
      </x:c>
      <x:c r="N274" s="37" t="n">
        <x:f>IF(B274="Pensioner",1,1/(1+Assumptions!$B$6)^G274)</x:f>
        <x:v>1</x:v>
      </x:c>
      <x:c r="O274" s="50" t="n">
        <x:f>J274*K274*L274*M274*N274</x:f>
        <x:v>3675046.424934994</x:v>
      </x:c>
    </x:row>
    <x:row r="275">
      <x:c r="A275" s="42" t="str">
        <x:f>Members!A275</x:f>
        <x:v>P0104</x:v>
      </x:c>
      <x:c r="B275" s="42" t="str">
        <x:f>Members!B275</x:f>
        <x:v>Pensioner</x:v>
      </x:c>
      <x:c r="C275" s="42" t="n">
        <x:f>Members!C275</x:f>
        <x:v>67</x:v>
      </x:c>
      <x:c r="D275" s="44" t="n">
        <x:f>Members!D275</x:f>
        <x:v>33.6</x:v>
      </x:c>
      <x:c r="E275" s="48" t="n">
        <x:f>Members!E275</x:f>
        <x:v>0</x:v>
      </x:c>
      <x:c r="F275" s="48" t="n">
        <x:f>Members!F275</x:f>
        <x:v>298000</x:v>
      </x:c>
      <x:c r="G275" s="46" t="n">
        <x:f>MAX(0,Assumptions!$B$10-C275)</x:f>
        <x:v>0</x:v>
      </x:c>
      <x:c r="H275" s="50" t="n">
        <x:f>IF(B275="Active",E275*(1+Assumptions!$B$7)^G275,E275)</x:f>
        <x:v>0</x:v>
      </x:c>
      <x:c r="I275" s="50" t="n">
        <x:f>IF(B275="Active",MIN(Assumptions!$B$12,D275+G275),IF(B275="Deferred",MIN(Assumptions!$B$12,D275),D275))</x:f>
        <x:v>33.6</x:v>
      </x:c>
      <x:c r="J275" s="50" t="n">
        <x:f>IF(B275="Active",H275*I275*Assumptions!$B$11,IF(B275="Deferred",E275*I275*Assumptions!$B$11*(1+Assumptions!$B$9)^G275,F275))</x:f>
        <x:v>298000</x:v>
      </x:c>
      <x:c r="K275" s="37" t="n">
        <x:f>IF(B275="Pensioner",1,VLOOKUP(Assumptions!$B$10,Mortality!$A$2:$F$104,6,FALSE)/VLOOKUP(C275,Mortality!$A$2:$F$104,6,FALSE))</x:f>
        <x:v>1</x:v>
      </x:c>
      <x:c r="L275" s="37" t="n">
        <x:f>VLOOKUP(IF(B275="Pensioner",C275,Assumptions!$B$10),Mortality!$A$2:$E$104,5,FALSE)</x:f>
        <x:v>14.316480461373482</x:v>
      </x:c>
      <x:c r="M275" s="37" t="n">
        <x:f>1+Assumptions!$B$13*Assumptions!$B$14*Assumptions!$B$15</x:f>
        <x:v>1.31875</x:v>
      </x:c>
      <x:c r="N275" s="37" t="n">
        <x:f>IF(B275="Pensioner",1,1/(1+Assumptions!$B$6)^G275)</x:f>
        <x:v>1</x:v>
      </x:c>
      <x:c r="O275" s="50" t="n">
        <x:f>J275*K275*L275*M275*N275</x:f>
        <x:v>5626197.865314011</x:v>
      </x:c>
    </x:row>
    <x:row r="276">
      <x:c r="A276" s="42" t="str">
        <x:f>Members!A276</x:f>
        <x:v>A0336</x:v>
      </x:c>
      <x:c r="B276" s="42" t="str">
        <x:f>Members!B276</x:f>
        <x:v>Active</x:v>
      </x:c>
      <x:c r="C276" s="42" t="n">
        <x:f>Members!C276</x:f>
        <x:v>24</x:v>
      </x:c>
      <x:c r="D276" s="44" t="n">
        <x:f>Members!D276</x:f>
        <x:v>1.6</x:v>
      </x:c>
      <x:c r="E276" s="48" t="n">
        <x:f>Members!E276</x:f>
        <x:v>463000</x:v>
      </x:c>
      <x:c r="F276" s="48" t="n">
        <x:f>Members!F276</x:f>
        <x:v>0</x:v>
      </x:c>
      <x:c r="G276" s="46" t="n">
        <x:f>MAX(0,Assumptions!$B$10-C276)</x:f>
        <x:v>36</x:v>
      </x:c>
      <x:c r="H276" s="50" t="n">
        <x:f>IF(B276="Active",E276*(1+Assumptions!$B$7)^G276,E276)</x:f>
        <x:v>3181775.5324471504</x:v>
      </x:c>
      <x:c r="I276" s="50" t="n">
        <x:f>IF(B276="Active",MIN(Assumptions!$B$12,D276+G276),IF(B276="Deferred",MIN(Assumptions!$B$12,D276),D276))</x:f>
        <x:v>37.6</x:v>
      </x:c>
      <x:c r="J276" s="50" t="n">
        <x:f>IF(B276="Active",H276*I276*Assumptions!$B$11,IF(B276="Deferred",E276*I276*Assumptions!$B$11*(1+Assumptions!$B$9)^G276,F276))</x:f>
        <x:v>1993912.6670002143</x:v>
      </x:c>
      <x:c r="K276" s="37" t="n">
        <x:f>IF(B276="Pensioner",1,VLOOKUP(Assumptions!$B$10,Mortality!$A$2:$F$104,6,FALSE)/VLOOKUP(C276,Mortality!$A$2:$F$104,6,FALSE))</x:f>
        <x:v>0.9687108670060764</x:v>
      </x:c>
      <x:c r="L276" s="37" t="n">
        <x:f>VLOOKUP(IF(B276="Pensioner",C276,Assumptions!$B$10),Mortality!$A$2:$E$104,5,FALSE)</x:f>
        <x:v>17.296790022132885</x:v>
      </x:c>
      <x:c r="M276" s="37" t="n">
        <x:f>1+Assumptions!$B$13*Assumptions!$B$14*Assumptions!$B$15</x:f>
        <x:v>1.31875</x:v>
      </x:c>
      <x:c r="N276" s="37" t="n">
        <x:f>IF(B276="Pensioner",1,1/(1+Assumptions!$B$6)^G276)</x:f>
        <x:v>0.10361296939205883</x:v>
      </x:c>
      <x:c r="O276" s="50" t="n">
        <x:f>J276*K276*L276*M276*N276</x:f>
        <x:v>4565017.114341222</x:v>
      </x:c>
    </x:row>
    <x:row r="277">
      <x:c r="A277" s="42" t="str">
        <x:f>Members!A277</x:f>
        <x:v>A0385</x:v>
      </x:c>
      <x:c r="B277" s="42" t="str">
        <x:f>Members!B277</x:f>
        <x:v>Active</x:v>
      </x:c>
      <x:c r="C277" s="42" t="n">
        <x:f>Members!C277</x:f>
        <x:v>24</x:v>
      </x:c>
      <x:c r="D277" s="44" t="n">
        <x:f>Members!D277</x:f>
        <x:v>1</x:v>
      </x:c>
      <x:c r="E277" s="48" t="n">
        <x:f>Members!E277</x:f>
        <x:v>549000</x:v>
      </x:c>
      <x:c r="F277" s="48" t="n">
        <x:f>Members!F277</x:f>
        <x:v>0</x:v>
      </x:c>
      <x:c r="G277" s="46" t="n">
        <x:f>MAX(0,Assumptions!$B$10-C277)</x:f>
        <x:v>36</x:v>
      </x:c>
      <x:c r="H277" s="50" t="n">
        <x:f>IF(B277="Active",E277*(1+Assumptions!$B$7)^G277,E277)</x:f>
        <x:v>3772774.875407096</x:v>
      </x:c>
      <x:c r="I277" s="50" t="n">
        <x:f>IF(B277="Active",MIN(Assumptions!$B$12,D277+G277),IF(B277="Deferred",MIN(Assumptions!$B$12,D277),D277))</x:f>
        <x:v>37</x:v>
      </x:c>
      <x:c r="J277" s="50" t="n">
        <x:f>IF(B277="Active",H277*I277*Assumptions!$B$11,IF(B277="Deferred",E277*I277*Assumptions!$B$11*(1+Assumptions!$B$9)^G277,F277))</x:f>
        <x:v>2326544.5065010423</x:v>
      </x:c>
      <x:c r="K277" s="37" t="n">
        <x:f>IF(B277="Pensioner",1,VLOOKUP(Assumptions!$B$10,Mortality!$A$2:$F$104,6,FALSE)/VLOOKUP(C277,Mortality!$A$2:$F$104,6,FALSE))</x:f>
        <x:v>0.9687108670060764</x:v>
      </x:c>
      <x:c r="L277" s="37" t="n">
        <x:f>VLOOKUP(IF(B277="Pensioner",C277,Assumptions!$B$10),Mortality!$A$2:$E$104,5,FALSE)</x:f>
        <x:v>17.296790022132885</x:v>
      </x:c>
      <x:c r="M277" s="37" t="n">
        <x:f>1+Assumptions!$B$13*Assumptions!$B$14*Assumptions!$B$15</x:f>
        <x:v>1.31875</x:v>
      </x:c>
      <x:c r="N277" s="37" t="n">
        <x:f>IF(B277="Pensioner",1,1/(1+Assumptions!$B$6)^G277)</x:f>
        <x:v>0.10361296939205883</x:v>
      </x:c>
      <x:c r="O277" s="50" t="n">
        <x:f>J277*K277*L277*M277*N277</x:f>
        <x:v>5326570.047539935</x:v>
      </x:c>
    </x:row>
    <x:row r="278">
      <x:c r="A278" s="42" t="str">
        <x:f>Members!A278</x:f>
        <x:v>A0435</x:v>
      </x:c>
      <x:c r="B278" s="42" t="str">
        <x:f>Members!B278</x:f>
        <x:v>Active</x:v>
      </x:c>
      <x:c r="C278" s="42" t="n">
        <x:f>Members!C278</x:f>
        <x:v>22</x:v>
      </x:c>
      <x:c r="D278" s="44" t="n">
        <x:f>Members!D278</x:f>
        <x:v>1</x:v>
      </x:c>
      <x:c r="E278" s="48" t="n">
        <x:f>Members!E278</x:f>
        <x:v>388000</x:v>
      </x:c>
      <x:c r="F278" s="48" t="n">
        <x:f>Members!F278</x:f>
        <x:v>0</x:v>
      </x:c>
      <x:c r="G278" s="46" t="n">
        <x:f>MAX(0,Assumptions!$B$10-C278)</x:f>
        <x:v>38</x:v>
      </x:c>
      <x:c r="H278" s="50" t="n">
        <x:f>IF(B278="Active",E278*(1+Assumptions!$B$7)^G278,E278)</x:f>
        <x:v>2967735.499474669</x:v>
      </x:c>
      <x:c r="I278" s="50" t="n">
        <x:f>IF(B278="Active",MIN(Assumptions!$B$12,D278+G278),IF(B278="Deferred",MIN(Assumptions!$B$12,D278),D278))</x:f>
        <x:v>39</x:v>
      </x:c>
      <x:c r="J278" s="50" t="n">
        <x:f>IF(B278="Active",H278*I278*Assumptions!$B$11,IF(B278="Deferred",E278*I278*Assumptions!$B$11*(1+Assumptions!$B$9)^G278,F278))</x:f>
        <x:v>1929028.0746585347</x:v>
      </x:c>
      <x:c r="K278" s="37" t="n">
        <x:f>IF(B278="Pensioner",1,VLOOKUP(Assumptions!$B$10,Mortality!$A$2:$F$104,6,FALSE)/VLOOKUP(C278,Mortality!$A$2:$F$104,6,FALSE))</x:f>
        <x:v>0.9682119922904866</x:v>
      </x:c>
      <x:c r="L278" s="37" t="n">
        <x:f>VLOOKUP(IF(B278="Pensioner",C278,Assumptions!$B$10),Mortality!$A$2:$E$104,5,FALSE)</x:f>
        <x:v>17.296790022132885</x:v>
      </x:c>
      <x:c r="M278" s="37" t="n">
        <x:f>1+Assumptions!$B$13*Assumptions!$B$14*Assumptions!$B$15</x:f>
        <x:v>1.31875</x:v>
      </x:c>
      <x:c r="N278" s="37" t="n">
        <x:f>IF(B278="Pensioner",1,1/(1+Assumptions!$B$6)^G278)</x:f>
        <x:v>0.09135133627989055</x:v>
      </x:c>
      <x:c r="O278" s="50" t="n">
        <x:f>J278*K278*L278*M278*N278</x:f>
        <x:v>3891812.389303694</x:v>
      </x:c>
    </x:row>
    <x:row r="279">
      <x:c r="A279" s="42" t="str">
        <x:f>Members!A279</x:f>
        <x:v>P0223</x:v>
      </x:c>
      <x:c r="B279" s="42" t="str">
        <x:f>Members!B279</x:f>
        <x:v>Pensioner</x:v>
      </x:c>
      <x:c r="C279" s="42" t="n">
        <x:f>Members!C279</x:f>
        <x:v>79</x:v>
      </x:c>
      <x:c r="D279" s="44" t="n">
        <x:f>Members!D279</x:f>
        <x:v>22.9</x:v>
      </x:c>
      <x:c r="E279" s="48" t="n">
        <x:f>Members!E279</x:f>
        <x:v>0</x:v>
      </x:c>
      <x:c r="F279" s="48" t="n">
        <x:f>Members!F279</x:f>
        <x:v>369000</x:v>
      </x:c>
      <x:c r="G279" s="46" t="n">
        <x:f>MAX(0,Assumptions!$B$10-C279)</x:f>
        <x:v>0</x:v>
      </x:c>
      <x:c r="H279" s="50" t="n">
        <x:f>IF(B279="Active",E279*(1+Assumptions!$B$7)^G279,E279)</x:f>
        <x:v>0</x:v>
      </x:c>
      <x:c r="I279" s="50" t="n">
        <x:f>IF(B279="Active",MIN(Assumptions!$B$12,D279+G279),IF(B279="Deferred",MIN(Assumptions!$B$12,D279),D279))</x:f>
        <x:v>22.9</x:v>
      </x:c>
      <x:c r="J279" s="50" t="n">
        <x:f>IF(B279="Active",H279*I279*Assumptions!$B$11,IF(B279="Deferred",E279*I279*Assumptions!$B$11*(1+Assumptions!$B$9)^G279,F279))</x:f>
        <x:v>369000</x:v>
      </x:c>
      <x:c r="K279" s="37" t="n">
        <x:f>IF(B279="Pensioner",1,VLOOKUP(Assumptions!$B$10,Mortality!$A$2:$F$104,6,FALSE)/VLOOKUP(C279,Mortality!$A$2:$F$104,6,FALSE))</x:f>
        <x:v>1</x:v>
      </x:c>
      <x:c r="L279" s="37" t="n">
        <x:f>VLOOKUP(IF(B279="Pensioner",C279,Assumptions!$B$10),Mortality!$A$2:$E$104,5,FALSE)</x:f>
        <x:v>8.83093256291476</x:v>
      </x:c>
      <x:c r="M279" s="37" t="n">
        <x:f>1+Assumptions!$B$13*Assumptions!$B$14*Assumptions!$B$15</x:f>
        <x:v>1.31875</x:v>
      </x:c>
      <x:c r="N279" s="37" t="n">
        <x:f>IF(B279="Pensioner",1,1/(1+Assumptions!$B$6)^G279)</x:f>
        <x:v>1</x:v>
      </x:c>
      <x:c r="O279" s="50" t="n">
        <x:f>J279*K279*L279*M279*N279</x:f>
        <x:v>4297297.365099877</x:v>
      </x:c>
    </x:row>
    <x:row r="280">
      <x:c r="A280" s="42" t="str">
        <x:f>Members!A280</x:f>
        <x:v>A0564</x:v>
      </x:c>
      <x:c r="B280" s="42" t="str">
        <x:f>Members!B280</x:f>
        <x:v>Active</x:v>
      </x:c>
      <x:c r="C280" s="42" t="n">
        <x:f>Members!C280</x:f>
        <x:v>57</x:v>
      </x:c>
      <x:c r="D280" s="44" t="n">
        <x:f>Members!D280</x:f>
        <x:v>26</x:v>
      </x:c>
      <x:c r="E280" s="48" t="n">
        <x:f>Members!E280</x:f>
        <x:v>2256000</x:v>
      </x:c>
      <x:c r="F280" s="48" t="n">
        <x:f>Members!F280</x:f>
        <x:v>0</x:v>
      </x:c>
      <x:c r="G280" s="46" t="n">
        <x:f>MAX(0,Assumptions!$B$10-C280)</x:f>
        <x:v>3</x:v>
      </x:c>
      <x:c r="H280" s="50" t="n">
        <x:f>IF(B280="Active",E280*(1+Assumptions!$B$7)^G280,E280)</x:f>
        <x:v>2649088.5419999994</x:v>
      </x:c>
      <x:c r="I280" s="50" t="n">
        <x:f>IF(B280="Active",MIN(Assumptions!$B$12,D280+G280),IF(B280="Deferred",MIN(Assumptions!$B$12,D280),D280))</x:f>
        <x:v>29</x:v>
      </x:c>
      <x:c r="J280" s="50" t="n">
        <x:f>IF(B280="Active",H280*I280*Assumptions!$B$11,IF(B280="Deferred",E280*I280*Assumptions!$B$11*(1+Assumptions!$B$9)^G280,F280))</x:f>
        <x:v>1280392.7952999996</x:v>
      </x:c>
      <x:c r="K280" s="37" t="n">
        <x:f>IF(B280="Pensioner",1,VLOOKUP(Assumptions!$B$10,Mortality!$A$2:$F$104,6,FALSE)/VLOOKUP(C280,Mortality!$A$2:$F$104,6,FALSE))</x:f>
        <x:v>0.9922003892921417</x:v>
      </x:c>
      <x:c r="L280" s="37" t="n">
        <x:f>VLOOKUP(IF(B280="Pensioner",C280,Assumptions!$B$10),Mortality!$A$2:$E$104,5,FALSE)</x:f>
        <x:v>17.296790022132885</x:v>
      </x:c>
      <x:c r="M280" s="37" t="n">
        <x:f>1+Assumptions!$B$13*Assumptions!$B$14*Assumptions!$B$15</x:f>
        <x:v>1.31875</x:v>
      </x:c>
      <x:c r="N280" s="37" t="n">
        <x:f>IF(B280="Pensioner",1,1/(1+Assumptions!$B$6)^G280)</x:f>
        <x:v>0.8278490918029799</x:v>
      </x:c>
      <x:c r="O280" s="50" t="n">
        <x:f>J280*K280*L280*M280*N280</x:f>
        <x:v>23989532.097893003</x:v>
      </x:c>
    </x:row>
    <x:row r="281">
      <x:c r="A281" s="42" t="str">
        <x:f>Members!A281</x:f>
        <x:v>A0436</x:v>
      </x:c>
      <x:c r="B281" s="42" t="str">
        <x:f>Members!B281</x:f>
        <x:v>Active</x:v>
      </x:c>
      <x:c r="C281" s="42" t="n">
        <x:f>Members!C281</x:f>
        <x:v>32</x:v>
      </x:c>
      <x:c r="D281" s="44" t="n">
        <x:f>Members!D281</x:f>
        <x:v>1.9</x:v>
      </x:c>
      <x:c r="E281" s="48" t="n">
        <x:f>Members!E281</x:f>
        <x:v>574000</x:v>
      </x:c>
      <x:c r="F281" s="48" t="n">
        <x:f>Members!F281</x:f>
        <x:v>0</x:v>
      </x:c>
      <x:c r="G281" s="46" t="n">
        <x:f>MAX(0,Assumptions!$B$10-C281)</x:f>
        <x:v>28</x:v>
      </x:c>
      <x:c r="H281" s="50" t="n">
        <x:f>IF(B281="Active",E281*(1+Assumptions!$B$7)^G281,E281)</x:f>
        <x:v>2570281.9249691293</x:v>
      </x:c>
      <x:c r="I281" s="50" t="n">
        <x:f>IF(B281="Active",MIN(Assumptions!$B$12,D281+G281),IF(B281="Deferred",MIN(Assumptions!$B$12,D281),D281))</x:f>
        <x:v>29.9</x:v>
      </x:c>
      <x:c r="J281" s="50" t="n">
        <x:f>IF(B281="Active",H281*I281*Assumptions!$B$11,IF(B281="Deferred",E281*I281*Assumptions!$B$11*(1+Assumptions!$B$9)^G281,F281))</x:f>
        <x:v>1280857.1592762829</x:v>
      </x:c>
      <x:c r="K281" s="37" t="n">
        <x:f>IF(B281="Pensioner",1,VLOOKUP(Assumptions!$B$10,Mortality!$A$2:$F$104,6,FALSE)/VLOOKUP(C281,Mortality!$A$2:$F$104,6,FALSE))</x:f>
        <x:v>0.9709584687664957</x:v>
      </x:c>
      <x:c r="L281" s="37" t="n">
        <x:f>VLOOKUP(IF(B281="Pensioner",C281,Assumptions!$B$10),Mortality!$A$2:$E$104,5,FALSE)</x:f>
        <x:v>17.296790022132885</x:v>
      </x:c>
      <x:c r="M281" s="37" t="n">
        <x:f>1+Assumptions!$B$13*Assumptions!$B$14*Assumptions!$B$15</x:f>
        <x:v>1.31875</x:v>
      </x:c>
      <x:c r="N281" s="37" t="n">
        <x:f>IF(B281="Pensioner",1,1/(1+Assumptions!$B$6)^G281)</x:f>
        <x:v>0.17147901583340255</x:v>
      </x:c>
      <x:c r="O281" s="50" t="n">
        <x:f>J281*K281*L281*M281*N281</x:f>
        <x:v>4864523.685332926</x:v>
      </x:c>
    </x:row>
    <x:row r="282">
      <x:c r="A282" s="42" t="str">
        <x:f>Members!A282</x:f>
        <x:v>A0325</x:v>
      </x:c>
      <x:c r="B282" s="42" t="str">
        <x:f>Members!B282</x:f>
        <x:v>Active</x:v>
      </x:c>
      <x:c r="C282" s="42" t="n">
        <x:f>Members!C282</x:f>
        <x:v>55</x:v>
      </x:c>
      <x:c r="D282" s="44" t="n">
        <x:f>Members!D282</x:f>
        <x:v>29</x:v>
      </x:c>
      <x:c r="E282" s="48" t="n">
        <x:f>Members!E282</x:f>
        <x:v>1669000</x:v>
      </x:c>
      <x:c r="F282" s="48" t="n">
        <x:f>Members!F282</x:f>
        <x:v>0</x:v>
      </x:c>
      <x:c r="G282" s="46" t="n">
        <x:f>MAX(0,Assumptions!$B$10-C282)</x:f>
        <x:v>5</x:v>
      </x:c>
      <x:c r="H282" s="50" t="n">
        <x:f>IF(B282="Active",E282*(1+Assumptions!$B$7)^G282,E282)</x:f>
        <x:v>2181316.2506972463</x:v>
      </x:c>
      <x:c r="I282" s="50" t="n">
        <x:f>IF(B282="Active",MIN(Assumptions!$B$12,D282+G282),IF(B282="Deferred",MIN(Assumptions!$B$12,D282),D282))</x:f>
        <x:v>34</x:v>
      </x:c>
      <x:c r="J282" s="50" t="n">
        <x:f>IF(B282="Active",H282*I282*Assumptions!$B$11,IF(B282="Deferred",E282*I282*Assumptions!$B$11*(1+Assumptions!$B$9)^G282,F282))</x:f>
        <x:v>1236079.2087284396</x:v>
      </x:c>
      <x:c r="K282" s="37" t="n">
        <x:f>IF(B282="Pensioner",1,VLOOKUP(Assumptions!$B$10,Mortality!$A$2:$F$104,6,FALSE)/VLOOKUP(C282,Mortality!$A$2:$F$104,6,FALSE))</x:f>
        <x:v>0.9882419087499175</x:v>
      </x:c>
      <x:c r="L282" s="37" t="n">
        <x:f>VLOOKUP(IF(B282="Pensioner",C282,Assumptions!$B$10),Mortality!$A$2:$E$104,5,FALSE)</x:f>
        <x:v>17.296790022132885</x:v>
      </x:c>
      <x:c r="M282" s="37" t="n">
        <x:f>1+Assumptions!$B$13*Assumptions!$B$14*Assumptions!$B$15</x:f>
        <x:v>1.31875</x:v>
      </x:c>
      <x:c r="N282" s="37" t="n">
        <x:f>IF(B282="Pensioner",1,1/(1+Assumptions!$B$6)^G282)</x:f>
        <x:v>0.7298808365209549</x:v>
      </x:c>
      <x:c r="O282" s="50" t="n">
        <x:f>J282*K282*L282*M282*N282</x:f>
        <x:v>20337123.022439323</x:v>
      </x:c>
    </x:row>
    <x:row r="283">
      <x:c r="A283" s="42" t="str">
        <x:f>Members!A283</x:f>
        <x:v>P0053</x:v>
      </x:c>
      <x:c r="B283" s="42" t="str">
        <x:f>Members!B283</x:f>
        <x:v>Pensioner</x:v>
      </x:c>
      <x:c r="C283" s="42" t="n">
        <x:f>Members!C283</x:f>
        <x:v>73</x:v>
      </x:c>
      <x:c r="D283" s="44" t="n">
        <x:f>Members!D283</x:f>
        <x:v>30.8</x:v>
      </x:c>
      <x:c r="E283" s="48" t="n">
        <x:f>Members!E283</x:f>
        <x:v>0</x:v>
      </x:c>
      <x:c r="F283" s="48" t="n">
        <x:f>Members!F283</x:f>
        <x:v>545000</x:v>
      </x:c>
      <x:c r="G283" s="46" t="n">
        <x:f>MAX(0,Assumptions!$B$10-C283)</x:f>
        <x:v>0</x:v>
      </x:c>
      <x:c r="H283" s="50" t="n">
        <x:f>IF(B283="Active",E283*(1+Assumptions!$B$7)^G283,E283)</x:f>
        <x:v>0</x:v>
      </x:c>
      <x:c r="I283" s="50" t="n">
        <x:f>IF(B283="Active",MIN(Assumptions!$B$12,D283+G283),IF(B283="Deferred",MIN(Assumptions!$B$12,D283),D283))</x:f>
        <x:v>30.8</x:v>
      </x:c>
      <x:c r="J283" s="50" t="n">
        <x:f>IF(B283="Active",H283*I283*Assumptions!$B$11,IF(B283="Deferred",E283*I283*Assumptions!$B$11*(1+Assumptions!$B$9)^G283,F283))</x:f>
        <x:v>545000</x:v>
      </x:c>
      <x:c r="K283" s="37" t="n">
        <x:f>IF(B283="Pensioner",1,VLOOKUP(Assumptions!$B$10,Mortality!$A$2:$F$104,6,FALSE)/VLOOKUP(C283,Mortality!$A$2:$F$104,6,FALSE))</x:f>
        <x:v>1</x:v>
      </x:c>
      <x:c r="L283" s="37" t="n">
        <x:f>VLOOKUP(IF(B283="Pensioner",C283,Assumptions!$B$10),Mortality!$A$2:$E$104,5,FALSE)</x:f>
        <x:v>11.586176267789867</x:v>
      </x:c>
      <x:c r="M283" s="37" t="n">
        <x:f>1+Assumptions!$B$13*Assumptions!$B$14*Assumptions!$B$15</x:f>
        <x:v>1.31875</x:v>
      </x:c>
      <x:c r="N283" s="37" t="n">
        <x:f>IF(B283="Pensioner",1,1/(1+Assumptions!$B$6)^G283)</x:f>
        <x:v>1</x:v>
      </x:c>
      <x:c r="O283" s="50" t="n">
        <x:f>J283*K283*L283*M283*N283</x:f>
        <x:v>8327202.124465599</x:v>
      </x:c>
    </x:row>
    <x:row r="284">
      <x:c r="A284" s="42" t="str">
        <x:f>Members!A284</x:f>
        <x:v>A0428</x:v>
      </x:c>
      <x:c r="B284" s="42" t="str">
        <x:f>Members!B284</x:f>
        <x:v>Active</x:v>
      </x:c>
      <x:c r="C284" s="42" t="n">
        <x:f>Members!C284</x:f>
        <x:v>53</x:v>
      </x:c>
      <x:c r="D284" s="44" t="n">
        <x:f>Members!D284</x:f>
        <x:v>2</x:v>
      </x:c>
      <x:c r="E284" s="48" t="n">
        <x:f>Members!E284</x:f>
        <x:v>1967000</x:v>
      </x:c>
      <x:c r="F284" s="48" t="n">
        <x:f>Members!F284</x:f>
        <x:v>0</x:v>
      </x:c>
      <x:c r="G284" s="46" t="n">
        <x:f>MAX(0,Assumptions!$B$10-C284)</x:f>
        <x:v>7</x:v>
      </x:c>
      <x:c r="H284" s="50" t="n">
        <x:f>IF(B284="Active",E284*(1+Assumptions!$B$7)^G284,E284)</x:f>
        <x:v>2861353.909950173</x:v>
      </x:c>
      <x:c r="I284" s="50" t="n">
        <x:f>IF(B284="Active",MIN(Assumptions!$B$12,D284+G284),IF(B284="Deferred",MIN(Assumptions!$B$12,D284),D284))</x:f>
        <x:v>9</x:v>
      </x:c>
      <x:c r="J284" s="50" t="n">
        <x:f>IF(B284="Active",H284*I284*Assumptions!$B$11,IF(B284="Deferred",E284*I284*Assumptions!$B$11*(1+Assumptions!$B$9)^G284,F284))</x:f>
        <x:v>429203.08649252594</x:v>
      </x:c>
      <x:c r="K284" s="37" t="n">
        <x:f>IF(B284="Pensioner",1,VLOOKUP(Assumptions!$B$10,Mortality!$A$2:$F$104,6,FALSE)/VLOOKUP(C284,Mortality!$A$2:$F$104,6,FALSE))</x:f>
        <x:v>0.9850300017431317</x:v>
      </x:c>
      <x:c r="L284" s="37" t="n">
        <x:f>VLOOKUP(IF(B284="Pensioner",C284,Assumptions!$B$10),Mortality!$A$2:$E$104,5,FALSE)</x:f>
        <x:v>17.296790022132885</x:v>
      </x:c>
      <x:c r="M284" s="37" t="n">
        <x:f>1+Assumptions!$B$13*Assumptions!$B$14*Assumptions!$B$15</x:f>
        <x:v>1.31875</x:v>
      </x:c>
      <x:c r="N284" s="37" t="n">
        <x:f>IF(B284="Pensioner",1,1/(1+Assumptions!$B$6)^G284)</x:f>
        <x:v>0.6435062148347594</x:v>
      </x:c>
      <x:c r="O284" s="50" t="n">
        <x:f>J284*K284*L284*M284*N284</x:f>
        <x:v>6205732.141702204</x:v>
      </x:c>
    </x:row>
    <x:row r="285">
      <x:c r="A285" s="42" t="str">
        <x:f>Members!A285</x:f>
        <x:v>A0522</x:v>
      </x:c>
      <x:c r="B285" s="42" t="str">
        <x:f>Members!B285</x:f>
        <x:v>Active</x:v>
      </x:c>
      <x:c r="C285" s="42" t="n">
        <x:f>Members!C285</x:f>
        <x:v>39</x:v>
      </x:c>
      <x:c r="D285" s="44" t="n">
        <x:f>Members!D285</x:f>
        <x:v>7</x:v>
      </x:c>
      <x:c r="E285" s="48" t="n">
        <x:f>Members!E285</x:f>
        <x:v>1094000</x:v>
      </x:c>
      <x:c r="F285" s="48" t="n">
        <x:f>Members!F285</x:f>
        <x:v>0</x:v>
      </x:c>
      <x:c r="G285" s="46" t="n">
        <x:f>MAX(0,Assumptions!$B$10-C285)</x:f>
        <x:v>21</x:v>
      </x:c>
      <x:c r="H285" s="50" t="n">
        <x:f>IF(B285="Active",E285*(1+Assumptions!$B$7)^G285,E285)</x:f>
        <x:v>3367588.1629305216</x:v>
      </x:c>
      <x:c r="I285" s="50" t="n">
        <x:f>IF(B285="Active",MIN(Assumptions!$B$12,D285+G285),IF(B285="Deferred",MIN(Assumptions!$B$12,D285),D285))</x:f>
        <x:v>28</x:v>
      </x:c>
      <x:c r="J285" s="50" t="n">
        <x:f>IF(B285="Active",H285*I285*Assumptions!$B$11,IF(B285="Deferred",E285*I285*Assumptions!$B$11*(1+Assumptions!$B$9)^G285,F285))</x:f>
        <x:v>1571541.14270091</x:v>
      </x:c>
      <x:c r="K285" s="37" t="n">
        <x:f>IF(B285="Pensioner",1,VLOOKUP(Assumptions!$B$10,Mortality!$A$2:$F$104,6,FALSE)/VLOOKUP(C285,Mortality!$A$2:$F$104,6,FALSE))</x:f>
        <x:v>0.973585741778878</x:v>
      </x:c>
      <x:c r="L285" s="37" t="n">
        <x:f>VLOOKUP(IF(B285="Pensioner",C285,Assumptions!$B$10),Mortality!$A$2:$E$104,5,FALSE)</x:f>
        <x:v>17.296790022132885</x:v>
      </x:c>
      <x:c r="M285" s="37" t="n">
        <x:f>1+Assumptions!$B$13*Assumptions!$B$14*Assumptions!$B$15</x:f>
        <x:v>1.31875</x:v>
      </x:c>
      <x:c r="N285" s="37" t="n">
        <x:f>IF(B285="Pensioner",1,1/(1+Assumptions!$B$6)^G285)</x:f>
        <x:v>0.26647608349429097</x:v>
      </x:c>
      <x:c r="O285" s="50" t="n">
        <x:f>J285*K285*L285*M285*N285</x:f>
        <x:v>9300069.260225229</x:v>
      </x:c>
    </x:row>
    <x:row r="286">
      <x:c r="A286" s="42" t="str">
        <x:f>Members!A286</x:f>
        <x:v>A0119</x:v>
      </x:c>
      <x:c r="B286" s="42" t="str">
        <x:f>Members!B286</x:f>
        <x:v>Active</x:v>
      </x:c>
      <x:c r="C286" s="42" t="n">
        <x:f>Members!C286</x:f>
        <x:v>33</x:v>
      </x:c>
      <x:c r="D286" s="44" t="n">
        <x:f>Members!D286</x:f>
        <x:v>1.1</x:v>
      </x:c>
      <x:c r="E286" s="48" t="n">
        <x:f>Members!E286</x:f>
        <x:v>839000</x:v>
      </x:c>
      <x:c r="F286" s="48" t="n">
        <x:f>Members!F286</x:f>
        <x:v>0</x:v>
      </x:c>
      <x:c r="G286" s="46" t="n">
        <x:f>MAX(0,Assumptions!$B$10-C286)</x:f>
        <x:v>27</x:v>
      </x:c>
      <x:c r="H286" s="50" t="n">
        <x:f>IF(B286="Active",E286*(1+Assumptions!$B$7)^G286,E286)</x:f>
        <x:v>3561052.454793169</x:v>
      </x:c>
      <x:c r="I286" s="50" t="n">
        <x:f>IF(B286="Active",MIN(Assumptions!$B$12,D286+G286),IF(B286="Deferred",MIN(Assumptions!$B$12,D286),D286))</x:f>
        <x:v>28.1</x:v>
      </x:c>
      <x:c r="J286" s="50" t="n">
        <x:f>IF(B286="Active",H286*I286*Assumptions!$B$11,IF(B286="Deferred",E286*I286*Assumptions!$B$11*(1+Assumptions!$B$9)^G286,F286))</x:f>
        <x:v>1667759.5663281344</x:v>
      </x:c>
      <x:c r="K286" s="37" t="n">
        <x:f>IF(B286="Pensioner",1,VLOOKUP(Assumptions!$B$10,Mortality!$A$2:$F$104,6,FALSE)/VLOOKUP(C286,Mortality!$A$2:$F$104,6,FALSE))</x:f>
        <x:v>0.9712826176321353</x:v>
      </x:c>
      <x:c r="L286" s="37" t="n">
        <x:f>VLOOKUP(IF(B286="Pensioner",C286,Assumptions!$B$10),Mortality!$A$2:$E$104,5,FALSE)</x:f>
        <x:v>17.296790022132885</x:v>
      </x:c>
      <x:c r="M286" s="37" t="n">
        <x:f>1+Assumptions!$B$13*Assumptions!$B$14*Assumptions!$B$15</x:f>
        <x:v>1.31875</x:v>
      </x:c>
      <x:c r="N286" s="37" t="n">
        <x:f>IF(B286="Pensioner",1,1/(1+Assumptions!$B$6)^G286)</x:f>
        <x:v>0.1826251518625737</x:v>
      </x:c>
      <x:c r="O286" s="50" t="n">
        <x:f>J286*K286*L286*M286*N286</x:f>
        <x:v>6747884.384658545</x:v>
      </x:c>
    </x:row>
    <x:row r="287">
      <x:c r="A287" s="42" t="str">
        <x:f>Members!A287</x:f>
        <x:v>D0090</x:v>
      </x:c>
      <x:c r="B287" s="42" t="str">
        <x:f>Members!B287</x:f>
        <x:v>Deferred</x:v>
      </x:c>
      <x:c r="C287" s="42" t="n">
        <x:f>Members!C287</x:f>
        <x:v>55</x:v>
      </x:c>
      <x:c r="D287" s="44" t="n">
        <x:f>Members!D287</x:f>
        <x:v>11.3</x:v>
      </x:c>
      <x:c r="E287" s="48" t="n">
        <x:f>Members!E287</x:f>
        <x:v>1286000</x:v>
      </x:c>
      <x:c r="F287" s="48" t="n">
        <x:f>Members!F287</x:f>
        <x:v>0</x:v>
      </x:c>
      <x:c r="G287" s="46" t="n">
        <x:f>MAX(0,Assumptions!$B$10-C287)</x:f>
        <x:v>5</x:v>
      </x:c>
      <x:c r="H287" s="50" t="n">
        <x:f>IF(B287="Active",E287*(1+Assumptions!$B$7)^G287,E287)</x:f>
        <x:v>1286000</x:v>
      </x:c>
      <x:c r="I287" s="50" t="n">
        <x:f>IF(B287="Active",MIN(Assumptions!$B$12,D287+G287),IF(B287="Deferred",MIN(Assumptions!$B$12,D287),D287))</x:f>
        <x:v>11.3</x:v>
      </x:c>
      <x:c r="J287" s="50" t="n">
        <x:f>IF(B287="Active",H287*I287*Assumptions!$B$11,IF(B287="Deferred",E287*I287*Assumptions!$B$11*(1+Assumptions!$B$9)^G287,F287))</x:f>
        <x:v>294669.2774516054</x:v>
      </x:c>
      <x:c r="K287" s="37" t="n">
        <x:f>IF(B287="Pensioner",1,VLOOKUP(Assumptions!$B$10,Mortality!$A$2:$F$104,6,FALSE)/VLOOKUP(C287,Mortality!$A$2:$F$104,6,FALSE))</x:f>
        <x:v>0.9882419087499175</x:v>
      </x:c>
      <x:c r="L287" s="37" t="n">
        <x:f>VLOOKUP(IF(B287="Pensioner",C287,Assumptions!$B$10),Mortality!$A$2:$E$104,5,FALSE)</x:f>
        <x:v>17.296790022132885</x:v>
      </x:c>
      <x:c r="M287" s="37" t="n">
        <x:f>1+Assumptions!$B$13*Assumptions!$B$14*Assumptions!$B$15</x:f>
        <x:v>1.31875</x:v>
      </x:c>
      <x:c r="N287" s="37" t="n">
        <x:f>IF(B287="Pensioner",1,1/(1+Assumptions!$B$6)^G287)</x:f>
        <x:v>0.7298808365209549</x:v>
      </x:c>
      <x:c r="O287" s="50" t="n">
        <x:f>J287*K287*L287*M287*N287</x:f>
        <x:v>4848172.596181234</x:v>
      </x:c>
    </x:row>
    <x:row r="288">
      <x:c r="A288" s="42" t="str">
        <x:f>Members!A288</x:f>
        <x:v>A0538</x:v>
      </x:c>
      <x:c r="B288" s="42" t="str">
        <x:f>Members!B288</x:f>
        <x:v>Active</x:v>
      </x:c>
      <x:c r="C288" s="42" t="n">
        <x:f>Members!C288</x:f>
        <x:v>23</x:v>
      </x:c>
      <x:c r="D288" s="44" t="n">
        <x:f>Members!D288</x:f>
        <x:v>1</x:v>
      </x:c>
      <x:c r="E288" s="48" t="n">
        <x:f>Members!E288</x:f>
        <x:v>547000</x:v>
      </x:c>
      <x:c r="F288" s="48" t="n">
        <x:f>Members!F288</x:f>
        <x:v>0</x:v>
      </x:c>
      <x:c r="G288" s="46" t="n">
        <x:f>MAX(0,Assumptions!$B$10-C288)</x:f>
        <x:v>37</x:v>
      </x:c>
      <x:c r="H288" s="50" t="n">
        <x:f>IF(B288="Active",E288*(1+Assumptions!$B$7)^G288,E288)</x:f>
        <x:v>3965777.393395818</x:v>
      </x:c>
      <x:c r="I288" s="50" t="n">
        <x:f>IF(B288="Active",MIN(Assumptions!$B$12,D288+G288),IF(B288="Deferred",MIN(Assumptions!$B$12,D288),D288))</x:f>
        <x:v>38</x:v>
      </x:c>
      <x:c r="J288" s="50" t="n">
        <x:f>IF(B288="Active",H288*I288*Assumptions!$B$11,IF(B288="Deferred",E288*I288*Assumptions!$B$11*(1+Assumptions!$B$9)^G288,F288))</x:f>
        <x:v>2511659.015817351</x:v>
      </x:c>
      <x:c r="K288" s="37" t="n">
        <x:f>IF(B288="Pensioner",1,VLOOKUP(Assumptions!$B$10,Mortality!$A$2:$F$104,6,FALSE)/VLOOKUP(C288,Mortality!$A$2:$F$104,6,FALSE))</x:f>
        <x:v>0.9684592752197081</x:v>
      </x:c>
      <x:c r="L288" s="37" t="n">
        <x:f>VLOOKUP(IF(B288="Pensioner",C288,Assumptions!$B$10),Mortality!$A$2:$E$104,5,FALSE)</x:f>
        <x:v>17.296790022132885</x:v>
      </x:c>
      <x:c r="M288" s="37" t="n">
        <x:f>1+Assumptions!$B$13*Assumptions!$B$14*Assumptions!$B$15</x:f>
        <x:v>1.31875</x:v>
      </x:c>
      <x:c r="N288" s="37" t="n">
        <x:f>IF(B288="Pensioner",1,1/(1+Assumptions!$B$6)^G288)</x:f>
        <x:v>0.09728917313808341</x:v>
      </x:c>
      <x:c r="O288" s="50" t="n">
        <x:f>J288*K288*L288*M288*N288</x:f>
        <x:v>5398020.631394027</x:v>
      </x:c>
    </x:row>
    <x:row r="289">
      <x:c r="A289" s="42" t="str">
        <x:f>Members!A289</x:f>
        <x:v>P0186</x:v>
      </x:c>
      <x:c r="B289" s="42" t="str">
        <x:f>Members!B289</x:f>
        <x:v>Pensioner</x:v>
      </x:c>
      <x:c r="C289" s="42" t="n">
        <x:f>Members!C289</x:f>
        <x:v>89</x:v>
      </x:c>
      <x:c r="D289" s="44" t="n">
        <x:f>Members!D289</x:f>
        <x:v>22.8</x:v>
      </x:c>
      <x:c r="E289" s="48" t="n">
        <x:f>Members!E289</x:f>
        <x:v>0</x:v>
      </x:c>
      <x:c r="F289" s="48" t="n">
        <x:f>Members!F289</x:f>
        <x:v>566000</x:v>
      </x:c>
      <x:c r="G289" s="46" t="n">
        <x:f>MAX(0,Assumptions!$B$10-C289)</x:f>
        <x:v>0</x:v>
      </x:c>
      <x:c r="H289" s="50" t="n">
        <x:f>IF(B289="Active",E289*(1+Assumptions!$B$7)^G289,E289)</x:f>
        <x:v>0</x:v>
      </x:c>
      <x:c r="I289" s="50" t="n">
        <x:f>IF(B289="Active",MIN(Assumptions!$B$12,D289+G289),IF(B289="Deferred",MIN(Assumptions!$B$12,D289),D289))</x:f>
        <x:v>22.8</x:v>
      </x:c>
      <x:c r="J289" s="50" t="n">
        <x:f>IF(B289="Active",H289*I289*Assumptions!$B$11,IF(B289="Deferred",E289*I289*Assumptions!$B$11*(1+Assumptions!$B$9)^G289,F289))</x:f>
        <x:v>566000</x:v>
      </x:c>
      <x:c r="K289" s="37" t="n">
        <x:f>IF(B289="Pensioner",1,VLOOKUP(Assumptions!$B$10,Mortality!$A$2:$F$104,6,FALSE)/VLOOKUP(C289,Mortality!$A$2:$F$104,6,FALSE))</x:f>
        <x:v>1</x:v>
      </x:c>
      <x:c r="L289" s="37" t="n">
        <x:f>VLOOKUP(IF(B289="Pensioner",C289,Assumptions!$B$10),Mortality!$A$2:$E$104,5,FALSE)</x:f>
        <x:v>4.671582182389365</x:v>
      </x:c>
      <x:c r="M289" s="37" t="n">
        <x:f>1+Assumptions!$B$13*Assumptions!$B$14*Assumptions!$B$15</x:f>
        <x:v>1.31875</x:v>
      </x:c>
      <x:c r="N289" s="37" t="n">
        <x:f>IF(B289="Pensioner",1,1/(1+Assumptions!$B$6)^G289)</x:f>
        <x:v>1</x:v>
      </x:c>
      <x:c r="O289" s="50" t="n">
        <x:f>J289*K289*L289*M289*N289</x:f>
        <x:v>3486927.335712702</x:v>
      </x:c>
    </x:row>
    <x:row r="290">
      <x:c r="A290" s="42" t="str">
        <x:f>Members!A290</x:f>
        <x:v>A0389</x:v>
      </x:c>
      <x:c r="B290" s="42" t="str">
        <x:f>Members!B290</x:f>
        <x:v>Active</x:v>
      </x:c>
      <x:c r="C290" s="42" t="n">
        <x:f>Members!C290</x:f>
        <x:v>54</x:v>
      </x:c>
      <x:c r="D290" s="44" t="n">
        <x:f>Members!D290</x:f>
        <x:v>11.7</x:v>
      </x:c>
      <x:c r="E290" s="48" t="n">
        <x:f>Members!E290</x:f>
        <x:v>1365000</x:v>
      </x:c>
      <x:c r="F290" s="48" t="n">
        <x:f>Members!F290</x:f>
        <x:v>0</x:v>
      </x:c>
      <x:c r="G290" s="46" t="n">
        <x:f>MAX(0,Assumptions!$B$10-C290)</x:f>
        <x:v>6</x:v>
      </x:c>
      <x:c r="H290" s="50" t="n">
        <x:f>IF(B290="Active",E290*(1+Assumptions!$B$7)^G290,E290)</x:f>
        <x:v>1882120.4312299802</x:v>
      </x:c>
      <x:c r="I290" s="50" t="n">
        <x:f>IF(B290="Active",MIN(Assumptions!$B$12,D290+G290),IF(B290="Deferred",MIN(Assumptions!$B$12,D290),D290))</x:f>
        <x:v>17.7</x:v>
      </x:c>
      <x:c r="J290" s="50" t="n">
        <x:f>IF(B290="Active",H290*I290*Assumptions!$B$11,IF(B290="Deferred",E290*I290*Assumptions!$B$11*(1+Assumptions!$B$9)^G290,F290))</x:f>
        <x:v>555225.5272128441</x:v>
      </x:c>
      <x:c r="K290" s="37" t="n">
        <x:f>IF(B290="Pensioner",1,VLOOKUP(Assumptions!$B$10,Mortality!$A$2:$F$104,6,FALSE)/VLOOKUP(C290,Mortality!$A$2:$F$104,6,FALSE))</x:f>
        <x:v>0.9865535119056937</x:v>
      </x:c>
      <x:c r="L290" s="37" t="n">
        <x:f>VLOOKUP(IF(B290="Pensioner",C290,Assumptions!$B$10),Mortality!$A$2:$E$104,5,FALSE)</x:f>
        <x:v>17.296790022132885</x:v>
      </x:c>
      <x:c r="M290" s="37" t="n">
        <x:f>1+Assumptions!$B$13*Assumptions!$B$14*Assumptions!$B$15</x:f>
        <x:v>1.31875</x:v>
      </x:c>
      <x:c r="N290" s="37" t="n">
        <x:f>IF(B290="Pensioner",1,1/(1+Assumptions!$B$6)^G290)</x:f>
        <x:v>0.6853341187990187</x:v>
      </x:c>
      <x:c r="O290" s="50" t="n">
        <x:f>J290*K290*L290*M290*N290</x:f>
        <x:v>8562890.911829274</x:v>
      </x:c>
    </x:row>
    <x:row r="291">
      <x:c r="A291" s="42" t="str">
        <x:f>Members!A291</x:f>
        <x:v>A0368</x:v>
      </x:c>
      <x:c r="B291" s="42" t="str">
        <x:f>Members!B291</x:f>
        <x:v>Active</x:v>
      </x:c>
      <x:c r="C291" s="42" t="n">
        <x:f>Members!C291</x:f>
        <x:v>47</x:v>
      </x:c>
      <x:c r="D291" s="44" t="n">
        <x:f>Members!D291</x:f>
        <x:v>17.7</x:v>
      </x:c>
      <x:c r="E291" s="48" t="n">
        <x:f>Members!E291</x:f>
        <x:v>1488000</x:v>
      </x:c>
      <x:c r="F291" s="48" t="n">
        <x:f>Members!F291</x:f>
        <x:v>0</x:v>
      </x:c>
      <x:c r="G291" s="46" t="n">
        <x:f>MAX(0,Assumptions!$B$10-C291)</x:f>
        <x:v>13</x:v>
      </x:c>
      <x:c r="H291" s="50" t="n">
        <x:f>IF(B291="Active",E291*(1+Assumptions!$B$7)^G291,E291)</x:f>
        <x:v>2984591.5594439204</x:v>
      </x:c>
      <x:c r="I291" s="50" t="n">
        <x:f>IF(B291="Active",MIN(Assumptions!$B$12,D291+G291),IF(B291="Deferred",MIN(Assumptions!$B$12,D291),D291))</x:f>
        <x:v>30.7</x:v>
      </x:c>
      <x:c r="J291" s="50" t="n">
        <x:f>IF(B291="Active",H291*I291*Assumptions!$B$11,IF(B291="Deferred",E291*I291*Assumptions!$B$11*(1+Assumptions!$B$9)^G291,F291))</x:f>
        <x:v>1527116.0145821392</x:v>
      </x:c>
      <x:c r="K291" s="37" t="n">
        <x:f>IF(B291="Pensioner",1,VLOOKUP(Assumptions!$B$10,Mortality!$A$2:$F$104,6,FALSE)/VLOOKUP(C291,Mortality!$A$2:$F$104,6,FALSE))</x:f>
        <x:v>0.9784451675747989</x:v>
      </x:c>
      <x:c r="L291" s="37" t="n">
        <x:f>VLOOKUP(IF(B291="Pensioner",C291,Assumptions!$B$10),Mortality!$A$2:$E$104,5,FALSE)</x:f>
        <x:v>17.296790022132885</x:v>
      </x:c>
      <x:c r="M291" s="37" t="n">
        <x:f>1+Assumptions!$B$13*Assumptions!$B$14*Assumptions!$B$15</x:f>
        <x:v>1.31875</x:v>
      </x:c>
      <x:c r="N291" s="37" t="n">
        <x:f>IF(B291="Pensioner",1,1/(1+Assumptions!$B$6)^G291)</x:f>
        <x:v>0.4410167646854719</x:v>
      </x:c>
      <x:c r="O291" s="50" t="n">
        <x:f>J291*K291*L291*M291*N291</x:f>
        <x:v>15031129.24208016</x:v>
      </x:c>
    </x:row>
    <x:row r="292">
      <x:c r="A292" s="42" t="str">
        <x:f>Members!A292</x:f>
        <x:v>A0202</x:v>
      </x:c>
      <x:c r="B292" s="42" t="str">
        <x:f>Members!B292</x:f>
        <x:v>Active</x:v>
      </x:c>
      <x:c r="C292" s="42" t="n">
        <x:f>Members!C292</x:f>
        <x:v>39</x:v>
      </x:c>
      <x:c r="D292" s="44" t="n">
        <x:f>Members!D292</x:f>
        <x:v>9.2</x:v>
      </x:c>
      <x:c r="E292" s="48" t="n">
        <x:f>Members!E292</x:f>
        <x:v>850000</x:v>
      </x:c>
      <x:c r="F292" s="48" t="n">
        <x:f>Members!F292</x:f>
        <x:v>0</x:v>
      </x:c>
      <x:c r="G292" s="46" t="n">
        <x:f>MAX(0,Assumptions!$B$10-C292)</x:f>
        <x:v>21</x:v>
      </x:c>
      <x:c r="H292" s="50" t="n">
        <x:f>IF(B292="Active",E292*(1+Assumptions!$B$7)^G292,E292)</x:f>
        <x:v>2616499.029699217</x:v>
      </x:c>
      <x:c r="I292" s="50" t="n">
        <x:f>IF(B292="Active",MIN(Assumptions!$B$12,D292+G292),IF(B292="Deferred",MIN(Assumptions!$B$12,D292),D292))</x:f>
        <x:v>30.2</x:v>
      </x:c>
      <x:c r="J292" s="50" t="n">
        <x:f>IF(B292="Active",H292*I292*Assumptions!$B$11,IF(B292="Deferred",E292*I292*Assumptions!$B$11*(1+Assumptions!$B$9)^G292,F292))</x:f>
        <x:v>1316971.1782819394</x:v>
      </x:c>
      <x:c r="K292" s="37" t="n">
        <x:f>IF(B292="Pensioner",1,VLOOKUP(Assumptions!$B$10,Mortality!$A$2:$F$104,6,FALSE)/VLOOKUP(C292,Mortality!$A$2:$F$104,6,FALSE))</x:f>
        <x:v>0.973585741778878</x:v>
      </x:c>
      <x:c r="L292" s="37" t="n">
        <x:f>VLOOKUP(IF(B292="Pensioner",C292,Assumptions!$B$10),Mortality!$A$2:$E$104,5,FALSE)</x:f>
        <x:v>17.296790022132885</x:v>
      </x:c>
      <x:c r="M292" s="37" t="n">
        <x:f>1+Assumptions!$B$13*Assumptions!$B$14*Assumptions!$B$15</x:f>
        <x:v>1.31875</x:v>
      </x:c>
      <x:c r="N292" s="37" t="n">
        <x:f>IF(B292="Pensioner",1,1/(1+Assumptions!$B$6)^G292)</x:f>
        <x:v>0.26647608349429097</x:v>
      </x:c>
      <x:c r="O292" s="50" t="n">
        <x:f>J292*K292*L292*M292*N292</x:f>
        <x:v>7793574.624901465</x:v>
      </x:c>
    </x:row>
    <x:row r="293">
      <x:c r="A293" s="42" t="str">
        <x:f>Members!A293</x:f>
        <x:v>A0261</x:v>
      </x:c>
      <x:c r="B293" s="42" t="str">
        <x:f>Members!B293</x:f>
        <x:v>Active</x:v>
      </x:c>
      <x:c r="C293" s="42" t="n">
        <x:f>Members!C293</x:f>
        <x:v>41</x:v>
      </x:c>
      <x:c r="D293" s="44" t="n">
        <x:f>Members!D293</x:f>
        <x:v>15.6</x:v>
      </x:c>
      <x:c r="E293" s="48" t="n">
        <x:f>Members!E293</x:f>
        <x:v>873000</x:v>
      </x:c>
      <x:c r="F293" s="48" t="n">
        <x:f>Members!F293</x:f>
        <x:v>0</x:v>
      </x:c>
      <x:c r="G293" s="46" t="n">
        <x:f>MAX(0,Assumptions!$B$10-C293)</x:f>
        <x:v>19</x:v>
      </x:c>
      <x:c r="H293" s="50" t="n">
        <x:f>IF(B293="Active",E293*(1+Assumptions!$B$7)^G293,E293)</x:f>
        <x:v>2414409.752888502</x:v>
      </x:c>
      <x:c r="I293" s="50" t="n">
        <x:f>IF(B293="Active",MIN(Assumptions!$B$12,D293+G293),IF(B293="Deferred",MIN(Assumptions!$B$12,D293),D293))</x:f>
        <x:v>34.6</x:v>
      </x:c>
      <x:c r="J293" s="50" t="n">
        <x:f>IF(B293="Active",H293*I293*Assumptions!$B$11,IF(B293="Deferred",E293*I293*Assumptions!$B$11*(1+Assumptions!$B$9)^G293,F293))</x:f>
        <x:v>1392309.6241657028</x:v>
      </x:c>
      <x:c r="K293" s="37" t="n">
        <x:f>IF(B293="Pensioner",1,VLOOKUP(Assumptions!$B$10,Mortality!$A$2:$F$104,6,FALSE)/VLOOKUP(C293,Mortality!$A$2:$F$104,6,FALSE))</x:f>
        <x:v>0.9745478954079534</x:v>
      </x:c>
      <x:c r="L293" s="37" t="n">
        <x:f>VLOOKUP(IF(B293="Pensioner",C293,Assumptions!$B$10),Mortality!$A$2:$E$104,5,FALSE)</x:f>
        <x:v>17.296790022132885</x:v>
      </x:c>
      <x:c r="M293" s="37" t="n">
        <x:f>1+Assumptions!$B$13*Assumptions!$B$14*Assumptions!$B$15</x:f>
        <x:v>1.31875</x:v>
      </x:c>
      <x:c r="N293" s="37" t="n">
        <x:f>IF(B293="Pensioner",1,1/(1+Assumptions!$B$6)^G293)</x:f>
        <x:v>0.30224383580131214</x:v>
      </x:c>
      <x:c r="O293" s="50" t="n">
        <x:f>J293*K293*L293*M293*N293</x:f>
        <x:v>9354583.400001768</x:v>
      </x:c>
    </x:row>
    <x:row r="294">
      <x:c r="A294" s="42" t="str">
        <x:f>Members!A294</x:f>
        <x:v>A0025</x:v>
      </x:c>
      <x:c r="B294" s="42" t="str">
        <x:f>Members!B294</x:f>
        <x:v>Active</x:v>
      </x:c>
      <x:c r="C294" s="42" t="n">
        <x:f>Members!C294</x:f>
        <x:v>54</x:v>
      </x:c>
      <x:c r="D294" s="44" t="n">
        <x:f>Members!D294</x:f>
        <x:v>26.6</x:v>
      </x:c>
      <x:c r="E294" s="48" t="n">
        <x:f>Members!E294</x:f>
        <x:v>1546000</x:v>
      </x:c>
      <x:c r="F294" s="48" t="n">
        <x:f>Members!F294</x:f>
        <x:v>0</x:v>
      </x:c>
      <x:c r="G294" s="46" t="n">
        <x:f>MAX(0,Assumptions!$B$10-C294)</x:f>
        <x:v>6</x:v>
      </x:c>
      <x:c r="H294" s="50" t="n">
        <x:f>IF(B294="Active",E294*(1+Assumptions!$B$7)^G294,E294)</x:f>
        <x:v>2131690.9792538825</x:v>
      </x:c>
      <x:c r="I294" s="50" t="n">
        <x:f>IF(B294="Active",MIN(Assumptions!$B$12,D294+G294),IF(B294="Deferred",MIN(Assumptions!$B$12,D294),D294))</x:f>
        <x:v>32.6</x:v>
      </x:c>
      <x:c r="J294" s="50" t="n">
        <x:f>IF(B294="Active",H294*I294*Assumptions!$B$11,IF(B294="Deferred",E294*I294*Assumptions!$B$11*(1+Assumptions!$B$9)^G294,F294))</x:f>
        <x:v>1158218.7653946097</x:v>
      </x:c>
      <x:c r="K294" s="37" t="n">
        <x:f>IF(B294="Pensioner",1,VLOOKUP(Assumptions!$B$10,Mortality!$A$2:$F$104,6,FALSE)/VLOOKUP(C294,Mortality!$A$2:$F$104,6,FALSE))</x:f>
        <x:v>0.9865535119056937</x:v>
      </x:c>
      <x:c r="L294" s="37" t="n">
        <x:f>VLOOKUP(IF(B294="Pensioner",C294,Assumptions!$B$10),Mortality!$A$2:$E$104,5,FALSE)</x:f>
        <x:v>17.296790022132885</x:v>
      </x:c>
      <x:c r="M294" s="37" t="n">
        <x:f>1+Assumptions!$B$13*Assumptions!$B$14*Assumptions!$B$15</x:f>
        <x:v>1.31875</x:v>
      </x:c>
      <x:c r="N294" s="37" t="n">
        <x:f>IF(B294="Pensioner",1,1/(1+Assumptions!$B$6)^G294)</x:f>
        <x:v>0.6853341187990187</x:v>
      </x:c>
      <x:c r="O294" s="50" t="n">
        <x:f>J294*K294*L294*M294*N294</x:f>
        <x:v>17862472.91239133</x:v>
      </x:c>
    </x:row>
    <x:row r="295">
      <x:c r="A295" s="42" t="str">
        <x:f>Members!A295</x:f>
        <x:v>A0168</x:v>
      </x:c>
      <x:c r="B295" s="42" t="str">
        <x:f>Members!B295</x:f>
        <x:v>Active</x:v>
      </x:c>
      <x:c r="C295" s="42" t="n">
        <x:f>Members!C295</x:f>
        <x:v>22</x:v>
      </x:c>
      <x:c r="D295" s="44" t="n">
        <x:f>Members!D295</x:f>
        <x:v>1</x:v>
      </x:c>
      <x:c r="E295" s="48" t="n">
        <x:f>Members!E295</x:f>
        <x:v>557000</x:v>
      </x:c>
      <x:c r="F295" s="48" t="n">
        <x:f>Members!F295</x:f>
        <x:v>0</x:v>
      </x:c>
      <x:c r="G295" s="46" t="n">
        <x:f>MAX(0,Assumptions!$B$10-C295)</x:f>
        <x:v>38</x:v>
      </x:c>
      <x:c r="H295" s="50" t="n">
        <x:f>IF(B295="Active",E295*(1+Assumptions!$B$7)^G295,E295)</x:f>
        <x:v>4260383.178369564</x:v>
      </x:c>
      <x:c r="I295" s="50" t="n">
        <x:f>IF(B295="Active",MIN(Assumptions!$B$12,D295+G295),IF(B295="Deferred",MIN(Assumptions!$B$12,D295),D295))</x:f>
        <x:v>39</x:v>
      </x:c>
      <x:c r="J295" s="50" t="n">
        <x:f>IF(B295="Active",H295*I295*Assumptions!$B$11,IF(B295="Deferred",E295*I295*Assumptions!$B$11*(1+Assumptions!$B$9)^G295,F295))</x:f>
        <x:v>2769249.0659402166</x:v>
      </x:c>
      <x:c r="K295" s="37" t="n">
        <x:f>IF(B295="Pensioner",1,VLOOKUP(Assumptions!$B$10,Mortality!$A$2:$F$104,6,FALSE)/VLOOKUP(C295,Mortality!$A$2:$F$104,6,FALSE))</x:f>
        <x:v>0.9682119922904866</x:v>
      </x:c>
      <x:c r="L295" s="37" t="n">
        <x:f>VLOOKUP(IF(B295="Pensioner",C295,Assumptions!$B$10),Mortality!$A$2:$E$104,5,FALSE)</x:f>
        <x:v>17.296790022132885</x:v>
      </x:c>
      <x:c r="M295" s="37" t="n">
        <x:f>1+Assumptions!$B$13*Assumptions!$B$14*Assumptions!$B$15</x:f>
        <x:v>1.31875</x:v>
      </x:c>
      <x:c r="N295" s="37" t="n">
        <x:f>IF(B295="Pensioner",1,1/(1+Assumptions!$B$6)^G295)</x:f>
        <x:v>0.09135133627989055</x:v>
      </x:c>
      <x:c r="O295" s="50" t="n">
        <x:f>J295*K295*L295*M295*N295</x:f>
        <x:v>5586957.476397314</x:v>
      </x:c>
    </x:row>
    <x:row r="296">
      <x:c r="A296" s="42" t="str">
        <x:f>Members!A296</x:f>
        <x:v>A0283</x:v>
      </x:c>
      <x:c r="B296" s="42" t="str">
        <x:f>Members!B296</x:f>
        <x:v>Active</x:v>
      </x:c>
      <x:c r="C296" s="42" t="n">
        <x:f>Members!C296</x:f>
        <x:v>51</x:v>
      </x:c>
      <x:c r="D296" s="44" t="n">
        <x:f>Members!D296</x:f>
        <x:v>23.9</x:v>
      </x:c>
      <x:c r="E296" s="48" t="n">
        <x:f>Members!E296</x:f>
        <x:v>1558000</x:v>
      </x:c>
      <x:c r="F296" s="48" t="n">
        <x:f>Members!F296</x:f>
        <x:v>0</x:v>
      </x:c>
      <x:c r="G296" s="46" t="n">
        <x:f>MAX(0,Assumptions!$B$10-C296)</x:f>
        <x:v>9</x:v>
      </x:c>
      <x:c r="H296" s="50" t="n">
        <x:f>IF(B296="Active",E296*(1+Assumptions!$B$7)^G296,E296)</x:f>
        <x:v>2522548.8778340262</x:v>
      </x:c>
      <x:c r="I296" s="50" t="n">
        <x:f>IF(B296="Active",MIN(Assumptions!$B$12,D296+G296),IF(B296="Deferred",MIN(Assumptions!$B$12,D296),D296))</x:f>
        <x:v>32.9</x:v>
      </x:c>
      <x:c r="J296" s="50" t="n">
        <x:f>IF(B296="Active",H296*I296*Assumptions!$B$11,IF(B296="Deferred",E296*I296*Assumptions!$B$11*(1+Assumptions!$B$9)^G296,F296))</x:f>
        <x:v>1383197.6346789908</x:v>
      </x:c>
      <x:c r="K296" s="37" t="n">
        <x:f>IF(B296="Pensioner",1,VLOOKUP(Assumptions!$B$10,Mortality!$A$2:$F$104,6,FALSE)/VLOOKUP(C296,Mortality!$A$2:$F$104,6,FALSE))</x:f>
        <x:v>0.9824052797506154</x:v>
      </x:c>
      <x:c r="L296" s="37" t="n">
        <x:f>VLOOKUP(IF(B296="Pensioner",C296,Assumptions!$B$10),Mortality!$A$2:$E$104,5,FALSE)</x:f>
        <x:v>17.296790022132885</x:v>
      </x:c>
      <x:c r="M296" s="37" t="n">
        <x:f>1+Assumptions!$B$13*Assumptions!$B$14*Assumptions!$B$15</x:f>
        <x:v>1.31875</x:v>
      </x:c>
      <x:c r="N296" s="37" t="n">
        <x:f>IF(B296="Pensioner",1,1/(1+Assumptions!$B$6)^G296)</x:f>
        <x:v>0.5673532278293633</x:v>
      </x:c>
      <x:c r="O296" s="50" t="n">
        <x:f>J296*K296*L296*M296*N296</x:f>
        <x:v>17585569.664454423</x:v>
      </x:c>
    </x:row>
    <x:row r="297">
      <x:c r="A297" s="42" t="str">
        <x:f>Members!A297</x:f>
        <x:v>A0471</x:v>
      </x:c>
      <x:c r="B297" s="42" t="str">
        <x:f>Members!B297</x:f>
        <x:v>Active</x:v>
      </x:c>
      <x:c r="C297" s="42" t="n">
        <x:f>Members!C297</x:f>
        <x:v>36</x:v>
      </x:c>
      <x:c r="D297" s="44" t="n">
        <x:f>Members!D297</x:f>
        <x:v>9.2</x:v>
      </x:c>
      <x:c r="E297" s="48" t="n">
        <x:f>Members!E297</x:f>
        <x:v>621000</x:v>
      </x:c>
      <x:c r="F297" s="48" t="n">
        <x:f>Members!F297</x:f>
        <x:v>0</x:v>
      </x:c>
      <x:c r="G297" s="46" t="n">
        <x:f>MAX(0,Assumptions!$B$10-C297)</x:f>
        <x:v>24</x:v>
      </x:c>
      <x:c r="H297" s="50" t="n">
        <x:f>IF(B297="Active",E297*(1+Assumptions!$B$7)^G297,E297)</x:f>
        <x:v>2244660.33032568</x:v>
      </x:c>
      <x:c r="I297" s="50" t="n">
        <x:f>IF(B297="Active",MIN(Assumptions!$B$12,D297+G297),IF(B297="Deferred",MIN(Assumptions!$B$12,D297),D297))</x:f>
        <x:v>33.2</x:v>
      </x:c>
      <x:c r="J297" s="50" t="n">
        <x:f>IF(B297="Active",H297*I297*Assumptions!$B$11,IF(B297="Deferred",E297*I297*Assumptions!$B$11*(1+Assumptions!$B$9)^G297,F297))</x:f>
        <x:v>1242045.3827802096</x:v>
      </x:c>
      <x:c r="K297" s="37" t="n">
        <x:f>IF(B297="Pensioner",1,VLOOKUP(Assumptions!$B$10,Mortality!$A$2:$F$104,6,FALSE)/VLOOKUP(C297,Mortality!$A$2:$F$104,6,FALSE))</x:f>
        <x:v>0.9723450305541352</x:v>
      </x:c>
      <x:c r="L297" s="37" t="n">
        <x:f>VLOOKUP(IF(B297="Pensioner",C297,Assumptions!$B$10),Mortality!$A$2:$E$104,5,FALSE)</x:f>
        <x:v>17.296790022132885</x:v>
      </x:c>
      <x:c r="M297" s="37" t="n">
        <x:f>1+Assumptions!$B$13*Assumptions!$B$14*Assumptions!$B$15</x:f>
        <x:v>1.31875</x:v>
      </x:c>
      <x:c r="N297" s="37" t="n">
        <x:f>IF(B297="Pensioner",1,1/(1+Assumptions!$B$6)^G297)</x:f>
        <x:v>0.22060198370796386</x:v>
      </x:c>
      <x:c r="O297" s="50" t="n">
        <x:f>J297*K297*L297*M297*N297</x:f>
        <x:v>6077084.329725343</x:v>
      </x:c>
    </x:row>
    <x:row r="298">
      <x:c r="A298" s="42" t="str">
        <x:f>Members!A298</x:f>
        <x:v>A0410</x:v>
      </x:c>
      <x:c r="B298" s="42" t="str">
        <x:f>Members!B298</x:f>
        <x:v>Active</x:v>
      </x:c>
      <x:c r="C298" s="42" t="n">
        <x:f>Members!C298</x:f>
        <x:v>28</x:v>
      </x:c>
      <x:c r="D298" s="44" t="n">
        <x:f>Members!D298</x:f>
        <x:v>2.2</x:v>
      </x:c>
      <x:c r="E298" s="48" t="n">
        <x:f>Members!E298</x:f>
        <x:v>447000</x:v>
      </x:c>
      <x:c r="F298" s="48" t="n">
        <x:f>Members!F298</x:f>
        <x:v>0</x:v>
      </x:c>
      <x:c r="G298" s="46" t="n">
        <x:f>MAX(0,Assumptions!$B$10-C298)</x:f>
        <x:v>32</x:v>
      </x:c>
      <x:c r="H298" s="50" t="n">
        <x:f>IF(B298="Active",E298*(1+Assumptions!$B$7)^G298,E298)</x:f>
        <x:v>2479626.2850963622</x:v>
      </x:c>
      <x:c r="I298" s="50" t="n">
        <x:f>IF(B298="Active",MIN(Assumptions!$B$12,D298+G298),IF(B298="Deferred",MIN(Assumptions!$B$12,D298),D298))</x:f>
        <x:v>34.2</x:v>
      </x:c>
      <x:c r="J298" s="50" t="n">
        <x:f>IF(B298="Active",H298*I298*Assumptions!$B$11,IF(B298="Deferred",E298*I298*Assumptions!$B$11*(1+Assumptions!$B$9)^G298,F298))</x:f>
        <x:v>1413386.9825049266</x:v>
      </x:c>
      <x:c r="K298" s="37" t="n">
        <x:f>IF(B298="Pensioner",1,VLOOKUP(Assumptions!$B$10,Mortality!$A$2:$F$104,6,FALSE)/VLOOKUP(C298,Mortality!$A$2:$F$104,6,FALSE))</x:f>
        <x:v>0.9697719614347323</x:v>
      </x:c>
      <x:c r="L298" s="37" t="n">
        <x:f>VLOOKUP(IF(B298="Pensioner",C298,Assumptions!$B$10),Mortality!$A$2:$E$104,5,FALSE)</x:f>
        <x:v>17.296790022132885</x:v>
      </x:c>
      <x:c r="M298" s="37" t="n">
        <x:f>1+Assumptions!$B$13*Assumptions!$B$14*Assumptions!$B$15</x:f>
        <x:v>1.31875</x:v>
      </x:c>
      <x:c r="N298" s="37" t="n">
        <x:f>IF(B298="Pensioner",1,1/(1+Assumptions!$B$6)^G298)</x:f>
        <x:v>0.13329459861122173</x:v>
      </x:c>
      <x:c r="O298" s="50" t="n">
        <x:f>J298*K298*L298*M298*N298</x:f>
        <x:v>4167458.152744173</x:v>
      </x:c>
    </x:row>
    <x:row r="299">
      <x:c r="A299" s="42" t="str">
        <x:f>Members!A299</x:f>
        <x:v>A0553</x:v>
      </x:c>
      <x:c r="B299" s="42" t="str">
        <x:f>Members!B299</x:f>
        <x:v>Active</x:v>
      </x:c>
      <x:c r="C299" s="42" t="n">
        <x:f>Members!C299</x:f>
        <x:v>31</x:v>
      </x:c>
      <x:c r="D299" s="44" t="n">
        <x:f>Members!D299</x:f>
        <x:v>5.9</x:v>
      </x:c>
      <x:c r="E299" s="48" t="n">
        <x:f>Members!E299</x:f>
        <x:v>609000</x:v>
      </x:c>
      <x:c r="F299" s="48" t="n">
        <x:f>Members!F299</x:f>
        <x:v>0</x:v>
      </x:c>
      <x:c r="G299" s="46" t="n">
        <x:f>MAX(0,Assumptions!$B$10-C299)</x:f>
        <x:v>29</x:v>
      </x:c>
      <x:c r="H299" s="50" t="n">
        <x:f>IF(B299="Active",E299*(1+Assumptions!$B$7)^G299,E299)</x:f>
        <x:v>2876991.786381603</x:v>
      </x:c>
      <x:c r="I299" s="50" t="n">
        <x:f>IF(B299="Active",MIN(Assumptions!$B$12,D299+G299),IF(B299="Deferred",MIN(Assumptions!$B$12,D299),D299))</x:f>
        <x:v>34.9</x:v>
      </x:c>
      <x:c r="J299" s="50" t="n">
        <x:f>IF(B299="Active",H299*I299*Assumptions!$B$11,IF(B299="Deferred",E299*I299*Assumptions!$B$11*(1+Assumptions!$B$9)^G299,F299))</x:f>
        <x:v>1673450.2224119657</x:v>
      </x:c>
      <x:c r="K299" s="37" t="n">
        <x:f>IF(B299="Pensioner",1,VLOOKUP(Assumptions!$B$10,Mortality!$A$2:$F$104,6,FALSE)/VLOOKUP(C299,Mortality!$A$2:$F$104,6,FALSE))</x:f>
        <x:v>0.9706466107295209</x:v>
      </x:c>
      <x:c r="L299" s="37" t="n">
        <x:f>VLOOKUP(IF(B299="Pensioner",C299,Assumptions!$B$10),Mortality!$A$2:$E$104,5,FALSE)</x:f>
        <x:v>17.296790022132885</x:v>
      </x:c>
      <x:c r="M299" s="37" t="n">
        <x:f>1+Assumptions!$B$13*Assumptions!$B$14*Assumptions!$B$15</x:f>
        <x:v>1.31875</x:v>
      </x:c>
      <x:c r="N299" s="37" t="n">
        <x:f>IF(B299="Pensioner",1,1/(1+Assumptions!$B$6)^G299)</x:f>
        <x:v>0.16101316040695074</x:v>
      </x:c>
      <x:c r="O299" s="50" t="n">
        <x:f>J299*K299*L299*M299*N299</x:f>
        <x:v>5965725.981708643</x:v>
      </x:c>
    </x:row>
    <x:row r="300">
      <x:c r="A300" s="42" t="str">
        <x:f>Members!A300</x:f>
        <x:v>P0024</x:v>
      </x:c>
      <x:c r="B300" s="42" t="str">
        <x:f>Members!B300</x:f>
        <x:v>Pensioner</x:v>
      </x:c>
      <x:c r="C300" s="42" t="n">
        <x:f>Members!C300</x:f>
        <x:v>64</x:v>
      </x:c>
      <x:c r="D300" s="44" t="n">
        <x:f>Members!D300</x:f>
        <x:v>36.8</x:v>
      </x:c>
      <x:c r="E300" s="48" t="n">
        <x:f>Members!E300</x:f>
        <x:v>0</x:v>
      </x:c>
      <x:c r="F300" s="48" t="n">
        <x:f>Members!F300</x:f>
        <x:v>376000</x:v>
      </x:c>
      <x:c r="G300" s="46" t="n">
        <x:f>MAX(0,Assumptions!$B$10-C300)</x:f>
        <x:v>0</x:v>
      </x:c>
      <x:c r="H300" s="50" t="n">
        <x:f>IF(B300="Active",E300*(1+Assumptions!$B$7)^G300,E300)</x:f>
        <x:v>0</x:v>
      </x:c>
      <x:c r="I300" s="50" t="n">
        <x:f>IF(B300="Active",MIN(Assumptions!$B$12,D300+G300),IF(B300="Deferred",MIN(Assumptions!$B$12,D300),D300))</x:f>
        <x:v>36.8</x:v>
      </x:c>
      <x:c r="J300" s="50" t="n">
        <x:f>IF(B300="Active",H300*I300*Assumptions!$B$11,IF(B300="Deferred",E300*I300*Assumptions!$B$11*(1+Assumptions!$B$9)^G300,F300))</x:f>
        <x:v>376000</x:v>
      </x:c>
      <x:c r="K300" s="37" t="n">
        <x:f>IF(B300="Pensioner",1,VLOOKUP(Assumptions!$B$10,Mortality!$A$2:$F$104,6,FALSE)/VLOOKUP(C300,Mortality!$A$2:$F$104,6,FALSE))</x:f>
        <x:v>1</x:v>
      </x:c>
      <x:c r="L300" s="37" t="n">
        <x:f>VLOOKUP(IF(B300="Pensioner",C300,Assumptions!$B$10),Mortality!$A$2:$E$104,5,FALSE)</x:f>
        <x:v>15.628758769824573</x:v>
      </x:c>
      <x:c r="M300" s="37" t="n">
        <x:f>1+Assumptions!$B$13*Assumptions!$B$14*Assumptions!$B$15</x:f>
        <x:v>1.31875</x:v>
      </x:c>
      <x:c r="N300" s="37" t="n">
        <x:f>IF(B300="Pensioner",1,1/(1+Assumptions!$B$6)^G300)</x:f>
        <x:v>1</x:v>
      </x:c>
      <x:c r="O300" s="50" t="n">
        <x:f>J300*K300*L300*M300*N300</x:f>
        <x:v>7749520.036017515</x:v>
      </x:c>
    </x:row>
    <x:row r="301">
      <x:c r="A301" s="42" t="str">
        <x:f>Members!A301</x:f>
        <x:v>A0320</x:v>
      </x:c>
      <x:c r="B301" s="42" t="str">
        <x:f>Members!B301</x:f>
        <x:v>Active</x:v>
      </x:c>
      <x:c r="C301" s="42" t="n">
        <x:f>Members!C301</x:f>
        <x:v>33</x:v>
      </x:c>
      <x:c r="D301" s="44" t="n">
        <x:f>Members!D301</x:f>
        <x:v>3.5</x:v>
      </x:c>
      <x:c r="E301" s="48" t="n">
        <x:f>Members!E301</x:f>
        <x:v>574000</x:v>
      </x:c>
      <x:c r="F301" s="48" t="n">
        <x:f>Members!F301</x:f>
        <x:v>0</x:v>
      </x:c>
      <x:c r="G301" s="46" t="n">
        <x:f>MAX(0,Assumptions!$B$10-C301)</x:f>
        <x:v>27</x:v>
      </x:c>
      <x:c r="H301" s="50" t="n">
        <x:f>IF(B301="Active",E301*(1+Assumptions!$B$7)^G301,E301)</x:f>
        <x:v>2436286.184804862</x:v>
      </x:c>
      <x:c r="I301" s="50" t="n">
        <x:f>IF(B301="Active",MIN(Assumptions!$B$12,D301+G301),IF(B301="Deferred",MIN(Assumptions!$B$12,D301),D301))</x:f>
        <x:v>30.5</x:v>
      </x:c>
      <x:c r="J301" s="50" t="n">
        <x:f>IF(B301="Active",H301*I301*Assumptions!$B$11,IF(B301="Deferred",E301*I301*Assumptions!$B$11*(1+Assumptions!$B$9)^G301,F301))</x:f>
        <x:v>1238445.4772758046</x:v>
      </x:c>
      <x:c r="K301" s="37" t="n">
        <x:f>IF(B301="Pensioner",1,VLOOKUP(Assumptions!$B$10,Mortality!$A$2:$F$104,6,FALSE)/VLOOKUP(C301,Mortality!$A$2:$F$104,6,FALSE))</x:f>
        <x:v>0.9712826176321353</x:v>
      </x:c>
      <x:c r="L301" s="37" t="n">
        <x:f>VLOOKUP(IF(B301="Pensioner",C301,Assumptions!$B$10),Mortality!$A$2:$E$104,5,FALSE)</x:f>
        <x:v>17.296790022132885</x:v>
      </x:c>
      <x:c r="M301" s="37" t="n">
        <x:f>1+Assumptions!$B$13*Assumptions!$B$14*Assumptions!$B$15</x:f>
        <x:v>1.31875</x:v>
      </x:c>
      <x:c r="N301" s="37" t="n">
        <x:f>IF(B301="Pensioner",1,1/(1+Assumptions!$B$6)^G301)</x:f>
        <x:v>0.1826251518625737</x:v>
      </x:c>
      <x:c r="O301" s="50" t="n">
        <x:f>J301*K301*L301*M301*N301</x:f>
        <x:v>5010846.327063532</x:v>
      </x:c>
    </x:row>
    <x:row r="302">
      <x:c r="A302" s="42" t="str">
        <x:f>Members!A302</x:f>
        <x:v>P0040</x:v>
      </x:c>
      <x:c r="B302" s="42" t="str">
        <x:f>Members!B302</x:f>
        <x:v>Pensioner</x:v>
      </x:c>
      <x:c r="C302" s="42" t="n">
        <x:f>Members!C302</x:f>
        <x:v>84</x:v>
      </x:c>
      <x:c r="D302" s="44" t="n">
        <x:f>Members!D302</x:f>
        <x:v>21.4</x:v>
      </x:c>
      <x:c r="E302" s="48" t="n">
        <x:f>Members!E302</x:f>
        <x:v>0</x:v>
      </x:c>
      <x:c r="F302" s="48" t="n">
        <x:f>Members!F302</x:f>
        <x:v>669000</x:v>
      </x:c>
      <x:c r="G302" s="46" t="n">
        <x:f>MAX(0,Assumptions!$B$10-C302)</x:f>
        <x:v>0</x:v>
      </x:c>
      <x:c r="H302" s="50" t="n">
        <x:f>IF(B302="Active",E302*(1+Assumptions!$B$7)^G302,E302)</x:f>
        <x:v>0</x:v>
      </x:c>
      <x:c r="I302" s="50" t="n">
        <x:f>IF(B302="Active",MIN(Assumptions!$B$12,D302+G302),IF(B302="Deferred",MIN(Assumptions!$B$12,D302),D302))</x:f>
        <x:v>21.4</x:v>
      </x:c>
      <x:c r="J302" s="50" t="n">
        <x:f>IF(B302="Active",H302*I302*Assumptions!$B$11,IF(B302="Deferred",E302*I302*Assumptions!$B$11*(1+Assumptions!$B$9)^G302,F302))</x:f>
        <x:v>669000</x:v>
      </x:c>
      <x:c r="K302" s="37" t="n">
        <x:f>IF(B302="Pensioner",1,VLOOKUP(Assumptions!$B$10,Mortality!$A$2:$F$104,6,FALSE)/VLOOKUP(C302,Mortality!$A$2:$F$104,6,FALSE))</x:f>
        <x:v>1</x:v>
      </x:c>
      <x:c r="L302" s="37" t="n">
        <x:f>VLOOKUP(IF(B302="Pensioner",C302,Assumptions!$B$10),Mortality!$A$2:$E$104,5,FALSE)</x:f>
        <x:v>6.643272096517531</x:v>
      </x:c>
      <x:c r="M302" s="37" t="n">
        <x:f>1+Assumptions!$B$13*Assumptions!$B$14*Assumptions!$B$15</x:f>
        <x:v>1.31875</x:v>
      </x:c>
      <x:c r="N302" s="37" t="n">
        <x:f>IF(B302="Pensioner",1,1/(1+Assumptions!$B$6)^G302)</x:f>
        <x:v>1</x:v>
      </x:c>
      <x:c r="O302" s="50" t="n">
        <x:f>J302*K302*L302*M302*N302</x:f>
        <x:v>5860985.286701989</x:v>
      </x:c>
    </x:row>
    <x:row r="303">
      <x:c r="A303" s="42" t="str">
        <x:f>Members!A303</x:f>
        <x:v>P0093</x:v>
      </x:c>
      <x:c r="B303" s="42" t="str">
        <x:f>Members!B303</x:f>
        <x:v>Pensioner</x:v>
      </x:c>
      <x:c r="C303" s="42" t="n">
        <x:f>Members!C303</x:f>
        <x:v>64</x:v>
      </x:c>
      <x:c r="D303" s="44" t="n">
        <x:f>Members!D303</x:f>
        <x:v>37.7</x:v>
      </x:c>
      <x:c r="E303" s="48" t="n">
        <x:f>Members!E303</x:f>
        <x:v>0</x:v>
      </x:c>
      <x:c r="F303" s="48" t="n">
        <x:f>Members!F303</x:f>
        <x:v>384000</x:v>
      </x:c>
      <x:c r="G303" s="46" t="n">
        <x:f>MAX(0,Assumptions!$B$10-C303)</x:f>
        <x:v>0</x:v>
      </x:c>
      <x:c r="H303" s="50" t="n">
        <x:f>IF(B303="Active",E303*(1+Assumptions!$B$7)^G303,E303)</x:f>
        <x:v>0</x:v>
      </x:c>
      <x:c r="I303" s="50" t="n">
        <x:f>IF(B303="Active",MIN(Assumptions!$B$12,D303+G303),IF(B303="Deferred",MIN(Assumptions!$B$12,D303),D303))</x:f>
        <x:v>37.7</x:v>
      </x:c>
      <x:c r="J303" s="50" t="n">
        <x:f>IF(B303="Active",H303*I303*Assumptions!$B$11,IF(B303="Deferred",E303*I303*Assumptions!$B$11*(1+Assumptions!$B$9)^G303,F303))</x:f>
        <x:v>384000</x:v>
      </x:c>
      <x:c r="K303" s="37" t="n">
        <x:f>IF(B303="Pensioner",1,VLOOKUP(Assumptions!$B$10,Mortality!$A$2:$F$104,6,FALSE)/VLOOKUP(C303,Mortality!$A$2:$F$104,6,FALSE))</x:f>
        <x:v>1</x:v>
      </x:c>
      <x:c r="L303" s="37" t="n">
        <x:f>VLOOKUP(IF(B303="Pensioner",C303,Assumptions!$B$10),Mortality!$A$2:$E$104,5,FALSE)</x:f>
        <x:v>15.628758769824573</x:v>
      </x:c>
      <x:c r="M303" s="37" t="n">
        <x:f>1+Assumptions!$B$13*Assumptions!$B$14*Assumptions!$B$15</x:f>
        <x:v>1.31875</x:v>
      </x:c>
      <x:c r="N303" s="37" t="n">
        <x:f>IF(B303="Pensioner",1,1/(1+Assumptions!$B$6)^G303)</x:f>
        <x:v>1</x:v>
      </x:c>
      <x:c r="O303" s="50" t="n">
        <x:f>J303*K303*L303*M303*N303</x:f>
        <x:v>7914403.441039164</x:v>
      </x:c>
    </x:row>
    <x:row r="304">
      <x:c r="A304" s="42" t="str">
        <x:f>Members!A304</x:f>
        <x:v>A0441</x:v>
      </x:c>
      <x:c r="B304" s="42" t="str">
        <x:f>Members!B304</x:f>
        <x:v>Active</x:v>
      </x:c>
      <x:c r="C304" s="42" t="n">
        <x:f>Members!C304</x:f>
        <x:v>54</x:v>
      </x:c>
      <x:c r="D304" s="44" t="n">
        <x:f>Members!D304</x:f>
        <x:v>21.4</x:v>
      </x:c>
      <x:c r="E304" s="48" t="n">
        <x:f>Members!E304</x:f>
        <x:v>1649000</x:v>
      </x:c>
      <x:c r="F304" s="48" t="n">
        <x:f>Members!F304</x:f>
        <x:v>0</x:v>
      </x:c>
      <x:c r="G304" s="46" t="n">
        <x:f>MAX(0,Assumptions!$B$10-C304)</x:f>
        <x:v>6</x:v>
      </x:c>
      <x:c r="H304" s="50" t="n">
        <x:f>IF(B304="Active",E304*(1+Assumptions!$B$7)^G304,E304)</x:f>
        <x:v>2273711.788350357</x:v>
      </x:c>
      <x:c r="I304" s="50" t="n">
        <x:f>IF(B304="Active",MIN(Assumptions!$B$12,D304+G304),IF(B304="Deferred",MIN(Assumptions!$B$12,D304),D304))</x:f>
        <x:v>27.4</x:v>
      </x:c>
      <x:c r="J304" s="50" t="n">
        <x:f>IF(B304="Active",H304*I304*Assumptions!$B$11,IF(B304="Deferred",E304*I304*Assumptions!$B$11*(1+Assumptions!$B$9)^G304,F304))</x:f>
        <x:v>1038328.383346663</x:v>
      </x:c>
      <x:c r="K304" s="37" t="n">
        <x:f>IF(B304="Pensioner",1,VLOOKUP(Assumptions!$B$10,Mortality!$A$2:$F$104,6,FALSE)/VLOOKUP(C304,Mortality!$A$2:$F$104,6,FALSE))</x:f>
        <x:v>0.9865535119056937</x:v>
      </x:c>
      <x:c r="L304" s="37" t="n">
        <x:f>VLOOKUP(IF(B304="Pensioner",C304,Assumptions!$B$10),Mortality!$A$2:$E$104,5,FALSE)</x:f>
        <x:v>17.296790022132885</x:v>
      </x:c>
      <x:c r="M304" s="37" t="n">
        <x:f>1+Assumptions!$B$13*Assumptions!$B$14*Assumptions!$B$15</x:f>
        <x:v>1.31875</x:v>
      </x:c>
      <x:c r="N304" s="37" t="n">
        <x:f>IF(B304="Pensioner",1,1/(1+Assumptions!$B$6)^G304)</x:f>
        <x:v>0.6853341187990187</x:v>
      </x:c>
      <x:c r="O304" s="50" t="n">
        <x:f>J304*K304*L304*M304*N304</x:f>
        <x:v>16013479.642922014</x:v>
      </x:c>
    </x:row>
    <x:row r="305">
      <x:c r="A305" s="42" t="str">
        <x:f>Members!A305</x:f>
        <x:v>A0216</x:v>
      </x:c>
      <x:c r="B305" s="42" t="str">
        <x:f>Members!B305</x:f>
        <x:v>Active</x:v>
      </x:c>
      <x:c r="C305" s="42" t="n">
        <x:f>Members!C305</x:f>
        <x:v>58</x:v>
      </x:c>
      <x:c r="D305" s="44" t="n">
        <x:f>Members!D305</x:f>
        <x:v>1.5</x:v>
      </x:c>
      <x:c r="E305" s="48" t="n">
        <x:f>Members!E305</x:f>
        <x:v>1481000</x:v>
      </x:c>
      <x:c r="F305" s="48" t="n">
        <x:f>Members!F305</x:f>
        <x:v>0</x:v>
      </x:c>
      <x:c r="G305" s="46" t="n">
        <x:f>MAX(0,Assumptions!$B$10-C305)</x:f>
        <x:v>2</x:v>
      </x:c>
      <x:c r="H305" s="50" t="n">
        <x:f>IF(B305="Active",E305*(1+Assumptions!$B$7)^G305,E305)</x:f>
        <x:v>1648390.025</x:v>
      </x:c>
      <x:c r="I305" s="50" t="n">
        <x:f>IF(B305="Active",MIN(Assumptions!$B$12,D305+G305),IF(B305="Deferred",MIN(Assumptions!$B$12,D305),D305))</x:f>
        <x:v>3.5</x:v>
      </x:c>
      <x:c r="J305" s="50" t="n">
        <x:f>IF(B305="Active",H305*I305*Assumptions!$B$11,IF(B305="Deferred",E305*I305*Assumptions!$B$11*(1+Assumptions!$B$9)^G305,F305))</x:f>
        <x:v>96156.08479166665</x:v>
      </x:c>
      <x:c r="K305" s="37" t="n">
        <x:f>IF(B305="Pensioner",1,VLOOKUP(Assumptions!$B$10,Mortality!$A$2:$F$104,6,FALSE)/VLOOKUP(C305,Mortality!$A$2:$F$104,6,FALSE))</x:f>
        <x:v>0.9945213044203837</x:v>
      </x:c>
      <x:c r="L305" s="37" t="n">
        <x:f>VLOOKUP(IF(B305="Pensioner",C305,Assumptions!$B$10),Mortality!$A$2:$E$104,5,FALSE)</x:f>
        <x:v>17.296790022132885</x:v>
      </x:c>
      <x:c r="M305" s="37" t="n">
        <x:f>1+Assumptions!$B$13*Assumptions!$B$14*Assumptions!$B$15</x:f>
        <x:v>1.31875</x:v>
      </x:c>
      <x:c r="N305" s="37" t="n">
        <x:f>IF(B305="Pensioner",1,1/(1+Assumptions!$B$6)^G305)</x:f>
        <x:v>0.8816592827701736</x:v>
      </x:c>
      <x:c r="O305" s="50" t="n">
        <x:f>J305*K305*L305*M305*N305</x:f>
        <x:v>1923178.667474007</x:v>
      </x:c>
    </x:row>
    <x:row r="306">
      <x:c r="A306" s="42" t="str">
        <x:f>Members!A306</x:f>
        <x:v>A0427</x:v>
      </x:c>
      <x:c r="B306" s="42" t="str">
        <x:f>Members!B306</x:f>
        <x:v>Active</x:v>
      </x:c>
      <x:c r="C306" s="42" t="n">
        <x:f>Members!C306</x:f>
        <x:v>31</x:v>
      </x:c>
      <x:c r="D306" s="44" t="n">
        <x:f>Members!D306</x:f>
        <x:v>1.3</x:v>
      </x:c>
      <x:c r="E306" s="48" t="n">
        <x:f>Members!E306</x:f>
        <x:v>498000</x:v>
      </x:c>
      <x:c r="F306" s="48" t="n">
        <x:f>Members!F306</x:f>
        <x:v>0</x:v>
      </x:c>
      <x:c r="G306" s="46" t="n">
        <x:f>MAX(0,Assumptions!$B$10-C306)</x:f>
        <x:v>29</x:v>
      </x:c>
      <x:c r="H306" s="50" t="n">
        <x:f>IF(B306="Active",E306*(1+Assumptions!$B$7)^G306,E306)</x:f>
        <x:v>2352613.9731002273</x:v>
      </x:c>
      <x:c r="I306" s="50" t="n">
        <x:f>IF(B306="Active",MIN(Assumptions!$B$12,D306+G306),IF(B306="Deferred",MIN(Assumptions!$B$12,D306),D306))</x:f>
        <x:v>30.3</x:v>
      </x:c>
      <x:c r="J306" s="50" t="n">
        <x:f>IF(B306="Active",H306*I306*Assumptions!$B$11,IF(B306="Deferred",E306*I306*Assumptions!$B$11*(1+Assumptions!$B$9)^G306,F306))</x:f>
        <x:v>1188070.0564156147</x:v>
      </x:c>
      <x:c r="K306" s="37" t="n">
        <x:f>IF(B306="Pensioner",1,VLOOKUP(Assumptions!$B$10,Mortality!$A$2:$F$104,6,FALSE)/VLOOKUP(C306,Mortality!$A$2:$F$104,6,FALSE))</x:f>
        <x:v>0.9706466107295209</x:v>
      </x:c>
      <x:c r="L306" s="37" t="n">
        <x:f>VLOOKUP(IF(B306="Pensioner",C306,Assumptions!$B$10),Mortality!$A$2:$E$104,5,FALSE)</x:f>
        <x:v>17.296790022132885</x:v>
      </x:c>
      <x:c r="M306" s="37" t="n">
        <x:f>1+Assumptions!$B$13*Assumptions!$B$14*Assumptions!$B$15</x:f>
        <x:v>1.31875</x:v>
      </x:c>
      <x:c r="N306" s="37" t="n">
        <x:f>IF(B306="Pensioner",1,1/(1+Assumptions!$B$6)^G306)</x:f>
        <x:v>0.16101316040695074</x:v>
      </x:c>
      <x:c r="O306" s="50" t="n">
        <x:f>J306*K306*L306*M306*N306</x:f>
        <x:v>4235381.673578011</x:v>
      </x:c>
    </x:row>
    <x:row r="307">
      <x:c r="A307" s="42" t="str">
        <x:f>Members!A307</x:f>
        <x:v>P0239</x:v>
      </x:c>
      <x:c r="B307" s="42" t="str">
        <x:f>Members!B307</x:f>
        <x:v>Pensioner</x:v>
      </x:c>
      <x:c r="C307" s="42" t="n">
        <x:f>Members!C307</x:f>
        <x:v>68</x:v>
      </x:c>
      <x:c r="D307" s="44" t="n">
        <x:f>Members!D307</x:f>
        <x:v>23.8</x:v>
      </x:c>
      <x:c r="E307" s="48" t="n">
        <x:f>Members!E307</x:f>
        <x:v>0</x:v>
      </x:c>
      <x:c r="F307" s="48" t="n">
        <x:f>Members!F307</x:f>
        <x:v>461000</x:v>
      </x:c>
      <x:c r="G307" s="46" t="n">
        <x:f>MAX(0,Assumptions!$B$10-C307)</x:f>
        <x:v>0</x:v>
      </x:c>
      <x:c r="H307" s="50" t="n">
        <x:f>IF(B307="Active",E307*(1+Assumptions!$B$7)^G307,E307)</x:f>
        <x:v>0</x:v>
      </x:c>
      <x:c r="I307" s="50" t="n">
        <x:f>IF(B307="Active",MIN(Assumptions!$B$12,D307+G307),IF(B307="Deferred",MIN(Assumptions!$B$12,D307),D307))</x:f>
        <x:v>23.8</x:v>
      </x:c>
      <x:c r="J307" s="50" t="n">
        <x:f>IF(B307="Active",H307*I307*Assumptions!$B$11,IF(B307="Deferred",E307*I307*Assumptions!$B$11*(1+Assumptions!$B$9)^G307,F307))</x:f>
        <x:v>461000</x:v>
      </x:c>
      <x:c r="K307" s="37" t="n">
        <x:f>IF(B307="Pensioner",1,VLOOKUP(Assumptions!$B$10,Mortality!$A$2:$F$104,6,FALSE)/VLOOKUP(C307,Mortality!$A$2:$F$104,6,FALSE))</x:f>
        <x:v>1</x:v>
      </x:c>
      <x:c r="L307" s="37" t="n">
        <x:f>VLOOKUP(IF(B307="Pensioner",C307,Assumptions!$B$10),Mortality!$A$2:$E$104,5,FALSE)</x:f>
        <x:v>13.869459484105445</x:v>
      </x:c>
      <x:c r="M307" s="37" t="n">
        <x:f>1+Assumptions!$B$13*Assumptions!$B$14*Assumptions!$B$15</x:f>
        <x:v>1.31875</x:v>
      </x:c>
      <x:c r="N307" s="37" t="n">
        <x:f>IF(B307="Pensioner",1,1/(1+Assumptions!$B$6)^G307)</x:f>
        <x:v>1</x:v>
      </x:c>
      <x:c r="O307" s="50" t="n">
        <x:f>J307*K307*L307*M307*N307</x:f>
        <x:v>8431851.20924013</x:v>
      </x:c>
    </x:row>
    <x:row r="308">
      <x:c r="A308" s="42" t="str">
        <x:f>Members!A308</x:f>
        <x:v>A0589</x:v>
      </x:c>
      <x:c r="B308" s="42" t="str">
        <x:f>Members!B308</x:f>
        <x:v>Active</x:v>
      </x:c>
      <x:c r="C308" s="42" t="n">
        <x:f>Members!C308</x:f>
        <x:v>37</x:v>
      </x:c>
      <x:c r="D308" s="44" t="n">
        <x:f>Members!D308</x:f>
        <x:v>13.8</x:v>
      </x:c>
      <x:c r="E308" s="48" t="n">
        <x:f>Members!E308</x:f>
        <x:v>718000</x:v>
      </x:c>
      <x:c r="F308" s="48" t="n">
        <x:f>Members!F308</x:f>
        <x:v>0</x:v>
      </x:c>
      <x:c r="G308" s="46" t="n">
        <x:f>MAX(0,Assumptions!$B$10-C308)</x:f>
        <x:v>23</x:v>
      </x:c>
      <x:c r="H308" s="50" t="n">
        <x:f>IF(B308="Active",E308*(1+Assumptions!$B$7)^G308,E308)</x:f>
        <x:v>2459976.8255967493</x:v>
      </x:c>
      <x:c r="I308" s="50" t="n">
        <x:f>IF(B308="Active",MIN(Assumptions!$B$12,D308+G308),IF(B308="Deferred",MIN(Assumptions!$B$12,D308),D308))</x:f>
        <x:v>36.8</x:v>
      </x:c>
      <x:c r="J308" s="50" t="n">
        <x:f>IF(B308="Active",H308*I308*Assumptions!$B$11,IF(B308="Deferred",E308*I308*Assumptions!$B$11*(1+Assumptions!$B$9)^G308,F308))</x:f>
        <x:v>1508785.7863660061</x:v>
      </x:c>
      <x:c r="K308" s="37" t="n">
        <x:f>IF(B308="Pensioner",1,VLOOKUP(Assumptions!$B$10,Mortality!$A$2:$F$104,6,FALSE)/VLOOKUP(C308,Mortality!$A$2:$F$104,6,FALSE))</x:f>
        <x:v>0.9727356141265188</x:v>
      </x:c>
      <x:c r="L308" s="37" t="n">
        <x:f>VLOOKUP(IF(B308="Pensioner",C308,Assumptions!$B$10),Mortality!$A$2:$E$104,5,FALSE)</x:f>
        <x:v>17.296790022132885</x:v>
      </x:c>
      <x:c r="M308" s="37" t="n">
        <x:f>1+Assumptions!$B$13*Assumptions!$B$14*Assumptions!$B$15</x:f>
        <x:v>1.31875</x:v>
      </x:c>
      <x:c r="N308" s="37" t="n">
        <x:f>IF(B308="Pensioner",1,1/(1+Assumptions!$B$6)^G308)</x:f>
        <x:v>0.23494111264898151</x:v>
      </x:c>
      <x:c r="O308" s="50" t="n">
        <x:f>J308*K308*L308*M308*N308</x:f>
        <x:v>7865193.431991183</x:v>
      </x:c>
    </x:row>
    <x:row r="309">
      <x:c r="A309" s="42" t="str">
        <x:f>Members!A309</x:f>
        <x:v>A0109</x:v>
      </x:c>
      <x:c r="B309" s="42" t="str">
        <x:f>Members!B309</x:f>
        <x:v>Active</x:v>
      </x:c>
      <x:c r="C309" s="42" t="n">
        <x:f>Members!C309</x:f>
        <x:v>55</x:v>
      </x:c>
      <x:c r="D309" s="44" t="n">
        <x:f>Members!D309</x:f>
        <x:v>24.8</x:v>
      </x:c>
      <x:c r="E309" s="48" t="n">
        <x:f>Members!E309</x:f>
        <x:v>1950000</x:v>
      </x:c>
      <x:c r="F309" s="48" t="n">
        <x:f>Members!F309</x:f>
        <x:v>0</x:v>
      </x:c>
      <x:c r="G309" s="46" t="n">
        <x:f>MAX(0,Assumptions!$B$10-C309)</x:f>
        <x:v>5</x:v>
      </x:c>
      <x:c r="H309" s="50" t="n">
        <x:f>IF(B309="Active",E309*(1+Assumptions!$B$7)^G309,E309)</x:f>
        <x:v>2548572.0124982805</x:v>
      </x:c>
      <x:c r="I309" s="50" t="n">
        <x:f>IF(B309="Active",MIN(Assumptions!$B$12,D309+G309),IF(B309="Deferred",MIN(Assumptions!$B$12,D309),D309))</x:f>
        <x:v>29.8</x:v>
      </x:c>
      <x:c r="J309" s="50" t="n">
        <x:f>IF(B309="Active",H309*I309*Assumptions!$B$11,IF(B309="Deferred",E309*I309*Assumptions!$B$11*(1+Assumptions!$B$9)^G309,F309))</x:f>
        <x:v>1265790.7662074794</x:v>
      </x:c>
      <x:c r="K309" s="37" t="n">
        <x:f>IF(B309="Pensioner",1,VLOOKUP(Assumptions!$B$10,Mortality!$A$2:$F$104,6,FALSE)/VLOOKUP(C309,Mortality!$A$2:$F$104,6,FALSE))</x:f>
        <x:v>0.9882419087499175</x:v>
      </x:c>
      <x:c r="L309" s="37" t="n">
        <x:f>VLOOKUP(IF(B309="Pensioner",C309,Assumptions!$B$10),Mortality!$A$2:$E$104,5,FALSE)</x:f>
        <x:v>17.296790022132885</x:v>
      </x:c>
      <x:c r="M309" s="37" t="n">
        <x:f>1+Assumptions!$B$13*Assumptions!$B$14*Assumptions!$B$15</x:f>
        <x:v>1.31875</x:v>
      </x:c>
      <x:c r="N309" s="37" t="n">
        <x:f>IF(B309="Pensioner",1,1/(1+Assumptions!$B$6)^G309)</x:f>
        <x:v>0.7298808365209549</x:v>
      </x:c>
      <x:c r="O309" s="50" t="n">
        <x:f>J309*K309*L309*M309*N309</x:f>
        <x:v>20825965.157613732</x:v>
      </x:c>
    </x:row>
    <x:row r="310">
      <x:c r="A310" s="42" t="str">
        <x:f>Members!A310</x:f>
        <x:v>A0110</x:v>
      </x:c>
      <x:c r="B310" s="42" t="str">
        <x:f>Members!B310</x:f>
        <x:v>Active</x:v>
      </x:c>
      <x:c r="C310" s="42" t="n">
        <x:f>Members!C310</x:f>
        <x:v>54</x:v>
      </x:c>
      <x:c r="D310" s="44" t="n">
        <x:f>Members!D310</x:f>
        <x:v>4.6</x:v>
      </x:c>
      <x:c r="E310" s="48" t="n">
        <x:f>Members!E310</x:f>
        <x:v>1653000</x:v>
      </x:c>
      <x:c r="F310" s="48" t="n">
        <x:f>Members!F310</x:f>
        <x:v>0</x:v>
      </x:c>
      <x:c r="G310" s="46" t="n">
        <x:f>MAX(0,Assumptions!$B$10-C310)</x:f>
        <x:v>6</x:v>
      </x:c>
      <x:c r="H310" s="50" t="n">
        <x:f>IF(B310="Active",E310*(1+Assumptions!$B$7)^G310,E310)</x:f>
        <x:v>2279227.1595774046</x:v>
      </x:c>
      <x:c r="I310" s="50" t="n">
        <x:f>IF(B310="Active",MIN(Assumptions!$B$12,D310+G310),IF(B310="Deferred",MIN(Assumptions!$B$12,D310),D310))</x:f>
        <x:v>10.6</x:v>
      </x:c>
      <x:c r="J310" s="50" t="n">
        <x:f>IF(B310="Active",H310*I310*Assumptions!$B$11,IF(B310="Deferred",E310*I310*Assumptions!$B$11*(1+Assumptions!$B$9)^G310,F310))</x:f>
        <x:v>402663.4648586748</x:v>
      </x:c>
      <x:c r="K310" s="37" t="n">
        <x:f>IF(B310="Pensioner",1,VLOOKUP(Assumptions!$B$10,Mortality!$A$2:$F$104,6,FALSE)/VLOOKUP(C310,Mortality!$A$2:$F$104,6,FALSE))</x:f>
        <x:v>0.9865535119056937</x:v>
      </x:c>
      <x:c r="L310" s="37" t="n">
        <x:f>VLOOKUP(IF(B310="Pensioner",C310,Assumptions!$B$10),Mortality!$A$2:$E$104,5,FALSE)</x:f>
        <x:v>17.296790022132885</x:v>
      </x:c>
      <x:c r="M310" s="37" t="n">
        <x:f>1+Assumptions!$B$13*Assumptions!$B$14*Assumptions!$B$15</x:f>
        <x:v>1.31875</x:v>
      </x:c>
      <x:c r="N310" s="37" t="n">
        <x:f>IF(B310="Pensioner",1,1/(1+Assumptions!$B$6)^G310)</x:f>
        <x:v>0.6853341187990187</x:v>
      </x:c>
      <x:c r="O310" s="50" t="n">
        <x:f>J310*K310*L310*M310*N310</x:f>
        <x:v>6210023.053284913</x:v>
      </x:c>
    </x:row>
    <x:row r="311">
      <x:c r="A311" s="42" t="str">
        <x:f>Members!A311</x:f>
        <x:v>A0569</x:v>
      </x:c>
      <x:c r="B311" s="42" t="str">
        <x:f>Members!B311</x:f>
        <x:v>Active</x:v>
      </x:c>
      <x:c r="C311" s="42" t="n">
        <x:f>Members!C311</x:f>
        <x:v>53</x:v>
      </x:c>
      <x:c r="D311" s="44" t="n">
        <x:f>Members!D311</x:f>
        <x:v>22.4</x:v>
      </x:c>
      <x:c r="E311" s="48" t="n">
        <x:f>Members!E311</x:f>
        <x:v>1725000</x:v>
      </x:c>
      <x:c r="F311" s="48" t="n">
        <x:f>Members!F311</x:f>
        <x:v>0</x:v>
      </x:c>
      <x:c r="G311" s="46" t="n">
        <x:f>MAX(0,Assumptions!$B$10-C311)</x:f>
        <x:v>7</x:v>
      </x:c>
      <x:c r="H311" s="50" t="n">
        <x:f>IF(B311="Active",E311*(1+Assumptions!$B$7)^G311,E311)</x:f>
        <x:v>2509321.552955795</x:v>
      </x:c>
      <x:c r="I311" s="50" t="n">
        <x:f>IF(B311="Active",MIN(Assumptions!$B$12,D311+G311),IF(B311="Deferred",MIN(Assumptions!$B$12,D311),D311))</x:f>
        <x:v>29.4</x:v>
      </x:c>
      <x:c r="J311" s="50" t="n">
        <x:f>IF(B311="Active",H311*I311*Assumptions!$B$11,IF(B311="Deferred",E311*I311*Assumptions!$B$11*(1+Assumptions!$B$9)^G311,F311))</x:f>
        <x:v>1229567.5609483395</x:v>
      </x:c>
      <x:c r="K311" s="37" t="n">
        <x:f>IF(B311="Pensioner",1,VLOOKUP(Assumptions!$B$10,Mortality!$A$2:$F$104,6,FALSE)/VLOOKUP(C311,Mortality!$A$2:$F$104,6,FALSE))</x:f>
        <x:v>0.9850300017431317</x:v>
      </x:c>
      <x:c r="L311" s="37" t="n">
        <x:f>VLOOKUP(IF(B311="Pensioner",C311,Assumptions!$B$10),Mortality!$A$2:$E$104,5,FALSE)</x:f>
        <x:v>17.296790022132885</x:v>
      </x:c>
      <x:c r="M311" s="37" t="n">
        <x:f>1+Assumptions!$B$13*Assumptions!$B$14*Assumptions!$B$15</x:f>
        <x:v>1.31875</x:v>
      </x:c>
      <x:c r="N311" s="37" t="n">
        <x:f>IF(B311="Pensioner",1,1/(1+Assumptions!$B$6)^G311)</x:f>
        <x:v>0.6435062148347594</x:v>
      </x:c>
      <x:c r="O311" s="50" t="n">
        <x:f>J311*K311*L311*M311*N311</x:f>
        <x:v>17777987.096335497</x:v>
      </x:c>
    </x:row>
    <x:row r="312">
      <x:c r="A312" s="42" t="str">
        <x:f>Members!A312</x:f>
        <x:v>A0416</x:v>
      </x:c>
      <x:c r="B312" s="42" t="str">
        <x:f>Members!B312</x:f>
        <x:v>Active</x:v>
      </x:c>
      <x:c r="C312" s="42" t="n">
        <x:f>Members!C312</x:f>
        <x:v>51</x:v>
      </x:c>
      <x:c r="D312" s="44" t="n">
        <x:f>Members!D312</x:f>
        <x:v>1.7</x:v>
      </x:c>
      <x:c r="E312" s="48" t="n">
        <x:f>Members!E312</x:f>
        <x:v>1621000</x:v>
      </x:c>
      <x:c r="F312" s="48" t="n">
        <x:f>Members!F312</x:f>
        <x:v>0</x:v>
      </x:c>
      <x:c r="G312" s="46" t="n">
        <x:f>MAX(0,Assumptions!$B$10-C312)</x:f>
        <x:v>9</x:v>
      </x:c>
      <x:c r="H312" s="50" t="n">
        <x:f>IF(B312="Active",E312*(1+Assumptions!$B$7)^G312,E312)</x:f>
        <x:v>2624551.817053246</x:v>
      </x:c>
      <x:c r="I312" s="50" t="n">
        <x:f>IF(B312="Active",MIN(Assumptions!$B$12,D312+G312),IF(B312="Deferred",MIN(Assumptions!$B$12,D312),D312))</x:f>
        <x:v>10.7</x:v>
      </x:c>
      <x:c r="J312" s="50" t="n">
        <x:f>IF(B312="Active",H312*I312*Assumptions!$B$11,IF(B312="Deferred",E312*I312*Assumptions!$B$11*(1+Assumptions!$B$9)^G312,F312))</x:f>
        <x:v>468045.0740411621</x:v>
      </x:c>
      <x:c r="K312" s="37" t="n">
        <x:f>IF(B312="Pensioner",1,VLOOKUP(Assumptions!$B$10,Mortality!$A$2:$F$104,6,FALSE)/VLOOKUP(C312,Mortality!$A$2:$F$104,6,FALSE))</x:f>
        <x:v>0.9824052797506154</x:v>
      </x:c>
      <x:c r="L312" s="37" t="n">
        <x:f>VLOOKUP(IF(B312="Pensioner",C312,Assumptions!$B$10),Mortality!$A$2:$E$104,5,FALSE)</x:f>
        <x:v>17.296790022132885</x:v>
      </x:c>
      <x:c r="M312" s="37" t="n">
        <x:f>1+Assumptions!$B$13*Assumptions!$B$14*Assumptions!$B$15</x:f>
        <x:v>1.31875</x:v>
      </x:c>
      <x:c r="N312" s="37" t="n">
        <x:f>IF(B312="Pensioner",1,1/(1+Assumptions!$B$6)^G312)</x:f>
        <x:v>0.5673532278293633</x:v>
      </x:c>
      <x:c r="O312" s="50" t="n">
        <x:f>J312*K312*L312*M312*N312</x:f>
        <x:v>5950588.006583583</x:v>
      </x:c>
    </x:row>
    <x:row r="313">
      <x:c r="A313" s="42" t="str">
        <x:f>Members!A313</x:f>
        <x:v>P0007</x:v>
      </x:c>
      <x:c r="B313" s="42" t="str">
        <x:f>Members!B313</x:f>
        <x:v>Pensioner</x:v>
      </x:c>
      <x:c r="C313" s="42" t="n">
        <x:f>Members!C313</x:f>
        <x:v>83</x:v>
      </x:c>
      <x:c r="D313" s="44" t="n">
        <x:f>Members!D313</x:f>
        <x:v>34.8</x:v>
      </x:c>
      <x:c r="E313" s="48" t="n">
        <x:f>Members!E313</x:f>
        <x:v>0</x:v>
      </x:c>
      <x:c r="F313" s="48" t="n">
        <x:f>Members!F313</x:f>
        <x:v>593000</x:v>
      </x:c>
      <x:c r="G313" s="46" t="n">
        <x:f>MAX(0,Assumptions!$B$10-C313)</x:f>
        <x:v>0</x:v>
      </x:c>
      <x:c r="H313" s="50" t="n">
        <x:f>IF(B313="Active",E313*(1+Assumptions!$B$7)^G313,E313)</x:f>
        <x:v>0</x:v>
      </x:c>
      <x:c r="I313" s="50" t="n">
        <x:f>IF(B313="Active",MIN(Assumptions!$B$12,D313+G313),IF(B313="Deferred",MIN(Assumptions!$B$12,D313),D313))</x:f>
        <x:v>34.8</x:v>
      </x:c>
      <x:c r="J313" s="50" t="n">
        <x:f>IF(B313="Active",H313*I313*Assumptions!$B$11,IF(B313="Deferred",E313*I313*Assumptions!$B$11*(1+Assumptions!$B$9)^G313,F313))</x:f>
        <x:v>593000</x:v>
      </x:c>
      <x:c r="K313" s="37" t="n">
        <x:f>IF(B313="Pensioner",1,VLOOKUP(Assumptions!$B$10,Mortality!$A$2:$F$104,6,FALSE)/VLOOKUP(C313,Mortality!$A$2:$F$104,6,FALSE))</x:f>
        <x:v>1</x:v>
      </x:c>
      <x:c r="L313" s="37" t="n">
        <x:f>VLOOKUP(IF(B313="Pensioner",C313,Assumptions!$B$10),Mortality!$A$2:$E$104,5,FALSE)</x:f>
        <x:v>7.066956273830788</x:v>
      </x:c>
      <x:c r="M313" s="37" t="n">
        <x:f>1+Assumptions!$B$13*Assumptions!$B$14*Assumptions!$B$15</x:f>
        <x:v>1.31875</x:v>
      </x:c>
      <x:c r="N313" s="37" t="n">
        <x:f>IF(B313="Pensioner",1,1/(1+Assumptions!$B$6)^G313)</x:f>
        <x:v>1</x:v>
      </x:c>
      <x:c r="O313" s="50" t="n">
        <x:f>J313*K313*L313*M313*N313</x:f>
        <x:v>5526492.311565811</x:v>
      </x:c>
    </x:row>
    <x:row r="314">
      <x:c r="A314" s="42" t="str">
        <x:f>Members!A314</x:f>
        <x:v>P0103</x:v>
      </x:c>
      <x:c r="B314" s="42" t="str">
        <x:f>Members!B314</x:f>
        <x:v>Pensioner</x:v>
      </x:c>
      <x:c r="C314" s="42" t="n">
        <x:f>Members!C314</x:f>
        <x:v>71</x:v>
      </x:c>
      <x:c r="D314" s="44" t="n">
        <x:f>Members!D314</x:f>
        <x:v>38.1</x:v>
      </x:c>
      <x:c r="E314" s="48" t="n">
        <x:f>Members!E314</x:f>
        <x:v>0</x:v>
      </x:c>
      <x:c r="F314" s="48" t="n">
        <x:f>Members!F314</x:f>
        <x:v>213000</x:v>
      </x:c>
      <x:c r="G314" s="46" t="n">
        <x:f>MAX(0,Assumptions!$B$10-C314)</x:f>
        <x:v>0</x:v>
      </x:c>
      <x:c r="H314" s="50" t="n">
        <x:f>IF(B314="Active",E314*(1+Assumptions!$B$7)^G314,E314)</x:f>
        <x:v>0</x:v>
      </x:c>
      <x:c r="I314" s="50" t="n">
        <x:f>IF(B314="Active",MIN(Assumptions!$B$12,D314+G314),IF(B314="Deferred",MIN(Assumptions!$B$12,D314),D314))</x:f>
        <x:v>38.1</x:v>
      </x:c>
      <x:c r="J314" s="50" t="n">
        <x:f>IF(B314="Active",H314*I314*Assumptions!$B$11,IF(B314="Deferred",E314*I314*Assumptions!$B$11*(1+Assumptions!$B$9)^G314,F314))</x:f>
        <x:v>213000</x:v>
      </x:c>
      <x:c r="K314" s="37" t="n">
        <x:f>IF(B314="Pensioner",1,VLOOKUP(Assumptions!$B$10,Mortality!$A$2:$F$104,6,FALSE)/VLOOKUP(C314,Mortality!$A$2:$F$104,6,FALSE))</x:f>
        <x:v>1</x:v>
      </x:c>
      <x:c r="L314" s="37" t="n">
        <x:f>VLOOKUP(IF(B314="Pensioner",C314,Assumptions!$B$10),Mortality!$A$2:$E$104,5,FALSE)</x:f>
        <x:v>12.506703342154774</x:v>
      </x:c>
      <x:c r="M314" s="37" t="n">
        <x:f>1+Assumptions!$B$13*Assumptions!$B$14*Assumptions!$B$15</x:f>
        <x:v>1.31875</x:v>
      </x:c>
      <x:c r="N314" s="37" t="n">
        <x:f>IF(B314="Pensioner",1,1/(1+Assumptions!$B$6)^G314)</x:f>
        <x:v>1</x:v>
      </x:c>
      <x:c r="O314" s="50" t="n">
        <x:f>J314*K314*L314*M314*N314</x:f>
        <x:v>3513054.8019153876</x:v>
      </x:c>
    </x:row>
    <x:row r="315">
      <x:c r="A315" s="42" t="str">
        <x:f>Members!A315</x:f>
        <x:v>A0074</x:v>
      </x:c>
      <x:c r="B315" s="42" t="str">
        <x:f>Members!B315</x:f>
        <x:v>Active</x:v>
      </x:c>
      <x:c r="C315" s="42" t="n">
        <x:f>Members!C315</x:f>
        <x:v>27</x:v>
      </x:c>
      <x:c r="D315" s="44" t="n">
        <x:f>Members!D315</x:f>
        <x:v>6.6</x:v>
      </x:c>
      <x:c r="E315" s="48" t="n">
        <x:f>Members!E315</x:f>
        <x:v>507000</x:v>
      </x:c>
      <x:c r="F315" s="48" t="n">
        <x:f>Members!F315</x:f>
        <x:v>0</x:v>
      </x:c>
      <x:c r="G315" s="46" t="n">
        <x:f>MAX(0,Assumptions!$B$10-C315)</x:f>
        <x:v>33</x:v>
      </x:c>
      <x:c r="H315" s="50" t="n">
        <x:f>IF(B315="Active",E315*(1+Assumptions!$B$7)^G315,E315)</x:f>
        <x:v>2967147.4396057446</x:v>
      </x:c>
      <x:c r="I315" s="50" t="n">
        <x:f>IF(B315="Active",MIN(Assumptions!$B$12,D315+G315),IF(B315="Deferred",MIN(Assumptions!$B$12,D315),D315))</x:f>
        <x:v>39.6</x:v>
      </x:c>
      <x:c r="J315" s="50" t="n">
        <x:f>IF(B315="Active",H315*I315*Assumptions!$B$11,IF(B315="Deferred",E315*I315*Assumptions!$B$11*(1+Assumptions!$B$9)^G315,F315))</x:f>
        <x:v>1958317.3101397913</x:v>
      </x:c>
      <x:c r="K315" s="37" t="n">
        <x:f>IF(B315="Pensioner",1,VLOOKUP(Assumptions!$B$10,Mortality!$A$2:$F$104,6,FALSE)/VLOOKUP(C315,Mortality!$A$2:$F$104,6,FALSE))</x:f>
        <x:v>0.9694971330284515</x:v>
      </x:c>
      <x:c r="L315" s="37" t="n">
        <x:f>VLOOKUP(IF(B315="Pensioner",C315,Assumptions!$B$10),Mortality!$A$2:$E$104,5,FALSE)</x:f>
        <x:v>17.296790022132885</x:v>
      </x:c>
      <x:c r="M315" s="37" t="n">
        <x:f>1+Assumptions!$B$13*Assumptions!$B$14*Assumptions!$B$15</x:f>
        <x:v>1.31875</x:v>
      </x:c>
      <x:c r="N315" s="37" t="n">
        <x:f>IF(B315="Pensioner",1,1/(1+Assumptions!$B$6)^G315)</x:f>
        <x:v>0.12515924752227392</x:v>
      </x:c>
      <x:c r="O315" s="50" t="n">
        <x:f>J315*K315*L315*M315*N315</x:f>
        <x:v>5420265.01576565</x:v>
      </x:c>
    </x:row>
    <x:row r="316">
      <x:c r="A316" s="42" t="str">
        <x:f>Members!A316</x:f>
        <x:v>D0092</x:v>
      </x:c>
      <x:c r="B316" s="42" t="str">
        <x:f>Members!B316</x:f>
        <x:v>Deferred</x:v>
      </x:c>
      <x:c r="C316" s="42" t="n">
        <x:f>Members!C316</x:f>
        <x:v>41</x:v>
      </x:c>
      <x:c r="D316" s="44" t="n">
        <x:f>Members!D316</x:f>
        <x:v>6.7</x:v>
      </x:c>
      <x:c r="E316" s="48" t="n">
        <x:f>Members!E316</x:f>
        <x:v>753000</x:v>
      </x:c>
      <x:c r="F316" s="48" t="n">
        <x:f>Members!F316</x:f>
        <x:v>0</x:v>
      </x:c>
      <x:c r="G316" s="46" t="n">
        <x:f>MAX(0,Assumptions!$B$10-C316)</x:f>
        <x:v>19</x:v>
      </x:c>
      <x:c r="H316" s="50" t="n">
        <x:f>IF(B316="Active",E316*(1+Assumptions!$B$7)^G316,E316)</x:f>
        <x:v>753000</x:v>
      </x:c>
      <x:c r="I316" s="50" t="n">
        <x:f>IF(B316="Active",MIN(Assumptions!$B$12,D316+G316),IF(B316="Deferred",MIN(Assumptions!$B$12,D316),D316))</x:f>
        <x:v>6.7</x:v>
      </x:c>
      <x:c r="J316" s="50" t="n">
        <x:f>IF(B316="Active",H316*I316*Assumptions!$B$11,IF(B316="Deferred",E316*I316*Assumptions!$B$11*(1+Assumptions!$B$9)^G316,F316))</x:f>
        <x:v>177154.4129634281</x:v>
      </x:c>
      <x:c r="K316" s="37" t="n">
        <x:f>IF(B316="Pensioner",1,VLOOKUP(Assumptions!$B$10,Mortality!$A$2:$F$104,6,FALSE)/VLOOKUP(C316,Mortality!$A$2:$F$104,6,FALSE))</x:f>
        <x:v>0.9745478954079534</x:v>
      </x:c>
      <x:c r="L316" s="37" t="n">
        <x:f>VLOOKUP(IF(B316="Pensioner",C316,Assumptions!$B$10),Mortality!$A$2:$E$104,5,FALSE)</x:f>
        <x:v>17.296790022132885</x:v>
      </x:c>
      <x:c r="M316" s="37" t="n">
        <x:f>1+Assumptions!$B$13*Assumptions!$B$14*Assumptions!$B$15</x:f>
        <x:v>1.31875</x:v>
      </x:c>
      <x:c r="N316" s="37" t="n">
        <x:f>IF(B316="Pensioner",1,1/(1+Assumptions!$B$6)^G316)</x:f>
        <x:v>0.30224383580131214</x:v>
      </x:c>
      <x:c r="O316" s="50" t="n">
        <x:f>J316*K316*L316*M316*N316</x:f>
        <x:v>1190256.6081433005</x:v>
      </x:c>
    </x:row>
    <x:row r="317">
      <x:c r="A317" s="42" t="str">
        <x:f>Members!A317</x:f>
        <x:v>D0048</x:v>
      </x:c>
      <x:c r="B317" s="42" t="str">
        <x:f>Members!B317</x:f>
        <x:v>Deferred</x:v>
      </x:c>
      <x:c r="C317" s="42" t="n">
        <x:f>Members!C317</x:f>
        <x:v>53</x:v>
      </x:c>
      <x:c r="D317" s="44" t="n">
        <x:f>Members!D317</x:f>
        <x:v>22.7</x:v>
      </x:c>
      <x:c r="E317" s="48" t="n">
        <x:f>Members!E317</x:f>
        <x:v>847000</x:v>
      </x:c>
      <x:c r="F317" s="48" t="n">
        <x:f>Members!F317</x:f>
        <x:v>0</x:v>
      </x:c>
      <x:c r="G317" s="46" t="n">
        <x:f>MAX(0,Assumptions!$B$10-C317)</x:f>
        <x:v>7</x:v>
      </x:c>
      <x:c r="H317" s="50" t="n">
        <x:f>IF(B317="Active",E317*(1+Assumptions!$B$7)^G317,E317)</x:f>
        <x:v>847000</x:v>
      </x:c>
      <x:c r="I317" s="50" t="n">
        <x:f>IF(B317="Active",MIN(Assumptions!$B$12,D317+G317),IF(B317="Deferred",MIN(Assumptions!$B$12,D317),D317))</x:f>
        <x:v>22.7</x:v>
      </x:c>
      <x:c r="J317" s="50" t="n">
        <x:f>IF(B317="Active",H317*I317*Assumptions!$B$11,IF(B317="Deferred",E317*I317*Assumptions!$B$11*(1+Assumptions!$B$9)^G317,F317))</x:f>
        <x:v>421688.1454364929</x:v>
      </x:c>
      <x:c r="K317" s="37" t="n">
        <x:f>IF(B317="Pensioner",1,VLOOKUP(Assumptions!$B$10,Mortality!$A$2:$F$104,6,FALSE)/VLOOKUP(C317,Mortality!$A$2:$F$104,6,FALSE))</x:f>
        <x:v>0.9850300017431317</x:v>
      </x:c>
      <x:c r="L317" s="37" t="n">
        <x:f>VLOOKUP(IF(B317="Pensioner",C317,Assumptions!$B$10),Mortality!$A$2:$E$104,5,FALSE)</x:f>
        <x:v>17.296790022132885</x:v>
      </x:c>
      <x:c r="M317" s="37" t="n">
        <x:f>1+Assumptions!$B$13*Assumptions!$B$14*Assumptions!$B$15</x:f>
        <x:v>1.31875</x:v>
      </x:c>
      <x:c r="N317" s="37" t="n">
        <x:f>IF(B317="Pensioner",1,1/(1+Assumptions!$B$6)^G317)</x:f>
        <x:v>0.6435062148347594</x:v>
      </x:c>
      <x:c r="O317" s="50" t="n">
        <x:f>J317*K317*L317*M317*N317</x:f>
        <x:v>6097075.627520231</x:v>
      </x:c>
    </x:row>
    <x:row r="318">
      <x:c r="A318" s="42" t="str">
        <x:f>Members!A318</x:f>
        <x:v>A0311</x:v>
      </x:c>
      <x:c r="B318" s="42" t="str">
        <x:f>Members!B318</x:f>
        <x:v>Active</x:v>
      </x:c>
      <x:c r="C318" s="42" t="n">
        <x:f>Members!C318</x:f>
        <x:v>54</x:v>
      </x:c>
      <x:c r="D318" s="44" t="n">
        <x:f>Members!D318</x:f>
        <x:v>28.3</x:v>
      </x:c>
      <x:c r="E318" s="48" t="n">
        <x:f>Members!E318</x:f>
        <x:v>1330000</x:v>
      </x:c>
      <x:c r="F318" s="48" t="n">
        <x:f>Members!F318</x:f>
        <x:v>0</x:v>
      </x:c>
      <x:c r="G318" s="46" t="n">
        <x:f>MAX(0,Assumptions!$B$10-C318)</x:f>
        <x:v>6</x:v>
      </x:c>
      <x:c r="H318" s="50" t="n">
        <x:f>IF(B318="Active",E318*(1+Assumptions!$B$7)^G318,E318)</x:f>
        <x:v>1833860.932993314</x:v>
      </x:c>
      <x:c r="I318" s="50" t="n">
        <x:f>IF(B318="Active",MIN(Assumptions!$B$12,D318+G318),IF(B318="Deferred",MIN(Assumptions!$B$12,D318),D318))</x:f>
        <x:v>34.3</x:v>
      </x:c>
      <x:c r="J318" s="50" t="n">
        <x:f>IF(B318="Active",H318*I318*Assumptions!$B$11,IF(B318="Deferred",E318*I318*Assumptions!$B$11*(1+Assumptions!$B$9)^G318,F318))</x:f>
        <x:v>1048357.1666945111</x:v>
      </x:c>
      <x:c r="K318" s="37" t="n">
        <x:f>IF(B318="Pensioner",1,VLOOKUP(Assumptions!$B$10,Mortality!$A$2:$F$104,6,FALSE)/VLOOKUP(C318,Mortality!$A$2:$F$104,6,FALSE))</x:f>
        <x:v>0.9865535119056937</x:v>
      </x:c>
      <x:c r="L318" s="37" t="n">
        <x:f>VLOOKUP(IF(B318="Pensioner",C318,Assumptions!$B$10),Mortality!$A$2:$E$104,5,FALSE)</x:f>
        <x:v>17.296790022132885</x:v>
      </x:c>
      <x:c r="M318" s="37" t="n">
        <x:f>1+Assumptions!$B$13*Assumptions!$B$14*Assumptions!$B$15</x:f>
        <x:v>1.31875</x:v>
      </x:c>
      <x:c r="N318" s="37" t="n">
        <x:f>IF(B318="Pensioner",1,1/(1+Assumptions!$B$6)^G318)</x:f>
        <x:v>0.6853341187990187</x:v>
      </x:c>
      <x:c r="O318" s="50" t="n">
        <x:f>J318*K318*L318*M318*N318</x:f>
        <x:v>16168147.20335836</x:v>
      </x:c>
    </x:row>
    <x:row r="319">
      <x:c r="A319" s="42" t="str">
        <x:f>Members!A319</x:f>
        <x:v>P0162</x:v>
      </x:c>
      <x:c r="B319" s="42" t="str">
        <x:f>Members!B319</x:f>
        <x:v>Pensioner</x:v>
      </x:c>
      <x:c r="C319" s="42" t="n">
        <x:f>Members!C319</x:f>
        <x:v>68</x:v>
      </x:c>
      <x:c r="D319" s="44" t="n">
        <x:f>Members!D319</x:f>
        <x:v>16.9</x:v>
      </x:c>
      <x:c r="E319" s="48" t="n">
        <x:f>Members!E319</x:f>
        <x:v>0</x:v>
      </x:c>
      <x:c r="F319" s="48" t="n">
        <x:f>Members!F319</x:f>
        <x:v>346000</x:v>
      </x:c>
      <x:c r="G319" s="46" t="n">
        <x:f>MAX(0,Assumptions!$B$10-C319)</x:f>
        <x:v>0</x:v>
      </x:c>
      <x:c r="H319" s="50" t="n">
        <x:f>IF(B319="Active",E319*(1+Assumptions!$B$7)^G319,E319)</x:f>
        <x:v>0</x:v>
      </x:c>
      <x:c r="I319" s="50" t="n">
        <x:f>IF(B319="Active",MIN(Assumptions!$B$12,D319+G319),IF(B319="Deferred",MIN(Assumptions!$B$12,D319),D319))</x:f>
        <x:v>16.9</x:v>
      </x:c>
      <x:c r="J319" s="50" t="n">
        <x:f>IF(B319="Active",H319*I319*Assumptions!$B$11,IF(B319="Deferred",E319*I319*Assumptions!$B$11*(1+Assumptions!$B$9)^G319,F319))</x:f>
        <x:v>346000</x:v>
      </x:c>
      <x:c r="K319" s="37" t="n">
        <x:f>IF(B319="Pensioner",1,VLOOKUP(Assumptions!$B$10,Mortality!$A$2:$F$104,6,FALSE)/VLOOKUP(C319,Mortality!$A$2:$F$104,6,FALSE))</x:f>
        <x:v>1</x:v>
      </x:c>
      <x:c r="L319" s="37" t="n">
        <x:f>VLOOKUP(IF(B319="Pensioner",C319,Assumptions!$B$10),Mortality!$A$2:$E$104,5,FALSE)</x:f>
        <x:v>13.869459484105445</x:v>
      </x:c>
      <x:c r="M319" s="37" t="n">
        <x:f>1+Assumptions!$B$13*Assumptions!$B$14*Assumptions!$B$15</x:f>
        <x:v>1.31875</x:v>
      </x:c>
      <x:c r="N319" s="37" t="n">
        <x:f>IF(B319="Pensioner",1,1/(1+Assumptions!$B$6)^G319)</x:f>
        <x:v>1</x:v>
      </x:c>
      <x:c r="O319" s="50" t="n">
        <x:f>J319*K319*L319*M319*N319</x:f>
        <x:v>6328460.994353764</x:v>
      </x:c>
    </x:row>
    <x:row r="320">
      <x:c r="A320" s="42" t="str">
        <x:f>Members!A320</x:f>
        <x:v>A0521</x:v>
      </x:c>
      <x:c r="B320" s="42" t="str">
        <x:f>Members!B320</x:f>
        <x:v>Active</x:v>
      </x:c>
      <x:c r="C320" s="42" t="n">
        <x:f>Members!C320</x:f>
        <x:v>30</x:v>
      </x:c>
      <x:c r="D320" s="44" t="n">
        <x:f>Members!D320</x:f>
        <x:v>2.5</x:v>
      </x:c>
      <x:c r="E320" s="48" t="n">
        <x:f>Members!E320</x:f>
        <x:v>564000</x:v>
      </x:c>
      <x:c r="F320" s="48" t="n">
        <x:f>Members!F320</x:f>
        <x:v>0</x:v>
      </x:c>
      <x:c r="G320" s="46" t="n">
        <x:f>MAX(0,Assumptions!$B$10-C320)</x:f>
        <x:v>30</x:v>
      </x:c>
      <x:c r="H320" s="50" t="n">
        <x:f>IF(B320="Active",E320*(1+Assumptions!$B$7)^G320,E320)</x:f>
        <x:v>2810948.526654814</x:v>
      </x:c>
      <x:c r="I320" s="50" t="n">
        <x:f>IF(B320="Active",MIN(Assumptions!$B$12,D320+G320),IF(B320="Deferred",MIN(Assumptions!$B$12,D320),D320))</x:f>
        <x:v>32.5</x:v>
      </x:c>
      <x:c r="J320" s="50" t="n">
        <x:f>IF(B320="Active",H320*I320*Assumptions!$B$11,IF(B320="Deferred",E320*I320*Assumptions!$B$11*(1+Assumptions!$B$9)^G320,F320))</x:f>
        <x:v>1522597.1186046908</x:v>
      </x:c>
      <x:c r="K320" s="37" t="n">
        <x:f>IF(B320="Pensioner",1,VLOOKUP(Assumptions!$B$10,Mortality!$A$2:$F$104,6,FALSE)/VLOOKUP(C320,Mortality!$A$2:$F$104,6,FALSE))</x:f>
        <x:v>0.9703456880318753</x:v>
      </x:c>
      <x:c r="L320" s="37" t="n">
        <x:f>VLOOKUP(IF(B320="Pensioner",C320,Assumptions!$B$10),Mortality!$A$2:$E$104,5,FALSE)</x:f>
        <x:v>17.296790022132885</x:v>
      </x:c>
      <x:c r="M320" s="37" t="n">
        <x:f>1+Assumptions!$B$13*Assumptions!$B$14*Assumptions!$B$15</x:f>
        <x:v>1.31875</x:v>
      </x:c>
      <x:c r="N320" s="37" t="n">
        <x:f>IF(B320="Pensioner",1,1/(1+Assumptions!$B$6)^G320)</x:f>
        <x:v>0.1511860661098129</x:v>
      </x:c>
      <x:c r="O320" s="50" t="n">
        <x:f>J320*K320*L320*M320*N320</x:f>
        <x:v>5095082.687792064</x:v>
      </x:c>
    </x:row>
    <x:row r="321">
      <x:c r="A321" s="42" t="str">
        <x:f>Members!A321</x:f>
        <x:v>D0025</x:v>
      </x:c>
      <x:c r="B321" s="42" t="str">
        <x:f>Members!B321</x:f>
        <x:v>Deferred</x:v>
      </x:c>
      <x:c r="C321" s="42" t="n">
        <x:f>Members!C321</x:f>
        <x:v>56</x:v>
      </x:c>
      <x:c r="D321" s="44" t="n">
        <x:f>Members!D321</x:f>
        <x:v>23.2</x:v>
      </x:c>
      <x:c r="E321" s="48" t="n">
        <x:f>Members!E321</x:f>
        <x:v>982000</x:v>
      </x:c>
      <x:c r="F321" s="48" t="n">
        <x:f>Members!F321</x:f>
        <x:v>0</x:v>
      </x:c>
      <x:c r="G321" s="46" t="n">
        <x:f>MAX(0,Assumptions!$B$10-C321)</x:f>
        <x:v>4</x:v>
      </x:c>
      <x:c r="H321" s="50" t="n">
        <x:f>IF(B321="Active",E321*(1+Assumptions!$B$7)^G321,E321)</x:f>
        <x:v>982000</x:v>
      </x:c>
      <x:c r="I321" s="50" t="n">
        <x:f>IF(B321="Active",MIN(Assumptions!$B$12,D321+G321),IF(B321="Deferred",MIN(Assumptions!$B$12,D321),D321))</x:f>
        <x:v>23.2</x:v>
      </x:c>
      <x:c r="J321" s="50" t="n">
        <x:f>IF(B321="Active",H321*I321*Assumptions!$B$11,IF(B321="Deferred",E321*I321*Assumptions!$B$11*(1+Assumptions!$B$9)^G321,F321))</x:f>
        <x:v>444203.0942890668</x:v>
      </x:c>
      <x:c r="K321" s="37" t="n">
        <x:f>IF(B321="Pensioner",1,VLOOKUP(Assumptions!$B$10,Mortality!$A$2:$F$104,6,FALSE)/VLOOKUP(C321,Mortality!$A$2:$F$104,6,FALSE))</x:f>
        <x:v>0.990116255810422</x:v>
      </x:c>
      <x:c r="L321" s="37" t="n">
        <x:f>VLOOKUP(IF(B321="Pensioner",C321,Assumptions!$B$10),Mortality!$A$2:$E$104,5,FALSE)</x:f>
        <x:v>17.296790022132885</x:v>
      </x:c>
      <x:c r="M321" s="37" t="n">
        <x:f>1+Assumptions!$B$13*Assumptions!$B$14*Assumptions!$B$15</x:f>
        <x:v>1.31875</x:v>
      </x:c>
      <x:c r="N321" s="37" t="n">
        <x:f>IF(B321="Pensioner",1,1/(1+Assumptions!$B$6)^G321)</x:f>
        <x:v>0.777323090894817</x:v>
      </x:c>
      <x:c r="O321" s="50" t="n">
        <x:f>J321*K321*L321*M321*N321</x:f>
        <x:v>7798253.074702627</x:v>
      </x:c>
    </x:row>
    <x:row r="322">
      <x:c r="A322" s="42" t="str">
        <x:f>Members!A322</x:f>
        <x:v>A0236</x:v>
      </x:c>
      <x:c r="B322" s="42" t="str">
        <x:f>Members!B322</x:f>
        <x:v>Active</x:v>
      </x:c>
      <x:c r="C322" s="42" t="n">
        <x:f>Members!C322</x:f>
        <x:v>34</x:v>
      </x:c>
      <x:c r="D322" s="44" t="n">
        <x:f>Members!D322</x:f>
        <x:v>8.3</x:v>
      </x:c>
      <x:c r="E322" s="48" t="n">
        <x:f>Members!E322</x:f>
        <x:v>746000</x:v>
      </x:c>
      <x:c r="F322" s="48" t="n">
        <x:f>Members!F322</x:f>
        <x:v>0</x:v>
      </x:c>
      <x:c r="G322" s="46" t="n">
        <x:f>MAX(0,Assumptions!$B$10-C322)</x:f>
        <x:v>26</x:v>
      </x:c>
      <x:c r="H322" s="50" t="n">
        <x:f>IF(B322="Active",E322*(1+Assumptions!$B$7)^G322,E322)</x:f>
        <x:v>3001254.1801351244</x:v>
      </x:c>
      <x:c r="I322" s="50" t="n">
        <x:f>IF(B322="Active",MIN(Assumptions!$B$12,D322+G322),IF(B322="Deferred",MIN(Assumptions!$B$12,D322),D322))</x:f>
        <x:v>34.3</x:v>
      </x:c>
      <x:c r="J322" s="50" t="n">
        <x:f>IF(B322="Active",H322*I322*Assumptions!$B$11,IF(B322="Deferred",E322*I322*Assumptions!$B$11*(1+Assumptions!$B$9)^G322,F322))</x:f>
        <x:v>1715716.972977246</x:v>
      </x:c>
      <x:c r="K322" s="37" t="n">
        <x:f>IF(B322="Pensioner",1,VLOOKUP(Assumptions!$B$10,Mortality!$A$2:$F$104,6,FALSE)/VLOOKUP(C322,Mortality!$A$2:$F$104,6,FALSE))</x:f>
        <x:v>0.9716205819233391</x:v>
      </x:c>
      <x:c r="L322" s="37" t="n">
        <x:f>VLOOKUP(IF(B322="Pensioner",C322,Assumptions!$B$10),Mortality!$A$2:$E$104,5,FALSE)</x:f>
        <x:v>17.296790022132885</x:v>
      </x:c>
      <x:c r="M322" s="37" t="n">
        <x:f>1+Assumptions!$B$13*Assumptions!$B$14*Assumptions!$B$15</x:f>
        <x:v>1.31875</x:v>
      </x:c>
      <x:c r="N322" s="37" t="n">
        <x:f>IF(B322="Pensioner",1,1/(1+Assumptions!$B$6)^G322)</x:f>
        <x:v>0.19449578673364096</x:v>
      </x:c>
      <x:c r="O322" s="50" t="n">
        <x:f>J322*K322*L322*M322*N322</x:f>
        <x:v>7395721.307054301</x:v>
      </x:c>
    </x:row>
    <x:row r="323">
      <x:c r="A323" s="42" t="str">
        <x:f>Members!A323</x:f>
        <x:v>A0265</x:v>
      </x:c>
      <x:c r="B323" s="42" t="str">
        <x:f>Members!B323</x:f>
        <x:v>Active</x:v>
      </x:c>
      <x:c r="C323" s="42" t="n">
        <x:f>Members!C323</x:f>
        <x:v>46</x:v>
      </x:c>
      <x:c r="D323" s="44" t="n">
        <x:f>Members!D323</x:f>
        <x:v>2.2</x:v>
      </x:c>
      <x:c r="E323" s="48" t="n">
        <x:f>Members!E323</x:f>
        <x:v>1345000</x:v>
      </x:c>
      <x:c r="F323" s="48" t="n">
        <x:f>Members!F323</x:f>
        <x:v>0</x:v>
      </x:c>
      <x:c r="G323" s="46" t="n">
        <x:f>MAX(0,Assumptions!$B$10-C323)</x:f>
        <x:v>14</x:v>
      </x:c>
      <x:c r="H323" s="50" t="n">
        <x:f>IF(B323="Active",E323*(1+Assumptions!$B$7)^G323,E323)</x:f>
        <x:v>2846143.0161706563</x:v>
      </x:c>
      <x:c r="I323" s="50" t="n">
        <x:f>IF(B323="Active",MIN(Assumptions!$B$12,D323+G323),IF(B323="Deferred",MIN(Assumptions!$B$12,D323),D323))</x:f>
        <x:v>16.2</x:v>
      </x:c>
      <x:c r="J323" s="50" t="n">
        <x:f>IF(B323="Active",H323*I323*Assumptions!$B$11,IF(B323="Deferred",E323*I323*Assumptions!$B$11*(1+Assumptions!$B$9)^G323,F323))</x:f>
        <x:v>768458.6143660771</x:v>
      </x:c>
      <x:c r="K323" s="37" t="n">
        <x:f>IF(B323="Pensioner",1,VLOOKUP(Assumptions!$B$10,Mortality!$A$2:$F$104,6,FALSE)/VLOOKUP(C323,Mortality!$A$2:$F$104,6,FALSE))</x:f>
        <x:v>0.9776582328304806</x:v>
      </x:c>
      <x:c r="L323" s="37" t="n">
        <x:f>VLOOKUP(IF(B323="Pensioner",C323,Assumptions!$B$10),Mortality!$A$2:$E$104,5,FALSE)</x:f>
        <x:v>17.296790022132885</x:v>
      </x:c>
      <x:c r="M323" s="37" t="n">
        <x:f>1+Assumptions!$B$13*Assumptions!$B$14*Assumptions!$B$15</x:f>
        <x:v>1.31875</x:v>
      </x:c>
      <x:c r="N323" s="37" t="n">
        <x:f>IF(B323="Pensioner",1,1/(1+Assumptions!$B$6)^G323)</x:f>
        <x:v>0.41410024853095956</x:v>
      </x:c>
      <x:c r="O323" s="50" t="n">
        <x:f>J323*K323*L323*M323*N323</x:f>
        <x:v>7096447.958132443</x:v>
      </x:c>
    </x:row>
    <x:row r="324">
      <x:c r="A324" s="42" t="str">
        <x:f>Members!A324</x:f>
        <x:v>A0578</x:v>
      </x:c>
      <x:c r="B324" s="42" t="str">
        <x:f>Members!B324</x:f>
        <x:v>Active</x:v>
      </x:c>
      <x:c r="C324" s="42" t="n">
        <x:f>Members!C324</x:f>
        <x:v>45</x:v>
      </x:c>
      <x:c r="D324" s="44" t="n">
        <x:f>Members!D324</x:f>
        <x:v>18.9</x:v>
      </x:c>
      <x:c r="E324" s="48" t="n">
        <x:f>Members!E324</x:f>
        <x:v>1011000</x:v>
      </x:c>
      <x:c r="F324" s="48" t="n">
        <x:f>Members!F324</x:f>
        <x:v>0</x:v>
      </x:c>
      <x:c r="G324" s="46" t="n">
        <x:f>MAX(0,Assumptions!$B$10-C324)</x:f>
        <x:v>15</x:v>
      </x:c>
      <x:c r="H324" s="50" t="n">
        <x:f>IF(B324="Active",E324*(1+Assumptions!$B$7)^G324,E324)</x:f>
        <x:v>2257033.733652567</x:v>
      </x:c>
      <x:c r="I324" s="50" t="n">
        <x:f>IF(B324="Active",MIN(Assumptions!$B$12,D324+G324),IF(B324="Deferred",MIN(Assumptions!$B$12,D324),D324))</x:f>
        <x:v>33.9</x:v>
      </x:c>
      <x:c r="J324" s="50" t="n">
        <x:f>IF(B324="Active",H324*I324*Assumptions!$B$11,IF(B324="Deferred",E324*I324*Assumptions!$B$11*(1+Assumptions!$B$9)^G324,F324))</x:f>
        <x:v>1275224.0595137002</x:v>
      </x:c>
      <x:c r="K324" s="37" t="n">
        <x:f>IF(B324="Pensioner",1,VLOOKUP(Assumptions!$B$10,Mortality!$A$2:$F$104,6,FALSE)/VLOOKUP(C324,Mortality!$A$2:$F$104,6,FALSE))</x:f>
        <x:v>0.9769349478194655</x:v>
      </x:c>
      <x:c r="L324" s="37" t="n">
        <x:f>VLOOKUP(IF(B324="Pensioner",C324,Assumptions!$B$10),Mortality!$A$2:$E$104,5,FALSE)</x:f>
        <x:v>17.296790022132885</x:v>
      </x:c>
      <x:c r="M324" s="37" t="n">
        <x:f>1+Assumptions!$B$13*Assumptions!$B$14*Assumptions!$B$15</x:f>
        <x:v>1.31875</x:v>
      </x:c>
      <x:c r="N324" s="37" t="n">
        <x:f>IF(B324="Pensioner",1,1/(1+Assumptions!$B$6)^G324)</x:f>
        <x:v>0.38882652444221566</x:v>
      </x:c>
      <x:c r="O324" s="50" t="n">
        <x:f>J324*K324*L324*M324*N324</x:f>
        <x:v>11049331.745547222</x:v>
      </x:c>
    </x:row>
    <x:row r="325">
      <x:c r="A325" s="42" t="str">
        <x:f>Members!A325</x:f>
        <x:v>D0013</x:v>
      </x:c>
      <x:c r="B325" s="42" t="str">
        <x:f>Members!B325</x:f>
        <x:v>Deferred</x:v>
      </x:c>
      <x:c r="C325" s="42" t="n">
        <x:f>Members!C325</x:f>
        <x:v>45</x:v>
      </x:c>
      <x:c r="D325" s="44" t="n">
        <x:f>Members!D325</x:f>
        <x:v>16.4</x:v>
      </x:c>
      <x:c r="E325" s="48" t="n">
        <x:f>Members!E325</x:f>
        <x:v>546000</x:v>
      </x:c>
      <x:c r="F325" s="48" t="n">
        <x:f>Members!F325</x:f>
        <x:v>0</x:v>
      </x:c>
      <x:c r="G325" s="46" t="n">
        <x:f>MAX(0,Assumptions!$B$10-C325)</x:f>
        <x:v>15</x:v>
      </x:c>
      <x:c r="H325" s="50" t="n">
        <x:f>IF(B325="Active",E325*(1+Assumptions!$B$7)^G325,E325)</x:f>
        <x:v>546000</x:v>
      </x:c>
      <x:c r="I325" s="50" t="n">
        <x:f>IF(B325="Active",MIN(Assumptions!$B$12,D325+G325),IF(B325="Deferred",MIN(Assumptions!$B$12,D325),D325))</x:f>
        <x:v>16.4</x:v>
      </x:c>
      <x:c r="J325" s="50" t="n">
        <x:f>IF(B325="Active",H325*I325*Assumptions!$B$11,IF(B325="Deferred",E325*I325*Assumptions!$B$11*(1+Assumptions!$B$9)^G325,F325))</x:f>
        <x:v>268772.80876185227</x:v>
      </x:c>
      <x:c r="K325" s="37" t="n">
        <x:f>IF(B325="Pensioner",1,VLOOKUP(Assumptions!$B$10,Mortality!$A$2:$F$104,6,FALSE)/VLOOKUP(C325,Mortality!$A$2:$F$104,6,FALSE))</x:f>
        <x:v>0.9769349478194655</x:v>
      </x:c>
      <x:c r="L325" s="37" t="n">
        <x:f>VLOOKUP(IF(B325="Pensioner",C325,Assumptions!$B$10),Mortality!$A$2:$E$104,5,FALSE)</x:f>
        <x:v>17.296790022132885</x:v>
      </x:c>
      <x:c r="M325" s="37" t="n">
        <x:f>1+Assumptions!$B$13*Assumptions!$B$14*Assumptions!$B$15</x:f>
        <x:v>1.31875</x:v>
      </x:c>
      <x:c r="N325" s="37" t="n">
        <x:f>IF(B325="Pensioner",1,1/(1+Assumptions!$B$6)^G325)</x:f>
        <x:v>0.38882652444221566</x:v>
      </x:c>
      <x:c r="O325" s="50" t="n">
        <x:f>J325*K325*L325*M325*N325</x:f>
        <x:v>2328814.223693936</x:v>
      </x:c>
    </x:row>
    <x:row r="326">
      <x:c r="A326" s="42" t="str">
        <x:f>Members!A326</x:f>
        <x:v>A0453</x:v>
      </x:c>
      <x:c r="B326" s="42" t="str">
        <x:f>Members!B326</x:f>
        <x:v>Active</x:v>
      </x:c>
      <x:c r="C326" s="42" t="n">
        <x:f>Members!C326</x:f>
        <x:v>27</x:v>
      </x:c>
      <x:c r="D326" s="44" t="n">
        <x:f>Members!D326</x:f>
        <x:v>5.9</x:v>
      </x:c>
      <x:c r="E326" s="48" t="n">
        <x:f>Members!E326</x:f>
        <x:v>537000</x:v>
      </x:c>
      <x:c r="F326" s="48" t="n">
        <x:f>Members!F326</x:f>
        <x:v>0</x:v>
      </x:c>
      <x:c r="G326" s="46" t="n">
        <x:f>MAX(0,Assumptions!$B$10-C326)</x:f>
        <x:v>33</x:v>
      </x:c>
      <x:c r="H326" s="50" t="n">
        <x:f>IF(B326="Active",E326*(1+Assumptions!$B$7)^G326,E326)</x:f>
        <x:v>3142718.2940202854</x:v>
      </x:c>
      <x:c r="I326" s="50" t="n">
        <x:f>IF(B326="Active",MIN(Assumptions!$B$12,D326+G326),IF(B326="Deferred",MIN(Assumptions!$B$12,D326),D326))</x:f>
        <x:v>38.9</x:v>
      </x:c>
      <x:c r="J326" s="50" t="n">
        <x:f>IF(B326="Active",H326*I326*Assumptions!$B$11,IF(B326="Deferred",E326*I326*Assumptions!$B$11*(1+Assumptions!$B$9)^G326,F326))</x:f>
        <x:v>2037529.0272898183</x:v>
      </x:c>
      <x:c r="K326" s="37" t="n">
        <x:f>IF(B326="Pensioner",1,VLOOKUP(Assumptions!$B$10,Mortality!$A$2:$F$104,6,FALSE)/VLOOKUP(C326,Mortality!$A$2:$F$104,6,FALSE))</x:f>
        <x:v>0.9694971330284515</x:v>
      </x:c>
      <x:c r="L326" s="37" t="n">
        <x:f>VLOOKUP(IF(B326="Pensioner",C326,Assumptions!$B$10),Mortality!$A$2:$E$104,5,FALSE)</x:f>
        <x:v>17.296790022132885</x:v>
      </x:c>
      <x:c r="M326" s="37" t="n">
        <x:f>1+Assumptions!$B$13*Assumptions!$B$14*Assumptions!$B$15</x:f>
        <x:v>1.31875</x:v>
      </x:c>
      <x:c r="N326" s="37" t="n">
        <x:f>IF(B326="Pensioner",1,1/(1+Assumptions!$B$6)^G326)</x:f>
        <x:v>0.12515924752227392</x:v>
      </x:c>
      <x:c r="O326" s="50" t="n">
        <x:f>J326*K326*L326*M326*N326</x:f>
        <x:v>5639508.596509145</x:v>
      </x:c>
    </x:row>
    <x:row r="327">
      <x:c r="A327" s="42" t="str">
        <x:f>Members!A327</x:f>
        <x:v>D0108</x:v>
      </x:c>
      <x:c r="B327" s="42" t="str">
        <x:f>Members!B327</x:f>
        <x:v>Deferred</x:v>
      </x:c>
      <x:c r="C327" s="42" t="n">
        <x:f>Members!C327</x:f>
        <x:v>46</x:v>
      </x:c>
      <x:c r="D327" s="44" t="n">
        <x:f>Members!D327</x:f>
        <x:v>9.5</x:v>
      </x:c>
      <x:c r="E327" s="48" t="n">
        <x:f>Members!E327</x:f>
        <x:v>818000</x:v>
      </x:c>
      <x:c r="F327" s="48" t="n">
        <x:f>Members!F327</x:f>
        <x:v>0</x:v>
      </x:c>
      <x:c r="G327" s="46" t="n">
        <x:f>MAX(0,Assumptions!$B$10-C327)</x:f>
        <x:v>14</x:v>
      </x:c>
      <x:c r="H327" s="50" t="n">
        <x:f>IF(B327="Active",E327*(1+Assumptions!$B$7)^G327,E327)</x:f>
        <x:v>818000</x:v>
      </x:c>
      <x:c r="I327" s="50" t="n">
        <x:f>IF(B327="Active",MIN(Assumptions!$B$12,D327+G327),IF(B327="Deferred",MIN(Assumptions!$B$12,D327),D327))</x:f>
        <x:v>9.5</x:v>
      </x:c>
      <x:c r="J327" s="50" t="n">
        <x:f>IF(B327="Active",H327*I327*Assumptions!$B$11,IF(B327="Deferred",E327*I327*Assumptions!$B$11*(1+Assumptions!$B$9)^G327,F327))</x:f>
        <x:v>224280.96123868992</x:v>
      </x:c>
      <x:c r="K327" s="37" t="n">
        <x:f>IF(B327="Pensioner",1,VLOOKUP(Assumptions!$B$10,Mortality!$A$2:$F$104,6,FALSE)/VLOOKUP(C327,Mortality!$A$2:$F$104,6,FALSE))</x:f>
        <x:v>0.9776582328304806</x:v>
      </x:c>
      <x:c r="L327" s="37" t="n">
        <x:f>VLOOKUP(IF(B327="Pensioner",C327,Assumptions!$B$10),Mortality!$A$2:$E$104,5,FALSE)</x:f>
        <x:v>17.296790022132885</x:v>
      </x:c>
      <x:c r="M327" s="37" t="n">
        <x:f>1+Assumptions!$B$13*Assumptions!$B$14*Assumptions!$B$15</x:f>
        <x:v>1.31875</x:v>
      </x:c>
      <x:c r="N327" s="37" t="n">
        <x:f>IF(B327="Pensioner",1,1/(1+Assumptions!$B$6)^G327)</x:f>
        <x:v>0.41410024853095956</x:v>
      </x:c>
      <x:c r="O327" s="50" t="n">
        <x:f>J327*K327*L327*M327*N327</x:f>
        <x:v>2071156.6500471032</x:v>
      </x:c>
    </x:row>
    <x:row r="328">
      <x:c r="A328" s="42" t="str">
        <x:f>Members!A328</x:f>
        <x:v>P0045</x:v>
      </x:c>
      <x:c r="B328" s="42" t="str">
        <x:f>Members!B328</x:f>
        <x:v>Pensioner</x:v>
      </x:c>
      <x:c r="C328" s="42" t="n">
        <x:f>Members!C328</x:f>
        <x:v>86</x:v>
      </x:c>
      <x:c r="D328" s="44" t="n">
        <x:f>Members!D328</x:f>
        <x:v>36.1</x:v>
      </x:c>
      <x:c r="E328" s="48" t="n">
        <x:f>Members!E328</x:f>
        <x:v>0</x:v>
      </x:c>
      <x:c r="F328" s="48" t="n">
        <x:f>Members!F328</x:f>
        <x:v>311000</x:v>
      </x:c>
      <x:c r="G328" s="46" t="n">
        <x:f>MAX(0,Assumptions!$B$10-C328)</x:f>
        <x:v>0</x:v>
      </x:c>
      <x:c r="H328" s="50" t="n">
        <x:f>IF(B328="Active",E328*(1+Assumptions!$B$7)^G328,E328)</x:f>
        <x:v>0</x:v>
      </x:c>
      <x:c r="I328" s="50" t="n">
        <x:f>IF(B328="Active",MIN(Assumptions!$B$12,D328+G328),IF(B328="Deferred",MIN(Assumptions!$B$12,D328),D328))</x:f>
        <x:v>36.1</x:v>
      </x:c>
      <x:c r="J328" s="50" t="n">
        <x:f>IF(B328="Active",H328*I328*Assumptions!$B$11,IF(B328="Deferred",E328*I328*Assumptions!$B$11*(1+Assumptions!$B$9)^G328,F328))</x:f>
        <x:v>311000</x:v>
      </x:c>
      <x:c r="K328" s="37" t="n">
        <x:f>IF(B328="Pensioner",1,VLOOKUP(Assumptions!$B$10,Mortality!$A$2:$F$104,6,FALSE)/VLOOKUP(C328,Mortality!$A$2:$F$104,6,FALSE))</x:f>
        <x:v>1</x:v>
      </x:c>
      <x:c r="L328" s="37" t="n">
        <x:f>VLOOKUP(IF(B328="Pensioner",C328,Assumptions!$B$10),Mortality!$A$2:$E$104,5,FALSE)</x:f>
        <x:v>5.822832972912483</x:v>
      </x:c>
      <x:c r="M328" s="37" t="n">
        <x:f>1+Assumptions!$B$13*Assumptions!$B$14*Assumptions!$B$15</x:f>
        <x:v>1.31875</x:v>
      </x:c>
      <x:c r="N328" s="37" t="n">
        <x:f>IF(B328="Pensioner",1,1/(1+Assumptions!$B$6)^G328)</x:f>
        <x:v>1</x:v>
      </x:c>
      <x:c r="O328" s="50" t="n">
        <x:f>J328*K328*L328*M328*N328</x:f>
        <x:v>2388125.765721813</x:v>
      </x:c>
    </x:row>
    <x:row r="329">
      <x:c r="A329" s="42" t="str">
        <x:f>Members!A329</x:f>
        <x:v>A0554</x:v>
      </x:c>
      <x:c r="B329" s="42" t="str">
        <x:f>Members!B329</x:f>
        <x:v>Active</x:v>
      </x:c>
      <x:c r="C329" s="42" t="n">
        <x:f>Members!C329</x:f>
        <x:v>32</x:v>
      </x:c>
      <x:c r="D329" s="44" t="n">
        <x:f>Members!D329</x:f>
        <x:v>3</x:v>
      </x:c>
      <x:c r="E329" s="48" t="n">
        <x:f>Members!E329</x:f>
        <x:v>769000</x:v>
      </x:c>
      <x:c r="F329" s="48" t="n">
        <x:f>Members!F329</x:f>
        <x:v>0</x:v>
      </x:c>
      <x:c r="G329" s="46" t="n">
        <x:f>MAX(0,Assumptions!$B$10-C329)</x:f>
        <x:v>28</x:v>
      </x:c>
      <x:c r="H329" s="50" t="n">
        <x:f>IF(B329="Active",E329*(1+Assumptions!$B$7)^G329,E329)</x:f>
        <x:v>3443461.324566656</x:v>
      </x:c>
      <x:c r="I329" s="50" t="n">
        <x:f>IF(B329="Active",MIN(Assumptions!$B$12,D329+G329),IF(B329="Deferred",MIN(Assumptions!$B$12,D329),D329))</x:f>
        <x:v>31</x:v>
      </x:c>
      <x:c r="J329" s="50" t="n">
        <x:f>IF(B329="Active",H329*I329*Assumptions!$B$11,IF(B329="Deferred",E329*I329*Assumptions!$B$11*(1+Assumptions!$B$9)^G329,F329))</x:f>
        <x:v>1779121.6843594387</x:v>
      </x:c>
      <x:c r="K329" s="37" t="n">
        <x:f>IF(B329="Pensioner",1,VLOOKUP(Assumptions!$B$10,Mortality!$A$2:$F$104,6,FALSE)/VLOOKUP(C329,Mortality!$A$2:$F$104,6,FALSE))</x:f>
        <x:v>0.9709584687664957</x:v>
      </x:c>
      <x:c r="L329" s="37" t="n">
        <x:f>VLOOKUP(IF(B329="Pensioner",C329,Assumptions!$B$10),Mortality!$A$2:$E$104,5,FALSE)</x:f>
        <x:v>17.296790022132885</x:v>
      </x:c>
      <x:c r="M329" s="37" t="n">
        <x:f>1+Assumptions!$B$13*Assumptions!$B$14*Assumptions!$B$15</x:f>
        <x:v>1.31875</x:v>
      </x:c>
      <x:c r="N329" s="37" t="n">
        <x:f>IF(B329="Pensioner",1,1/(1+Assumptions!$B$6)^G329)</x:f>
        <x:v>0.17147901583340255</x:v>
      </x:c>
      <x:c r="O329" s="50" t="n">
        <x:f>J329*K329*L329*M329*N329</x:f>
        <x:v>6756865.517733419</x:v>
      </x:c>
    </x:row>
    <x:row r="330">
      <x:c r="A330" s="42" t="str">
        <x:f>Members!A330</x:f>
        <x:v>D0056</x:v>
      </x:c>
      <x:c r="B330" s="42" t="str">
        <x:f>Members!B330</x:f>
        <x:v>Deferred</x:v>
      </x:c>
      <x:c r="C330" s="42" t="n">
        <x:f>Members!C330</x:f>
        <x:v>57</x:v>
      </x:c>
      <x:c r="D330" s="44" t="n">
        <x:f>Members!D330</x:f>
        <x:v>17.3</x:v>
      </x:c>
      <x:c r="E330" s="48" t="n">
        <x:f>Members!E330</x:f>
        <x:v>1392000</x:v>
      </x:c>
      <x:c r="F330" s="48" t="n">
        <x:f>Members!F330</x:f>
        <x:v>0</x:v>
      </x:c>
      <x:c r="G330" s="46" t="n">
        <x:f>MAX(0,Assumptions!$B$10-C330)</x:f>
        <x:v>3</x:v>
      </x:c>
      <x:c r="H330" s="50" t="n">
        <x:f>IF(B330="Active",E330*(1+Assumptions!$B$7)^G330,E330)</x:f>
        <x:v>1392000</x:v>
      </x:c>
      <x:c r="I330" s="50" t="n">
        <x:f>IF(B330="Active",MIN(Assumptions!$B$12,D330+G330),IF(B330="Deferred",MIN(Assumptions!$B$12,D330),D330))</x:f>
        <x:v>17.3</x:v>
      </x:c>
      <x:c r="J330" s="50" t="n">
        <x:f>IF(B330="Active",H330*I330*Assumptions!$B$11,IF(B330="Deferred",E330*I330*Assumptions!$B$11*(1+Assumptions!$B$9)^G330,F330))</x:f>
        <x:v>451475.41504000005</x:v>
      </x:c>
      <x:c r="K330" s="37" t="n">
        <x:f>IF(B330="Pensioner",1,VLOOKUP(Assumptions!$B$10,Mortality!$A$2:$F$104,6,FALSE)/VLOOKUP(C330,Mortality!$A$2:$F$104,6,FALSE))</x:f>
        <x:v>0.9922003892921417</x:v>
      </x:c>
      <x:c r="L330" s="37" t="n">
        <x:f>VLOOKUP(IF(B330="Pensioner",C330,Assumptions!$B$10),Mortality!$A$2:$E$104,5,FALSE)</x:f>
        <x:v>17.296790022132885</x:v>
      </x:c>
      <x:c r="M330" s="37" t="n">
        <x:f>1+Assumptions!$B$13*Assumptions!$B$14*Assumptions!$B$15</x:f>
        <x:v>1.31875</x:v>
      </x:c>
      <x:c r="N330" s="37" t="n">
        <x:f>IF(B330="Pensioner",1,1/(1+Assumptions!$B$6)^G330)</x:f>
        <x:v>0.8278490918029799</x:v>
      </x:c>
      <x:c r="O330" s="50" t="n">
        <x:f>J330*K330*L330*M330*N330</x:f>
        <x:v>8458876.05761948</x:v>
      </x:c>
    </x:row>
    <x:row r="331">
      <x:c r="A331" s="42" t="str">
        <x:f>Members!A331</x:f>
        <x:v>A0571</x:v>
      </x:c>
      <x:c r="B331" s="42" t="str">
        <x:f>Members!B331</x:f>
        <x:v>Active</x:v>
      </x:c>
      <x:c r="C331" s="42" t="n">
        <x:f>Members!C331</x:f>
        <x:v>29</x:v>
      </x:c>
      <x:c r="D331" s="44" t="n">
        <x:f>Members!D331</x:f>
        <x:v>2</x:v>
      </x:c>
      <x:c r="E331" s="48" t="n">
        <x:f>Members!E331</x:f>
        <x:v>619000</x:v>
      </x:c>
      <x:c r="F331" s="48" t="n">
        <x:f>Members!F331</x:f>
        <x:v>0</x:v>
      </x:c>
      <x:c r="G331" s="46" t="n">
        <x:f>MAX(0,Assumptions!$B$10-C331)</x:f>
        <x:v>31</x:v>
      </x:c>
      <x:c r="H331" s="50" t="n">
        <x:f>IF(B331="Active",E331*(1+Assumptions!$B$7)^G331,E331)</x:f>
        <x:v>3254744.4691299517</x:v>
      </x:c>
      <x:c r="I331" s="50" t="n">
        <x:f>IF(B331="Active",MIN(Assumptions!$B$12,D331+G331),IF(B331="Deferred",MIN(Assumptions!$B$12,D331),D331))</x:f>
        <x:v>33</x:v>
      </x:c>
      <x:c r="J331" s="50" t="n">
        <x:f>IF(B331="Active",H331*I331*Assumptions!$B$11,IF(B331="Deferred",E331*I331*Assumptions!$B$11*(1+Assumptions!$B$9)^G331,F331))</x:f>
        <x:v>1790109.4580214734</x:v>
      </x:c>
      <x:c r="K331" s="37" t="n">
        <x:f>IF(B331="Pensioner",1,VLOOKUP(Assumptions!$B$10,Mortality!$A$2:$F$104,6,FALSE)/VLOOKUP(C331,Mortality!$A$2:$F$104,6,FALSE))</x:f>
        <x:v>0.9700544954739736</x:v>
      </x:c>
      <x:c r="L331" s="37" t="n">
        <x:f>VLOOKUP(IF(B331="Pensioner",C331,Assumptions!$B$10),Mortality!$A$2:$E$104,5,FALSE)</x:f>
        <x:v>17.296790022132885</x:v>
      </x:c>
      <x:c r="M331" s="37" t="n">
        <x:f>1+Assumptions!$B$13*Assumptions!$B$14*Assumptions!$B$15</x:f>
        <x:v>1.31875</x:v>
      </x:c>
      <x:c r="N331" s="37" t="n">
        <x:f>IF(B331="Pensioner",1,1/(1+Assumptions!$B$6)^G331)</x:f>
        <x:v>0.1419587475209511</x:v>
      </x:c>
      <x:c r="O331" s="50" t="n">
        <x:f>J331*K331*L331*M331*N331</x:f>
        <x:v>5622971.271700327</x:v>
      </x:c>
    </x:row>
    <x:row r="332">
      <x:c r="A332" s="42" t="str">
        <x:f>Members!A332</x:f>
        <x:v>A0366</x:v>
      </x:c>
      <x:c r="B332" s="42" t="str">
        <x:f>Members!B332</x:f>
        <x:v>Active</x:v>
      </x:c>
      <x:c r="C332" s="42" t="n">
        <x:f>Members!C332</x:f>
        <x:v>30</x:v>
      </x:c>
      <x:c r="D332" s="44" t="n">
        <x:f>Members!D332</x:f>
        <x:v>8.5</x:v>
      </x:c>
      <x:c r="E332" s="48" t="n">
        <x:f>Members!E332</x:f>
        <x:v>478000</x:v>
      </x:c>
      <x:c r="F332" s="48" t="n">
        <x:f>Members!F332</x:f>
        <x:v>0</x:v>
      </x:c>
      <x:c r="G332" s="46" t="n">
        <x:f>MAX(0,Assumptions!$B$10-C332)</x:f>
        <x:v>30</x:v>
      </x:c>
      <x:c r="H332" s="50" t="n">
        <x:f>IF(B332="Active",E332*(1+Assumptions!$B$7)^G332,E332)</x:f>
        <x:v>2382328.715852839</x:v>
      </x:c>
      <x:c r="I332" s="50" t="n">
        <x:f>IF(B332="Active",MIN(Assumptions!$B$12,D332+G332),IF(B332="Deferred",MIN(Assumptions!$B$12,D332),D332))</x:f>
        <x:v>38.5</x:v>
      </x:c>
      <x:c r="J332" s="50" t="n">
        <x:f>IF(B332="Active",H332*I332*Assumptions!$B$11,IF(B332="Deferred",E332*I332*Assumptions!$B$11*(1+Assumptions!$B$9)^G332,F332))</x:f>
        <x:v>1528660.9260055716</x:v>
      </x:c>
      <x:c r="K332" s="37" t="n">
        <x:f>IF(B332="Pensioner",1,VLOOKUP(Assumptions!$B$10,Mortality!$A$2:$F$104,6,FALSE)/VLOOKUP(C332,Mortality!$A$2:$F$104,6,FALSE))</x:f>
        <x:v>0.9703456880318753</x:v>
      </x:c>
      <x:c r="L332" s="37" t="n">
        <x:f>VLOOKUP(IF(B332="Pensioner",C332,Assumptions!$B$10),Mortality!$A$2:$E$104,5,FALSE)</x:f>
        <x:v>17.296790022132885</x:v>
      </x:c>
      <x:c r="M332" s="37" t="n">
        <x:f>1+Assumptions!$B$13*Assumptions!$B$14*Assumptions!$B$15</x:f>
        <x:v>1.31875</x:v>
      </x:c>
      <x:c r="N332" s="37" t="n">
        <x:f>IF(B332="Pensioner",1,1/(1+Assumptions!$B$6)^G332)</x:f>
        <x:v>0.1511860661098129</x:v>
      </x:c>
      <x:c r="O332" s="50" t="n">
        <x:f>J332*K332*L332*M332*N332</x:f>
        <x:v>5115374.070018403</x:v>
      </x:c>
    </x:row>
    <x:row r="333">
      <x:c r="A333" s="42" t="str">
        <x:f>Members!A333</x:f>
        <x:v>A0300</x:v>
      </x:c>
      <x:c r="B333" s="42" t="str">
        <x:f>Members!B333</x:f>
        <x:v>Active</x:v>
      </x:c>
      <x:c r="C333" s="42" t="n">
        <x:f>Members!C333</x:f>
        <x:v>59</x:v>
      </x:c>
      <x:c r="D333" s="44" t="n">
        <x:f>Members!D333</x:f>
        <x:v>23.8</x:v>
      </x:c>
      <x:c r="E333" s="48" t="n">
        <x:f>Members!E333</x:f>
        <x:v>1923000</x:v>
      </x:c>
      <x:c r="F333" s="48" t="n">
        <x:f>Members!F333</x:f>
        <x:v>0</x:v>
      </x:c>
      <x:c r="G333" s="46" t="n">
        <x:f>MAX(0,Assumptions!$B$10-C333)</x:f>
        <x:v>1</x:v>
      </x:c>
      <x:c r="H333" s="50" t="n">
        <x:f>IF(B333="Active",E333*(1+Assumptions!$B$7)^G333,E333)</x:f>
        <x:v>2028764.9999999998</x:v>
      </x:c>
      <x:c r="I333" s="50" t="n">
        <x:f>IF(B333="Active",MIN(Assumptions!$B$12,D333+G333),IF(B333="Deferred",MIN(Assumptions!$B$12,D333),D333))</x:f>
        <x:v>24.8</x:v>
      </x:c>
      <x:c r="J333" s="50" t="n">
        <x:f>IF(B333="Active",H333*I333*Assumptions!$B$11,IF(B333="Deferred",E333*I333*Assumptions!$B$11*(1+Assumptions!$B$9)^G333,F333))</x:f>
        <x:v>838556.1999999998</x:v>
      </x:c>
      <x:c r="K333" s="37" t="n">
        <x:f>IF(B333="Pensioner",1,VLOOKUP(Assumptions!$B$10,Mortality!$A$2:$F$104,6,FALSE)/VLOOKUP(C333,Mortality!$A$2:$F$104,6,FALSE))</x:f>
        <x:v>0.9971096011831975</x:v>
      </x:c>
      <x:c r="L333" s="37" t="n">
        <x:f>VLOOKUP(IF(B333="Pensioner",C333,Assumptions!$B$10),Mortality!$A$2:$E$104,5,FALSE)</x:f>
        <x:v>17.296790022132885</x:v>
      </x:c>
      <x:c r="M333" s="37" t="n">
        <x:f>1+Assumptions!$B$13*Assumptions!$B$14*Assumptions!$B$15</x:f>
        <x:v>1.31875</x:v>
      </x:c>
      <x:c r="N333" s="37" t="n">
        <x:f>IF(B333="Pensioner",1,1/(1+Assumptions!$B$6)^G333)</x:f>
        <x:v>0.9389671361502347</x:v>
      </x:c>
      <x:c r="O333" s="50" t="n">
        <x:f>J333*K333*L333*M333*N333</x:f>
        <x:v>17908262.453217298</x:v>
      </x:c>
    </x:row>
    <x:row r="334">
      <x:c r="A334" s="42" t="str">
        <x:f>Members!A334</x:f>
        <x:v>P0068</x:v>
      </x:c>
      <x:c r="B334" s="42" t="str">
        <x:f>Members!B334</x:f>
        <x:v>Pensioner</x:v>
      </x:c>
      <x:c r="C334" s="42" t="n">
        <x:f>Members!C334</x:f>
        <x:v>65</x:v>
      </x:c>
      <x:c r="D334" s="44" t="n">
        <x:f>Members!D334</x:f>
        <x:v>24.2</x:v>
      </x:c>
      <x:c r="E334" s="48" t="n">
        <x:f>Members!E334</x:f>
        <x:v>0</x:v>
      </x:c>
      <x:c r="F334" s="48" t="n">
        <x:f>Members!F334</x:f>
        <x:v>412000</x:v>
      </x:c>
      <x:c r="G334" s="46" t="n">
        <x:f>MAX(0,Assumptions!$B$10-C334)</x:f>
        <x:v>0</x:v>
      </x:c>
      <x:c r="H334" s="50" t="n">
        <x:f>IF(B334="Active",E334*(1+Assumptions!$B$7)^G334,E334)</x:f>
        <x:v>0</x:v>
      </x:c>
      <x:c r="I334" s="50" t="n">
        <x:f>IF(B334="Active",MIN(Assumptions!$B$12,D334+G334),IF(B334="Deferred",MIN(Assumptions!$B$12,D334),D334))</x:f>
        <x:v>24.2</x:v>
      </x:c>
      <x:c r="J334" s="50" t="n">
        <x:f>IF(B334="Active",H334*I334*Assumptions!$B$11,IF(B334="Deferred",E334*I334*Assumptions!$B$11*(1+Assumptions!$B$9)^G334,F334))</x:f>
        <x:v>412000</x:v>
      </x:c>
      <x:c r="K334" s="37" t="n">
        <x:f>IF(B334="Pensioner",1,VLOOKUP(Assumptions!$B$10,Mortality!$A$2:$F$104,6,FALSE)/VLOOKUP(C334,Mortality!$A$2:$F$104,6,FALSE))</x:f>
        <x:v>1</x:v>
      </x:c>
      <x:c r="L334" s="37" t="n">
        <x:f>VLOOKUP(IF(B334="Pensioner",C334,Assumptions!$B$10),Mortality!$A$2:$E$104,5,FALSE)</x:f>
        <x:v>15.196570962158528</x:v>
      </x:c>
      <x:c r="M334" s="37" t="n">
        <x:f>1+Assumptions!$B$13*Assumptions!$B$14*Assumptions!$B$15</x:f>
        <x:v>1.31875</x:v>
      </x:c>
      <x:c r="N334" s="37" t="n">
        <x:f>IF(B334="Pensioner",1,1/(1+Assumptions!$B$6)^G334)</x:f>
        <x:v>1</x:v>
      </x:c>
      <x:c r="O334" s="50" t="n">
        <x:f>J334*K334*L334*M334*N334</x:f>
        <x:v>8256676.918014783</x:v>
      </x:c>
    </x:row>
    <x:row r="335">
      <x:c r="A335" s="42" t="str">
        <x:f>Members!A335</x:f>
        <x:v>A0340</x:v>
      </x:c>
      <x:c r="B335" s="42" t="str">
        <x:f>Members!B335</x:f>
        <x:v>Active</x:v>
      </x:c>
      <x:c r="C335" s="42" t="n">
        <x:f>Members!C335</x:f>
        <x:v>35</x:v>
      </x:c>
      <x:c r="D335" s="44" t="n">
        <x:f>Members!D335</x:f>
        <x:v>7.9</x:v>
      </x:c>
      <x:c r="E335" s="48" t="n">
        <x:f>Members!E335</x:f>
        <x:v>849000</x:v>
      </x:c>
      <x:c r="F335" s="48" t="n">
        <x:f>Members!F335</x:f>
        <x:v>0</x:v>
      </x:c>
      <x:c r="G335" s="46" t="n">
        <x:f>MAX(0,Assumptions!$B$10-C335)</x:f>
        <x:v>25</x:v>
      </x:c>
      <x:c r="H335" s="50" t="n">
        <x:f>IF(B335="Active",E335*(1+Assumptions!$B$7)^G335,E335)</x:f>
        <x:v>3237570.1039791624</x:v>
      </x:c>
      <x:c r="I335" s="50" t="n">
        <x:f>IF(B335="Active",MIN(Assumptions!$B$12,D335+G335),IF(B335="Deferred",MIN(Assumptions!$B$12,D335),D335))</x:f>
        <x:v>32.9</x:v>
      </x:c>
      <x:c r="J335" s="50" t="n">
        <x:f>IF(B335="Active",H335*I335*Assumptions!$B$11,IF(B335="Deferred",E335*I335*Assumptions!$B$11*(1+Assumptions!$B$9)^G335,F335))</x:f>
        <x:v>1775267.6070152407</x:v>
      </x:c>
      <x:c r="K335" s="37" t="n">
        <x:f>IF(B335="Pensioner",1,VLOOKUP(Assumptions!$B$10,Mortality!$A$2:$F$104,6,FALSE)/VLOOKUP(C335,Mortality!$A$2:$F$104,6,FALSE))</x:f>
        <x:v>0.9719740765386753</x:v>
      </x:c>
      <x:c r="L335" s="37" t="n">
        <x:f>VLOOKUP(IF(B335="Pensioner",C335,Assumptions!$B$10),Mortality!$A$2:$E$104,5,FALSE)</x:f>
        <x:v>17.296790022132885</x:v>
      </x:c>
      <x:c r="M335" s="37" t="n">
        <x:f>1+Assumptions!$B$13*Assumptions!$B$14*Assumptions!$B$15</x:f>
        <x:v>1.31875</x:v>
      </x:c>
      <x:c r="N335" s="37" t="n">
        <x:f>IF(B335="Pensioner",1,1/(1+Assumptions!$B$6)^G335)</x:f>
        <x:v>0.20713801287132758</x:v>
      </x:c>
      <x:c r="O335" s="50" t="n">
        <x:f>J335*K335*L335*M335*N335</x:f>
        <x:v>8152790.869548397</x:v>
      </x:c>
    </x:row>
    <x:row r="336">
      <x:c r="A336" s="42" t="str">
        <x:f>Members!A336</x:f>
        <x:v>D0035</x:v>
      </x:c>
      <x:c r="B336" s="42" t="str">
        <x:f>Members!B336</x:f>
        <x:v>Deferred</x:v>
      </x:c>
      <x:c r="C336" s="42" t="n">
        <x:f>Members!C336</x:f>
        <x:v>42</x:v>
      </x:c>
      <x:c r="D336" s="44" t="n">
        <x:f>Members!D336</x:f>
        <x:v>7.1</x:v>
      </x:c>
      <x:c r="E336" s="48" t="n">
        <x:f>Members!E336</x:f>
        <x:v>795000</x:v>
      </x:c>
      <x:c r="F336" s="48" t="n">
        <x:f>Members!F336</x:f>
        <x:v>0</x:v>
      </x:c>
      <x:c r="G336" s="46" t="n">
        <x:f>MAX(0,Assumptions!$B$10-C336)</x:f>
        <x:v>18</x:v>
      </x:c>
      <x:c r="H336" s="50" t="n">
        <x:f>IF(B336="Active",E336*(1+Assumptions!$B$7)^G336,E336)</x:f>
        <x:v>795000</x:v>
      </x:c>
      <x:c r="I336" s="50" t="n">
        <x:f>IF(B336="Active",MIN(Assumptions!$B$12,D336+G336),IF(B336="Deferred",MIN(Assumptions!$B$12,D336),D336))</x:f>
        <x:v>7.1</x:v>
      </x:c>
      <x:c r="J336" s="50" t="n">
        <x:f>IF(B336="Active",H336*I336*Assumptions!$B$11,IF(B336="Deferred",E336*I336*Assumptions!$B$11*(1+Assumptions!$B$9)^G336,F336))</x:f>
        <x:v>190578.6886842355</x:v>
      </x:c>
      <x:c r="K336" s="37" t="n">
        <x:f>IF(B336="Pensioner",1,VLOOKUP(Assumptions!$B$10,Mortality!$A$2:$F$104,6,FALSE)/VLOOKUP(C336,Mortality!$A$2:$F$104,6,FALSE))</x:f>
        <x:v>0.9750799707838386</x:v>
      </x:c>
      <x:c r="L336" s="37" t="n">
        <x:f>VLOOKUP(IF(B336="Pensioner",C336,Assumptions!$B$10),Mortality!$A$2:$E$104,5,FALSE)</x:f>
        <x:v>17.296790022132885</x:v>
      </x:c>
      <x:c r="M336" s="37" t="n">
        <x:f>1+Assumptions!$B$13*Assumptions!$B$14*Assumptions!$B$15</x:f>
        <x:v>1.31875</x:v>
      </x:c>
      <x:c r="N336" s="37" t="n">
        <x:f>IF(B336="Pensioner",1,1/(1+Assumptions!$B$6)^G336)</x:f>
        <x:v>0.3218896851283974</x:v>
      </x:c>
      <x:c r="O336" s="50" t="n">
        <x:f>J336*K336*L336*M336*N336</x:f>
        <x:v>1364424.8356273072</x:v>
      </x:c>
    </x:row>
    <x:row r="337">
      <x:c r="A337" s="42" t="str">
        <x:f>Members!A337</x:f>
        <x:v>A0029</x:v>
      </x:c>
      <x:c r="B337" s="42" t="str">
        <x:f>Members!B337</x:f>
        <x:v>Active</x:v>
      </x:c>
      <x:c r="C337" s="42" t="n">
        <x:f>Members!C337</x:f>
        <x:v>29</x:v>
      </x:c>
      <x:c r="D337" s="44" t="n">
        <x:f>Members!D337</x:f>
        <x:v>1.4</x:v>
      </x:c>
      <x:c r="E337" s="48" t="n">
        <x:f>Members!E337</x:f>
        <x:v>572000</x:v>
      </x:c>
      <x:c r="F337" s="48" t="n">
        <x:f>Members!F337</x:f>
        <x:v>0</x:v>
      </x:c>
      <x:c r="G337" s="46" t="n">
        <x:f>MAX(0,Assumptions!$B$10-C337)</x:f>
        <x:v>31</x:v>
      </x:c>
      <x:c r="H337" s="50" t="n">
        <x:f>IF(B337="Active",E337*(1+Assumptions!$B$7)^G337,E337)</x:f>
        <x:v>3007615.244494883</x:v>
      </x:c>
      <x:c r="I337" s="50" t="n">
        <x:f>IF(B337="Active",MIN(Assumptions!$B$12,D337+G337),IF(B337="Deferred",MIN(Assumptions!$B$12,D337),D337))</x:f>
        <x:v>32.4</x:v>
      </x:c>
      <x:c r="J337" s="50" t="n">
        <x:f>IF(B337="Active",H337*I337*Assumptions!$B$11,IF(B337="Deferred",E337*I337*Assumptions!$B$11*(1+Assumptions!$B$9)^G337,F337))</x:f>
        <x:v>1624112.2320272366</x:v>
      </x:c>
      <x:c r="K337" s="37" t="n">
        <x:f>IF(B337="Pensioner",1,VLOOKUP(Assumptions!$B$10,Mortality!$A$2:$F$104,6,FALSE)/VLOOKUP(C337,Mortality!$A$2:$F$104,6,FALSE))</x:f>
        <x:v>0.9700544954739736</x:v>
      </x:c>
      <x:c r="L337" s="37" t="n">
        <x:f>VLOOKUP(IF(B337="Pensioner",C337,Assumptions!$B$10),Mortality!$A$2:$E$104,5,FALSE)</x:f>
        <x:v>17.296790022132885</x:v>
      </x:c>
      <x:c r="M337" s="37" t="n">
        <x:f>1+Assumptions!$B$13*Assumptions!$B$14*Assumptions!$B$15</x:f>
        <x:v>1.31875</x:v>
      </x:c>
      <x:c r="N337" s="37" t="n">
        <x:f>IF(B337="Pensioner",1,1/(1+Assumptions!$B$6)^G337)</x:f>
        <x:v>0.1419587475209511</x:v>
      </x:c>
      <x:c r="O337" s="50" t="n">
        <x:f>J337*K337*L337*M337*N337</x:f>
        <x:v>5101551.96476075</x:v>
      </x:c>
    </x:row>
    <x:row r="338">
      <x:c r="A338" s="42" t="str">
        <x:f>Members!A338</x:f>
        <x:v>D0064</x:v>
      </x:c>
      <x:c r="B338" s="42" t="str">
        <x:f>Members!B338</x:f>
        <x:v>Deferred</x:v>
      </x:c>
      <x:c r="C338" s="42" t="n">
        <x:f>Members!C338</x:f>
        <x:v>55</x:v>
      </x:c>
      <x:c r="D338" s="44" t="n">
        <x:f>Members!D338</x:f>
        <x:v>23.3</x:v>
      </x:c>
      <x:c r="E338" s="48" t="n">
        <x:f>Members!E338</x:f>
        <x:v>1002000</x:v>
      </x:c>
      <x:c r="F338" s="48" t="n">
        <x:f>Members!F338</x:f>
        <x:v>0</x:v>
      </x:c>
      <x:c r="G338" s="46" t="n">
        <x:f>MAX(0,Assumptions!$B$10-C338)</x:f>
        <x:v>5</x:v>
      </x:c>
      <x:c r="H338" s="50" t="n">
        <x:f>IF(B338="Active",E338*(1+Assumptions!$B$7)^G338,E338)</x:f>
        <x:v>1002000</x:v>
      </x:c>
      <x:c r="I338" s="50" t="n">
        <x:f>IF(B338="Active",MIN(Assumptions!$B$12,D338+G338),IF(B338="Deferred",MIN(Assumptions!$B$12,D338),D338))</x:f>
        <x:v>23.3</x:v>
      </x:c>
      <x:c r="J338" s="50" t="n">
        <x:f>IF(B338="Active",H338*I338*Assumptions!$B$11,IF(B338="Deferred",E338*I338*Assumptions!$B$11*(1+Assumptions!$B$9)^G338,F338))</x:f>
        <x:v>473411.8108528641</x:v>
      </x:c>
      <x:c r="K338" s="37" t="n">
        <x:f>IF(B338="Pensioner",1,VLOOKUP(Assumptions!$B$10,Mortality!$A$2:$F$104,6,FALSE)/VLOOKUP(C338,Mortality!$A$2:$F$104,6,FALSE))</x:f>
        <x:v>0.9882419087499175</x:v>
      </x:c>
      <x:c r="L338" s="37" t="n">
        <x:f>VLOOKUP(IF(B338="Pensioner",C338,Assumptions!$B$10),Mortality!$A$2:$E$104,5,FALSE)</x:f>
        <x:v>17.296790022132885</x:v>
      </x:c>
      <x:c r="M338" s="37" t="n">
        <x:f>1+Assumptions!$B$13*Assumptions!$B$14*Assumptions!$B$15</x:f>
        <x:v>1.31875</x:v>
      </x:c>
      <x:c r="N338" s="37" t="n">
        <x:f>IF(B338="Pensioner",1,1/(1+Assumptions!$B$6)^G338)</x:f>
        <x:v>0.7298808365209549</x:v>
      </x:c>
      <x:c r="O338" s="50" t="n">
        <x:f>J338*K338*L338*M338*N338</x:f>
        <x:v>7789010.744299039</x:v>
      </x:c>
    </x:row>
    <x:row r="339">
      <x:c r="A339" s="42" t="str">
        <x:f>Members!A339</x:f>
        <x:v>A0156</x:v>
      </x:c>
      <x:c r="B339" s="42" t="str">
        <x:f>Members!B339</x:f>
        <x:v>Active</x:v>
      </x:c>
      <x:c r="C339" s="42" t="n">
        <x:f>Members!C339</x:f>
        <x:v>32</x:v>
      </x:c>
      <x:c r="D339" s="44" t="n">
        <x:f>Members!D339</x:f>
        <x:v>4.2</x:v>
      </x:c>
      <x:c r="E339" s="48" t="n">
        <x:f>Members!E339</x:f>
        <x:v>559000</x:v>
      </x:c>
      <x:c r="F339" s="48" t="n">
        <x:f>Members!F339</x:f>
        <x:v>0</x:v>
      </x:c>
      <x:c r="G339" s="46" t="n">
        <x:f>MAX(0,Assumptions!$B$10-C339)</x:f>
        <x:v>28</x:v>
      </x:c>
      <x:c r="H339" s="50" t="n">
        <x:f>IF(B339="Active",E339*(1+Assumptions!$B$7)^G339,E339)</x:f>
        <x:v>2503114.2788462425</x:v>
      </x:c>
      <x:c r="I339" s="50" t="n">
        <x:f>IF(B339="Active",MIN(Assumptions!$B$12,D339+G339),IF(B339="Deferred",MIN(Assumptions!$B$12,D339),D339))</x:f>
        <x:v>32.2</x:v>
      </x:c>
      <x:c r="J339" s="50" t="n">
        <x:f>IF(B339="Active",H339*I339*Assumptions!$B$11,IF(B339="Deferred",E339*I339*Assumptions!$B$11*(1+Assumptions!$B$9)^G339,F339))</x:f>
        <x:v>1343337.9963141503</x:v>
      </x:c>
      <x:c r="K339" s="37" t="n">
        <x:f>IF(B339="Pensioner",1,VLOOKUP(Assumptions!$B$10,Mortality!$A$2:$F$104,6,FALSE)/VLOOKUP(C339,Mortality!$A$2:$F$104,6,FALSE))</x:f>
        <x:v>0.9709584687664957</x:v>
      </x:c>
      <x:c r="L339" s="37" t="n">
        <x:f>VLOOKUP(IF(B339="Pensioner",C339,Assumptions!$B$10),Mortality!$A$2:$E$104,5,FALSE)</x:f>
        <x:v>17.296790022132885</x:v>
      </x:c>
      <x:c r="M339" s="37" t="n">
        <x:f>1+Assumptions!$B$13*Assumptions!$B$14*Assumptions!$B$15</x:f>
        <x:v>1.31875</x:v>
      </x:c>
      <x:c r="N339" s="37" t="n">
        <x:f>IF(B339="Pensioner",1,1/(1+Assumptions!$B$6)^G339)</x:f>
        <x:v>0.17147901583340255</x:v>
      </x:c>
      <x:c r="O339" s="50" t="n">
        <x:f>J339*K339*L339*M339*N339</x:f>
        <x:v>5101817.523641848</x:v>
      </x:c>
    </x:row>
    <x:row r="340">
      <x:c r="A340" s="42" t="str">
        <x:f>Members!A340</x:f>
        <x:v>A0212</x:v>
      </x:c>
      <x:c r="B340" s="42" t="str">
        <x:f>Members!B340</x:f>
        <x:v>Active</x:v>
      </x:c>
      <x:c r="C340" s="42" t="n">
        <x:f>Members!C340</x:f>
        <x:v>41</x:v>
      </x:c>
      <x:c r="D340" s="44" t="n">
        <x:f>Members!D340</x:f>
        <x:v>4.8</x:v>
      </x:c>
      <x:c r="E340" s="48" t="n">
        <x:f>Members!E340</x:f>
        <x:v>888000</x:v>
      </x:c>
      <x:c r="F340" s="48" t="n">
        <x:f>Members!F340</x:f>
        <x:v>0</x:v>
      </x:c>
      <x:c r="G340" s="46" t="n">
        <x:f>MAX(0,Assumptions!$B$10-C340)</x:f>
        <x:v>19</x:v>
      </x:c>
      <x:c r="H340" s="50" t="n">
        <x:f>IF(B340="Active",E340*(1+Assumptions!$B$7)^G340,E340)</x:f>
        <x:v>2455894.45654638</x:v>
      </x:c>
      <x:c r="I340" s="50" t="n">
        <x:f>IF(B340="Active",MIN(Assumptions!$B$12,D340+G340),IF(B340="Deferred",MIN(Assumptions!$B$12,D340),D340))</x:f>
        <x:v>23.8</x:v>
      </x:c>
      <x:c r="J340" s="50" t="n">
        <x:f>IF(B340="Active",H340*I340*Assumptions!$B$11,IF(B340="Deferred",E340*I340*Assumptions!$B$11*(1+Assumptions!$B$9)^G340,F340))</x:f>
        <x:v>974171.4677633975</x:v>
      </x:c>
      <x:c r="K340" s="37" t="n">
        <x:f>IF(B340="Pensioner",1,VLOOKUP(Assumptions!$B$10,Mortality!$A$2:$F$104,6,FALSE)/VLOOKUP(C340,Mortality!$A$2:$F$104,6,FALSE))</x:f>
        <x:v>0.9745478954079534</x:v>
      </x:c>
      <x:c r="L340" s="37" t="n">
        <x:f>VLOOKUP(IF(B340="Pensioner",C340,Assumptions!$B$10),Mortality!$A$2:$E$104,5,FALSE)</x:f>
        <x:v>17.296790022132885</x:v>
      </x:c>
      <x:c r="M340" s="37" t="n">
        <x:f>1+Assumptions!$B$13*Assumptions!$B$14*Assumptions!$B$15</x:f>
        <x:v>1.31875</x:v>
      </x:c>
      <x:c r="N340" s="37" t="n">
        <x:f>IF(B340="Pensioner",1,1/(1+Assumptions!$B$6)^G340)</x:f>
        <x:v>0.30224383580131214</x:v>
      </x:c>
      <x:c r="O340" s="50" t="n">
        <x:f>J340*K340*L340*M340*N340</x:f>
        <x:v>6545216.726886804</x:v>
      </x:c>
    </x:row>
    <x:row r="341">
      <x:c r="A341" s="42" t="str">
        <x:f>Members!A341</x:f>
        <x:v>P0106</x:v>
      </x:c>
      <x:c r="B341" s="42" t="str">
        <x:f>Members!B341</x:f>
        <x:v>Pensioner</x:v>
      </x:c>
      <x:c r="C341" s="42" t="n">
        <x:f>Members!C341</x:f>
        <x:v>76</x:v>
      </x:c>
      <x:c r="D341" s="44" t="n">
        <x:f>Members!D341</x:f>
        <x:v>25.5</x:v>
      </x:c>
      <x:c r="E341" s="48" t="n">
        <x:f>Members!E341</x:f>
        <x:v>0</x:v>
      </x:c>
      <x:c r="F341" s="48" t="n">
        <x:f>Members!F341</x:f>
        <x:v>437000</x:v>
      </x:c>
      <x:c r="G341" s="46" t="n">
        <x:f>MAX(0,Assumptions!$B$10-C341)</x:f>
        <x:v>0</x:v>
      </x:c>
      <x:c r="H341" s="50" t="n">
        <x:f>IF(B341="Active",E341*(1+Assumptions!$B$7)^G341,E341)</x:f>
        <x:v>0</x:v>
      </x:c>
      <x:c r="I341" s="50" t="n">
        <x:f>IF(B341="Active",MIN(Assumptions!$B$12,D341+G341),IF(B341="Deferred",MIN(Assumptions!$B$12,D341),D341))</x:f>
        <x:v>25.5</x:v>
      </x:c>
      <x:c r="J341" s="50" t="n">
        <x:f>IF(B341="Active",H341*I341*Assumptions!$B$11,IF(B341="Deferred",E341*I341*Assumptions!$B$11*(1+Assumptions!$B$9)^G341,F341))</x:f>
        <x:v>437000</x:v>
      </x:c>
      <x:c r="K341" s="37" t="n">
        <x:f>IF(B341="Pensioner",1,VLOOKUP(Assumptions!$B$10,Mortality!$A$2:$F$104,6,FALSE)/VLOOKUP(C341,Mortality!$A$2:$F$104,6,FALSE))</x:f>
        <x:v>1</x:v>
      </x:c>
      <x:c r="L341" s="37" t="n">
        <x:f>VLOOKUP(IF(B341="Pensioner",C341,Assumptions!$B$10),Mortality!$A$2:$E$104,5,FALSE)</x:f>
        <x:v>10.201355966192867</x:v>
      </x:c>
      <x:c r="M341" s="37" t="n">
        <x:f>1+Assumptions!$B$13*Assumptions!$B$14*Assumptions!$B$15</x:f>
        <x:v>1.31875</x:v>
      </x:c>
      <x:c r="N341" s="37" t="n">
        <x:f>IF(B341="Pensioner",1,1/(1+Assumptions!$B$6)^G341)</x:f>
        <x:v>1</x:v>
      </x:c>
      <x:c r="O341" s="50" t="n">
        <x:f>J341*K341*L341*M341*N341</x:f>
        <x:v>5878977.684842162</x:v>
      </x:c>
    </x:row>
    <x:row r="342">
      <x:c r="A342" s="42" t="str">
        <x:f>Members!A342</x:f>
        <x:v>P0032</x:v>
      </x:c>
      <x:c r="B342" s="42" t="str">
        <x:f>Members!B342</x:f>
        <x:v>Pensioner</x:v>
      </x:c>
      <x:c r="C342" s="42" t="n">
        <x:f>Members!C342</x:f>
        <x:v>64</x:v>
      </x:c>
      <x:c r="D342" s="44" t="n">
        <x:f>Members!D342</x:f>
        <x:v>15.3</x:v>
      </x:c>
      <x:c r="E342" s="48" t="n">
        <x:f>Members!E342</x:f>
        <x:v>0</x:v>
      </x:c>
      <x:c r="F342" s="48" t="n">
        <x:f>Members!F342</x:f>
        <x:v>338000</x:v>
      </x:c>
      <x:c r="G342" s="46" t="n">
        <x:f>MAX(0,Assumptions!$B$10-C342)</x:f>
        <x:v>0</x:v>
      </x:c>
      <x:c r="H342" s="50" t="n">
        <x:f>IF(B342="Active",E342*(1+Assumptions!$B$7)^G342,E342)</x:f>
        <x:v>0</x:v>
      </x:c>
      <x:c r="I342" s="50" t="n">
        <x:f>IF(B342="Active",MIN(Assumptions!$B$12,D342+G342),IF(B342="Deferred",MIN(Assumptions!$B$12,D342),D342))</x:f>
        <x:v>15.3</x:v>
      </x:c>
      <x:c r="J342" s="50" t="n">
        <x:f>IF(B342="Active",H342*I342*Assumptions!$B$11,IF(B342="Deferred",E342*I342*Assumptions!$B$11*(1+Assumptions!$B$9)^G342,F342))</x:f>
        <x:v>338000</x:v>
      </x:c>
      <x:c r="K342" s="37" t="n">
        <x:f>IF(B342="Pensioner",1,VLOOKUP(Assumptions!$B$10,Mortality!$A$2:$F$104,6,FALSE)/VLOOKUP(C342,Mortality!$A$2:$F$104,6,FALSE))</x:f>
        <x:v>1</x:v>
      </x:c>
      <x:c r="L342" s="37" t="n">
        <x:f>VLOOKUP(IF(B342="Pensioner",C342,Assumptions!$B$10),Mortality!$A$2:$E$104,5,FALSE)</x:f>
        <x:v>15.628758769824573</x:v>
      </x:c>
      <x:c r="M342" s="37" t="n">
        <x:f>1+Assumptions!$B$13*Assumptions!$B$14*Assumptions!$B$15</x:f>
        <x:v>1.31875</x:v>
      </x:c>
      <x:c r="N342" s="37" t="n">
        <x:f>IF(B342="Pensioner",1,1/(1+Assumptions!$B$6)^G342)</x:f>
        <x:v>1</x:v>
      </x:c>
      <x:c r="O342" s="50" t="n">
        <x:f>J342*K342*L342*M342*N342</x:f>
        <x:v>6966323.862164682</x:v>
      </x:c>
    </x:row>
    <x:row r="343">
      <x:c r="A343" s="42" t="str">
        <x:f>Members!A343</x:f>
        <x:v>P0192</x:v>
      </x:c>
      <x:c r="B343" s="42" t="str">
        <x:f>Members!B343</x:f>
        <x:v>Pensioner</x:v>
      </x:c>
      <x:c r="C343" s="42" t="n">
        <x:f>Members!C343</x:f>
        <x:v>63</x:v>
      </x:c>
      <x:c r="D343" s="44" t="n">
        <x:f>Members!D343</x:f>
        <x:v>29.7</x:v>
      </x:c>
      <x:c r="E343" s="48" t="n">
        <x:f>Members!E343</x:f>
        <x:v>0</x:v>
      </x:c>
      <x:c r="F343" s="48" t="n">
        <x:f>Members!F343</x:f>
        <x:v>361000</x:v>
      </x:c>
      <x:c r="G343" s="46" t="n">
        <x:f>MAX(0,Assumptions!$B$10-C343)</x:f>
        <x:v>0</x:v>
      </x:c>
      <x:c r="H343" s="50" t="n">
        <x:f>IF(B343="Active",E343*(1+Assumptions!$B$7)^G343,E343)</x:f>
        <x:v>0</x:v>
      </x:c>
      <x:c r="I343" s="50" t="n">
        <x:f>IF(B343="Active",MIN(Assumptions!$B$12,D343+G343),IF(B343="Deferred",MIN(Assumptions!$B$12,D343),D343))</x:f>
        <x:v>29.7</x:v>
      </x:c>
      <x:c r="J343" s="50" t="n">
        <x:f>IF(B343="Active",H343*I343*Assumptions!$B$11,IF(B343="Deferred",E343*I343*Assumptions!$B$11*(1+Assumptions!$B$9)^G343,F343))</x:f>
        <x:v>361000</x:v>
      </x:c>
      <x:c r="K343" s="37" t="n">
        <x:f>IF(B343="Pensioner",1,VLOOKUP(Assumptions!$B$10,Mortality!$A$2:$F$104,6,FALSE)/VLOOKUP(C343,Mortality!$A$2:$F$104,6,FALSE))</x:f>
        <x:v>1</x:v>
      </x:c>
      <x:c r="L343" s="37" t="n">
        <x:f>VLOOKUP(IF(B343="Pensioner",C343,Assumptions!$B$10),Mortality!$A$2:$E$104,5,FALSE)</x:f>
        <x:v>16.055191398346196</x:v>
      </x:c>
      <x:c r="M343" s="37" t="n">
        <x:f>1+Assumptions!$B$13*Assumptions!$B$14*Assumptions!$B$15</x:f>
        <x:v>1.31875</x:v>
      </x:c>
      <x:c r="N343" s="37" t="n">
        <x:f>IF(B343="Pensioner",1,1/(1+Assumptions!$B$6)^G343)</x:f>
        <x:v>1</x:v>
      </x:c>
      <x:c r="O343" s="50" t="n">
        <x:f>J343*K343*L343*M343*N343</x:f>
        <x:v>7643374.900021425</x:v>
      </x:c>
    </x:row>
    <x:row r="344">
      <x:c r="A344" s="42" t="str">
        <x:f>Members!A344</x:f>
        <x:v>A0575</x:v>
      </x:c>
      <x:c r="B344" s="42" t="str">
        <x:f>Members!B344</x:f>
        <x:v>Active</x:v>
      </x:c>
      <x:c r="C344" s="42" t="n">
        <x:f>Members!C344</x:f>
        <x:v>37</x:v>
      </x:c>
      <x:c r="D344" s="44" t="n">
        <x:f>Members!D344</x:f>
        <x:v>4.8</x:v>
      </x:c>
      <x:c r="E344" s="48" t="n">
        <x:f>Members!E344</x:f>
        <x:v>606000</x:v>
      </x:c>
      <x:c r="F344" s="48" t="n">
        <x:f>Members!F344</x:f>
        <x:v>0</x:v>
      </x:c>
      <x:c r="G344" s="46" t="n">
        <x:f>MAX(0,Assumptions!$B$10-C344)</x:f>
        <x:v>23</x:v>
      </x:c>
      <x:c r="H344" s="50" t="n">
        <x:f>IF(B344="Active",E344*(1+Assumptions!$B$7)^G344,E344)</x:f>
        <x:v>2076247.850016198</x:v>
      </x:c>
      <x:c r="I344" s="50" t="n">
        <x:f>IF(B344="Active",MIN(Assumptions!$B$12,D344+G344),IF(B344="Deferred",MIN(Assumptions!$B$12,D344),D344))</x:f>
        <x:v>27.8</x:v>
      </x:c>
      <x:c r="J344" s="50" t="n">
        <x:f>IF(B344="Active",H344*I344*Assumptions!$B$11,IF(B344="Deferred",E344*I344*Assumptions!$B$11*(1+Assumptions!$B$9)^G344,F344))</x:f>
        <x:v>961994.8371741717</x:v>
      </x:c>
      <x:c r="K344" s="37" t="n">
        <x:f>IF(B344="Pensioner",1,VLOOKUP(Assumptions!$B$10,Mortality!$A$2:$F$104,6,FALSE)/VLOOKUP(C344,Mortality!$A$2:$F$104,6,FALSE))</x:f>
        <x:v>0.9727356141265188</x:v>
      </x:c>
      <x:c r="L344" s="37" t="n">
        <x:f>VLOOKUP(IF(B344="Pensioner",C344,Assumptions!$B$10),Mortality!$A$2:$E$104,5,FALSE)</x:f>
        <x:v>17.296790022132885</x:v>
      </x:c>
      <x:c r="M344" s="37" t="n">
        <x:f>1+Assumptions!$B$13*Assumptions!$B$14*Assumptions!$B$15</x:f>
        <x:v>1.31875</x:v>
      </x:c>
      <x:c r="N344" s="37" t="n">
        <x:f>IF(B344="Pensioner",1,1/(1+Assumptions!$B$6)^G344)</x:f>
        <x:v>0.23494111264898151</x:v>
      </x:c>
      <x:c r="O344" s="50" t="n">
        <x:f>J344*K344*L344*M344*N344</x:f>
        <x:v>5014810.944882716</x:v>
      </x:c>
    </x:row>
    <x:row r="345">
      <x:c r="A345" s="42" t="str">
        <x:f>Members!A345</x:f>
        <x:v>D0045</x:v>
      </x:c>
      <x:c r="B345" s="42" t="str">
        <x:f>Members!B345</x:f>
        <x:v>Deferred</x:v>
      </x:c>
      <x:c r="C345" s="42" t="n">
        <x:f>Members!C345</x:f>
        <x:v>46</x:v>
      </x:c>
      <x:c r="D345" s="44" t="n">
        <x:f>Members!D345</x:f>
        <x:v>16.4</x:v>
      </x:c>
      <x:c r="E345" s="48" t="n">
        <x:f>Members!E345</x:f>
        <x:v>601000</x:v>
      </x:c>
      <x:c r="F345" s="48" t="n">
        <x:f>Members!F345</x:f>
        <x:v>0</x:v>
      </x:c>
      <x:c r="G345" s="46" t="n">
        <x:f>MAX(0,Assumptions!$B$10-C345)</x:f>
        <x:v>14</x:v>
      </x:c>
      <x:c r="H345" s="50" t="n">
        <x:f>IF(B345="Active",E345*(1+Assumptions!$B$7)^G345,E345)</x:f>
        <x:v>601000</x:v>
      </x:c>
      <x:c r="I345" s="50" t="n">
        <x:f>IF(B345="Active",MIN(Assumptions!$B$12,D345+G345),IF(B345="Deferred",MIN(Assumptions!$B$12,D345),D345))</x:f>
        <x:v>16.4</x:v>
      </x:c>
      <x:c r="J345" s="50" t="n">
        <x:f>IF(B345="Active",H345*I345*Assumptions!$B$11,IF(B345="Deferred",E345*I345*Assumptions!$B$11*(1+Assumptions!$B$9)^G345,F345))</x:f>
        <x:v>284468.2623025381</x:v>
      </x:c>
      <x:c r="K345" s="37" t="n">
        <x:f>IF(B345="Pensioner",1,VLOOKUP(Assumptions!$B$10,Mortality!$A$2:$F$104,6,FALSE)/VLOOKUP(C345,Mortality!$A$2:$F$104,6,FALSE))</x:f>
        <x:v>0.9776582328304806</x:v>
      </x:c>
      <x:c r="L345" s="37" t="n">
        <x:f>VLOOKUP(IF(B345="Pensioner",C345,Assumptions!$B$10),Mortality!$A$2:$E$104,5,FALSE)</x:f>
        <x:v>17.296790022132885</x:v>
      </x:c>
      <x:c r="M345" s="37" t="n">
        <x:f>1+Assumptions!$B$13*Assumptions!$B$14*Assumptions!$B$15</x:f>
        <x:v>1.31875</x:v>
      </x:c>
      <x:c r="N345" s="37" t="n">
        <x:f>IF(B345="Pensioner",1,1/(1+Assumptions!$B$6)^G345)</x:f>
        <x:v>0.41410024853095956</x:v>
      </x:c>
      <x:c r="O345" s="50" t="n">
        <x:f>J345*K345*L345*M345*N345</x:f>
        <x:v>2626965.436304757</x:v>
      </x:c>
    </x:row>
    <x:row r="346">
      <x:c r="A346" s="42" t="str">
        <x:f>Members!A346</x:f>
        <x:v>P0046</x:v>
      </x:c>
      <x:c r="B346" s="42" t="str">
        <x:f>Members!B346</x:f>
        <x:v>Pensioner</x:v>
      </x:c>
      <x:c r="C346" s="42" t="n">
        <x:f>Members!C346</x:f>
        <x:v>89</x:v>
      </x:c>
      <x:c r="D346" s="44" t="n">
        <x:f>Members!D346</x:f>
        <x:v>32.2</x:v>
      </x:c>
      <x:c r="E346" s="48" t="n">
        <x:f>Members!E346</x:f>
        <x:v>0</x:v>
      </x:c>
      <x:c r="F346" s="48" t="n">
        <x:f>Members!F346</x:f>
        <x:v>865000</x:v>
      </x:c>
      <x:c r="G346" s="46" t="n">
        <x:f>MAX(0,Assumptions!$B$10-C346)</x:f>
        <x:v>0</x:v>
      </x:c>
      <x:c r="H346" s="50" t="n">
        <x:f>IF(B346="Active",E346*(1+Assumptions!$B$7)^G346,E346)</x:f>
        <x:v>0</x:v>
      </x:c>
      <x:c r="I346" s="50" t="n">
        <x:f>IF(B346="Active",MIN(Assumptions!$B$12,D346+G346),IF(B346="Deferred",MIN(Assumptions!$B$12,D346),D346))</x:f>
        <x:v>32.2</x:v>
      </x:c>
      <x:c r="J346" s="50" t="n">
        <x:f>IF(B346="Active",H346*I346*Assumptions!$B$11,IF(B346="Deferred",E346*I346*Assumptions!$B$11*(1+Assumptions!$B$9)^G346,F346))</x:f>
        <x:v>865000</x:v>
      </x:c>
      <x:c r="K346" s="37" t="n">
        <x:f>IF(B346="Pensioner",1,VLOOKUP(Assumptions!$B$10,Mortality!$A$2:$F$104,6,FALSE)/VLOOKUP(C346,Mortality!$A$2:$F$104,6,FALSE))</x:f>
        <x:v>1</x:v>
      </x:c>
      <x:c r="L346" s="37" t="n">
        <x:f>VLOOKUP(IF(B346="Pensioner",C346,Assumptions!$B$10),Mortality!$A$2:$E$104,5,FALSE)</x:f>
        <x:v>4.671582182389365</x:v>
      </x:c>
      <x:c r="M346" s="37" t="n">
        <x:f>1+Assumptions!$B$13*Assumptions!$B$14*Assumptions!$B$15</x:f>
        <x:v>1.31875</x:v>
      </x:c>
      <x:c r="N346" s="37" t="n">
        <x:f>IF(B346="Pensioner",1,1/(1+Assumptions!$B$6)^G346)</x:f>
        <x:v>1</x:v>
      </x:c>
      <x:c r="O346" s="50" t="n">
        <x:f>J346*K346*L346*M346*N346</x:f>
        <x:v>5328961.387617469</x:v>
      </x:c>
    </x:row>
    <x:row r="347">
      <x:c r="A347" s="42" t="str">
        <x:f>Members!A347</x:f>
        <x:v>A0182</x:v>
      </x:c>
      <x:c r="B347" s="42" t="str">
        <x:f>Members!B347</x:f>
        <x:v>Active</x:v>
      </x:c>
      <x:c r="C347" s="42" t="n">
        <x:f>Members!C347</x:f>
        <x:v>50</x:v>
      </x:c>
      <x:c r="D347" s="44" t="n">
        <x:f>Members!D347</x:f>
        <x:v>14.5</x:v>
      </x:c>
      <x:c r="E347" s="48" t="n">
        <x:f>Members!E347</x:f>
        <x:v>1133000</x:v>
      </x:c>
      <x:c r="F347" s="48" t="n">
        <x:f>Members!F347</x:f>
        <x:v>0</x:v>
      </x:c>
      <x:c r="G347" s="46" t="n">
        <x:f>MAX(0,Assumptions!$B$10-C347)</x:f>
        <x:v>10</x:v>
      </x:c>
      <x:c r="H347" s="50" t="n">
        <x:f>IF(B347="Active",E347*(1+Assumptions!$B$7)^G347,E347)</x:f>
        <x:v>1935327.6713146209</x:v>
      </x:c>
      <x:c r="I347" s="50" t="n">
        <x:f>IF(B347="Active",MIN(Assumptions!$B$12,D347+G347),IF(B347="Deferred",MIN(Assumptions!$B$12,D347),D347))</x:f>
        <x:v>24.5</x:v>
      </x:c>
      <x:c r="J347" s="50" t="n">
        <x:f>IF(B347="Active",H347*I347*Assumptions!$B$11,IF(B347="Deferred",E347*I347*Assumptions!$B$11*(1+Assumptions!$B$9)^G347,F347))</x:f>
        <x:v>790258.7991201369</x:v>
      </x:c>
      <x:c r="K347" s="37" t="n">
        <x:f>IF(B347="Pensioner",1,VLOOKUP(Assumptions!$B$10,Mortality!$A$2:$F$104,6,FALSE)/VLOOKUP(C347,Mortality!$A$2:$F$104,6,FALSE))</x:f>
        <x:v>0.9812729933582415</x:v>
      </x:c>
      <x:c r="L347" s="37" t="n">
        <x:f>VLOOKUP(IF(B347="Pensioner",C347,Assumptions!$B$10),Mortality!$A$2:$E$104,5,FALSE)</x:f>
        <x:v>17.296790022132885</x:v>
      </x:c>
      <x:c r="M347" s="37" t="n">
        <x:f>1+Assumptions!$B$13*Assumptions!$B$14*Assumptions!$B$15</x:f>
        <x:v>1.31875</x:v>
      </x:c>
      <x:c r="N347" s="37" t="n">
        <x:f>IF(B347="Pensioner",1,1/(1+Assumptions!$B$6)^G347)</x:f>
        <x:v>0.5327260355205289</x:v>
      </x:c>
      <x:c r="O347" s="50" t="n">
        <x:f>J347*K347*L347*M347*N347</x:f>
        <x:v>9423041.30161032</x:v>
      </x:c>
    </x:row>
    <x:row r="348">
      <x:c r="A348" s="42" t="str">
        <x:f>Members!A348</x:f>
        <x:v>A0438</x:v>
      </x:c>
      <x:c r="B348" s="42" t="str">
        <x:f>Members!B348</x:f>
        <x:v>Active</x:v>
      </x:c>
      <x:c r="C348" s="42" t="n">
        <x:f>Members!C348</x:f>
        <x:v>27</x:v>
      </x:c>
      <x:c r="D348" s="44" t="n">
        <x:f>Members!D348</x:f>
        <x:v>1.6</x:v>
      </x:c>
      <x:c r="E348" s="48" t="n">
        <x:f>Members!E348</x:f>
        <x:v>546000</x:v>
      </x:c>
      <x:c r="F348" s="48" t="n">
        <x:f>Members!F348</x:f>
        <x:v>0</x:v>
      </x:c>
      <x:c r="G348" s="46" t="n">
        <x:f>MAX(0,Assumptions!$B$10-C348)</x:f>
        <x:v>33</x:v>
      </x:c>
      <x:c r="H348" s="50" t="n">
        <x:f>IF(B348="Active",E348*(1+Assumptions!$B$7)^G348,E348)</x:f>
        <x:v>3195389.550344648</x:v>
      </x:c>
      <x:c r="I348" s="50" t="n">
        <x:f>IF(B348="Active",MIN(Assumptions!$B$12,D348+G348),IF(B348="Deferred",MIN(Assumptions!$B$12,D348),D348))</x:f>
        <x:v>34.6</x:v>
      </x:c>
      <x:c r="J348" s="50" t="n">
        <x:f>IF(B348="Active",H348*I348*Assumptions!$B$11,IF(B348="Deferred",E348*I348*Assumptions!$B$11*(1+Assumptions!$B$9)^G348,F348))</x:f>
        <x:v>1842674.640698747</x:v>
      </x:c>
      <x:c r="K348" s="37" t="n">
        <x:f>IF(B348="Pensioner",1,VLOOKUP(Assumptions!$B$10,Mortality!$A$2:$F$104,6,FALSE)/VLOOKUP(C348,Mortality!$A$2:$F$104,6,FALSE))</x:f>
        <x:v>0.9694971330284515</x:v>
      </x:c>
      <x:c r="L348" s="37" t="n">
        <x:f>VLOOKUP(IF(B348="Pensioner",C348,Assumptions!$B$10),Mortality!$A$2:$E$104,5,FALSE)</x:f>
        <x:v>17.296790022132885</x:v>
      </x:c>
      <x:c r="M348" s="37" t="n">
        <x:f>1+Assumptions!$B$13*Assumptions!$B$14*Assumptions!$B$15</x:f>
        <x:v>1.31875</x:v>
      </x:c>
      <x:c r="N348" s="37" t="n">
        <x:f>IF(B348="Pensioner",1,1/(1+Assumptions!$B$6)^G348)</x:f>
        <x:v>0.12515924752227392</x:v>
      </x:c>
      <x:c r="O348" s="50" t="n">
        <x:f>J348*K348*L348*M348*N348</x:f>
        <x:v>5100187.205976847</x:v>
      </x:c>
    </x:row>
    <x:row r="349">
      <x:c r="A349" s="42" t="str">
        <x:f>Members!A349</x:f>
        <x:v>D0023</x:v>
      </x:c>
      <x:c r="B349" s="42" t="str">
        <x:f>Members!B349</x:f>
        <x:v>Deferred</x:v>
      </x:c>
      <x:c r="C349" s="42" t="n">
        <x:f>Members!C349</x:f>
        <x:v>33</x:v>
      </x:c>
      <x:c r="D349" s="44" t="n">
        <x:f>Members!D349</x:f>
        <x:v>2.6</x:v>
      </x:c>
      <x:c r="E349" s="48" t="n">
        <x:f>Members!E349</x:f>
        <x:v>459000</x:v>
      </x:c>
      <x:c r="F349" s="48" t="n">
        <x:f>Members!F349</x:f>
        <x:v>0</x:v>
      </x:c>
      <x:c r="G349" s="46" t="n">
        <x:f>MAX(0,Assumptions!$B$10-C349)</x:f>
        <x:v>27</x:v>
      </x:c>
      <x:c r="H349" s="50" t="n">
        <x:f>IF(B349="Active",E349*(1+Assumptions!$B$7)^G349,E349)</x:f>
        <x:v>459000</x:v>
      </x:c>
      <x:c r="I349" s="50" t="n">
        <x:f>IF(B349="Active",MIN(Assumptions!$B$12,D349+G349),IF(B349="Deferred",MIN(Assumptions!$B$12,D349),D349))</x:f>
        <x:v>2.6</x:v>
      </x:c>
      <x:c r="J349" s="50" t="n">
        <x:f>IF(B349="Active",H349*I349*Assumptions!$B$11,IF(B349="Deferred",E349*I349*Assumptions!$B$11*(1+Assumptions!$B$9)^G349,F349))</x:f>
        <x:v>57350.20097936089</x:v>
      </x:c>
      <x:c r="K349" s="37" t="n">
        <x:f>IF(B349="Pensioner",1,VLOOKUP(Assumptions!$B$10,Mortality!$A$2:$F$104,6,FALSE)/VLOOKUP(C349,Mortality!$A$2:$F$104,6,FALSE))</x:f>
        <x:v>0.9712826176321353</x:v>
      </x:c>
      <x:c r="L349" s="37" t="n">
        <x:f>VLOOKUP(IF(B349="Pensioner",C349,Assumptions!$B$10),Mortality!$A$2:$E$104,5,FALSE)</x:f>
        <x:v>17.296790022132885</x:v>
      </x:c>
      <x:c r="M349" s="37" t="n">
        <x:f>1+Assumptions!$B$13*Assumptions!$B$14*Assumptions!$B$15</x:f>
        <x:v>1.31875</x:v>
      </x:c>
      <x:c r="N349" s="37" t="n">
        <x:f>IF(B349="Pensioner",1,1/(1+Assumptions!$B$6)^G349)</x:f>
        <x:v>0.1826251518625737</x:v>
      </x:c>
      <x:c r="O349" s="50" t="n">
        <x:f>J349*K349*L349*M349*N349</x:f>
        <x:v>232043.35532470705</x:v>
      </x:c>
    </x:row>
    <x:row r="350">
      <x:c r="A350" s="42" t="str">
        <x:f>Members!A350</x:f>
        <x:v>D0042</x:v>
      </x:c>
      <x:c r="B350" s="42" t="str">
        <x:f>Members!B350</x:f>
        <x:v>Deferred</x:v>
      </x:c>
      <x:c r="C350" s="42" t="n">
        <x:f>Members!C350</x:f>
        <x:v>48</x:v>
      </x:c>
      <x:c r="D350" s="44" t="n">
        <x:f>Members!D350</x:f>
        <x:v>11.2</x:v>
      </x:c>
      <x:c r="E350" s="48" t="n">
        <x:f>Members!E350</x:f>
        <x:v>889000</x:v>
      </x:c>
      <x:c r="F350" s="48" t="n">
        <x:f>Members!F350</x:f>
        <x:v>0</x:v>
      </x:c>
      <x:c r="G350" s="46" t="n">
        <x:f>MAX(0,Assumptions!$B$10-C350)</x:f>
        <x:v>12</x:v>
      </x:c>
      <x:c r="H350" s="50" t="n">
        <x:f>IF(B350="Active",E350*(1+Assumptions!$B$7)^G350,E350)</x:f>
        <x:v>889000</x:v>
      </x:c>
      <x:c r="I350" s="50" t="n">
        <x:f>IF(B350="Active",MIN(Assumptions!$B$12,D350+G350),IF(B350="Deferred",MIN(Assumptions!$B$12,D350),D350))</x:f>
        <x:v>11.2</x:v>
      </x:c>
      <x:c r="J350" s="50" t="n">
        <x:f>IF(B350="Active",H350*I350*Assumptions!$B$11,IF(B350="Deferred",E350*I350*Assumptions!$B$11*(1+Assumptions!$B$9)^G350,F350))</x:f>
        <x:v>265685.9598972449</x:v>
      </x:c>
      <x:c r="K350" s="37" t="n">
        <x:f>IF(B350="Pensioner",1,VLOOKUP(Assumptions!$B$10,Mortality!$A$2:$F$104,6,FALSE)/VLOOKUP(C350,Mortality!$A$2:$F$104,6,FALSE))</x:f>
        <x:v>0.9793037429736591</x:v>
      </x:c>
      <x:c r="L350" s="37" t="n">
        <x:f>VLOOKUP(IF(B350="Pensioner",C350,Assumptions!$B$10),Mortality!$A$2:$E$104,5,FALSE)</x:f>
        <x:v>17.296790022132885</x:v>
      </x:c>
      <x:c r="M350" s="37" t="n">
        <x:f>1+Assumptions!$B$13*Assumptions!$B$14*Assumptions!$B$15</x:f>
        <x:v>1.31875</x:v>
      </x:c>
      <x:c r="N350" s="37" t="n">
        <x:f>IF(B350="Pensioner",1,1/(1+Assumptions!$B$6)^G350)</x:f>
        <x:v>0.4696828543900276</x:v>
      </x:c>
      <x:c r="O350" s="50" t="n">
        <x:f>J350*K350*L350*M350*N350</x:f>
        <x:v>2787524.6199545697</x:v>
      </x:c>
    </x:row>
    <x:row r="351">
      <x:c r="A351" s="42" t="str">
        <x:f>Members!A351</x:f>
        <x:v>A0286</x:v>
      </x:c>
      <x:c r="B351" s="42" t="str">
        <x:f>Members!B351</x:f>
        <x:v>Active</x:v>
      </x:c>
      <x:c r="C351" s="42" t="n">
        <x:f>Members!C351</x:f>
        <x:v>51</x:v>
      </x:c>
      <x:c r="D351" s="44" t="n">
        <x:f>Members!D351</x:f>
        <x:v>3.8</x:v>
      </x:c>
      <x:c r="E351" s="48" t="n">
        <x:f>Members!E351</x:f>
        <x:v>1660000</x:v>
      </x:c>
      <x:c r="F351" s="48" t="n">
        <x:f>Members!F351</x:f>
        <x:v>0</x:v>
      </x:c>
      <x:c r="G351" s="46" t="n">
        <x:f>MAX(0,Assumptions!$B$10-C351)</x:f>
        <x:v>9</x:v>
      </x:c>
      <x:c r="H351" s="50" t="n">
        <x:f>IF(B351="Active",E351*(1+Assumptions!$B$7)^G351,E351)</x:f>
        <x:v>2687696.4937127624</x:v>
      </x:c>
      <x:c r="I351" s="50" t="n">
        <x:f>IF(B351="Active",MIN(Assumptions!$B$12,D351+G351),IF(B351="Deferred",MIN(Assumptions!$B$12,D351),D351))</x:f>
        <x:v>12.8</x:v>
      </x:c>
      <x:c r="J351" s="50" t="n">
        <x:f>IF(B351="Active",H351*I351*Assumptions!$B$11,IF(B351="Deferred",E351*I351*Assumptions!$B$11*(1+Assumptions!$B$9)^G351,F351))</x:f>
        <x:v>573375.251992056</x:v>
      </x:c>
      <x:c r="K351" s="37" t="n">
        <x:f>IF(B351="Pensioner",1,VLOOKUP(Assumptions!$B$10,Mortality!$A$2:$F$104,6,FALSE)/VLOOKUP(C351,Mortality!$A$2:$F$104,6,FALSE))</x:f>
        <x:v>0.9824052797506154</x:v>
      </x:c>
      <x:c r="L351" s="37" t="n">
        <x:f>VLOOKUP(IF(B351="Pensioner",C351,Assumptions!$B$10),Mortality!$A$2:$E$104,5,FALSE)</x:f>
        <x:v>17.296790022132885</x:v>
      </x:c>
      <x:c r="M351" s="37" t="n">
        <x:f>1+Assumptions!$B$13*Assumptions!$B$14*Assumptions!$B$15</x:f>
        <x:v>1.31875</x:v>
      </x:c>
      <x:c r="N351" s="37" t="n">
        <x:f>IF(B351="Pensioner",1,1/(1+Assumptions!$B$6)^G351)</x:f>
        <x:v>0.5673532278293633</x:v>
      </x:c>
      <x:c r="O351" s="50" t="n">
        <x:f>J351*K351*L351*M351*N351</x:f>
        <x:v>7289725.043609171</x:v>
      </x:c>
    </x:row>
    <x:row r="352">
      <x:c r="A352" s="42" t="str">
        <x:f>Members!A352</x:f>
        <x:v>A0338</x:v>
      </x:c>
      <x:c r="B352" s="42" t="str">
        <x:f>Members!B352</x:f>
        <x:v>Active</x:v>
      </x:c>
      <x:c r="C352" s="42" t="n">
        <x:f>Members!C352</x:f>
        <x:v>32</x:v>
      </x:c>
      <x:c r="D352" s="44" t="n">
        <x:f>Members!D352</x:f>
        <x:v>7.3</x:v>
      </x:c>
      <x:c r="E352" s="48" t="n">
        <x:f>Members!E352</x:f>
        <x:v>671000</x:v>
      </x:c>
      <x:c r="F352" s="48" t="n">
        <x:f>Members!F352</x:f>
        <x:v>0</x:v>
      </x:c>
      <x:c r="G352" s="46" t="n">
        <x:f>MAX(0,Assumptions!$B$10-C352)</x:f>
        <x:v>28</x:v>
      </x:c>
      <x:c r="H352" s="50" t="n">
        <x:f>IF(B352="Active",E352*(1+Assumptions!$B$7)^G352,E352)</x:f>
        <x:v>3004632.703230463</x:v>
      </x:c>
      <x:c r="I352" s="50" t="n">
        <x:f>IF(B352="Active",MIN(Assumptions!$B$12,D352+G352),IF(B352="Deferred",MIN(Assumptions!$B$12,D352),D352))</x:f>
        <x:v>35.3</x:v>
      </x:c>
      <x:c r="J352" s="50" t="n">
        <x:f>IF(B352="Active",H352*I352*Assumptions!$B$11,IF(B352="Deferred",E352*I352*Assumptions!$B$11*(1+Assumptions!$B$9)^G352,F352))</x:f>
        <x:v>1767725.5737339223</x:v>
      </x:c>
      <x:c r="K352" s="37" t="n">
        <x:f>IF(B352="Pensioner",1,VLOOKUP(Assumptions!$B$10,Mortality!$A$2:$F$104,6,FALSE)/VLOOKUP(C352,Mortality!$A$2:$F$104,6,FALSE))</x:f>
        <x:v>0.9709584687664957</x:v>
      </x:c>
      <x:c r="L352" s="37" t="n">
        <x:f>VLOOKUP(IF(B352="Pensioner",C352,Assumptions!$B$10),Mortality!$A$2:$E$104,5,FALSE)</x:f>
        <x:v>17.296790022132885</x:v>
      </x:c>
      <x:c r="M352" s="37" t="n">
        <x:f>1+Assumptions!$B$13*Assumptions!$B$14*Assumptions!$B$15</x:f>
        <x:v>1.31875</x:v>
      </x:c>
      <x:c r="N352" s="37" t="n">
        <x:f>IF(B352="Pensioner",1,1/(1+Assumptions!$B$6)^G352)</x:f>
        <x:v>0.17147901583340255</x:v>
      </x:c>
      <x:c r="O352" s="50" t="n">
        <x:f>J352*K352*L352*M352*N352</x:f>
        <x:v>6713584.618175641</x:v>
      </x:c>
    </x:row>
    <x:row r="353">
      <x:c r="A353" s="42" t="str">
        <x:f>Members!A353</x:f>
        <x:v>P0165</x:v>
      </x:c>
      <x:c r="B353" s="42" t="str">
        <x:f>Members!B353</x:f>
        <x:v>Pensioner</x:v>
      </x:c>
      <x:c r="C353" s="42" t="n">
        <x:f>Members!C353</x:f>
        <x:v>90</x:v>
      </x:c>
      <x:c r="D353" s="44" t="n">
        <x:f>Members!D353</x:f>
        <x:v>23.2</x:v>
      </x:c>
      <x:c r="E353" s="48" t="n">
        <x:f>Members!E353</x:f>
        <x:v>0</x:v>
      </x:c>
      <x:c r="F353" s="48" t="n">
        <x:f>Members!F353</x:f>
        <x:v>625000</x:v>
      </x:c>
      <x:c r="G353" s="46" t="n">
        <x:f>MAX(0,Assumptions!$B$10-C353)</x:f>
        <x:v>0</x:v>
      </x:c>
      <x:c r="H353" s="50" t="n">
        <x:f>IF(B353="Active",E353*(1+Assumptions!$B$7)^G353,E353)</x:f>
        <x:v>0</x:v>
      </x:c>
      <x:c r="I353" s="50" t="n">
        <x:f>IF(B353="Active",MIN(Assumptions!$B$12,D353+G353),IF(B353="Deferred",MIN(Assumptions!$B$12,D353),D353))</x:f>
        <x:v>23.2</x:v>
      </x:c>
      <x:c r="J353" s="50" t="n">
        <x:f>IF(B353="Active",H353*I353*Assumptions!$B$11,IF(B353="Deferred",E353*I353*Assumptions!$B$11*(1+Assumptions!$B$9)^G353,F353))</x:f>
        <x:v>625000</x:v>
      </x:c>
      <x:c r="K353" s="37" t="n">
        <x:f>IF(B353="Pensioner",1,VLOOKUP(Assumptions!$B$10,Mortality!$A$2:$F$104,6,FALSE)/VLOOKUP(C353,Mortality!$A$2:$F$104,6,FALSE))</x:f>
        <x:v>1</x:v>
      </x:c>
      <x:c r="L353" s="37" t="n">
        <x:f>VLOOKUP(IF(B353="Pensioner",C353,Assumptions!$B$10),Mortality!$A$2:$E$104,5,FALSE)</x:f>
        <x:v>4.311907930708722</x:v>
      </x:c>
      <x:c r="M353" s="37" t="n">
        <x:f>1+Assumptions!$B$13*Assumptions!$B$14*Assumptions!$B$15</x:f>
        <x:v>1.31875</x:v>
      </x:c>
      <x:c r="N353" s="37" t="n">
        <x:f>IF(B353="Pensioner",1,1/(1+Assumptions!$B$6)^G353)</x:f>
        <x:v>1</x:v>
      </x:c>
      <x:c r="O353" s="50" t="n">
        <x:f>J353*K353*L353*M353*N353</x:f>
        <x:v>3553955.36476383</x:v>
      </x:c>
    </x:row>
    <x:row r="354">
      <x:c r="A354" s="42" t="str">
        <x:f>Members!A354</x:f>
        <x:v>A0289</x:v>
      </x:c>
      <x:c r="B354" s="42" t="str">
        <x:f>Members!B354</x:f>
        <x:v>Active</x:v>
      </x:c>
      <x:c r="C354" s="42" t="n">
        <x:f>Members!C354</x:f>
        <x:v>41</x:v>
      </x:c>
      <x:c r="D354" s="44" t="n">
        <x:f>Members!D354</x:f>
        <x:v>12.6</x:v>
      </x:c>
      <x:c r="E354" s="48" t="n">
        <x:f>Members!E354</x:f>
        <x:v>1103000</x:v>
      </x:c>
      <x:c r="F354" s="48" t="n">
        <x:f>Members!F354</x:f>
        <x:v>0</x:v>
      </x:c>
      <x:c r="G354" s="46" t="n">
        <x:f>MAX(0,Assumptions!$B$10-C354)</x:f>
        <x:v>19</x:v>
      </x:c>
      <x:c r="H354" s="50" t="n">
        <x:f>IF(B354="Active",E354*(1+Assumptions!$B$7)^G354,E354)</x:f>
        <x:v>3050508.542309299</x:v>
      </x:c>
      <x:c r="I354" s="50" t="n">
        <x:f>IF(B354="Active",MIN(Assumptions!$B$12,D354+G354),IF(B354="Deferred",MIN(Assumptions!$B$12,D354),D354))</x:f>
        <x:v>31.6</x:v>
      </x:c>
      <x:c r="J354" s="50" t="n">
        <x:f>IF(B354="Active",H354*I354*Assumptions!$B$11,IF(B354="Deferred",E354*I354*Assumptions!$B$11*(1+Assumptions!$B$9)^G354,F354))</x:f>
        <x:v>1606601.1656162308</x:v>
      </x:c>
      <x:c r="K354" s="37" t="n">
        <x:f>IF(B354="Pensioner",1,VLOOKUP(Assumptions!$B$10,Mortality!$A$2:$F$104,6,FALSE)/VLOOKUP(C354,Mortality!$A$2:$F$104,6,FALSE))</x:f>
        <x:v>0.9745478954079534</x:v>
      </x:c>
      <x:c r="L354" s="37" t="n">
        <x:f>VLOOKUP(IF(B354="Pensioner",C354,Assumptions!$B$10),Mortality!$A$2:$E$104,5,FALSE)</x:f>
        <x:v>17.296790022132885</x:v>
      </x:c>
      <x:c r="M354" s="37" t="n">
        <x:f>1+Assumptions!$B$13*Assumptions!$B$14*Assumptions!$B$15</x:f>
        <x:v>1.31875</x:v>
      </x:c>
      <x:c r="N354" s="37" t="n">
        <x:f>IF(B354="Pensioner",1,1/(1+Assumptions!$B$6)^G354)</x:f>
        <x:v>0.30224383580131214</x:v>
      </x:c>
      <x:c r="O354" s="50" t="n">
        <x:f>J354*K354*L354*M354*N354</x:f>
        <x:v>10794355.173191298</x:v>
      </x:c>
    </x:row>
    <x:row r="355">
      <x:c r="A355" s="42" t="str">
        <x:f>Members!A355</x:f>
        <x:v>A0277</x:v>
      </x:c>
      <x:c r="B355" s="42" t="str">
        <x:f>Members!B355</x:f>
        <x:v>Active</x:v>
      </x:c>
      <x:c r="C355" s="42" t="n">
        <x:f>Members!C355</x:f>
        <x:v>28</x:v>
      </x:c>
      <x:c r="D355" s="44" t="n">
        <x:f>Members!D355</x:f>
        <x:v>1</x:v>
      </x:c>
      <x:c r="E355" s="48" t="n">
        <x:f>Members!E355</x:f>
        <x:v>595000</x:v>
      </x:c>
      <x:c r="F355" s="48" t="n">
        <x:f>Members!F355</x:f>
        <x:v>0</x:v>
      </x:c>
      <x:c r="G355" s="46" t="n">
        <x:f>MAX(0,Assumptions!$B$10-C355)</x:f>
        <x:v>32</x:v>
      </x:c>
      <x:c r="H355" s="50" t="n">
        <x:f>IF(B355="Active",E355*(1+Assumptions!$B$7)^G355,E355)</x:f>
        <x:v>3300621.117745717</x:v>
      </x:c>
      <x:c r="I355" s="50" t="n">
        <x:f>IF(B355="Active",MIN(Assumptions!$B$12,D355+G355),IF(B355="Deferred",MIN(Assumptions!$B$12,D355),D355))</x:f>
        <x:v>33</x:v>
      </x:c>
      <x:c r="J355" s="50" t="n">
        <x:f>IF(B355="Active",H355*I355*Assumptions!$B$11,IF(B355="Deferred",E355*I355*Assumptions!$B$11*(1+Assumptions!$B$9)^G355,F355))</x:f>
        <x:v>1815341.6147601444</x:v>
      </x:c>
      <x:c r="K355" s="37" t="n">
        <x:f>IF(B355="Pensioner",1,VLOOKUP(Assumptions!$B$10,Mortality!$A$2:$F$104,6,FALSE)/VLOOKUP(C355,Mortality!$A$2:$F$104,6,FALSE))</x:f>
        <x:v>0.9697719614347323</x:v>
      </x:c>
      <x:c r="L355" s="37" t="n">
        <x:f>VLOOKUP(IF(B355="Pensioner",C355,Assumptions!$B$10),Mortality!$A$2:$E$104,5,FALSE)</x:f>
        <x:v>17.296790022132885</x:v>
      </x:c>
      <x:c r="M355" s="37" t="n">
        <x:f>1+Assumptions!$B$13*Assumptions!$B$14*Assumptions!$B$15</x:f>
        <x:v>1.31875</x:v>
      </x:c>
      <x:c r="N355" s="37" t="n">
        <x:f>IF(B355="Pensioner",1,1/(1+Assumptions!$B$6)^G355)</x:f>
        <x:v>0.13329459861122173</x:v>
      </x:c>
      <x:c r="O355" s="50" t="n">
        <x:f>J355*K355*L355*M355*N355</x:f>
        <x:v>5352646.0241199825</x:v>
      </x:c>
    </x:row>
    <x:row r="356">
      <x:c r="A356" s="42" t="str">
        <x:f>Members!A356</x:f>
        <x:v>P0193</x:v>
      </x:c>
      <x:c r="B356" s="42" t="str">
        <x:f>Members!B356</x:f>
        <x:v>Pensioner</x:v>
      </x:c>
      <x:c r="C356" s="42" t="n">
        <x:f>Members!C356</x:f>
        <x:v>77</x:v>
      </x:c>
      <x:c r="D356" s="44" t="n">
        <x:f>Members!D356</x:f>
        <x:v>22.7</x:v>
      </x:c>
      <x:c r="E356" s="48" t="n">
        <x:f>Members!E356</x:f>
        <x:v>0</x:v>
      </x:c>
      <x:c r="F356" s="48" t="n">
        <x:f>Members!F356</x:f>
        <x:v>625000</x:v>
      </x:c>
      <x:c r="G356" s="46" t="n">
        <x:f>MAX(0,Assumptions!$B$10-C356)</x:f>
        <x:v>0</x:v>
      </x:c>
      <x:c r="H356" s="50" t="n">
        <x:f>IF(B356="Active",E356*(1+Assumptions!$B$7)^G356,E356)</x:f>
        <x:v>0</x:v>
      </x:c>
      <x:c r="I356" s="50" t="n">
        <x:f>IF(B356="Active",MIN(Assumptions!$B$12,D356+G356),IF(B356="Deferred",MIN(Assumptions!$B$12,D356),D356))</x:f>
        <x:v>22.7</x:v>
      </x:c>
      <x:c r="J356" s="50" t="n">
        <x:f>IF(B356="Active",H356*I356*Assumptions!$B$11,IF(B356="Deferred",E356*I356*Assumptions!$B$11*(1+Assumptions!$B$9)^G356,F356))</x:f>
        <x:v>625000</x:v>
      </x:c>
      <x:c r="K356" s="37" t="n">
        <x:f>IF(B356="Pensioner",1,VLOOKUP(Assumptions!$B$10,Mortality!$A$2:$F$104,6,FALSE)/VLOOKUP(C356,Mortality!$A$2:$F$104,6,FALSE))</x:f>
        <x:v>1</x:v>
      </x:c>
      <x:c r="L356" s="37" t="n">
        <x:f>VLOOKUP(IF(B356="Pensioner",C356,Assumptions!$B$10),Mortality!$A$2:$E$104,5,FALSE)</x:f>
        <x:v>9.741818456431972</x:v>
      </x:c>
      <x:c r="M356" s="37" t="n">
        <x:f>1+Assumptions!$B$13*Assumptions!$B$14*Assumptions!$B$15</x:f>
        <x:v>1.31875</x:v>
      </x:c>
      <x:c r="N356" s="37" t="n">
        <x:f>IF(B356="Pensioner",1,1/(1+Assumptions!$B$6)^G356)</x:f>
        <x:v>1</x:v>
      </x:c>
      <x:c r="O356" s="50" t="n">
        <x:f>J356*K356*L356*M356*N356</x:f>
        <x:v>8029389.430887289</x:v>
      </x:c>
    </x:row>
    <x:row r="357">
      <x:c r="A357" s="42" t="str">
        <x:f>Members!A357</x:f>
        <x:v>A0033</x:v>
      </x:c>
      <x:c r="B357" s="42" t="str">
        <x:f>Members!B357</x:f>
        <x:v>Active</x:v>
      </x:c>
      <x:c r="C357" s="42" t="n">
        <x:f>Members!C357</x:f>
        <x:v>39</x:v>
      </x:c>
      <x:c r="D357" s="44" t="n">
        <x:f>Members!D357</x:f>
        <x:v>11.9</x:v>
      </x:c>
      <x:c r="E357" s="48" t="n">
        <x:f>Members!E357</x:f>
        <x:v>812000</x:v>
      </x:c>
      <x:c r="F357" s="48" t="n">
        <x:f>Members!F357</x:f>
        <x:v>0</x:v>
      </x:c>
      <x:c r="G357" s="46" t="n">
        <x:f>MAX(0,Assumptions!$B$10-C357)</x:f>
        <x:v>21</x:v>
      </x:c>
      <x:c r="H357" s="50" t="n">
        <x:f>IF(B357="Active",E357*(1+Assumptions!$B$7)^G357,E357)</x:f>
        <x:v>2499526.131900899</x:v>
      </x:c>
      <x:c r="I357" s="50" t="n">
        <x:f>IF(B357="Active",MIN(Assumptions!$B$12,D357+G357),IF(B357="Deferred",MIN(Assumptions!$B$12,D357),D357))</x:f>
        <x:v>32.9</x:v>
      </x:c>
      <x:c r="J357" s="50" t="n">
        <x:f>IF(B357="Active",H357*I357*Assumptions!$B$11,IF(B357="Deferred",E357*I357*Assumptions!$B$11*(1+Assumptions!$B$9)^G357,F357))</x:f>
        <x:v>1370573.495658993</x:v>
      </x:c>
      <x:c r="K357" s="37" t="n">
        <x:f>IF(B357="Pensioner",1,VLOOKUP(Assumptions!$B$10,Mortality!$A$2:$F$104,6,FALSE)/VLOOKUP(C357,Mortality!$A$2:$F$104,6,FALSE))</x:f>
        <x:v>0.973585741778878</x:v>
      </x:c>
      <x:c r="L357" s="37" t="n">
        <x:f>VLOOKUP(IF(B357="Pensioner",C357,Assumptions!$B$10),Mortality!$A$2:$E$104,5,FALSE)</x:f>
        <x:v>17.296790022132885</x:v>
      </x:c>
      <x:c r="M357" s="37" t="n">
        <x:f>1+Assumptions!$B$13*Assumptions!$B$14*Assumptions!$B$15</x:f>
        <x:v>1.31875</x:v>
      </x:c>
      <x:c r="N357" s="37" t="n">
        <x:f>IF(B357="Pensioner",1,1/(1+Assumptions!$B$6)^G357)</x:f>
        <x:v>0.26647608349429097</x:v>
      </x:c>
      <x:c r="O357" s="50" t="n">
        <x:f>J357*K357*L357*M357*N357</x:f>
        <x:v>8110782.523931346</x:v>
      </x:c>
    </x:row>
    <x:row r="358">
      <x:c r="A358" s="42" t="str">
        <x:f>Members!A358</x:f>
        <x:v>A0499</x:v>
      </x:c>
      <x:c r="B358" s="42" t="str">
        <x:f>Members!B358</x:f>
        <x:v>Active</x:v>
      </x:c>
      <x:c r="C358" s="42" t="n">
        <x:f>Members!C358</x:f>
        <x:v>37</x:v>
      </x:c>
      <x:c r="D358" s="44" t="n">
        <x:f>Members!D358</x:f>
        <x:v>7.1</x:v>
      </x:c>
      <x:c r="E358" s="48" t="n">
        <x:f>Members!E358</x:f>
        <x:v>835000</x:v>
      </x:c>
      <x:c r="F358" s="48" t="n">
        <x:f>Members!F358</x:f>
        <x:v>0</x:v>
      </x:c>
      <x:c r="G358" s="46" t="n">
        <x:f>MAX(0,Assumptions!$B$10-C358)</x:f>
        <x:v>23</x:v>
      </x:c>
      <x:c r="H358" s="50" t="n">
        <x:f>IF(B358="Active",E358*(1+Assumptions!$B$7)^G358,E358)</x:f>
        <x:v>2860836.5590157183</x:v>
      </x:c>
      <x:c r="I358" s="50" t="n">
        <x:f>IF(B358="Active",MIN(Assumptions!$B$12,D358+G358),IF(B358="Deferred",MIN(Assumptions!$B$12,D358),D358))</x:f>
        <x:v>30.1</x:v>
      </x:c>
      <x:c r="J358" s="50" t="n">
        <x:f>IF(B358="Active",H358*I358*Assumptions!$B$11,IF(B358="Deferred",E358*I358*Assumptions!$B$11*(1+Assumptions!$B$9)^G358,F358))</x:f>
        <x:v>1435186.340439552</x:v>
      </x:c>
      <x:c r="K358" s="37" t="n">
        <x:f>IF(B358="Pensioner",1,VLOOKUP(Assumptions!$B$10,Mortality!$A$2:$F$104,6,FALSE)/VLOOKUP(C358,Mortality!$A$2:$F$104,6,FALSE))</x:f>
        <x:v>0.9727356141265188</x:v>
      </x:c>
      <x:c r="L358" s="37" t="n">
        <x:f>VLOOKUP(IF(B358="Pensioner",C358,Assumptions!$B$10),Mortality!$A$2:$E$104,5,FALSE)</x:f>
        <x:v>17.296790022132885</x:v>
      </x:c>
      <x:c r="M358" s="37" t="n">
        <x:f>1+Assumptions!$B$13*Assumptions!$B$14*Assumptions!$B$15</x:f>
        <x:v>1.31875</x:v>
      </x:c>
      <x:c r="N358" s="37" t="n">
        <x:f>IF(B358="Pensioner",1,1/(1+Assumptions!$B$6)^G358)</x:f>
        <x:v>0.23494111264898151</x:v>
      </x:c>
      <x:c r="O358" s="50" t="n">
        <x:f>J358*K358*L358*M358*N358</x:f>
        <x:v>7481524.733671068</x:v>
      </x:c>
    </x:row>
    <x:row r="359">
      <x:c r="A359" s="42" t="str">
        <x:f>Members!A359</x:f>
        <x:v>A0495</x:v>
      </x:c>
      <x:c r="B359" s="42" t="str">
        <x:f>Members!B359</x:f>
        <x:v>Active</x:v>
      </x:c>
      <x:c r="C359" s="42" t="n">
        <x:f>Members!C359</x:f>
        <x:v>23</x:v>
      </x:c>
      <x:c r="D359" s="44" t="n">
        <x:f>Members!D359</x:f>
        <x:v>1</x:v>
      </x:c>
      <x:c r="E359" s="48" t="n">
        <x:f>Members!E359</x:f>
        <x:v>456000</x:v>
      </x:c>
      <x:c r="F359" s="48" t="n">
        <x:f>Members!F359</x:f>
        <x:v>0</x:v>
      </x:c>
      <x:c r="G359" s="46" t="n">
        <x:f>MAX(0,Assumptions!$B$10-C359)</x:f>
        <x:v>37</x:v>
      </x:c>
      <x:c r="H359" s="50" t="n">
        <x:f>IF(B359="Active",E359*(1+Assumptions!$B$7)^G359,E359)</x:f>
        <x:v>3306022.836176404</x:v>
      </x:c>
      <x:c r="I359" s="50" t="n">
        <x:f>IF(B359="Active",MIN(Assumptions!$B$12,D359+G359),IF(B359="Deferred",MIN(Assumptions!$B$12,D359),D359))</x:f>
        <x:v>38</x:v>
      </x:c>
      <x:c r="J359" s="50" t="n">
        <x:f>IF(B359="Active",H359*I359*Assumptions!$B$11,IF(B359="Deferred",E359*I359*Assumptions!$B$11*(1+Assumptions!$B$9)^G359,F359))</x:f>
        <x:v>2093814.4629117223</x:v>
      </x:c>
      <x:c r="K359" s="37" t="n">
        <x:f>IF(B359="Pensioner",1,VLOOKUP(Assumptions!$B$10,Mortality!$A$2:$F$104,6,FALSE)/VLOOKUP(C359,Mortality!$A$2:$F$104,6,FALSE))</x:f>
        <x:v>0.9684592752197081</x:v>
      </x:c>
      <x:c r="L359" s="37" t="n">
        <x:f>VLOOKUP(IF(B359="Pensioner",C359,Assumptions!$B$10),Mortality!$A$2:$E$104,5,FALSE)</x:f>
        <x:v>17.296790022132885</x:v>
      </x:c>
      <x:c r="M359" s="37" t="n">
        <x:f>1+Assumptions!$B$13*Assumptions!$B$14*Assumptions!$B$15</x:f>
        <x:v>1.31875</x:v>
      </x:c>
      <x:c r="N359" s="37" t="n">
        <x:f>IF(B359="Pensioner",1,1/(1+Assumptions!$B$6)^G359)</x:f>
        <x:v>0.09728917313808341</x:v>
      </x:c>
      <x:c r="O359" s="50" t="n">
        <x:f>J359*K359*L359*M359*N359</x:f>
        <x:v>4499995.261271802</x:v>
      </x:c>
    </x:row>
    <x:row r="360">
      <x:c r="A360" s="42" t="str">
        <x:f>Members!A360</x:f>
        <x:v>P0101</x:v>
      </x:c>
      <x:c r="B360" s="42" t="str">
        <x:f>Members!B360</x:f>
        <x:v>Pensioner</x:v>
      </x:c>
      <x:c r="C360" s="42" t="n">
        <x:f>Members!C360</x:f>
        <x:v>73</x:v>
      </x:c>
      <x:c r="D360" s="44" t="n">
        <x:f>Members!D360</x:f>
        <x:v>18.9</x:v>
      </x:c>
      <x:c r="E360" s="48" t="n">
        <x:f>Members!E360</x:f>
        <x:v>0</x:v>
      </x:c>
      <x:c r="F360" s="48" t="n">
        <x:f>Members!F360</x:f>
        <x:v>406000</x:v>
      </x:c>
      <x:c r="G360" s="46" t="n">
        <x:f>MAX(0,Assumptions!$B$10-C360)</x:f>
        <x:v>0</x:v>
      </x:c>
      <x:c r="H360" s="50" t="n">
        <x:f>IF(B360="Active",E360*(1+Assumptions!$B$7)^G360,E360)</x:f>
        <x:v>0</x:v>
      </x:c>
      <x:c r="I360" s="50" t="n">
        <x:f>IF(B360="Active",MIN(Assumptions!$B$12,D360+G360),IF(B360="Deferred",MIN(Assumptions!$B$12,D360),D360))</x:f>
        <x:v>18.9</x:v>
      </x:c>
      <x:c r="J360" s="50" t="n">
        <x:f>IF(B360="Active",H360*I360*Assumptions!$B$11,IF(B360="Deferred",E360*I360*Assumptions!$B$11*(1+Assumptions!$B$9)^G360,F360))</x:f>
        <x:v>406000</x:v>
      </x:c>
      <x:c r="K360" s="37" t="n">
        <x:f>IF(B360="Pensioner",1,VLOOKUP(Assumptions!$B$10,Mortality!$A$2:$F$104,6,FALSE)/VLOOKUP(C360,Mortality!$A$2:$F$104,6,FALSE))</x:f>
        <x:v>1</x:v>
      </x:c>
      <x:c r="L360" s="37" t="n">
        <x:f>VLOOKUP(IF(B360="Pensioner",C360,Assumptions!$B$10),Mortality!$A$2:$E$104,5,FALSE)</x:f>
        <x:v>11.586176267789867</x:v>
      </x:c>
      <x:c r="M360" s="37" t="n">
        <x:f>1+Assumptions!$B$13*Assumptions!$B$14*Assumptions!$B$15</x:f>
        <x:v>1.31875</x:v>
      </x:c>
      <x:c r="N360" s="37" t="n">
        <x:f>IF(B360="Pensioner",1,1/(1+Assumptions!$B$6)^G360)</x:f>
        <x:v>1</x:v>
      </x:c>
      <x:c r="O360" s="50" t="n">
        <x:f>J360*K360*L360*M360*N360</x:f>
        <x:v>6203383.600978043</x:v>
      </x:c>
    </x:row>
    <x:row r="361">
      <x:c r="A361" s="42" t="str">
        <x:f>Members!A361</x:f>
        <x:v>D0111</x:v>
      </x:c>
      <x:c r="B361" s="42" t="str">
        <x:f>Members!B361</x:f>
        <x:v>Deferred</x:v>
      </x:c>
      <x:c r="C361" s="42" t="n">
        <x:f>Members!C361</x:f>
        <x:v>44</x:v>
      </x:c>
      <x:c r="D361" s="44" t="n">
        <x:f>Members!D361</x:f>
        <x:v>12.3</x:v>
      </x:c>
      <x:c r="E361" s="48" t="n">
        <x:f>Members!E361</x:f>
        <x:v>655000</x:v>
      </x:c>
      <x:c r="F361" s="48" t="n">
        <x:f>Members!F361</x:f>
        <x:v>0</x:v>
      </x:c>
      <x:c r="G361" s="46" t="n">
        <x:f>MAX(0,Assumptions!$B$10-C361)</x:f>
        <x:v>16</x:v>
      </x:c>
      <x:c r="H361" s="50" t="n">
        <x:f>IF(B361="Active",E361*(1+Assumptions!$B$7)^G361,E361)</x:f>
        <x:v>655000</x:v>
      </x:c>
      <x:c r="I361" s="50" t="n">
        <x:f>IF(B361="Active",MIN(Assumptions!$B$12,D361+G361),IF(B361="Deferred",MIN(Assumptions!$B$12,D361),D361))</x:f>
        <x:v>12.3</x:v>
      </x:c>
      <x:c r="J361" s="50" t="n">
        <x:f>IF(B361="Active",H361*I361*Assumptions!$B$11,IF(B361="Deferred",E361*I361*Assumptions!$B$11*(1+Assumptions!$B$9)^G361,F361))</x:f>
        <x:v>251494.55677001894</x:v>
      </x:c>
      <x:c r="K361" s="37" t="n">
        <x:f>IF(B361="Pensioner",1,VLOOKUP(Assumptions!$B$10,Mortality!$A$2:$F$104,6,FALSE)/VLOOKUP(C361,Mortality!$A$2:$F$104,6,FALSE))</x:f>
        <x:v>0.9762682212178733</x:v>
      </x:c>
      <x:c r="L361" s="37" t="n">
        <x:f>VLOOKUP(IF(B361="Pensioner",C361,Assumptions!$B$10),Mortality!$A$2:$E$104,5,FALSE)</x:f>
        <x:v>17.296790022132885</x:v>
      </x:c>
      <x:c r="M361" s="37" t="n">
        <x:f>1+Assumptions!$B$13*Assumptions!$B$14*Assumptions!$B$15</x:f>
        <x:v>1.31875</x:v>
      </x:c>
      <x:c r="N361" s="37" t="n">
        <x:f>IF(B361="Pensioner",1,1/(1+Assumptions!$B$6)^G361)</x:f>
        <x:v>0.3650953281147565</x:v>
      </x:c>
      <x:c r="O361" s="50" t="n">
        <x:f>J361*K361*L361*M361*N361</x:f>
        <x:v>2044711.332548822</x:v>
      </x:c>
    </x:row>
    <x:row r="362">
      <x:c r="A362" s="42" t="str">
        <x:f>Members!A362</x:f>
        <x:v>P0116</x:v>
      </x:c>
      <x:c r="B362" s="42" t="str">
        <x:f>Members!B362</x:f>
        <x:v>Pensioner</x:v>
      </x:c>
      <x:c r="C362" s="42" t="n">
        <x:f>Members!C362</x:f>
        <x:v>76</x:v>
      </x:c>
      <x:c r="D362" s="44" t="n">
        <x:f>Members!D362</x:f>
        <x:v>30.6</x:v>
      </x:c>
      <x:c r="E362" s="48" t="n">
        <x:f>Members!E362</x:f>
        <x:v>0</x:v>
      </x:c>
      <x:c r="F362" s="48" t="n">
        <x:f>Members!F362</x:f>
        <x:v>384000</x:v>
      </x:c>
      <x:c r="G362" s="46" t="n">
        <x:f>MAX(0,Assumptions!$B$10-C362)</x:f>
        <x:v>0</x:v>
      </x:c>
      <x:c r="H362" s="50" t="n">
        <x:f>IF(B362="Active",E362*(1+Assumptions!$B$7)^G362,E362)</x:f>
        <x:v>0</x:v>
      </x:c>
      <x:c r="I362" s="50" t="n">
        <x:f>IF(B362="Active",MIN(Assumptions!$B$12,D362+G362),IF(B362="Deferred",MIN(Assumptions!$B$12,D362),D362))</x:f>
        <x:v>30.6</x:v>
      </x:c>
      <x:c r="J362" s="50" t="n">
        <x:f>IF(B362="Active",H362*I362*Assumptions!$B$11,IF(B362="Deferred",E362*I362*Assumptions!$B$11*(1+Assumptions!$B$9)^G362,F362))</x:f>
        <x:v>384000</x:v>
      </x:c>
      <x:c r="K362" s="37" t="n">
        <x:f>IF(B362="Pensioner",1,VLOOKUP(Assumptions!$B$10,Mortality!$A$2:$F$104,6,FALSE)/VLOOKUP(C362,Mortality!$A$2:$F$104,6,FALSE))</x:f>
        <x:v>1</x:v>
      </x:c>
      <x:c r="L362" s="37" t="n">
        <x:f>VLOOKUP(IF(B362="Pensioner",C362,Assumptions!$B$10),Mortality!$A$2:$E$104,5,FALSE)</x:f>
        <x:v>10.201355966192867</x:v>
      </x:c>
      <x:c r="M362" s="37" t="n">
        <x:f>1+Assumptions!$B$13*Assumptions!$B$14*Assumptions!$B$15</x:f>
        <x:v>1.31875</x:v>
      </x:c>
      <x:c r="N362" s="37" t="n">
        <x:f>IF(B362="Pensioner",1,1/(1+Assumptions!$B$6)^G362)</x:f>
        <x:v>1</x:v>
      </x:c>
      <x:c r="O362" s="50" t="n">
        <x:f>J362*K362*L362*M362*N362</x:f>
        <x:v>5165966.661280069</x:v>
      </x:c>
    </x:row>
    <x:row r="363">
      <x:c r="A363" s="42" t="str">
        <x:f>Members!A363</x:f>
        <x:v>A0565</x:v>
      </x:c>
      <x:c r="B363" s="42" t="str">
        <x:f>Members!B363</x:f>
        <x:v>Active</x:v>
      </x:c>
      <x:c r="C363" s="42" t="n">
        <x:f>Members!C363</x:f>
        <x:v>27</x:v>
      </x:c>
      <x:c r="D363" s="44" t="n">
        <x:f>Members!D363</x:f>
        <x:v>5.7</x:v>
      </x:c>
      <x:c r="E363" s="48" t="n">
        <x:f>Members!E363</x:f>
        <x:v>556000</x:v>
      </x:c>
      <x:c r="F363" s="48" t="n">
        <x:f>Members!F363</x:f>
        <x:v>0</x:v>
      </x:c>
      <x:c r="G363" s="46" t="n">
        <x:f>MAX(0,Assumptions!$B$10-C363)</x:f>
        <x:v>33</x:v>
      </x:c>
      <x:c r="H363" s="50" t="n">
        <x:f>IF(B363="Active",E363*(1+Assumptions!$B$7)^G363,E363)</x:f>
        <x:v>3253913.168482828</x:v>
      </x:c>
      <x:c r="I363" s="50" t="n">
        <x:f>IF(B363="Active",MIN(Assumptions!$B$12,D363+G363),IF(B363="Deferred",MIN(Assumptions!$B$12,D363),D363))</x:f>
        <x:v>38.7</x:v>
      </x:c>
      <x:c r="J363" s="50" t="n">
        <x:f>IF(B363="Active",H363*I363*Assumptions!$B$11,IF(B363="Deferred",E363*I363*Assumptions!$B$11*(1+Assumptions!$B$9)^G363,F363))</x:f>
        <x:v>2098773.993671424</x:v>
      </x:c>
      <x:c r="K363" s="37" t="n">
        <x:f>IF(B363="Pensioner",1,VLOOKUP(Assumptions!$B$10,Mortality!$A$2:$F$104,6,FALSE)/VLOOKUP(C363,Mortality!$A$2:$F$104,6,FALSE))</x:f>
        <x:v>0.9694971330284515</x:v>
      </x:c>
      <x:c r="L363" s="37" t="n">
        <x:f>VLOOKUP(IF(B363="Pensioner",C363,Assumptions!$B$10),Mortality!$A$2:$E$104,5,FALSE)</x:f>
        <x:v>17.296790022132885</x:v>
      </x:c>
      <x:c r="M363" s="37" t="n">
        <x:f>1+Assumptions!$B$13*Assumptions!$B$14*Assumptions!$B$15</x:f>
        <x:v>1.31875</x:v>
      </x:c>
      <x:c r="N363" s="37" t="n">
        <x:f>IF(B363="Pensioner",1,1/(1+Assumptions!$B$6)^G363)</x:f>
        <x:v>0.12515924752227392</x:v>
      </x:c>
      <x:c r="O363" s="50" t="n">
        <x:f>J363*K363*L363*M363*N363</x:f>
        <x:v>5809023.489193345</x:v>
      </x:c>
    </x:row>
    <x:row r="364">
      <x:c r="A364" s="42" t="str">
        <x:f>Members!A364</x:f>
        <x:v>D0006</x:v>
      </x:c>
      <x:c r="B364" s="42" t="str">
        <x:f>Members!B364</x:f>
        <x:v>Deferred</x:v>
      </x:c>
      <x:c r="C364" s="42" t="n">
        <x:f>Members!C364</x:f>
        <x:v>51</x:v>
      </x:c>
      <x:c r="D364" s="44" t="n">
        <x:f>Members!D364</x:f>
        <x:v>15.2</x:v>
      </x:c>
      <x:c r="E364" s="48" t="n">
        <x:f>Members!E364</x:f>
        <x:v>906000</x:v>
      </x:c>
      <x:c r="F364" s="48" t="n">
        <x:f>Members!F364</x:f>
        <x:v>0</x:v>
      </x:c>
      <x:c r="G364" s="46" t="n">
        <x:f>MAX(0,Assumptions!$B$10-C364)</x:f>
        <x:v>9</x:v>
      </x:c>
      <x:c r="H364" s="50" t="n">
        <x:f>IF(B364="Active",E364*(1+Assumptions!$B$7)^G364,E364)</x:f>
        <x:v>906000</x:v>
      </x:c>
      <x:c r="I364" s="50" t="n">
        <x:f>IF(B364="Active",MIN(Assumptions!$B$12,D364+G364),IF(B364="Deferred",MIN(Assumptions!$B$12,D364),D364))</x:f>
        <x:v>15.2</x:v>
      </x:c>
      <x:c r="J364" s="50" t="n">
        <x:f>IF(B364="Active",H364*I364*Assumptions!$B$11,IF(B364="Deferred",E364*I364*Assumptions!$B$11*(1+Assumptions!$B$9)^G364,F364))</x:f>
        <x:v>326678.5271869793</x:v>
      </x:c>
      <x:c r="K364" s="37" t="n">
        <x:f>IF(B364="Pensioner",1,VLOOKUP(Assumptions!$B$10,Mortality!$A$2:$F$104,6,FALSE)/VLOOKUP(C364,Mortality!$A$2:$F$104,6,FALSE))</x:f>
        <x:v>0.9824052797506154</x:v>
      </x:c>
      <x:c r="L364" s="37" t="n">
        <x:f>VLOOKUP(IF(B364="Pensioner",C364,Assumptions!$B$10),Mortality!$A$2:$E$104,5,FALSE)</x:f>
        <x:v>17.296790022132885</x:v>
      </x:c>
      <x:c r="M364" s="37" t="n">
        <x:f>1+Assumptions!$B$13*Assumptions!$B$14*Assumptions!$B$15</x:f>
        <x:v>1.31875</x:v>
      </x:c>
      <x:c r="N364" s="37" t="n">
        <x:f>IF(B364="Pensioner",1,1/(1+Assumptions!$B$6)^G364)</x:f>
        <x:v>0.5673532278293633</x:v>
      </x:c>
      <x:c r="O364" s="50" t="n">
        <x:f>J364*K364*L364*M364*N364</x:f>
        <x:v>4153295.1284009665</x:v>
      </x:c>
    </x:row>
    <x:row r="365">
      <x:c r="A365" s="42" t="str">
        <x:f>Members!A365</x:f>
        <x:v>D0089</x:v>
      </x:c>
      <x:c r="B365" s="42" t="str">
        <x:f>Members!B365</x:f>
        <x:v>Deferred</x:v>
      </x:c>
      <x:c r="C365" s="42" t="n">
        <x:f>Members!C365</x:f>
        <x:v>42</x:v>
      </x:c>
      <x:c r="D365" s="44" t="n">
        <x:f>Members!D365</x:f>
        <x:v>9.5</x:v>
      </x:c>
      <x:c r="E365" s="48" t="n">
        <x:f>Members!E365</x:f>
        <x:v>742000</x:v>
      </x:c>
      <x:c r="F365" s="48" t="n">
        <x:f>Members!F365</x:f>
        <x:v>0</x:v>
      </x:c>
      <x:c r="G365" s="46" t="n">
        <x:f>MAX(0,Assumptions!$B$10-C365)</x:f>
        <x:v>18</x:v>
      </x:c>
      <x:c r="H365" s="50" t="n">
        <x:f>IF(B365="Active",E365*(1+Assumptions!$B$7)^G365,E365)</x:f>
        <x:v>742000</x:v>
      </x:c>
      <x:c r="I365" s="50" t="n">
        <x:f>IF(B365="Active",MIN(Assumptions!$B$12,D365+G365),IF(B365="Deferred",MIN(Assumptions!$B$12,D365),D365))</x:f>
        <x:v>9.5</x:v>
      </x:c>
      <x:c r="J365" s="50" t="n">
        <x:f>IF(B365="Active",H365*I365*Assumptions!$B$11,IF(B365="Deferred",E365*I365*Assumptions!$B$11*(1+Assumptions!$B$9)^G365,F365))</x:f>
        <x:v>237999.676948388</x:v>
      </x:c>
      <x:c r="K365" s="37" t="n">
        <x:f>IF(B365="Pensioner",1,VLOOKUP(Assumptions!$B$10,Mortality!$A$2:$F$104,6,FALSE)/VLOOKUP(C365,Mortality!$A$2:$F$104,6,FALSE))</x:f>
        <x:v>0.9750799707838386</x:v>
      </x:c>
      <x:c r="L365" s="37" t="n">
        <x:f>VLOOKUP(IF(B365="Pensioner",C365,Assumptions!$B$10),Mortality!$A$2:$E$104,5,FALSE)</x:f>
        <x:v>17.296790022132885</x:v>
      </x:c>
      <x:c r="M365" s="37" t="n">
        <x:f>1+Assumptions!$B$13*Assumptions!$B$14*Assumptions!$B$15</x:f>
        <x:v>1.31875</x:v>
      </x:c>
      <x:c r="N365" s="37" t="n">
        <x:f>IF(B365="Pensioner",1,1/(1+Assumptions!$B$6)^G365)</x:f>
        <x:v>0.3218896851283974</x:v>
      </x:c>
      <x:c r="O365" s="50" t="n">
        <x:f>J365*K365*L365*M365*N365</x:f>
        <x:v>1703929.6069336322</x:v>
      </x:c>
    </x:row>
    <x:row r="366">
      <x:c r="A366" s="42" t="str">
        <x:f>Members!A366</x:f>
        <x:v>A0205</x:v>
      </x:c>
      <x:c r="B366" s="42" t="str">
        <x:f>Members!B366</x:f>
        <x:v>Active</x:v>
      </x:c>
      <x:c r="C366" s="42" t="n">
        <x:f>Members!C366</x:f>
        <x:v>54</x:v>
      </x:c>
      <x:c r="D366" s="44" t="n">
        <x:f>Members!D366</x:f>
        <x:v>11.1</x:v>
      </x:c>
      <x:c r="E366" s="48" t="n">
        <x:f>Members!E366</x:f>
        <x:v>1790000</x:v>
      </x:c>
      <x:c r="F366" s="48" t="n">
        <x:f>Members!F366</x:f>
        <x:v>0</x:v>
      </x:c>
      <x:c r="G366" s="46" t="n">
        <x:f>MAX(0,Assumptions!$B$10-C366)</x:f>
        <x:v>6</x:v>
      </x:c>
      <x:c r="H366" s="50" t="n">
        <x:f>IF(B366="Active",E366*(1+Assumptions!$B$7)^G366,E366)</x:f>
        <x:v>2468128.6241037836</x:v>
      </x:c>
      <x:c r="I366" s="50" t="n">
        <x:f>IF(B366="Active",MIN(Assumptions!$B$12,D366+G366),IF(B366="Deferred",MIN(Assumptions!$B$12,D366),D366))</x:f>
        <x:v>17.1</x:v>
      </x:c>
      <x:c r="J366" s="50" t="n">
        <x:f>IF(B366="Active",H366*I366*Assumptions!$B$11,IF(B366="Deferred",E366*I366*Assumptions!$B$11*(1+Assumptions!$B$9)^G366,F366))</x:f>
        <x:v>703416.6578695783</x:v>
      </x:c>
      <x:c r="K366" s="37" t="n">
        <x:f>IF(B366="Pensioner",1,VLOOKUP(Assumptions!$B$10,Mortality!$A$2:$F$104,6,FALSE)/VLOOKUP(C366,Mortality!$A$2:$F$104,6,FALSE))</x:f>
        <x:v>0.9865535119056937</x:v>
      </x:c>
      <x:c r="L366" s="37" t="n">
        <x:f>VLOOKUP(IF(B366="Pensioner",C366,Assumptions!$B$10),Mortality!$A$2:$E$104,5,FALSE)</x:f>
        <x:v>17.296790022132885</x:v>
      </x:c>
      <x:c r="M366" s="37" t="n">
        <x:f>1+Assumptions!$B$13*Assumptions!$B$14*Assumptions!$B$15</x:f>
        <x:v>1.31875</x:v>
      </x:c>
      <x:c r="N366" s="37" t="n">
        <x:f>IF(B366="Pensioner",1,1/(1+Assumptions!$B$6)^G366)</x:f>
        <x:v>0.6853341187990187</x:v>
      </x:c>
      <x:c r="O366" s="50" t="n">
        <x:f>J366*K366*L366*M366*N366</x:f>
        <x:v>10848348.664977226</x:v>
      </x:c>
    </x:row>
    <x:row r="367">
      <x:c r="A367" s="42" t="str">
        <x:f>Members!A367</x:f>
        <x:v>A0002</x:v>
      </x:c>
      <x:c r="B367" s="42" t="str">
        <x:f>Members!B367</x:f>
        <x:v>Active</x:v>
      </x:c>
      <x:c r="C367" s="42" t="n">
        <x:f>Members!C367</x:f>
        <x:v>45</x:v>
      </x:c>
      <x:c r="D367" s="44" t="n">
        <x:f>Members!D367</x:f>
        <x:v>15.7</x:v>
      </x:c>
      <x:c r="E367" s="48" t="n">
        <x:f>Members!E367</x:f>
        <x:v>1372000</x:v>
      </x:c>
      <x:c r="F367" s="48" t="n">
        <x:f>Members!F367</x:f>
        <x:v>0</x:v>
      </x:c>
      <x:c r="G367" s="46" t="n">
        <x:f>MAX(0,Assumptions!$B$10-C367)</x:f>
        <x:v>15</x:v>
      </x:c>
      <x:c r="H367" s="50" t="n">
        <x:f>IF(B367="Active",E367*(1+Assumptions!$B$7)^G367,E367)</x:f>
        <x:v>3062957.747350467</x:v>
      </x:c>
      <x:c r="I367" s="50" t="n">
        <x:f>IF(B367="Active",MIN(Assumptions!$B$12,D367+G367),IF(B367="Deferred",MIN(Assumptions!$B$12,D367),D367))</x:f>
        <x:v>30.7</x:v>
      </x:c>
      <x:c r="J367" s="50" t="n">
        <x:f>IF(B367="Active",H367*I367*Assumptions!$B$11,IF(B367="Deferred",E367*I367*Assumptions!$B$11*(1+Assumptions!$B$9)^G367,F367))</x:f>
        <x:v>1567213.3807276555</x:v>
      </x:c>
      <x:c r="K367" s="37" t="n">
        <x:f>IF(B367="Pensioner",1,VLOOKUP(Assumptions!$B$10,Mortality!$A$2:$F$104,6,FALSE)/VLOOKUP(C367,Mortality!$A$2:$F$104,6,FALSE))</x:f>
        <x:v>0.9769349478194655</x:v>
      </x:c>
      <x:c r="L367" s="37" t="n">
        <x:f>VLOOKUP(IF(B367="Pensioner",C367,Assumptions!$B$10),Mortality!$A$2:$E$104,5,FALSE)</x:f>
        <x:v>17.296790022132885</x:v>
      </x:c>
      <x:c r="M367" s="37" t="n">
        <x:f>1+Assumptions!$B$13*Assumptions!$B$14*Assumptions!$B$15</x:f>
        <x:v>1.31875</x:v>
      </x:c>
      <x:c r="N367" s="37" t="n">
        <x:f>IF(B367="Pensioner",1,1/(1+Assumptions!$B$6)^G367)</x:f>
        <x:v>0.38882652444221566</x:v>
      </x:c>
      <x:c r="O367" s="50" t="n">
        <x:f>J367*K367*L367*M367*N367</x:f>
        <x:v>13579308.22472412</x:v>
      </x:c>
    </x:row>
    <x:row r="368">
      <x:c r="A368" s="42" t="str">
        <x:f>Members!A368</x:f>
        <x:v>A0152</x:v>
      </x:c>
      <x:c r="B368" s="42" t="str">
        <x:f>Members!B368</x:f>
        <x:v>Active</x:v>
      </x:c>
      <x:c r="C368" s="42" t="n">
        <x:f>Members!C368</x:f>
        <x:v>25</x:v>
      </x:c>
      <x:c r="D368" s="44" t="n">
        <x:f>Members!D368</x:f>
        <x:v>1.3</x:v>
      </x:c>
      <x:c r="E368" s="48" t="n">
        <x:f>Members!E368</x:f>
        <x:v>337000</x:v>
      </x:c>
      <x:c r="F368" s="48" t="n">
        <x:f>Members!F368</x:f>
        <x:v>0</x:v>
      </x:c>
      <x:c r="G368" s="46" t="n">
        <x:f>MAX(0,Assumptions!$B$10-C368)</x:f>
        <x:v>35</x:v>
      </x:c>
      <x:c r="H368" s="50" t="n">
        <x:f>IF(B368="Active",E368*(1+Assumptions!$B$7)^G368,E368)</x:f>
        <x:v>2195159.027636964</x:v>
      </x:c>
      <x:c r="I368" s="50" t="n">
        <x:f>IF(B368="Active",MIN(Assumptions!$B$12,D368+G368),IF(B368="Deferred",MIN(Assumptions!$B$12,D368),D368))</x:f>
        <x:v>36.3</x:v>
      </x:c>
      <x:c r="J368" s="50" t="n">
        <x:f>IF(B368="Active",H368*I368*Assumptions!$B$11,IF(B368="Deferred",E368*I368*Assumptions!$B$11*(1+Assumptions!$B$9)^G368,F368))</x:f>
        <x:v>1328071.211720363</x:v>
      </x:c>
      <x:c r="K368" s="37" t="n">
        <x:f>IF(B368="Pensioner",1,VLOOKUP(Assumptions!$B$10,Mortality!$A$2:$F$104,6,FALSE)/VLOOKUP(C368,Mortality!$A$2:$F$104,6,FALSE))</x:f>
        <x:v>0.9689672976041144</x:v>
      </x:c>
      <x:c r="L368" s="37" t="n">
        <x:f>VLOOKUP(IF(B368="Pensioner",C368,Assumptions!$B$10),Mortality!$A$2:$E$104,5,FALSE)</x:f>
        <x:v>17.296790022132885</x:v>
      </x:c>
      <x:c r="M368" s="37" t="n">
        <x:f>1+Assumptions!$B$13*Assumptions!$B$14*Assumptions!$B$15</x:f>
        <x:v>1.31875</x:v>
      </x:c>
      <x:c r="N368" s="37" t="n">
        <x:f>IF(B368="Pensioner",1,1/(1+Assumptions!$B$6)^G368)</x:f>
        <x:v>0.11034781240254267</x:v>
      </x:c>
      <x:c r="O368" s="50" t="n">
        <x:f>J368*K368*L368*M368*N368</x:f>
        <x:v>3239083.892724963</x:v>
      </x:c>
    </x:row>
    <x:row r="369">
      <x:c r="A369" s="42" t="str">
        <x:f>Members!A369</x:f>
        <x:v>A0363</x:v>
      </x:c>
      <x:c r="B369" s="42" t="str">
        <x:f>Members!B369</x:f>
        <x:v>Active</x:v>
      </x:c>
      <x:c r="C369" s="42" t="n">
        <x:f>Members!C369</x:f>
        <x:v>35</x:v>
      </x:c>
      <x:c r="D369" s="44" t="n">
        <x:f>Members!D369</x:f>
        <x:v>14.8</x:v>
      </x:c>
      <x:c r="E369" s="48" t="n">
        <x:f>Members!E369</x:f>
        <x:v>805000</x:v>
      </x:c>
      <x:c r="F369" s="48" t="n">
        <x:f>Members!F369</x:f>
        <x:v>0</x:v>
      </x:c>
      <x:c r="G369" s="46" t="n">
        <x:f>MAX(0,Assumptions!$B$10-C369)</x:f>
        <x:v>25</x:v>
      </x:c>
      <x:c r="H369" s="50" t="n">
        <x:f>IF(B369="Active",E369*(1+Assumptions!$B$7)^G369,E369)</x:f>
        <x:v>3069780.840639842</x:v>
      </x:c>
      <x:c r="I369" s="50" t="n">
        <x:f>IF(B369="Active",MIN(Assumptions!$B$12,D369+G369),IF(B369="Deferred",MIN(Assumptions!$B$12,D369),D369))</x:f>
        <x:v>39.8</x:v>
      </x:c>
      <x:c r="J369" s="50" t="n">
        <x:f>IF(B369="Active",H369*I369*Assumptions!$B$11,IF(B369="Deferred",E369*I369*Assumptions!$B$11*(1+Assumptions!$B$9)^G369,F369))</x:f>
        <x:v>2036287.9576244284</x:v>
      </x:c>
      <x:c r="K369" s="37" t="n">
        <x:f>IF(B369="Pensioner",1,VLOOKUP(Assumptions!$B$10,Mortality!$A$2:$F$104,6,FALSE)/VLOOKUP(C369,Mortality!$A$2:$F$104,6,FALSE))</x:f>
        <x:v>0.9719740765386753</x:v>
      </x:c>
      <x:c r="L369" s="37" t="n">
        <x:f>VLOOKUP(IF(B369="Pensioner",C369,Assumptions!$B$10),Mortality!$A$2:$E$104,5,FALSE)</x:f>
        <x:v>17.296790022132885</x:v>
      </x:c>
      <x:c r="M369" s="37" t="n">
        <x:f>1+Assumptions!$B$13*Assumptions!$B$14*Assumptions!$B$15</x:f>
        <x:v>1.31875</x:v>
      </x:c>
      <x:c r="N369" s="37" t="n">
        <x:f>IF(B369="Pensioner",1,1/(1+Assumptions!$B$6)^G369)</x:f>
        <x:v>0.20713801287132758</x:v>
      </x:c>
      <x:c r="O369" s="50" t="n">
        <x:f>J369*K369*L369*M369*N369</x:f>
        <x:v>9351508.360254372</x:v>
      </x:c>
    </x:row>
    <x:row r="370">
      <x:c r="A370" s="42" t="str">
        <x:f>Members!A370</x:f>
        <x:v>A0086</x:v>
      </x:c>
      <x:c r="B370" s="42" t="str">
        <x:f>Members!B370</x:f>
        <x:v>Active</x:v>
      </x:c>
      <x:c r="C370" s="42" t="n">
        <x:f>Members!C370</x:f>
        <x:v>37</x:v>
      </x:c>
      <x:c r="D370" s="44" t="n">
        <x:f>Members!D370</x:f>
        <x:v>14.5</x:v>
      </x:c>
      <x:c r="E370" s="48" t="n">
        <x:f>Members!E370</x:f>
        <x:v>811000</x:v>
      </x:c>
      <x:c r="F370" s="48" t="n">
        <x:f>Members!F370</x:f>
        <x:v>0</x:v>
      </x:c>
      <x:c r="G370" s="46" t="n">
        <x:f>MAX(0,Assumptions!$B$10-C370)</x:f>
        <x:v>23</x:v>
      </x:c>
      <x:c r="H370" s="50" t="n">
        <x:f>IF(B370="Active",E370*(1+Assumptions!$B$7)^G370,E370)</x:f>
        <x:v>2778608.9213913144</x:v>
      </x:c>
      <x:c r="I370" s="50" t="n">
        <x:f>IF(B370="Active",MIN(Assumptions!$B$12,D370+G370),IF(B370="Deferred",MIN(Assumptions!$B$12,D370),D370))</x:f>
        <x:v>37.5</x:v>
      </x:c>
      <x:c r="J370" s="50" t="n">
        <x:f>IF(B370="Active",H370*I370*Assumptions!$B$11,IF(B370="Deferred",E370*I370*Assumptions!$B$11*(1+Assumptions!$B$9)^G370,F370))</x:f>
        <x:v>1736630.5758695714</x:v>
      </x:c>
      <x:c r="K370" s="37" t="n">
        <x:f>IF(B370="Pensioner",1,VLOOKUP(Assumptions!$B$10,Mortality!$A$2:$F$104,6,FALSE)/VLOOKUP(C370,Mortality!$A$2:$F$104,6,FALSE))</x:f>
        <x:v>0.9727356141265188</x:v>
      </x:c>
      <x:c r="L370" s="37" t="n">
        <x:f>VLOOKUP(IF(B370="Pensioner",C370,Assumptions!$B$10),Mortality!$A$2:$E$104,5,FALSE)</x:f>
        <x:v>17.296790022132885</x:v>
      </x:c>
      <x:c r="M370" s="37" t="n">
        <x:f>1+Assumptions!$B$13*Assumptions!$B$14*Assumptions!$B$15</x:f>
        <x:v>1.31875</x:v>
      </x:c>
      <x:c r="N370" s="37" t="n">
        <x:f>IF(B370="Pensioner",1,1/(1+Assumptions!$B$6)^G370)</x:f>
        <x:v>0.23494111264898151</x:v>
      </x:c>
      <x:c r="O370" s="50" t="n">
        <x:f>J370*K370*L370*M370*N370</x:f>
        <x:v>9052932.180666098</x:v>
      </x:c>
    </x:row>
    <x:row r="371">
      <x:c r="A371" s="42" t="str">
        <x:f>Members!A371</x:f>
        <x:v>A0344</x:v>
      </x:c>
      <x:c r="B371" s="42" t="str">
        <x:f>Members!B371</x:f>
        <x:v>Active</x:v>
      </x:c>
      <x:c r="C371" s="42" t="n">
        <x:f>Members!C371</x:f>
        <x:v>35</x:v>
      </x:c>
      <x:c r="D371" s="44" t="n">
        <x:f>Members!D371</x:f>
        <x:v>7.6</x:v>
      </x:c>
      <x:c r="E371" s="48" t="n">
        <x:f>Members!E371</x:f>
        <x:v>721000</x:v>
      </x:c>
      <x:c r="F371" s="48" t="n">
        <x:f>Members!F371</x:f>
        <x:v>0</x:v>
      </x:c>
      <x:c r="G371" s="46" t="n">
        <x:f>MAX(0,Assumptions!$B$10-C371)</x:f>
        <x:v>25</x:v>
      </x:c>
      <x:c r="H371" s="50" t="n">
        <x:f>IF(B371="Active",E371*(1+Assumptions!$B$7)^G371,E371)</x:f>
        <x:v>2749455.8833556846</x:v>
      </x:c>
      <x:c r="I371" s="50" t="n">
        <x:f>IF(B371="Active",MIN(Assumptions!$B$12,D371+G371),IF(B371="Deferred",MIN(Assumptions!$B$12,D371),D371))</x:f>
        <x:v>32.6</x:v>
      </x:c>
      <x:c r="J371" s="50" t="n">
        <x:f>IF(B371="Active",H371*I371*Assumptions!$B$11,IF(B371="Deferred",E371*I371*Assumptions!$B$11*(1+Assumptions!$B$9)^G371,F371))</x:f>
        <x:v>1493871.0299565885</x:v>
      </x:c>
      <x:c r="K371" s="37" t="n">
        <x:f>IF(B371="Pensioner",1,VLOOKUP(Assumptions!$B$10,Mortality!$A$2:$F$104,6,FALSE)/VLOOKUP(C371,Mortality!$A$2:$F$104,6,FALSE))</x:f>
        <x:v>0.9719740765386753</x:v>
      </x:c>
      <x:c r="L371" s="37" t="n">
        <x:f>VLOOKUP(IF(B371="Pensioner",C371,Assumptions!$B$10),Mortality!$A$2:$E$104,5,FALSE)</x:f>
        <x:v>17.296790022132885</x:v>
      </x:c>
      <x:c r="M371" s="37" t="n">
        <x:f>1+Assumptions!$B$13*Assumptions!$B$14*Assumptions!$B$15</x:f>
        <x:v>1.31875</x:v>
      </x:c>
      <x:c r="N371" s="37" t="n">
        <x:f>IF(B371="Pensioner",1,1/(1+Assumptions!$B$6)^G371)</x:f>
        <x:v>0.20713801287132758</x:v>
      </x:c>
      <x:c r="O371" s="50" t="n">
        <x:f>J371*K371*L371*M371*N371</x:f>
        <x:v>6860497.000669025</x:v>
      </x:c>
    </x:row>
    <x:row r="372">
      <x:c r="A372" s="42" t="str">
        <x:f>Members!A372</x:f>
        <x:v>A0512</x:v>
      </x:c>
      <x:c r="B372" s="42" t="str">
        <x:f>Members!B372</x:f>
        <x:v>Active</x:v>
      </x:c>
      <x:c r="C372" s="42" t="n">
        <x:f>Members!C372</x:f>
        <x:v>54</x:v>
      </x:c>
      <x:c r="D372" s="44" t="n">
        <x:f>Members!D372</x:f>
        <x:v>24</x:v>
      </x:c>
      <x:c r="E372" s="48" t="n">
        <x:f>Members!E372</x:f>
        <x:v>1379000</x:v>
      </x:c>
      <x:c r="F372" s="48" t="n">
        <x:f>Members!F372</x:f>
        <x:v>0</x:v>
      </x:c>
      <x:c r="G372" s="46" t="n">
        <x:f>MAX(0,Assumptions!$B$10-C372)</x:f>
        <x:v>6</x:v>
      </x:c>
      <x:c r="H372" s="50" t="n">
        <x:f>IF(B372="Active",E372*(1+Assumptions!$B$7)^G372,E372)</x:f>
        <x:v>1901424.2305246468</x:v>
      </x:c>
      <x:c r="I372" s="50" t="n">
        <x:f>IF(B372="Active",MIN(Assumptions!$B$12,D372+G372),IF(B372="Deferred",MIN(Assumptions!$B$12,D372),D372))</x:f>
        <x:v>30</x:v>
      </x:c>
      <x:c r="J372" s="50" t="n">
        <x:f>IF(B372="Active",H372*I372*Assumptions!$B$11,IF(B372="Deferred",E372*I372*Assumptions!$B$11*(1+Assumptions!$B$9)^G372,F372))</x:f>
        <x:v>950712.1152623234</x:v>
      </x:c>
      <x:c r="K372" s="37" t="n">
        <x:f>IF(B372="Pensioner",1,VLOOKUP(Assumptions!$B$10,Mortality!$A$2:$F$104,6,FALSE)/VLOOKUP(C372,Mortality!$A$2:$F$104,6,FALSE))</x:f>
        <x:v>0.9865535119056937</x:v>
      </x:c>
      <x:c r="L372" s="37" t="n">
        <x:f>VLOOKUP(IF(B372="Pensioner",C372,Assumptions!$B$10),Mortality!$A$2:$E$104,5,FALSE)</x:f>
        <x:v>17.296790022132885</x:v>
      </x:c>
      <x:c r="M372" s="37" t="n">
        <x:f>1+Assumptions!$B$13*Assumptions!$B$14*Assumptions!$B$15</x:f>
        <x:v>1.31875</x:v>
      </x:c>
      <x:c r="N372" s="37" t="n">
        <x:f>IF(B372="Pensioner",1,1/(1+Assumptions!$B$6)^G372)</x:f>
        <x:v>0.6853341187990187</x:v>
      </x:c>
      <x:c r="O372" s="50" t="n">
        <x:f>J372*K372*L372*M372*N372</x:f>
        <x:v>14662229.549155733</x:v>
      </x:c>
    </x:row>
    <x:row r="373">
      <x:c r="A373" s="42" t="str">
        <x:f>Members!A373</x:f>
        <x:v>A0367</x:v>
      </x:c>
      <x:c r="B373" s="42" t="str">
        <x:f>Members!B373</x:f>
        <x:v>Active</x:v>
      </x:c>
      <x:c r="C373" s="42" t="n">
        <x:f>Members!C373</x:f>
        <x:v>36</x:v>
      </x:c>
      <x:c r="D373" s="44" t="n">
        <x:f>Members!D373</x:f>
        <x:v>2</x:v>
      </x:c>
      <x:c r="E373" s="48" t="n">
        <x:f>Members!E373</x:f>
        <x:v>772000</x:v>
      </x:c>
      <x:c r="F373" s="48" t="n">
        <x:f>Members!F373</x:f>
        <x:v>0</x:v>
      </x:c>
      <x:c r="G373" s="46" t="n">
        <x:f>MAX(0,Assumptions!$B$10-C373)</x:f>
        <x:v>24</x:v>
      </x:c>
      <x:c r="H373" s="50" t="n">
        <x:f>IF(B373="Active",E373*(1+Assumptions!$B$7)^G373,E373)</x:f>
        <x:v>2790463.405815499</x:v>
      </x:c>
      <x:c r="I373" s="50" t="n">
        <x:f>IF(B373="Active",MIN(Assumptions!$B$12,D373+G373),IF(B373="Deferred",MIN(Assumptions!$B$12,D373),D373))</x:f>
        <x:v>26</x:v>
      </x:c>
      <x:c r="J373" s="50" t="n">
        <x:f>IF(B373="Active",H373*I373*Assumptions!$B$11,IF(B373="Deferred",E373*I373*Assumptions!$B$11*(1+Assumptions!$B$9)^G373,F373))</x:f>
        <x:v>1209200.809186716</x:v>
      </x:c>
      <x:c r="K373" s="37" t="n">
        <x:f>IF(B373="Pensioner",1,VLOOKUP(Assumptions!$B$10,Mortality!$A$2:$F$104,6,FALSE)/VLOOKUP(C373,Mortality!$A$2:$F$104,6,FALSE))</x:f>
        <x:v>0.9723450305541352</x:v>
      </x:c>
      <x:c r="L373" s="37" t="n">
        <x:f>VLOOKUP(IF(B373="Pensioner",C373,Assumptions!$B$10),Mortality!$A$2:$E$104,5,FALSE)</x:f>
        <x:v>17.296790022132885</x:v>
      </x:c>
      <x:c r="M373" s="37" t="n">
        <x:f>1+Assumptions!$B$13*Assumptions!$B$14*Assumptions!$B$15</x:f>
        <x:v>1.31875</x:v>
      </x:c>
      <x:c r="N373" s="37" t="n">
        <x:f>IF(B373="Pensioner",1,1/(1+Assumptions!$B$6)^G373)</x:f>
        <x:v>0.22060198370796386</x:v>
      </x:c>
      <x:c r="O373" s="50" t="n">
        <x:f>J373*K373*L373*M373*N373</x:f>
        <x:v>5916382.27626676</x:v>
      </x:c>
    </x:row>
    <x:row r="374">
      <x:c r="A374" s="42" t="str">
        <x:f>Members!A374</x:f>
        <x:v>P0245</x:v>
      </x:c>
      <x:c r="B374" s="42" t="str">
        <x:f>Members!B374</x:f>
        <x:v>Pensioner</x:v>
      </x:c>
      <x:c r="C374" s="42" t="n">
        <x:f>Members!C374</x:f>
        <x:v>77</x:v>
      </x:c>
      <x:c r="D374" s="44" t="n">
        <x:f>Members!D374</x:f>
        <x:v>22.6</x:v>
      </x:c>
      <x:c r="E374" s="48" t="n">
        <x:f>Members!E374</x:f>
        <x:v>0</x:v>
      </x:c>
      <x:c r="F374" s="48" t="n">
        <x:f>Members!F374</x:f>
        <x:v>325000</x:v>
      </x:c>
      <x:c r="G374" s="46" t="n">
        <x:f>MAX(0,Assumptions!$B$10-C374)</x:f>
        <x:v>0</x:v>
      </x:c>
      <x:c r="H374" s="50" t="n">
        <x:f>IF(B374="Active",E374*(1+Assumptions!$B$7)^G374,E374)</x:f>
        <x:v>0</x:v>
      </x:c>
      <x:c r="I374" s="50" t="n">
        <x:f>IF(B374="Active",MIN(Assumptions!$B$12,D374+G374),IF(B374="Deferred",MIN(Assumptions!$B$12,D374),D374))</x:f>
        <x:v>22.6</x:v>
      </x:c>
      <x:c r="J374" s="50" t="n">
        <x:f>IF(B374="Active",H374*I374*Assumptions!$B$11,IF(B374="Deferred",E374*I374*Assumptions!$B$11*(1+Assumptions!$B$9)^G374,F374))</x:f>
        <x:v>325000</x:v>
      </x:c>
      <x:c r="K374" s="37" t="n">
        <x:f>IF(B374="Pensioner",1,VLOOKUP(Assumptions!$B$10,Mortality!$A$2:$F$104,6,FALSE)/VLOOKUP(C374,Mortality!$A$2:$F$104,6,FALSE))</x:f>
        <x:v>1</x:v>
      </x:c>
      <x:c r="L374" s="37" t="n">
        <x:f>VLOOKUP(IF(B374="Pensioner",C374,Assumptions!$B$10),Mortality!$A$2:$E$104,5,FALSE)</x:f>
        <x:v>9.741818456431972</x:v>
      </x:c>
      <x:c r="M374" s="37" t="n">
        <x:f>1+Assumptions!$B$13*Assumptions!$B$14*Assumptions!$B$15</x:f>
        <x:v>1.31875</x:v>
      </x:c>
      <x:c r="N374" s="37" t="n">
        <x:f>IF(B374="Pensioner",1,1/(1+Assumptions!$B$6)^G374)</x:f>
        <x:v>1</x:v>
      </x:c>
      <x:c r="O374" s="50" t="n">
        <x:f>J374*K374*L374*M374*N374</x:f>
        <x:v>4175282.5040613906</x:v>
      </x:c>
    </x:row>
    <x:row r="375">
      <x:c r="A375" s="42" t="str">
        <x:f>Members!A375</x:f>
        <x:v>P0137</x:v>
      </x:c>
      <x:c r="B375" s="42" t="str">
        <x:f>Members!B375</x:f>
        <x:v>Pensioner</x:v>
      </x:c>
      <x:c r="C375" s="42" t="n">
        <x:f>Members!C375</x:f>
        <x:v>89</x:v>
      </x:c>
      <x:c r="D375" s="44" t="n">
        <x:f>Members!D375</x:f>
        <x:v>37</x:v>
      </x:c>
      <x:c r="E375" s="48" t="n">
        <x:f>Members!E375</x:f>
        <x:v>0</x:v>
      </x:c>
      <x:c r="F375" s="48" t="n">
        <x:f>Members!F375</x:f>
        <x:v>893000</x:v>
      </x:c>
      <x:c r="G375" s="46" t="n">
        <x:f>MAX(0,Assumptions!$B$10-C375)</x:f>
        <x:v>0</x:v>
      </x:c>
      <x:c r="H375" s="50" t="n">
        <x:f>IF(B375="Active",E375*(1+Assumptions!$B$7)^G375,E375)</x:f>
        <x:v>0</x:v>
      </x:c>
      <x:c r="I375" s="50" t="n">
        <x:f>IF(B375="Active",MIN(Assumptions!$B$12,D375+G375),IF(B375="Deferred",MIN(Assumptions!$B$12,D375),D375))</x:f>
        <x:v>37</x:v>
      </x:c>
      <x:c r="J375" s="50" t="n">
        <x:f>IF(B375="Active",H375*I375*Assumptions!$B$11,IF(B375="Deferred",E375*I375*Assumptions!$B$11*(1+Assumptions!$B$9)^G375,F375))</x:f>
        <x:v>893000</x:v>
      </x:c>
      <x:c r="K375" s="37" t="n">
        <x:f>IF(B375="Pensioner",1,VLOOKUP(Assumptions!$B$10,Mortality!$A$2:$F$104,6,FALSE)/VLOOKUP(C375,Mortality!$A$2:$F$104,6,FALSE))</x:f>
        <x:v>1</x:v>
      </x:c>
      <x:c r="L375" s="37" t="n">
        <x:f>VLOOKUP(IF(B375="Pensioner",C375,Assumptions!$B$10),Mortality!$A$2:$E$104,5,FALSE)</x:f>
        <x:v>4.671582182389365</x:v>
      </x:c>
      <x:c r="M375" s="37" t="n">
        <x:f>1+Assumptions!$B$13*Assumptions!$B$14*Assumptions!$B$15</x:f>
        <x:v>1.31875</x:v>
      </x:c>
      <x:c r="N375" s="37" t="n">
        <x:f>IF(B375="Pensioner",1,1/(1+Assumptions!$B$6)^G375)</x:f>
        <x:v>1</x:v>
      </x:c>
      <x:c r="O375" s="50" t="n">
        <x:f>J375*K375*L375*M375*N375</x:f>
        <x:v>5501459.559702196</x:v>
      </x:c>
    </x:row>
    <x:row r="376">
      <x:c r="A376" s="42" t="str">
        <x:f>Members!A376</x:f>
        <x:v>A0159</x:v>
      </x:c>
      <x:c r="B376" s="42" t="str">
        <x:f>Members!B376</x:f>
        <x:v>Active</x:v>
      </x:c>
      <x:c r="C376" s="42" t="n">
        <x:f>Members!C376</x:f>
        <x:v>51</x:v>
      </x:c>
      <x:c r="D376" s="44" t="n">
        <x:f>Members!D376</x:f>
        <x:v>5.8</x:v>
      </x:c>
      <x:c r="E376" s="48" t="n">
        <x:f>Members!E376</x:f>
        <x:v>1338000</x:v>
      </x:c>
      <x:c r="F376" s="48" t="n">
        <x:f>Members!F376</x:f>
        <x:v>0</x:v>
      </x:c>
      <x:c r="G376" s="46" t="n">
        <x:f>MAX(0,Assumptions!$B$10-C376)</x:f>
        <x:v>9</x:v>
      </x:c>
      <x:c r="H376" s="50" t="n">
        <x:f>IF(B376="Active",E376*(1+Assumptions!$B$7)^G376,E376)</x:f>
        <x:v>2166348.137703419</x:v>
      </x:c>
      <x:c r="I376" s="50" t="n">
        <x:f>IF(B376="Active",MIN(Assumptions!$B$12,D376+G376),IF(B376="Deferred",MIN(Assumptions!$B$12,D376),D376))</x:f>
        <x:v>14.8</x:v>
      </x:c>
      <x:c r="J376" s="50" t="n">
        <x:f>IF(B376="Active",H376*I376*Assumptions!$B$11,IF(B376="Deferred",E376*I376*Assumptions!$B$11*(1+Assumptions!$B$9)^G376,F376))</x:f>
        <x:v>534365.8739668435</x:v>
      </x:c>
      <x:c r="K376" s="37" t="n">
        <x:f>IF(B376="Pensioner",1,VLOOKUP(Assumptions!$B$10,Mortality!$A$2:$F$104,6,FALSE)/VLOOKUP(C376,Mortality!$A$2:$F$104,6,FALSE))</x:f>
        <x:v>0.9824052797506154</x:v>
      </x:c>
      <x:c r="L376" s="37" t="n">
        <x:f>VLOOKUP(IF(B376="Pensioner",C376,Assumptions!$B$10),Mortality!$A$2:$E$104,5,FALSE)</x:f>
        <x:v>17.296790022132885</x:v>
      </x:c>
      <x:c r="M376" s="37" t="n">
        <x:f>1+Assumptions!$B$13*Assumptions!$B$14*Assumptions!$B$15</x:f>
        <x:v>1.31875</x:v>
      </x:c>
      <x:c r="N376" s="37" t="n">
        <x:f>IF(B376="Pensioner",1,1/(1+Assumptions!$B$6)^G376)</x:f>
        <x:v>0.5673532278293633</x:v>
      </x:c>
      <x:c r="O376" s="50" t="n">
        <x:f>J376*K376*L376*M376*N376</x:f>
        <x:v>6793771.2351076</x:v>
      </x:c>
    </x:row>
    <x:row r="377">
      <x:c r="A377" s="42" t="str">
        <x:f>Members!A377</x:f>
        <x:v>A0131</x:v>
      </x:c>
      <x:c r="B377" s="42" t="str">
        <x:f>Members!B377</x:f>
        <x:v>Active</x:v>
      </x:c>
      <x:c r="C377" s="42" t="n">
        <x:f>Members!C377</x:f>
        <x:v>52</x:v>
      </x:c>
      <x:c r="D377" s="44" t="n">
        <x:f>Members!D377</x:f>
        <x:v>19</x:v>
      </x:c>
      <x:c r="E377" s="48" t="n">
        <x:f>Members!E377</x:f>
        <x:v>1287000</x:v>
      </x:c>
      <x:c r="F377" s="48" t="n">
        <x:f>Members!F377</x:f>
        <x:v>0</x:v>
      </x:c>
      <x:c r="G377" s="46" t="n">
        <x:f>MAX(0,Assumptions!$B$10-C377)</x:f>
        <x:v>8</x:v>
      </x:c>
      <x:c r="H377" s="50" t="n">
        <x:f>IF(B377="Active",E377*(1+Assumptions!$B$7)^G377,E377)</x:f>
        <x:v>1975141.5448000487</x:v>
      </x:c>
      <x:c r="I377" s="50" t="n">
        <x:f>IF(B377="Active",MIN(Assumptions!$B$12,D377+G377),IF(B377="Deferred",MIN(Assumptions!$B$12,D377),D377))</x:f>
        <x:v>27</x:v>
      </x:c>
      <x:c r="J377" s="50" t="n">
        <x:f>IF(B377="Active",H377*I377*Assumptions!$B$11,IF(B377="Deferred",E377*I377*Assumptions!$B$11*(1+Assumptions!$B$9)^G377,F377))</x:f>
        <x:v>888813.6951600219</x:v>
      </x:c>
      <x:c r="K377" s="37" t="n">
        <x:f>IF(B377="Pensioner",1,VLOOKUP(Assumptions!$B$10,Mortality!$A$2:$F$104,6,FALSE)/VLOOKUP(C377,Mortality!$A$2:$F$104,6,FALSE))</x:f>
        <x:v>0.9836527516879843</x:v>
      </x:c>
      <x:c r="L377" s="37" t="n">
        <x:f>VLOOKUP(IF(B377="Pensioner",C377,Assumptions!$B$10),Mortality!$A$2:$E$104,5,FALSE)</x:f>
        <x:v>17.296790022132885</x:v>
      </x:c>
      <x:c r="M377" s="37" t="n">
        <x:f>1+Assumptions!$B$13*Assumptions!$B$14*Assumptions!$B$15</x:f>
        <x:v>1.31875</x:v>
      </x:c>
      <x:c r="N377" s="37" t="n">
        <x:f>IF(B377="Pensioner",1,1/(1+Assumptions!$B$6)^G377)</x:f>
        <x:v>0.6042311876382719</x:v>
      </x:c>
      <x:c r="O377" s="50" t="n">
        <x:f>J377*K377*L377*M377*N377</x:f>
        <x:v>12049906.377057951</x:v>
      </x:c>
    </x:row>
    <x:row r="378">
      <x:c r="A378" s="42" t="str">
        <x:f>Members!A378</x:f>
        <x:v>A0228</x:v>
      </x:c>
      <x:c r="B378" s="42" t="str">
        <x:f>Members!B378</x:f>
        <x:v>Active</x:v>
      </x:c>
      <x:c r="C378" s="42" t="n">
        <x:f>Members!C378</x:f>
        <x:v>26</x:v>
      </x:c>
      <x:c r="D378" s="44" t="n">
        <x:f>Members!D378</x:f>
        <x:v>1</x:v>
      </x:c>
      <x:c r="E378" s="48" t="n">
        <x:f>Members!E378</x:f>
        <x:v>379000</x:v>
      </x:c>
      <x:c r="F378" s="48" t="n">
        <x:f>Members!F378</x:f>
        <x:v>0</x:v>
      </x:c>
      <x:c r="G378" s="46" t="n">
        <x:f>MAX(0,Assumptions!$B$10-C378)</x:f>
        <x:v>34</x:v>
      </x:c>
      <x:c r="H378" s="50" t="n">
        <x:f>IF(B378="Active",E378*(1+Assumptions!$B$7)^G378,E378)</x:f>
        <x:v>2340037.6094460725</x:v>
      </x:c>
      <x:c r="I378" s="50" t="n">
        <x:f>IF(B378="Active",MIN(Assumptions!$B$12,D378+G378),IF(B378="Deferred",MIN(Assumptions!$B$12,D378),D378))</x:f>
        <x:v>35</x:v>
      </x:c>
      <x:c r="J378" s="50" t="n">
        <x:f>IF(B378="Active",H378*I378*Assumptions!$B$11,IF(B378="Deferred",E378*I378*Assumptions!$B$11*(1+Assumptions!$B$9)^G378,F378))</x:f>
        <x:v>1365021.9388435422</x:v>
      </x:c>
      <x:c r="K378" s="37" t="n">
        <x:f>IF(B378="Pensioner",1,VLOOKUP(Assumptions!$B$10,Mortality!$A$2:$F$104,6,FALSE)/VLOOKUP(C378,Mortality!$A$2:$F$104,6,FALSE))</x:f>
        <x:v>0.9692291629189255</x:v>
      </x:c>
      <x:c r="L378" s="37" t="n">
        <x:f>VLOOKUP(IF(B378="Pensioner",C378,Assumptions!$B$10),Mortality!$A$2:$E$104,5,FALSE)</x:f>
        <x:v>17.296790022132885</x:v>
      </x:c>
      <x:c r="M378" s="37" t="n">
        <x:f>1+Assumptions!$B$13*Assumptions!$B$14*Assumptions!$B$15</x:f>
        <x:v>1.31875</x:v>
      </x:c>
      <x:c r="N378" s="37" t="n">
        <x:f>IF(B378="Pensioner",1,1/(1+Assumptions!$B$6)^G378)</x:f>
        <x:v>0.11752042020870793</x:v>
      </x:c>
      <x:c r="O378" s="50" t="n">
        <x:f>J378*K378*L378*M378*N378</x:f>
        <x:v>3546560.935203742</x:v>
      </x:c>
    </x:row>
    <x:row r="379">
      <x:c r="A379" s="42" t="str">
        <x:f>Members!A379</x:f>
        <x:v>P0006</x:v>
      </x:c>
      <x:c r="B379" s="42" t="str">
        <x:f>Members!B379</x:f>
        <x:v>Pensioner</x:v>
      </x:c>
      <x:c r="C379" s="42" t="n">
        <x:f>Members!C379</x:f>
        <x:v>81</x:v>
      </x:c>
      <x:c r="D379" s="44" t="n">
        <x:f>Members!D379</x:f>
        <x:v>29.9</x:v>
      </x:c>
      <x:c r="E379" s="48" t="n">
        <x:f>Members!E379</x:f>
        <x:v>0</x:v>
      </x:c>
      <x:c r="F379" s="48" t="n">
        <x:f>Members!F379</x:f>
        <x:v>541000</x:v>
      </x:c>
      <x:c r="G379" s="46" t="n">
        <x:f>MAX(0,Assumptions!$B$10-C379)</x:f>
        <x:v>0</x:v>
      </x:c>
      <x:c r="H379" s="50" t="n">
        <x:f>IF(B379="Active",E379*(1+Assumptions!$B$7)^G379,E379)</x:f>
        <x:v>0</x:v>
      </x:c>
      <x:c r="I379" s="50" t="n">
        <x:f>IF(B379="Active",MIN(Assumptions!$B$12,D379+G379),IF(B379="Deferred",MIN(Assumptions!$B$12,D379),D379))</x:f>
        <x:v>29.9</x:v>
      </x:c>
      <x:c r="J379" s="50" t="n">
        <x:f>IF(B379="Active",H379*I379*Assumptions!$B$11,IF(B379="Deferred",E379*I379*Assumptions!$B$11*(1+Assumptions!$B$9)^G379,F379))</x:f>
        <x:v>541000</x:v>
      </x:c>
      <x:c r="K379" s="37" t="n">
        <x:f>IF(B379="Pensioner",1,VLOOKUP(Assumptions!$B$10,Mortality!$A$2:$F$104,6,FALSE)/VLOOKUP(C379,Mortality!$A$2:$F$104,6,FALSE))</x:f>
        <x:v>1</x:v>
      </x:c>
      <x:c r="L379" s="37" t="n">
        <x:f>VLOOKUP(IF(B379="Pensioner",C379,Assumptions!$B$10),Mortality!$A$2:$E$104,5,FALSE)</x:f>
        <x:v>7.936897714048503</x:v>
      </x:c>
      <x:c r="M379" s="37" t="n">
        <x:f>1+Assumptions!$B$13*Assumptions!$B$14*Assumptions!$B$15</x:f>
        <x:v>1.31875</x:v>
      </x:c>
      <x:c r="N379" s="37" t="n">
        <x:f>IF(B379="Pensioner",1,1/(1+Assumptions!$B$6)^G379)</x:f>
        <x:v>1</x:v>
      </x:c>
      <x:c r="O379" s="50" t="n">
        <x:f>J379*K379*L379*M379*N379</x:f>
        <x:v>5662530.068477192</x:v>
      </x:c>
    </x:row>
    <x:row r="380">
      <x:c r="A380" s="42" t="str">
        <x:f>Members!A380</x:f>
        <x:v>A0232</x:v>
      </x:c>
      <x:c r="B380" s="42" t="str">
        <x:f>Members!B380</x:f>
        <x:v>Active</x:v>
      </x:c>
      <x:c r="C380" s="42" t="n">
        <x:f>Members!C380</x:f>
        <x:v>51</x:v>
      </x:c>
      <x:c r="D380" s="44" t="n">
        <x:f>Members!D380</x:f>
        <x:v>22.1</x:v>
      </x:c>
      <x:c r="E380" s="48" t="n">
        <x:f>Members!E380</x:f>
        <x:v>1620000</x:v>
      </x:c>
      <x:c r="F380" s="48" t="n">
        <x:f>Members!F380</x:f>
        <x:v>0</x:v>
      </x:c>
      <x:c r="G380" s="46" t="n">
        <x:f>MAX(0,Assumptions!$B$10-C380)</x:f>
        <x:v>9</x:v>
      </x:c>
      <x:c r="H380" s="50" t="n">
        <x:f>IF(B380="Active",E380*(1+Assumptions!$B$7)^G380,E380)</x:f>
        <x:v>2622932.722779925</x:v>
      </x:c>
      <x:c r="I380" s="50" t="n">
        <x:f>IF(B380="Active",MIN(Assumptions!$B$12,D380+G380),IF(B380="Deferred",MIN(Assumptions!$B$12,D380),D380))</x:f>
        <x:v>31.1</x:v>
      </x:c>
      <x:c r="J380" s="50" t="n">
        <x:f>IF(B380="Active",H380*I380*Assumptions!$B$11,IF(B380="Deferred",E380*I380*Assumptions!$B$11*(1+Assumptions!$B$9)^G380,F380))</x:f>
        <x:v>1359553.4613075943</x:v>
      </x:c>
      <x:c r="K380" s="37" t="n">
        <x:f>IF(B380="Pensioner",1,VLOOKUP(Assumptions!$B$10,Mortality!$A$2:$F$104,6,FALSE)/VLOOKUP(C380,Mortality!$A$2:$F$104,6,FALSE))</x:f>
        <x:v>0.9824052797506154</x:v>
      </x:c>
      <x:c r="L380" s="37" t="n">
        <x:f>VLOOKUP(IF(B380="Pensioner",C380,Assumptions!$B$10),Mortality!$A$2:$E$104,5,FALSE)</x:f>
        <x:v>17.296790022132885</x:v>
      </x:c>
      <x:c r="M380" s="37" t="n">
        <x:f>1+Assumptions!$B$13*Assumptions!$B$14*Assumptions!$B$15</x:f>
        <x:v>1.31875</x:v>
      </x:c>
      <x:c r="N380" s="37" t="n">
        <x:f>IF(B380="Pensioner",1,1/(1+Assumptions!$B$6)^G380)</x:f>
        <x:v>0.5673532278293633</x:v>
      </x:c>
      <x:c r="O380" s="50" t="n">
        <x:f>J380*K380*L380*M380*N380</x:f>
        <x:v>17284964.5682943</x:v>
      </x:c>
    </x:row>
    <x:row r="381">
      <x:c r="A381" s="42" t="str">
        <x:f>Members!A381</x:f>
        <x:v>P0142</x:v>
      </x:c>
      <x:c r="B381" s="42" t="str">
        <x:f>Members!B381</x:f>
        <x:v>Pensioner</x:v>
      </x:c>
      <x:c r="C381" s="42" t="n">
        <x:f>Members!C381</x:f>
        <x:v>75</x:v>
      </x:c>
      <x:c r="D381" s="44" t="n">
        <x:f>Members!D381</x:f>
        <x:v>15.1</x:v>
      </x:c>
      <x:c r="E381" s="48" t="n">
        <x:f>Members!E381</x:f>
        <x:v>0</x:v>
      </x:c>
      <x:c r="F381" s="48" t="n">
        <x:f>Members!F381</x:f>
        <x:v>372000</x:v>
      </x:c>
      <x:c r="G381" s="46" t="n">
        <x:f>MAX(0,Assumptions!$B$10-C381)</x:f>
        <x:v>0</x:v>
      </x:c>
      <x:c r="H381" s="50" t="n">
        <x:f>IF(B381="Active",E381*(1+Assumptions!$B$7)^G381,E381)</x:f>
        <x:v>0</x:v>
      </x:c>
      <x:c r="I381" s="50" t="n">
        <x:f>IF(B381="Active",MIN(Assumptions!$B$12,D381+G381),IF(B381="Deferred",MIN(Assumptions!$B$12,D381),D381))</x:f>
        <x:v>15.1</x:v>
      </x:c>
      <x:c r="J381" s="50" t="n">
        <x:f>IF(B381="Active",H381*I381*Assumptions!$B$11,IF(B381="Deferred",E381*I381*Assumptions!$B$11*(1+Assumptions!$B$9)^G381,F381))</x:f>
        <x:v>372000</x:v>
      </x:c>
      <x:c r="K381" s="37" t="n">
        <x:f>IF(B381="Pensioner",1,VLOOKUP(Assumptions!$B$10,Mortality!$A$2:$F$104,6,FALSE)/VLOOKUP(C381,Mortality!$A$2:$F$104,6,FALSE))</x:f>
        <x:v>1</x:v>
      </x:c>
      <x:c r="L381" s="37" t="n">
        <x:f>VLOOKUP(IF(B381="Pensioner",C381,Assumptions!$B$10),Mortality!$A$2:$E$104,5,FALSE)</x:f>
        <x:v>10.662474804432929</x:v>
      </x:c>
      <x:c r="M381" s="37" t="n">
        <x:f>1+Assumptions!$B$13*Assumptions!$B$14*Assumptions!$B$15</x:f>
        <x:v>1.31875</x:v>
      </x:c>
      <x:c r="N381" s="37" t="n">
        <x:f>IF(B381="Pensioner",1,1/(1+Assumptions!$B$6)^G381)</x:f>
        <x:v>1</x:v>
      </x:c>
      <x:c r="O381" s="50" t="n">
        <x:f>J381*K381*L381*M381*N381</x:f>
        <x:v>5230743.577184685</x:v>
      </x:c>
    </x:row>
    <x:row r="382">
      <x:c r="A382" s="42" t="str">
        <x:f>Members!A382</x:f>
        <x:v>A0404</x:v>
      </x:c>
      <x:c r="B382" s="42" t="str">
        <x:f>Members!B382</x:f>
        <x:v>Active</x:v>
      </x:c>
      <x:c r="C382" s="42" t="n">
        <x:f>Members!C382</x:f>
        <x:v>33</x:v>
      </x:c>
      <x:c r="D382" s="44" t="n">
        <x:f>Members!D382</x:f>
        <x:v>6.2</x:v>
      </x:c>
      <x:c r="E382" s="48" t="n">
        <x:f>Members!E382</x:f>
        <x:v>678000</x:v>
      </x:c>
      <x:c r="F382" s="48" t="n">
        <x:f>Members!F382</x:f>
        <x:v>0</x:v>
      </x:c>
      <x:c r="G382" s="46" t="n">
        <x:f>MAX(0,Assumptions!$B$10-C382)</x:f>
        <x:v>27</x:v>
      </x:c>
      <x:c r="H382" s="50" t="n">
        <x:f>IF(B382="Active",E382*(1+Assumptions!$B$7)^G382,E382)</x:f>
        <x:v>2877703.8907625373</x:v>
      </x:c>
      <x:c r="I382" s="50" t="n">
        <x:f>IF(B382="Active",MIN(Assumptions!$B$12,D382+G382),IF(B382="Deferred",MIN(Assumptions!$B$12,D382),D382))</x:f>
        <x:v>33.2</x:v>
      </x:c>
      <x:c r="J382" s="50" t="n">
        <x:f>IF(B382="Active",H382*I382*Assumptions!$B$11,IF(B382="Deferred",E382*I382*Assumptions!$B$11*(1+Assumptions!$B$9)^G382,F382))</x:f>
        <x:v>1592329.4862219372</x:v>
      </x:c>
      <x:c r="K382" s="37" t="n">
        <x:f>IF(B382="Pensioner",1,VLOOKUP(Assumptions!$B$10,Mortality!$A$2:$F$104,6,FALSE)/VLOOKUP(C382,Mortality!$A$2:$F$104,6,FALSE))</x:f>
        <x:v>0.9712826176321353</x:v>
      </x:c>
      <x:c r="L382" s="37" t="n">
        <x:f>VLOOKUP(IF(B382="Pensioner",C382,Assumptions!$B$10),Mortality!$A$2:$E$104,5,FALSE)</x:f>
        <x:v>17.296790022132885</x:v>
      </x:c>
      <x:c r="M382" s="37" t="n">
        <x:f>1+Assumptions!$B$13*Assumptions!$B$14*Assumptions!$B$15</x:f>
        <x:v>1.31875</x:v>
      </x:c>
      <x:c r="N382" s="37" t="n">
        <x:f>IF(B382="Pensioner",1,1/(1+Assumptions!$B$6)^G382)</x:f>
        <x:v>0.1826251518625737</x:v>
      </x:c>
      <x:c r="O382" s="50" t="n">
        <x:f>J382*K382*L382*M382*N382</x:f>
        <x:v>6442688.437977341</x:v>
      </x:c>
    </x:row>
    <x:row r="383">
      <x:c r="A383" s="42" t="str">
        <x:f>Members!A383</x:f>
        <x:v>P0242</x:v>
      </x:c>
      <x:c r="B383" s="42" t="str">
        <x:f>Members!B383</x:f>
        <x:v>Pensioner</x:v>
      </x:c>
      <x:c r="C383" s="42" t="n">
        <x:f>Members!C383</x:f>
        <x:v>75</x:v>
      </x:c>
      <x:c r="D383" s="44" t="n">
        <x:f>Members!D383</x:f>
        <x:v>25.8</x:v>
      </x:c>
      <x:c r="E383" s="48" t="n">
        <x:f>Members!E383</x:f>
        <x:v>0</x:v>
      </x:c>
      <x:c r="F383" s="48" t="n">
        <x:f>Members!F383</x:f>
        <x:v>488000</x:v>
      </x:c>
      <x:c r="G383" s="46" t="n">
        <x:f>MAX(0,Assumptions!$B$10-C383)</x:f>
        <x:v>0</x:v>
      </x:c>
      <x:c r="H383" s="50" t="n">
        <x:f>IF(B383="Active",E383*(1+Assumptions!$B$7)^G383,E383)</x:f>
        <x:v>0</x:v>
      </x:c>
      <x:c r="I383" s="50" t="n">
        <x:f>IF(B383="Active",MIN(Assumptions!$B$12,D383+G383),IF(B383="Deferred",MIN(Assumptions!$B$12,D383),D383))</x:f>
        <x:v>25.8</x:v>
      </x:c>
      <x:c r="J383" s="50" t="n">
        <x:f>IF(B383="Active",H383*I383*Assumptions!$B$11,IF(B383="Deferred",E383*I383*Assumptions!$B$11*(1+Assumptions!$B$9)^G383,F383))</x:f>
        <x:v>488000</x:v>
      </x:c>
      <x:c r="K383" s="37" t="n">
        <x:f>IF(B383="Pensioner",1,VLOOKUP(Assumptions!$B$10,Mortality!$A$2:$F$104,6,FALSE)/VLOOKUP(C383,Mortality!$A$2:$F$104,6,FALSE))</x:f>
        <x:v>1</x:v>
      </x:c>
      <x:c r="L383" s="37" t="n">
        <x:f>VLOOKUP(IF(B383="Pensioner",C383,Assumptions!$B$10),Mortality!$A$2:$E$104,5,FALSE)</x:f>
        <x:v>10.662474804432929</x:v>
      </x:c>
      <x:c r="M383" s="37" t="n">
        <x:f>1+Assumptions!$B$13*Assumptions!$B$14*Assumptions!$B$15</x:f>
        <x:v>1.31875</x:v>
      </x:c>
      <x:c r="N383" s="37" t="n">
        <x:f>IF(B383="Pensioner",1,1/(1+Assumptions!$B$6)^G383)</x:f>
        <x:v>1</x:v>
      </x:c>
      <x:c r="O383" s="50" t="n">
        <x:f>J383*K383*L383*M383*N383</x:f>
        <x:v>6861835.6603928115</x:v>
      </x:c>
    </x:row>
    <x:row r="384">
      <x:c r="A384" s="42" t="str">
        <x:f>Members!A384</x:f>
        <x:v>A0288</x:v>
      </x:c>
      <x:c r="B384" s="42" t="str">
        <x:f>Members!B384</x:f>
        <x:v>Active</x:v>
      </x:c>
      <x:c r="C384" s="42" t="n">
        <x:f>Members!C384</x:f>
        <x:v>40</x:v>
      </x:c>
      <x:c r="D384" s="44" t="n">
        <x:f>Members!D384</x:f>
        <x:v>17.9</x:v>
      </x:c>
      <x:c r="E384" s="48" t="n">
        <x:f>Members!E384</x:f>
        <x:v>1005000</x:v>
      </x:c>
      <x:c r="F384" s="48" t="n">
        <x:f>Members!F384</x:f>
        <x:v>0</x:v>
      </x:c>
      <x:c r="G384" s="46" t="n">
        <x:f>MAX(0,Assumptions!$B$10-C384)</x:f>
        <x:v>20</x:v>
      </x:c>
      <x:c r="H384" s="50" t="n">
        <x:f>IF(B384="Active",E384*(1+Assumptions!$B$7)^G384,E384)</x:f>
        <x:v>2932346.2780571096</x:v>
      </x:c>
      <x:c r="I384" s="50" t="n">
        <x:f>IF(B384="Active",MIN(Assumptions!$B$12,D384+G384),IF(B384="Deferred",MIN(Assumptions!$B$12,D384),D384))</x:f>
        <x:v>37.9</x:v>
      </x:c>
      <x:c r="J384" s="50" t="n">
        <x:f>IF(B384="Active",H384*I384*Assumptions!$B$11,IF(B384="Deferred",E384*I384*Assumptions!$B$11*(1+Assumptions!$B$9)^G384,F384))</x:f>
        <x:v>1852265.3989727406</x:v>
      </x:c>
      <x:c r="K384" s="37" t="n">
        <x:f>IF(B384="Pensioner",1,VLOOKUP(Assumptions!$B$10,Mortality!$A$2:$F$104,6,FALSE)/VLOOKUP(C384,Mortality!$A$2:$F$104,6,FALSE))</x:f>
        <x:v>0.9740511243198767</x:v>
      </x:c>
      <x:c r="L384" s="37" t="n">
        <x:f>VLOOKUP(IF(B384="Pensioner",C384,Assumptions!$B$10),Mortality!$A$2:$E$104,5,FALSE)</x:f>
        <x:v>17.296790022132885</x:v>
      </x:c>
      <x:c r="M384" s="37" t="n">
        <x:f>1+Assumptions!$B$13*Assumptions!$B$14*Assumptions!$B$15</x:f>
        <x:v>1.31875</x:v>
      </x:c>
      <x:c r="N384" s="37" t="n">
        <x:f>IF(B384="Pensioner",1,1/(1+Assumptions!$B$6)^G384)</x:f>
        <x:v>0.2837970289214199</x:v>
      </x:c>
      <x:c r="O384" s="50" t="n">
        <x:f>J384*K384*L384*M384*N384</x:f>
        <x:v>11679407.095079802</x:v>
      </x:c>
    </x:row>
    <x:row r="385">
      <x:c r="A385" s="42" t="str">
        <x:f>Members!A385</x:f>
        <x:v>P0210</x:v>
      </x:c>
      <x:c r="B385" s="42" t="str">
        <x:f>Members!B385</x:f>
        <x:v>Pensioner</x:v>
      </x:c>
      <x:c r="C385" s="42" t="n">
        <x:f>Members!C385</x:f>
        <x:v>84</x:v>
      </x:c>
      <x:c r="D385" s="44" t="n">
        <x:f>Members!D385</x:f>
        <x:v>21.9</x:v>
      </x:c>
      <x:c r="E385" s="48" t="n">
        <x:f>Members!E385</x:f>
        <x:v>0</x:v>
      </x:c>
      <x:c r="F385" s="48" t="n">
        <x:f>Members!F385</x:f>
        <x:v>632000</x:v>
      </x:c>
      <x:c r="G385" s="46" t="n">
        <x:f>MAX(0,Assumptions!$B$10-C385)</x:f>
        <x:v>0</x:v>
      </x:c>
      <x:c r="H385" s="50" t="n">
        <x:f>IF(B385="Active",E385*(1+Assumptions!$B$7)^G385,E385)</x:f>
        <x:v>0</x:v>
      </x:c>
      <x:c r="I385" s="50" t="n">
        <x:f>IF(B385="Active",MIN(Assumptions!$B$12,D385+G385),IF(B385="Deferred",MIN(Assumptions!$B$12,D385),D385))</x:f>
        <x:v>21.9</x:v>
      </x:c>
      <x:c r="J385" s="50" t="n">
        <x:f>IF(B385="Active",H385*I385*Assumptions!$B$11,IF(B385="Deferred",E385*I385*Assumptions!$B$11*(1+Assumptions!$B$9)^G385,F385))</x:f>
        <x:v>632000</x:v>
      </x:c>
      <x:c r="K385" s="37" t="n">
        <x:f>IF(B385="Pensioner",1,VLOOKUP(Assumptions!$B$10,Mortality!$A$2:$F$104,6,FALSE)/VLOOKUP(C385,Mortality!$A$2:$F$104,6,FALSE))</x:f>
        <x:v>1</x:v>
      </x:c>
      <x:c r="L385" s="37" t="n">
        <x:f>VLOOKUP(IF(B385="Pensioner",C385,Assumptions!$B$10),Mortality!$A$2:$E$104,5,FALSE)</x:f>
        <x:v>6.643272096517531</x:v>
      </x:c>
      <x:c r="M385" s="37" t="n">
        <x:f>1+Assumptions!$B$13*Assumptions!$B$14*Assumptions!$B$15</x:f>
        <x:v>1.31875</x:v>
      </x:c>
      <x:c r="N385" s="37" t="n">
        <x:f>IF(B385="Pensioner",1,1/(1+Assumptions!$B$6)^G385)</x:f>
        <x:v>1</x:v>
      </x:c>
      <x:c r="O385" s="50" t="n">
        <x:f>J385*K385*L385*M385*N385</x:f>
        <x:v>5536835.128842536</x:v>
      </x:c>
    </x:row>
    <x:row r="386">
      <x:c r="A386" s="42" t="str">
        <x:f>Members!A386</x:f>
        <x:v>P0200</x:v>
      </x:c>
      <x:c r="B386" s="42" t="str">
        <x:f>Members!B386</x:f>
        <x:v>Pensioner</x:v>
      </x:c>
      <x:c r="C386" s="42" t="n">
        <x:f>Members!C386</x:f>
        <x:v>74</x:v>
      </x:c>
      <x:c r="D386" s="44" t="n">
        <x:f>Members!D386</x:f>
        <x:v>12.8</x:v>
      </x:c>
      <x:c r="E386" s="48" t="n">
        <x:f>Members!E386</x:f>
        <x:v>0</x:v>
      </x:c>
      <x:c r="F386" s="48" t="n">
        <x:f>Members!F386</x:f>
        <x:v>341000</x:v>
      </x:c>
      <x:c r="G386" s="46" t="n">
        <x:f>MAX(0,Assumptions!$B$10-C386)</x:f>
        <x:v>0</x:v>
      </x:c>
      <x:c r="H386" s="50" t="n">
        <x:f>IF(B386="Active",E386*(1+Assumptions!$B$7)^G386,E386)</x:f>
        <x:v>0</x:v>
      </x:c>
      <x:c r="I386" s="50" t="n">
        <x:f>IF(B386="Active",MIN(Assumptions!$B$12,D386+G386),IF(B386="Deferred",MIN(Assumptions!$B$12,D386),D386))</x:f>
        <x:v>12.8</x:v>
      </x:c>
      <x:c r="J386" s="50" t="n">
        <x:f>IF(B386="Active",H386*I386*Assumptions!$B$11,IF(B386="Deferred",E386*I386*Assumptions!$B$11*(1+Assumptions!$B$9)^G386,F386))</x:f>
        <x:v>341000</x:v>
      </x:c>
      <x:c r="K386" s="37" t="n">
        <x:f>IF(B386="Pensioner",1,VLOOKUP(Assumptions!$B$10,Mortality!$A$2:$F$104,6,FALSE)/VLOOKUP(C386,Mortality!$A$2:$F$104,6,FALSE))</x:f>
        <x:v>1</x:v>
      </x:c>
      <x:c r="L386" s="37" t="n">
        <x:f>VLOOKUP(IF(B386="Pensioner",C386,Assumptions!$B$10),Mortality!$A$2:$E$104,5,FALSE)</x:f>
        <x:v>11.124346929912107</x:v>
      </x:c>
      <x:c r="M386" s="37" t="n">
        <x:f>1+Assumptions!$B$13*Assumptions!$B$14*Assumptions!$B$15</x:f>
        <x:v>1.31875</x:v>
      </x:c>
      <x:c r="N386" s="37" t="n">
        <x:f>IF(B386="Pensioner",1,1/(1+Assumptions!$B$6)^G386)</x:f>
        <x:v>1</x:v>
      </x:c>
      <x:c r="O386" s="50" t="n">
        <x:f>J386*K386*L386*M386*N386</x:f>
        <x:v>5002549.2872131625</x:v>
      </x:c>
    </x:row>
    <x:row r="387">
      <x:c r="A387" s="42" t="str">
        <x:f>Members!A387</x:f>
        <x:v>A0531</x:v>
      </x:c>
      <x:c r="B387" s="42" t="str">
        <x:f>Members!B387</x:f>
        <x:v>Active</x:v>
      </x:c>
      <x:c r="C387" s="42" t="n">
        <x:f>Members!C387</x:f>
        <x:v>29</x:v>
      </x:c>
      <x:c r="D387" s="44" t="n">
        <x:f>Members!D387</x:f>
        <x:v>2.9</x:v>
      </x:c>
      <x:c r="E387" s="48" t="n">
        <x:f>Members!E387</x:f>
        <x:v>566000</x:v>
      </x:c>
      <x:c r="F387" s="48" t="n">
        <x:f>Members!F387</x:f>
        <x:v>0</x:v>
      </x:c>
      <x:c r="G387" s="46" t="n">
        <x:f>MAX(0,Assumptions!$B$10-C387)</x:f>
        <x:v>31</x:v>
      </x:c>
      <x:c r="H387" s="50" t="n">
        <x:f>IF(B387="Active",E387*(1+Assumptions!$B$7)^G387,E387)</x:f>
        <x:v>2976066.832839342</x:v>
      </x:c>
      <x:c r="I387" s="50" t="n">
        <x:f>IF(B387="Active",MIN(Assumptions!$B$12,D387+G387),IF(B387="Deferred",MIN(Assumptions!$B$12,D387),D387))</x:f>
        <x:v>33.9</x:v>
      </x:c>
      <x:c r="J387" s="50" t="n">
        <x:f>IF(B387="Active",H387*I387*Assumptions!$B$11,IF(B387="Deferred",E387*I387*Assumptions!$B$11*(1+Assumptions!$B$9)^G387,F387))</x:f>
        <x:v>1681477.760554228</x:v>
      </x:c>
      <x:c r="K387" s="37" t="n">
        <x:f>IF(B387="Pensioner",1,VLOOKUP(Assumptions!$B$10,Mortality!$A$2:$F$104,6,FALSE)/VLOOKUP(C387,Mortality!$A$2:$F$104,6,FALSE))</x:f>
        <x:v>0.9700544954739736</x:v>
      </x:c>
      <x:c r="L387" s="37" t="n">
        <x:f>VLOOKUP(IF(B387="Pensioner",C387,Assumptions!$B$10),Mortality!$A$2:$E$104,5,FALSE)</x:f>
        <x:v>17.296790022132885</x:v>
      </x:c>
      <x:c r="M387" s="37" t="n">
        <x:f>1+Assumptions!$B$13*Assumptions!$B$14*Assumptions!$B$15</x:f>
        <x:v>1.31875</x:v>
      </x:c>
      <x:c r="N387" s="37" t="n">
        <x:f>IF(B387="Pensioner",1,1/(1+Assumptions!$B$6)^G387)</x:f>
        <x:v>0.1419587475209511</x:v>
      </x:c>
      <x:c r="O387" s="50" t="n">
        <x:f>J387*K387*L387*M387*N387</x:f>
        <x:v>5281744.699594794</x:v>
      </x:c>
    </x:row>
    <x:row r="388">
      <x:c r="A388" s="42" t="str">
        <x:f>Members!A388</x:f>
        <x:v>A0268</x:v>
      </x:c>
      <x:c r="B388" s="42" t="str">
        <x:f>Members!B388</x:f>
        <x:v>Active</x:v>
      </x:c>
      <x:c r="C388" s="42" t="n">
        <x:f>Members!C388</x:f>
        <x:v>29</x:v>
      </x:c>
      <x:c r="D388" s="44" t="n">
        <x:f>Members!D388</x:f>
        <x:v>3</x:v>
      </x:c>
      <x:c r="E388" s="48" t="n">
        <x:f>Members!E388</x:f>
        <x:v>672000</x:v>
      </x:c>
      <x:c r="F388" s="48" t="n">
        <x:f>Members!F388</x:f>
        <x:v>0</x:v>
      </x:c>
      <x:c r="G388" s="46" t="n">
        <x:f>MAX(0,Assumptions!$B$10-C388)</x:f>
        <x:v>31</x:v>
      </x:c>
      <x:c r="H388" s="50" t="n">
        <x:f>IF(B388="Active",E388*(1+Assumptions!$B$7)^G388,E388)</x:f>
        <x:v>3533422.1054205615</x:v>
      </x:c>
      <x:c r="I388" s="50" t="n">
        <x:f>IF(B388="Active",MIN(Assumptions!$B$12,D388+G388),IF(B388="Deferred",MIN(Assumptions!$B$12,D388),D388))</x:f>
        <x:v>34</x:v>
      </x:c>
      <x:c r="J388" s="50" t="n">
        <x:f>IF(B388="Active",H388*I388*Assumptions!$B$11,IF(B388="Deferred",E388*I388*Assumptions!$B$11*(1+Assumptions!$B$9)^G388,F388))</x:f>
        <x:v>2002272.5264049848</x:v>
      </x:c>
      <x:c r="K388" s="37" t="n">
        <x:f>IF(B388="Pensioner",1,VLOOKUP(Assumptions!$B$10,Mortality!$A$2:$F$104,6,FALSE)/VLOOKUP(C388,Mortality!$A$2:$F$104,6,FALSE))</x:f>
        <x:v>0.9700544954739736</x:v>
      </x:c>
      <x:c r="L388" s="37" t="n">
        <x:f>VLOOKUP(IF(B388="Pensioner",C388,Assumptions!$B$10),Mortality!$A$2:$E$104,5,FALSE)</x:f>
        <x:v>17.296790022132885</x:v>
      </x:c>
      <x:c r="M388" s="37" t="n">
        <x:f>1+Assumptions!$B$13*Assumptions!$B$14*Assumptions!$B$15</x:f>
        <x:v>1.31875</x:v>
      </x:c>
      <x:c r="N388" s="37" t="n">
        <x:f>IF(B388="Pensioner",1,1/(1+Assumptions!$B$6)^G388)</x:f>
        <x:v>0.1419587475209511</x:v>
      </x:c>
      <x:c r="O388" s="50" t="n">
        <x:f>J388*K388*L388*M388*N388</x:f>
        <x:v>6289403.613639256</x:v>
      </x:c>
    </x:row>
    <x:row r="389">
      <x:c r="A389" s="42" t="str">
        <x:f>Members!A389</x:f>
        <x:v>D0068</x:v>
      </x:c>
      <x:c r="B389" s="42" t="str">
        <x:f>Members!B389</x:f>
        <x:v>Deferred</x:v>
      </x:c>
      <x:c r="C389" s="42" t="n">
        <x:f>Members!C389</x:f>
        <x:v>53</x:v>
      </x:c>
      <x:c r="D389" s="44" t="n">
        <x:f>Members!D389</x:f>
        <x:v>3.3</x:v>
      </x:c>
      <x:c r="E389" s="48" t="n">
        <x:f>Members!E389</x:f>
        <x:v>953000</x:v>
      </x:c>
      <x:c r="F389" s="48" t="n">
        <x:f>Members!F389</x:f>
        <x:v>0</x:v>
      </x:c>
      <x:c r="G389" s="46" t="n">
        <x:f>MAX(0,Assumptions!$B$10-C389)</x:f>
        <x:v>7</x:v>
      </x:c>
      <x:c r="H389" s="50" t="n">
        <x:f>IF(B389="Active",E389*(1+Assumptions!$B$7)^G389,E389)</x:f>
        <x:v>953000</x:v>
      </x:c>
      <x:c r="I389" s="50" t="n">
        <x:f>IF(B389="Active",MIN(Assumptions!$B$12,D389+G389),IF(B389="Deferred",MIN(Assumptions!$B$12,D389),D389))</x:f>
        <x:v>3.3</x:v>
      </x:c>
      <x:c r="J389" s="50" t="n">
        <x:f>IF(B389="Active",H389*I389*Assumptions!$B$11,IF(B389="Deferred",E389*I389*Assumptions!$B$11*(1+Assumptions!$B$9)^G389,F389))</x:f>
        <x:v>68974.56420864657</x:v>
      </x:c>
      <x:c r="K389" s="37" t="n">
        <x:f>IF(B389="Pensioner",1,VLOOKUP(Assumptions!$B$10,Mortality!$A$2:$F$104,6,FALSE)/VLOOKUP(C389,Mortality!$A$2:$F$104,6,FALSE))</x:f>
        <x:v>0.9850300017431317</x:v>
      </x:c>
      <x:c r="L389" s="37" t="n">
        <x:f>VLOOKUP(IF(B389="Pensioner",C389,Assumptions!$B$10),Mortality!$A$2:$E$104,5,FALSE)</x:f>
        <x:v>17.296790022132885</x:v>
      </x:c>
      <x:c r="M389" s="37" t="n">
        <x:f>1+Assumptions!$B$13*Assumptions!$B$14*Assumptions!$B$15</x:f>
        <x:v>1.31875</x:v>
      </x:c>
      <x:c r="N389" s="37" t="n">
        <x:f>IF(B389="Pensioner",1,1/(1+Assumptions!$B$6)^G389)</x:f>
        <x:v>0.6435062148347594</x:v>
      </x:c>
      <x:c r="O389" s="50" t="n">
        <x:f>J389*K389*L389*M389*N389</x:f>
        <x:v>997284.6970124345</x:v>
      </x:c>
    </x:row>
    <x:row r="390">
      <x:c r="A390" s="42" t="str">
        <x:f>Members!A390</x:f>
        <x:v>D0071</x:v>
      </x:c>
      <x:c r="B390" s="42" t="str">
        <x:f>Members!B390</x:f>
        <x:v>Deferred</x:v>
      </x:c>
      <x:c r="C390" s="42" t="n">
        <x:f>Members!C390</x:f>
        <x:v>57</x:v>
      </x:c>
      <x:c r="D390" s="44" t="n">
        <x:f>Members!D390</x:f>
        <x:v>12.5</x:v>
      </x:c>
      <x:c r="E390" s="48" t="n">
        <x:f>Members!E390</x:f>
        <x:v>1533000</x:v>
      </x:c>
      <x:c r="F390" s="48" t="n">
        <x:f>Members!F390</x:f>
        <x:v>0</x:v>
      </x:c>
      <x:c r="G390" s="46" t="n">
        <x:f>MAX(0,Assumptions!$B$10-C390)</x:f>
        <x:v>3</x:v>
      </x:c>
      <x:c r="H390" s="50" t="n">
        <x:f>IF(B390="Active",E390*(1+Assumptions!$B$7)^G390,E390)</x:f>
        <x:v>1533000</x:v>
      </x:c>
      <x:c r="I390" s="50" t="n">
        <x:f>IF(B390="Active",MIN(Assumptions!$B$12,D390+G390),IF(B390="Deferred",MIN(Assumptions!$B$12,D390),D390))</x:f>
        <x:v>12.5</x:v>
      </x:c>
      <x:c r="J390" s="50" t="n">
        <x:f>IF(B390="Active",H390*I390*Assumptions!$B$11,IF(B390="Deferred",E390*I390*Assumptions!$B$11*(1+Assumptions!$B$9)^G390,F390))</x:f>
        <x:v>359253.44</x:v>
      </x:c>
      <x:c r="K390" s="37" t="n">
        <x:f>IF(B390="Pensioner",1,VLOOKUP(Assumptions!$B$10,Mortality!$A$2:$F$104,6,FALSE)/VLOOKUP(C390,Mortality!$A$2:$F$104,6,FALSE))</x:f>
        <x:v>0.9922003892921417</x:v>
      </x:c>
      <x:c r="L390" s="37" t="n">
        <x:f>VLOOKUP(IF(B390="Pensioner",C390,Assumptions!$B$10),Mortality!$A$2:$E$104,5,FALSE)</x:f>
        <x:v>17.296790022132885</x:v>
      </x:c>
      <x:c r="M390" s="37" t="n">
        <x:f>1+Assumptions!$B$13*Assumptions!$B$14*Assumptions!$B$15</x:f>
        <x:v>1.31875</x:v>
      </x:c>
      <x:c r="N390" s="37" t="n">
        <x:f>IF(B390="Pensioner",1,1/(1+Assumptions!$B$6)^G390)</x:f>
        <x:v>0.8278490918029799</x:v>
      </x:c>
      <x:c r="O390" s="50" t="n">
        <x:f>J390*K390*L390*M390*N390</x:f>
        <x:v>6730998.457500053</x:v>
      </x:c>
    </x:row>
    <x:row r="391">
      <x:c r="A391" s="42" t="str">
        <x:f>Members!A391</x:f>
        <x:v>D0113</x:v>
      </x:c>
      <x:c r="B391" s="42" t="str">
        <x:f>Members!B391</x:f>
        <x:v>Deferred</x:v>
      </x:c>
      <x:c r="C391" s="42" t="n">
        <x:f>Members!C391</x:f>
        <x:v>46</x:v>
      </x:c>
      <x:c r="D391" s="44" t="n">
        <x:f>Members!D391</x:f>
        <x:v>12.6</x:v>
      </x:c>
      <x:c r="E391" s="48" t="n">
        <x:f>Members!E391</x:f>
        <x:v>568000</x:v>
      </x:c>
      <x:c r="F391" s="48" t="n">
        <x:f>Members!F391</x:f>
        <x:v>0</x:v>
      </x:c>
      <x:c r="G391" s="46" t="n">
        <x:f>MAX(0,Assumptions!$B$10-C391)</x:f>
        <x:v>14</x:v>
      </x:c>
      <x:c r="H391" s="50" t="n">
        <x:f>IF(B391="Active",E391*(1+Assumptions!$B$7)^G391,E391)</x:f>
        <x:v>568000</x:v>
      </x:c>
      <x:c r="I391" s="50" t="n">
        <x:f>IF(B391="Active",MIN(Assumptions!$B$12,D391+G391),IF(B391="Deferred",MIN(Assumptions!$B$12,D391),D391))</x:f>
        <x:v>12.6</x:v>
      </x:c>
      <x:c r="J391" s="50" t="n">
        <x:f>IF(B391="Active",H391*I391*Assumptions!$B$11,IF(B391="Deferred",E391*I391*Assumptions!$B$11*(1+Assumptions!$B$9)^G391,F391))</x:f>
        <x:v>206554.36667006253</x:v>
      </x:c>
      <x:c r="K391" s="37" t="n">
        <x:f>IF(B391="Pensioner",1,VLOOKUP(Assumptions!$B$10,Mortality!$A$2:$F$104,6,FALSE)/VLOOKUP(C391,Mortality!$A$2:$F$104,6,FALSE))</x:f>
        <x:v>0.9776582328304806</x:v>
      </x:c>
      <x:c r="L391" s="37" t="n">
        <x:f>VLOOKUP(IF(B391="Pensioner",C391,Assumptions!$B$10),Mortality!$A$2:$E$104,5,FALSE)</x:f>
        <x:v>17.296790022132885</x:v>
      </x:c>
      <x:c r="M391" s="37" t="n">
        <x:f>1+Assumptions!$B$13*Assumptions!$B$14*Assumptions!$B$15</x:f>
        <x:v>1.31875</x:v>
      </x:c>
      <x:c r="N391" s="37" t="n">
        <x:f>IF(B391="Pensioner",1,1/(1+Assumptions!$B$6)^G391)</x:f>
        <x:v>0.41410024853095956</x:v>
      </x:c>
      <x:c r="O391" s="50" t="n">
        <x:f>J391*K391*L391*M391*N391</x:f>
        <x:v>1907457.7162600828</x:v>
      </x:c>
    </x:row>
    <x:row r="392">
      <x:c r="A392" s="42" t="str">
        <x:f>Members!A392</x:f>
        <x:v>A0307</x:v>
      </x:c>
      <x:c r="B392" s="42" t="str">
        <x:f>Members!B392</x:f>
        <x:v>Active</x:v>
      </x:c>
      <x:c r="C392" s="42" t="n">
        <x:f>Members!C392</x:f>
        <x:v>31</x:v>
      </x:c>
      <x:c r="D392" s="44" t="n">
        <x:f>Members!D392</x:f>
        <x:v>6.5</x:v>
      </x:c>
      <x:c r="E392" s="48" t="n">
        <x:f>Members!E392</x:f>
        <x:v>695000</x:v>
      </x:c>
      <x:c r="F392" s="48" t="n">
        <x:f>Members!F392</x:f>
        <x:v>0</x:v>
      </x:c>
      <x:c r="G392" s="46" t="n">
        <x:f>MAX(0,Assumptions!$B$10-C392)</x:f>
        <x:v>29</x:v>
      </x:c>
      <x:c r="H392" s="50" t="n">
        <x:f>IF(B392="Active",E392*(1+Assumptions!$B$7)^G392,E392)</x:f>
        <x:v>3283266.4885635707</x:v>
      </x:c>
      <x:c r="I392" s="50" t="n">
        <x:f>IF(B392="Active",MIN(Assumptions!$B$12,D392+G392),IF(B392="Deferred",MIN(Assumptions!$B$12,D392),D392))</x:f>
        <x:v>35.5</x:v>
      </x:c>
      <x:c r="J392" s="50" t="n">
        <x:f>IF(B392="Active",H392*I392*Assumptions!$B$11,IF(B392="Deferred",E392*I392*Assumptions!$B$11*(1+Assumptions!$B$9)^G392,F392))</x:f>
        <x:v>1942599.3390667792</x:v>
      </x:c>
      <x:c r="K392" s="37" t="n">
        <x:f>IF(B392="Pensioner",1,VLOOKUP(Assumptions!$B$10,Mortality!$A$2:$F$104,6,FALSE)/VLOOKUP(C392,Mortality!$A$2:$F$104,6,FALSE))</x:f>
        <x:v>0.9706466107295209</x:v>
      </x:c>
      <x:c r="L392" s="37" t="n">
        <x:f>VLOOKUP(IF(B392="Pensioner",C392,Assumptions!$B$10),Mortality!$A$2:$E$104,5,FALSE)</x:f>
        <x:v>17.296790022132885</x:v>
      </x:c>
      <x:c r="M392" s="37" t="n">
        <x:f>1+Assumptions!$B$13*Assumptions!$B$14*Assumptions!$B$15</x:f>
        <x:v>1.31875</x:v>
      </x:c>
      <x:c r="N392" s="37" t="n">
        <x:f>IF(B392="Pensioner",1,1/(1+Assumptions!$B$6)^G392)</x:f>
        <x:v>0.16101316040695074</x:v>
      </x:c>
      <x:c r="O392" s="50" t="n">
        <x:f>J392*K392*L392*M392*N392</x:f>
        <x:v>6925222.62922008</x:v>
      </x:c>
    </x:row>
    <x:row r="393">
      <x:c r="A393" s="42" t="str">
        <x:f>Members!A393</x:f>
        <x:v>A0520</x:v>
      </x:c>
      <x:c r="B393" s="42" t="str">
        <x:f>Members!B393</x:f>
        <x:v>Active</x:v>
      </x:c>
      <x:c r="C393" s="42" t="n">
        <x:f>Members!C393</x:f>
        <x:v>23</x:v>
      </x:c>
      <x:c r="D393" s="44" t="n">
        <x:f>Members!D393</x:f>
        <x:v>2.8</x:v>
      </x:c>
      <x:c r="E393" s="48" t="n">
        <x:f>Members!E393</x:f>
        <x:v>507000</x:v>
      </x:c>
      <x:c r="F393" s="48" t="n">
        <x:f>Members!F393</x:f>
        <x:v>0</x:v>
      </x:c>
      <x:c r="G393" s="46" t="n">
        <x:f>MAX(0,Assumptions!$B$10-C393)</x:f>
        <x:v>37</x:v>
      </x:c>
      <x:c r="H393" s="50" t="n">
        <x:f>IF(B393="Active",E393*(1+Assumptions!$B$7)^G393,E393)</x:f>
        <x:v>3675775.390222449</x:v>
      </x:c>
      <x:c r="I393" s="50" t="n">
        <x:f>IF(B393="Active",MIN(Assumptions!$B$12,D393+G393),IF(B393="Deferred",MIN(Assumptions!$B$12,D393),D393))</x:f>
        <x:v>39.8</x:v>
      </x:c>
      <x:c r="J393" s="50" t="n">
        <x:f>IF(B393="Active",H393*I393*Assumptions!$B$11,IF(B393="Deferred",E393*I393*Assumptions!$B$11*(1+Assumptions!$B$9)^G393,F393))</x:f>
        <x:v>2438264.342180891</x:v>
      </x:c>
      <x:c r="K393" s="37" t="n">
        <x:f>IF(B393="Pensioner",1,VLOOKUP(Assumptions!$B$10,Mortality!$A$2:$F$104,6,FALSE)/VLOOKUP(C393,Mortality!$A$2:$F$104,6,FALSE))</x:f>
        <x:v>0.9684592752197081</x:v>
      </x:c>
      <x:c r="L393" s="37" t="n">
        <x:f>VLOOKUP(IF(B393="Pensioner",C393,Assumptions!$B$10),Mortality!$A$2:$E$104,5,FALSE)</x:f>
        <x:v>17.296790022132885</x:v>
      </x:c>
      <x:c r="M393" s="37" t="n">
        <x:f>1+Assumptions!$B$13*Assumptions!$B$14*Assumptions!$B$15</x:f>
        <x:v>1.31875</x:v>
      </x:c>
      <x:c r="N393" s="37" t="n">
        <x:f>IF(B393="Pensioner",1,1/(1+Assumptions!$B$6)^G393)</x:f>
        <x:v>0.09728917313808341</x:v>
      </x:c>
      <x:c r="O393" s="50" t="n">
        <x:f>J393*K393*L393*M393*N393</x:f>
        <x:v>5240281.877833517</x:v>
      </x:c>
    </x:row>
    <x:row r="394">
      <x:c r="A394" s="42" t="str">
        <x:f>Members!A394</x:f>
        <x:v>A0179</x:v>
      </x:c>
      <x:c r="B394" s="42" t="str">
        <x:f>Members!B394</x:f>
        <x:v>Active</x:v>
      </x:c>
      <x:c r="C394" s="42" t="n">
        <x:f>Members!C394</x:f>
        <x:v>53</x:v>
      </x:c>
      <x:c r="D394" s="44" t="n">
        <x:f>Members!D394</x:f>
        <x:v>21.5</x:v>
      </x:c>
      <x:c r="E394" s="48" t="n">
        <x:f>Members!E394</x:f>
        <x:v>1277000</x:v>
      </x:c>
      <x:c r="F394" s="48" t="n">
        <x:f>Members!F394</x:f>
        <x:v>0</x:v>
      </x:c>
      <x:c r="G394" s="46" t="n">
        <x:f>MAX(0,Assumptions!$B$10-C394)</x:f>
        <x:v>7</x:v>
      </x:c>
      <x:c r="H394" s="50" t="n">
        <x:f>IF(B394="Active",E394*(1+Assumptions!$B$7)^G394,E394)</x:f>
        <x:v>1857625.2887678551</x:v>
      </x:c>
      <x:c r="I394" s="50" t="n">
        <x:f>IF(B394="Active",MIN(Assumptions!$B$12,D394+G394),IF(B394="Deferred",MIN(Assumptions!$B$12,D394),D394))</x:f>
        <x:v>28.5</x:v>
      </x:c>
      <x:c r="J394" s="50" t="n">
        <x:f>IF(B394="Active",H394*I394*Assumptions!$B$11,IF(B394="Deferred",E394*I394*Assumptions!$B$11*(1+Assumptions!$B$9)^G394,F394))</x:f>
        <x:v>882372.0121647312</x:v>
      </x:c>
      <x:c r="K394" s="37" t="n">
        <x:f>IF(B394="Pensioner",1,VLOOKUP(Assumptions!$B$10,Mortality!$A$2:$F$104,6,FALSE)/VLOOKUP(C394,Mortality!$A$2:$F$104,6,FALSE))</x:f>
        <x:v>0.9850300017431317</x:v>
      </x:c>
      <x:c r="L394" s="37" t="n">
        <x:f>VLOOKUP(IF(B394="Pensioner",C394,Assumptions!$B$10),Mortality!$A$2:$E$104,5,FALSE)</x:f>
        <x:v>17.296790022132885</x:v>
      </x:c>
      <x:c r="M394" s="37" t="n">
        <x:f>1+Assumptions!$B$13*Assumptions!$B$14*Assumptions!$B$15</x:f>
        <x:v>1.31875</x:v>
      </x:c>
      <x:c r="N394" s="37" t="n">
        <x:f>IF(B394="Pensioner",1,1/(1+Assumptions!$B$6)^G394)</x:f>
        <x:v>0.6435062148347594</x:v>
      </x:c>
      <x:c r="O394" s="50" t="n">
        <x:f>J394*K394*L394*M394*N394</x:f>
        <x:v>12757979.914770426</x:v>
      </x:c>
    </x:row>
    <x:row r="395">
      <x:c r="A395" s="42" t="str">
        <x:f>Members!A395</x:f>
        <x:v>P0216</x:v>
      </x:c>
      <x:c r="B395" s="42" t="str">
        <x:f>Members!B395</x:f>
        <x:v>Pensioner</x:v>
      </x:c>
      <x:c r="C395" s="42" t="n">
        <x:f>Members!C395</x:f>
        <x:v>78</x:v>
      </x:c>
      <x:c r="D395" s="44" t="n">
        <x:f>Members!D395</x:f>
        <x:v>35.2</x:v>
      </x:c>
      <x:c r="E395" s="48" t="n">
        <x:f>Members!E395</x:f>
        <x:v>0</x:v>
      </x:c>
      <x:c r="F395" s="48" t="n">
        <x:f>Members!F395</x:f>
        <x:v>508000</x:v>
      </x:c>
      <x:c r="G395" s="46" t="n">
        <x:f>MAX(0,Assumptions!$B$10-C395)</x:f>
        <x:v>0</x:v>
      </x:c>
      <x:c r="H395" s="50" t="n">
        <x:f>IF(B395="Active",E395*(1+Assumptions!$B$7)^G395,E395)</x:f>
        <x:v>0</x:v>
      </x:c>
      <x:c r="I395" s="50" t="n">
        <x:f>IF(B395="Active",MIN(Assumptions!$B$12,D395+G395),IF(B395="Deferred",MIN(Assumptions!$B$12,D395),D395))</x:f>
        <x:v>35.2</x:v>
      </x:c>
      <x:c r="J395" s="50" t="n">
        <x:f>IF(B395="Active",H395*I395*Assumptions!$B$11,IF(B395="Deferred",E395*I395*Assumptions!$B$11*(1+Assumptions!$B$9)^G395,F395))</x:f>
        <x:v>508000</x:v>
      </x:c>
      <x:c r="K395" s="37" t="n">
        <x:f>IF(B395="Pensioner",1,VLOOKUP(Assumptions!$B$10,Mortality!$A$2:$F$104,6,FALSE)/VLOOKUP(C395,Mortality!$A$2:$F$104,6,FALSE))</x:f>
        <x:v>1</x:v>
      </x:c>
      <x:c r="L395" s="37" t="n">
        <x:f>VLOOKUP(IF(B395="Pensioner",C395,Assumptions!$B$10),Mortality!$A$2:$E$104,5,FALSE)</x:f>
        <x:v>9.284717924120388</x:v>
      </x:c>
      <x:c r="M395" s="37" t="n">
        <x:f>1+Assumptions!$B$13*Assumptions!$B$14*Assumptions!$B$15</x:f>
        <x:v>1.31875</x:v>
      </x:c>
      <x:c r="N395" s="37" t="n">
        <x:f>IF(B395="Pensioner",1,1/(1+Assumptions!$B$6)^G395)</x:f>
        <x:v>1</x:v>
      </x:c>
      <x:c r="O395" s="50" t="n">
        <x:f>J395*K395*L395*M395*N395</x:f>
        <x:v>6220064.655316352</x:v>
      </x:c>
    </x:row>
    <x:row r="396">
      <x:c r="A396" s="42" t="str">
        <x:f>Members!A396</x:f>
        <x:v>A0478</x:v>
      </x:c>
      <x:c r="B396" s="42" t="str">
        <x:f>Members!B396</x:f>
        <x:v>Active</x:v>
      </x:c>
      <x:c r="C396" s="42" t="n">
        <x:f>Members!C396</x:f>
        <x:v>44</x:v>
      </x:c>
      <x:c r="D396" s="44" t="n">
        <x:f>Members!D396</x:f>
        <x:v>14.7</x:v>
      </x:c>
      <x:c r="E396" s="48" t="n">
        <x:f>Members!E396</x:f>
        <x:v>936000</x:v>
      </x:c>
      <x:c r="F396" s="48" t="n">
        <x:f>Members!F396</x:f>
        <x:v>0</x:v>
      </x:c>
      <x:c r="G396" s="46" t="n">
        <x:f>MAX(0,Assumptions!$B$10-C396)</x:f>
        <x:v>16</x:v>
      </x:c>
      <x:c r="H396" s="50" t="n">
        <x:f>IF(B396="Active",E396*(1+Assumptions!$B$7)^G396,E396)</x:f>
        <x:v>2204525.8865551306</x:v>
      </x:c>
      <x:c r="I396" s="50" t="n">
        <x:f>IF(B396="Active",MIN(Assumptions!$B$12,D396+G396),IF(B396="Deferred",MIN(Assumptions!$B$12,D396),D396))</x:f>
        <x:v>30.7</x:v>
      </x:c>
      <x:c r="J396" s="50" t="n">
        <x:f>IF(B396="Active",H396*I396*Assumptions!$B$11,IF(B396="Deferred",E396*I396*Assumptions!$B$11*(1+Assumptions!$B$9)^G396,F396))</x:f>
        <x:v>1127982.4119540418</x:v>
      </x:c>
      <x:c r="K396" s="37" t="n">
        <x:f>IF(B396="Pensioner",1,VLOOKUP(Assumptions!$B$10,Mortality!$A$2:$F$104,6,FALSE)/VLOOKUP(C396,Mortality!$A$2:$F$104,6,FALSE))</x:f>
        <x:v>0.9762682212178733</x:v>
      </x:c>
      <x:c r="L396" s="37" t="n">
        <x:f>VLOOKUP(IF(B396="Pensioner",C396,Assumptions!$B$10),Mortality!$A$2:$E$104,5,FALSE)</x:f>
        <x:v>17.296790022132885</x:v>
      </x:c>
      <x:c r="M396" s="37" t="n">
        <x:f>1+Assumptions!$B$13*Assumptions!$B$14*Assumptions!$B$15</x:f>
        <x:v>1.31875</x:v>
      </x:c>
      <x:c r="N396" s="37" t="n">
        <x:f>IF(B396="Pensioner",1,1/(1+Assumptions!$B$6)^G396)</x:f>
        <x:v>0.3650953281147565</x:v>
      </x:c>
      <x:c r="O396" s="50" t="n">
        <x:f>J396*K396*L396*M396*N396</x:f>
        <x:v>9170768.744499255</x:v>
      </x:c>
    </x:row>
    <x:row r="397">
      <x:c r="A397" s="42" t="str">
        <x:f>Members!A397</x:f>
        <x:v>A0008</x:v>
      </x:c>
      <x:c r="B397" s="42" t="str">
        <x:f>Members!B397</x:f>
        <x:v>Active</x:v>
      </x:c>
      <x:c r="C397" s="42" t="n">
        <x:f>Members!C397</x:f>
        <x:v>31</x:v>
      </x:c>
      <x:c r="D397" s="44" t="n">
        <x:f>Members!D397</x:f>
        <x:v>3.7</x:v>
      </x:c>
      <x:c r="E397" s="48" t="n">
        <x:f>Members!E397</x:f>
        <x:v>518000</x:v>
      </x:c>
      <x:c r="F397" s="48" t="n">
        <x:f>Members!F397</x:f>
        <x:v>0</x:v>
      </x:c>
      <x:c r="G397" s="46" t="n">
        <x:f>MAX(0,Assumptions!$B$10-C397)</x:f>
        <x:v>29</x:v>
      </x:c>
      <x:c r="H397" s="50" t="n">
        <x:f>IF(B397="Active",E397*(1+Assumptions!$B$7)^G397,E397)</x:f>
        <x:v>2447096.4619797547</x:v>
      </x:c>
      <x:c r="I397" s="50" t="n">
        <x:f>IF(B397="Active",MIN(Assumptions!$B$12,D397+G397),IF(B397="Deferred",MIN(Assumptions!$B$12,D397),D397))</x:f>
        <x:v>32.7</x:v>
      </x:c>
      <x:c r="J397" s="50" t="n">
        <x:f>IF(B397="Active",H397*I397*Assumptions!$B$11,IF(B397="Deferred",E397*I397*Assumptions!$B$11*(1+Assumptions!$B$9)^G397,F397))</x:f>
        <x:v>1333667.5717789666</x:v>
      </x:c>
      <x:c r="K397" s="37" t="n">
        <x:f>IF(B397="Pensioner",1,VLOOKUP(Assumptions!$B$10,Mortality!$A$2:$F$104,6,FALSE)/VLOOKUP(C397,Mortality!$A$2:$F$104,6,FALSE))</x:f>
        <x:v>0.9706466107295209</x:v>
      </x:c>
      <x:c r="L397" s="37" t="n">
        <x:f>VLOOKUP(IF(B397="Pensioner",C397,Assumptions!$B$10),Mortality!$A$2:$E$104,5,FALSE)</x:f>
        <x:v>17.296790022132885</x:v>
      </x:c>
      <x:c r="M397" s="37" t="n">
        <x:f>1+Assumptions!$B$13*Assumptions!$B$14*Assumptions!$B$15</x:f>
        <x:v>1.31875</x:v>
      </x:c>
      <x:c r="N397" s="37" t="n">
        <x:f>IF(B397="Pensioner",1,1/(1+Assumptions!$B$6)^G397)</x:f>
        <x:v>0.16101316040695074</x:v>
      </x:c>
      <x:c r="O397" s="50" t="n">
        <x:f>J397*K397*L397*M397*N397</x:f>
        <x:v>4754426.021980232</x:v>
      </x:c>
    </x:row>
    <x:row r="398">
      <x:c r="A398" s="42" t="str">
        <x:f>Members!A398</x:f>
        <x:v>P0034</x:v>
      </x:c>
      <x:c r="B398" s="42" t="str">
        <x:f>Members!B398</x:f>
        <x:v>Pensioner</x:v>
      </x:c>
      <x:c r="C398" s="42" t="n">
        <x:f>Members!C398</x:f>
        <x:v>60</x:v>
      </x:c>
      <x:c r="D398" s="44" t="n">
        <x:f>Members!D398</x:f>
        <x:v>27.2</x:v>
      </x:c>
      <x:c r="E398" s="48" t="n">
        <x:f>Members!E398</x:f>
        <x:v>0</x:v>
      </x:c>
      <x:c r="F398" s="48" t="n">
        <x:f>Members!F398</x:f>
        <x:v>164000</x:v>
      </x:c>
      <x:c r="G398" s="46" t="n">
        <x:f>MAX(0,Assumptions!$B$10-C398)</x:f>
        <x:v>0</x:v>
      </x:c>
      <x:c r="H398" s="50" t="n">
        <x:f>IF(B398="Active",E398*(1+Assumptions!$B$7)^G398,E398)</x:f>
        <x:v>0</x:v>
      </x:c>
      <x:c r="I398" s="50" t="n">
        <x:f>IF(B398="Active",MIN(Assumptions!$B$12,D398+G398),IF(B398="Deferred",MIN(Assumptions!$B$12,D398),D398))</x:f>
        <x:v>27.2</x:v>
      </x:c>
      <x:c r="J398" s="50" t="n">
        <x:f>IF(B398="Active",H398*I398*Assumptions!$B$11,IF(B398="Deferred",E398*I398*Assumptions!$B$11*(1+Assumptions!$B$9)^G398,F398))</x:f>
        <x:v>164000</x:v>
      </x:c>
      <x:c r="K398" s="37" t="n">
        <x:f>IF(B398="Pensioner",1,VLOOKUP(Assumptions!$B$10,Mortality!$A$2:$F$104,6,FALSE)/VLOOKUP(C398,Mortality!$A$2:$F$104,6,FALSE))</x:f>
        <x:v>1</x:v>
      </x:c>
      <x:c r="L398" s="37" t="n">
        <x:f>VLOOKUP(IF(B398="Pensioner",C398,Assumptions!$B$10),Mortality!$A$2:$E$104,5,FALSE)</x:f>
        <x:v>17.296790022132885</x:v>
      </x:c>
      <x:c r="M398" s="37" t="n">
        <x:f>1+Assumptions!$B$13*Assumptions!$B$14*Assumptions!$B$15</x:f>
        <x:v>1.31875</x:v>
      </x:c>
      <x:c r="N398" s="37" t="n">
        <x:f>IF(B398="Pensioner",1,1/(1+Assumptions!$B$6)^G398)</x:f>
        <x:v>1</x:v>
      </x:c>
      <x:c r="O398" s="50" t="n">
        <x:f>J398*K398*L398*M398*N398</x:f>
        <x:v>3740863.2620367897</x:v>
      </x:c>
    </x:row>
    <x:row r="399">
      <x:c r="A399" s="42" t="str">
        <x:f>Members!A399</x:f>
        <x:v>P0081</x:v>
      </x:c>
      <x:c r="B399" s="42" t="str">
        <x:f>Members!B399</x:f>
        <x:v>Pensioner</x:v>
      </x:c>
      <x:c r="C399" s="42" t="n">
        <x:f>Members!C399</x:f>
        <x:v>67</x:v>
      </x:c>
      <x:c r="D399" s="44" t="n">
        <x:f>Members!D399</x:f>
        <x:v>39.3</x:v>
      </x:c>
      <x:c r="E399" s="48" t="n">
        <x:f>Members!E399</x:f>
        <x:v>0</x:v>
      </x:c>
      <x:c r="F399" s="48" t="n">
        <x:f>Members!F399</x:f>
        <x:v>432000</x:v>
      </x:c>
      <x:c r="G399" s="46" t="n">
        <x:f>MAX(0,Assumptions!$B$10-C399)</x:f>
        <x:v>0</x:v>
      </x:c>
      <x:c r="H399" s="50" t="n">
        <x:f>IF(B399="Active",E399*(1+Assumptions!$B$7)^G399,E399)</x:f>
        <x:v>0</x:v>
      </x:c>
      <x:c r="I399" s="50" t="n">
        <x:f>IF(B399="Active",MIN(Assumptions!$B$12,D399+G399),IF(B399="Deferred",MIN(Assumptions!$B$12,D399),D399))</x:f>
        <x:v>39.3</x:v>
      </x:c>
      <x:c r="J399" s="50" t="n">
        <x:f>IF(B399="Active",H399*I399*Assumptions!$B$11,IF(B399="Deferred",E399*I399*Assumptions!$B$11*(1+Assumptions!$B$9)^G399,F399))</x:f>
        <x:v>432000</x:v>
      </x:c>
      <x:c r="K399" s="37" t="n">
        <x:f>IF(B399="Pensioner",1,VLOOKUP(Assumptions!$B$10,Mortality!$A$2:$F$104,6,FALSE)/VLOOKUP(C399,Mortality!$A$2:$F$104,6,FALSE))</x:f>
        <x:v>1</x:v>
      </x:c>
      <x:c r="L399" s="37" t="n">
        <x:f>VLOOKUP(IF(B399="Pensioner",C399,Assumptions!$B$10),Mortality!$A$2:$E$104,5,FALSE)</x:f>
        <x:v>14.316480461373482</x:v>
      </x:c>
      <x:c r="M399" s="37" t="n">
        <x:f>1+Assumptions!$B$13*Assumptions!$B$14*Assumptions!$B$15</x:f>
        <x:v>1.31875</x:v>
      </x:c>
      <x:c r="N399" s="37" t="n">
        <x:f>IF(B399="Pensioner",1,1/(1+Assumptions!$B$6)^G399)</x:f>
        <x:v>1</x:v>
      </x:c>
      <x:c r="O399" s="50" t="n">
        <x:f>J399*K399*L399*M399*N399</x:f>
        <x:v>8156098.918844473</x:v>
      </x:c>
    </x:row>
    <x:row r="400">
      <x:c r="A400" s="42" t="str">
        <x:f>Members!A400</x:f>
        <x:v>P0167</x:v>
      </x:c>
      <x:c r="B400" s="42" t="str">
        <x:f>Members!B400</x:f>
        <x:v>Pensioner</x:v>
      </x:c>
      <x:c r="C400" s="42" t="n">
        <x:f>Members!C400</x:f>
        <x:v>76</x:v>
      </x:c>
      <x:c r="D400" s="44" t="n">
        <x:f>Members!D400</x:f>
        <x:v>19.3</x:v>
      </x:c>
      <x:c r="E400" s="48" t="n">
        <x:f>Members!E400</x:f>
        <x:v>0</x:v>
      </x:c>
      <x:c r="F400" s="48" t="n">
        <x:f>Members!F400</x:f>
        <x:v>495000</x:v>
      </x:c>
      <x:c r="G400" s="46" t="n">
        <x:f>MAX(0,Assumptions!$B$10-C400)</x:f>
        <x:v>0</x:v>
      </x:c>
      <x:c r="H400" s="50" t="n">
        <x:f>IF(B400="Active",E400*(1+Assumptions!$B$7)^G400,E400)</x:f>
        <x:v>0</x:v>
      </x:c>
      <x:c r="I400" s="50" t="n">
        <x:f>IF(B400="Active",MIN(Assumptions!$B$12,D400+G400),IF(B400="Deferred",MIN(Assumptions!$B$12,D400),D400))</x:f>
        <x:v>19.3</x:v>
      </x:c>
      <x:c r="J400" s="50" t="n">
        <x:f>IF(B400="Active",H400*I400*Assumptions!$B$11,IF(B400="Deferred",E400*I400*Assumptions!$B$11*(1+Assumptions!$B$9)^G400,F400))</x:f>
        <x:v>495000</x:v>
      </x:c>
      <x:c r="K400" s="37" t="n">
        <x:f>IF(B400="Pensioner",1,VLOOKUP(Assumptions!$B$10,Mortality!$A$2:$F$104,6,FALSE)/VLOOKUP(C400,Mortality!$A$2:$F$104,6,FALSE))</x:f>
        <x:v>1</x:v>
      </x:c>
      <x:c r="L400" s="37" t="n">
        <x:f>VLOOKUP(IF(B400="Pensioner",C400,Assumptions!$B$10),Mortality!$A$2:$E$104,5,FALSE)</x:f>
        <x:v>10.201355966192867</x:v>
      </x:c>
      <x:c r="M400" s="37" t="n">
        <x:f>1+Assumptions!$B$13*Assumptions!$B$14*Assumptions!$B$15</x:f>
        <x:v>1.31875</x:v>
      </x:c>
      <x:c r="N400" s="37" t="n">
        <x:f>IF(B400="Pensioner",1,1/(1+Assumptions!$B$6)^G400)</x:f>
        <x:v>1</x:v>
      </x:c>
      <x:c r="O400" s="50" t="n">
        <x:f>J400*K400*L400*M400*N400</x:f>
        <x:v>6659253.899306338</x:v>
      </x:c>
    </x:row>
    <x:row r="401">
      <x:c r="A401" s="42" t="str">
        <x:f>Members!A401</x:f>
        <x:v>A0378</x:v>
      </x:c>
      <x:c r="B401" s="42" t="str">
        <x:f>Members!B401</x:f>
        <x:v>Active</x:v>
      </x:c>
      <x:c r="C401" s="42" t="n">
        <x:f>Members!C401</x:f>
        <x:v>39</x:v>
      </x:c>
      <x:c r="D401" s="44" t="n">
        <x:f>Members!D401</x:f>
        <x:v>5.6</x:v>
      </x:c>
      <x:c r="E401" s="48" t="n">
        <x:f>Members!E401</x:f>
        <x:v>842000</x:v>
      </x:c>
      <x:c r="F401" s="48" t="n">
        <x:f>Members!F401</x:f>
        <x:v>0</x:v>
      </x:c>
      <x:c r="G401" s="46" t="n">
        <x:f>MAX(0,Assumptions!$B$10-C401)</x:f>
        <x:v>21</x:v>
      </x:c>
      <x:c r="H401" s="50" t="n">
        <x:f>IF(B401="Active",E401*(1+Assumptions!$B$7)^G401,E401)</x:f>
        <x:v>2591873.1564785186</x:v>
      </x:c>
      <x:c r="I401" s="50" t="n">
        <x:f>IF(B401="Active",MIN(Assumptions!$B$12,D401+G401),IF(B401="Deferred",MIN(Assumptions!$B$12,D401),D401))</x:f>
        <x:v>26.6</x:v>
      </x:c>
      <x:c r="J401" s="50" t="n">
        <x:f>IF(B401="Active",H401*I401*Assumptions!$B$11,IF(B401="Deferred",E401*I401*Assumptions!$B$11*(1+Assumptions!$B$9)^G401,F401))</x:f>
        <x:v>1149063.76603881</x:v>
      </x:c>
      <x:c r="K401" s="37" t="n">
        <x:f>IF(B401="Pensioner",1,VLOOKUP(Assumptions!$B$10,Mortality!$A$2:$F$104,6,FALSE)/VLOOKUP(C401,Mortality!$A$2:$F$104,6,FALSE))</x:f>
        <x:v>0.973585741778878</x:v>
      </x:c>
      <x:c r="L401" s="37" t="n">
        <x:f>VLOOKUP(IF(B401="Pensioner",C401,Assumptions!$B$10),Mortality!$A$2:$E$104,5,FALSE)</x:f>
        <x:v>17.296790022132885</x:v>
      </x:c>
      <x:c r="M401" s="37" t="n">
        <x:f>1+Assumptions!$B$13*Assumptions!$B$14*Assumptions!$B$15</x:f>
        <x:v>1.31875</x:v>
      </x:c>
      <x:c r="N401" s="37" t="n">
        <x:f>IF(B401="Pensioner",1,1/(1+Assumptions!$B$6)^G401)</x:f>
        <x:v>0.26647608349429097</x:v>
      </x:c>
      <x:c r="O401" s="50" t="n">
        <x:f>J401*K401*L401*M401*N401</x:f>
        <x:v>6799931.81101843</x:v>
      </x:c>
    </x:row>
    <x:row r="402">
      <x:c r="A402" s="42" t="str">
        <x:f>Members!A402</x:f>
        <x:v>A0296</x:v>
      </x:c>
      <x:c r="B402" s="42" t="str">
        <x:f>Members!B402</x:f>
        <x:v>Active</x:v>
      </x:c>
      <x:c r="C402" s="42" t="n">
        <x:f>Members!C402</x:f>
        <x:v>31</x:v>
      </x:c>
      <x:c r="D402" s="44" t="n">
        <x:f>Members!D402</x:f>
        <x:v>8.1</x:v>
      </x:c>
      <x:c r="E402" s="48" t="n">
        <x:f>Members!E402</x:f>
        <x:v>445000</x:v>
      </x:c>
      <x:c r="F402" s="48" t="n">
        <x:f>Members!F402</x:f>
        <x:v>0</x:v>
      </x:c>
      <x:c r="G402" s="46" t="n">
        <x:f>MAX(0,Assumptions!$B$10-C402)</x:f>
        <x:v>29</x:v>
      </x:c>
      <x:c r="H402" s="50" t="n">
        <x:f>IF(B402="Active",E402*(1+Assumptions!$B$7)^G402,E402)</x:f>
        <x:v>2102235.3775694803</x:v>
      </x:c>
      <x:c r="I402" s="50" t="n">
        <x:f>IF(B402="Active",MIN(Assumptions!$B$12,D402+G402),IF(B402="Deferred",MIN(Assumptions!$B$12,D402),D402))</x:f>
        <x:v>37.1</x:v>
      </x:c>
      <x:c r="J402" s="50" t="n">
        <x:f>IF(B402="Active",H402*I402*Assumptions!$B$11,IF(B402="Deferred",E402*I402*Assumptions!$B$11*(1+Assumptions!$B$9)^G402,F402))</x:f>
        <x:v>1299882.2084637955</x:v>
      </x:c>
      <x:c r="K402" s="37" t="n">
        <x:f>IF(B402="Pensioner",1,VLOOKUP(Assumptions!$B$10,Mortality!$A$2:$F$104,6,FALSE)/VLOOKUP(C402,Mortality!$A$2:$F$104,6,FALSE))</x:f>
        <x:v>0.9706466107295209</x:v>
      </x:c>
      <x:c r="L402" s="37" t="n">
        <x:f>VLOOKUP(IF(B402="Pensioner",C402,Assumptions!$B$10),Mortality!$A$2:$E$104,5,FALSE)</x:f>
        <x:v>17.296790022132885</x:v>
      </x:c>
      <x:c r="M402" s="37" t="n">
        <x:f>1+Assumptions!$B$13*Assumptions!$B$14*Assumptions!$B$15</x:f>
        <x:v>1.31875</x:v>
      </x:c>
      <x:c r="N402" s="37" t="n">
        <x:f>IF(B402="Pensioner",1,1/(1+Assumptions!$B$6)^G402)</x:f>
        <x:v>0.16101316040695074</x:v>
      </x:c>
      <x:c r="O402" s="50" t="n">
        <x:f>J402*K402*L402*M402*N402</x:f>
        <x:v>4633983.706438704</x:v>
      </x:c>
    </x:row>
    <x:row r="403">
      <x:c r="A403" s="42" t="str">
        <x:f>Members!A403</x:f>
        <x:v>A0221</x:v>
      </x:c>
      <x:c r="B403" s="42" t="str">
        <x:f>Members!B403</x:f>
        <x:v>Active</x:v>
      </x:c>
      <x:c r="C403" s="42" t="n">
        <x:f>Members!C403</x:f>
        <x:v>57</x:v>
      </x:c>
      <x:c r="D403" s="44" t="n">
        <x:f>Members!D403</x:f>
        <x:v>25</x:v>
      </x:c>
      <x:c r="E403" s="48" t="n">
        <x:f>Members!E403</x:f>
        <x:v>1421000</x:v>
      </x:c>
      <x:c r="F403" s="48" t="n">
        <x:f>Members!F403</x:f>
        <x:v>0</x:v>
      </x:c>
      <x:c r="G403" s="46" t="n">
        <x:f>MAX(0,Assumptions!$B$10-C403)</x:f>
        <x:v>3</x:v>
      </x:c>
      <x:c r="H403" s="50" t="n">
        <x:f>IF(B403="Active",E403*(1+Assumptions!$B$7)^G403,E403)</x:f>
        <x:v>1668596.9938749997</x:v>
      </x:c>
      <x:c r="I403" s="50" t="n">
        <x:f>IF(B403="Active",MIN(Assumptions!$B$12,D403+G403),IF(B403="Deferred",MIN(Assumptions!$B$12,D403),D403))</x:f>
        <x:v>28</x:v>
      </x:c>
      <x:c r="J403" s="50" t="n">
        <x:f>IF(B403="Active",H403*I403*Assumptions!$B$11,IF(B403="Deferred",E403*I403*Assumptions!$B$11*(1+Assumptions!$B$9)^G403,F403))</x:f>
        <x:v>778678.5971416665</x:v>
      </x:c>
      <x:c r="K403" s="37" t="n">
        <x:f>IF(B403="Pensioner",1,VLOOKUP(Assumptions!$B$10,Mortality!$A$2:$F$104,6,FALSE)/VLOOKUP(C403,Mortality!$A$2:$F$104,6,FALSE))</x:f>
        <x:v>0.9922003892921417</x:v>
      </x:c>
      <x:c r="L403" s="37" t="n">
        <x:f>VLOOKUP(IF(B403="Pensioner",C403,Assumptions!$B$10),Mortality!$A$2:$E$104,5,FALSE)</x:f>
        <x:v>17.296790022132885</x:v>
      </x:c>
      <x:c r="M403" s="37" t="n">
        <x:f>1+Assumptions!$B$13*Assumptions!$B$14*Assumptions!$B$15</x:f>
        <x:v>1.31875</x:v>
      </x:c>
      <x:c r="N403" s="37" t="n">
        <x:f>IF(B403="Pensioner",1,1/(1+Assumptions!$B$6)^G403)</x:f>
        <x:v>0.8278490918029799</x:v>
      </x:c>
      <x:c r="O403" s="50" t="n">
        <x:f>J403*K403*L403*M403*N403</x:f>
        <x:v>14589378.56308032</x:v>
      </x:c>
    </x:row>
    <x:row r="404">
      <x:c r="A404" s="42" t="str">
        <x:f>Members!A404</x:f>
        <x:v>A0449</x:v>
      </x:c>
      <x:c r="B404" s="42" t="str">
        <x:f>Members!B404</x:f>
        <x:v>Active</x:v>
      </x:c>
      <x:c r="C404" s="42" t="n">
        <x:f>Members!C404</x:f>
        <x:v>32</x:v>
      </x:c>
      <x:c r="D404" s="44" t="n">
        <x:f>Members!D404</x:f>
        <x:v>8</x:v>
      </x:c>
      <x:c r="E404" s="48" t="n">
        <x:f>Members!E404</x:f>
        <x:v>454000</x:v>
      </x:c>
      <x:c r="F404" s="48" t="n">
        <x:f>Members!F404</x:f>
        <x:v>0</x:v>
      </x:c>
      <x:c r="G404" s="46" t="n">
        <x:f>MAX(0,Assumptions!$B$10-C404)</x:f>
        <x:v>28</x:v>
      </x:c>
      <x:c r="H404" s="50" t="n">
        <x:f>IF(B404="Active",E404*(1+Assumptions!$B$7)^G404,E404)</x:f>
        <x:v>2032940.755986036</x:v>
      </x:c>
      <x:c r="I404" s="50" t="n">
        <x:f>IF(B404="Active",MIN(Assumptions!$B$12,D404+G404),IF(B404="Deferred",MIN(Assumptions!$B$12,D404),D404))</x:f>
        <x:v>36</x:v>
      </x:c>
      <x:c r="J404" s="50" t="n">
        <x:f>IF(B404="Active",H404*I404*Assumptions!$B$11,IF(B404="Deferred",E404*I404*Assumptions!$B$11*(1+Assumptions!$B$9)^G404,F404))</x:f>
        <x:v>1219764.4535916217</x:v>
      </x:c>
      <x:c r="K404" s="37" t="n">
        <x:f>IF(B404="Pensioner",1,VLOOKUP(Assumptions!$B$10,Mortality!$A$2:$F$104,6,FALSE)/VLOOKUP(C404,Mortality!$A$2:$F$104,6,FALSE))</x:f>
        <x:v>0.9709584687664957</x:v>
      </x:c>
      <x:c r="L404" s="37" t="n">
        <x:f>VLOOKUP(IF(B404="Pensioner",C404,Assumptions!$B$10),Mortality!$A$2:$E$104,5,FALSE)</x:f>
        <x:v>17.296790022132885</x:v>
      </x:c>
      <x:c r="M404" s="37" t="n">
        <x:f>1+Assumptions!$B$13*Assumptions!$B$14*Assumptions!$B$15</x:f>
        <x:v>1.31875</x:v>
      </x:c>
      <x:c r="N404" s="37" t="n">
        <x:f>IF(B404="Pensioner",1,1/(1+Assumptions!$B$6)^G404)</x:f>
        <x:v>0.17147901583340255</x:v>
      </x:c>
      <x:c r="O404" s="50" t="n">
        <x:f>J404*K404*L404*M404*N404</x:f>
        <x:v>4632501.78370884</x:v>
      </x:c>
    </x:row>
    <x:row r="405">
      <x:c r="A405" s="42" t="str">
        <x:f>Members!A405</x:f>
        <x:v>A0545</x:v>
      </x:c>
      <x:c r="B405" s="42" t="str">
        <x:f>Members!B405</x:f>
        <x:v>Active</x:v>
      </x:c>
      <x:c r="C405" s="42" t="n">
        <x:f>Members!C405</x:f>
        <x:v>28</x:v>
      </x:c>
      <x:c r="D405" s="44" t="n">
        <x:f>Members!D405</x:f>
        <x:v>5</x:v>
      </x:c>
      <x:c r="E405" s="48" t="n">
        <x:f>Members!E405</x:f>
        <x:v>619000</x:v>
      </x:c>
      <x:c r="F405" s="48" t="n">
        <x:f>Members!F405</x:f>
        <x:v>0</x:v>
      </x:c>
      <x:c r="G405" s="46" t="n">
        <x:f>MAX(0,Assumptions!$B$10-C405)</x:f>
        <x:v>32</x:v>
      </x:c>
      <x:c r="H405" s="50" t="n">
        <x:f>IF(B405="Active",E405*(1+Assumptions!$B$7)^G405,E405)</x:f>
        <x:v>3433755.414932099</x:v>
      </x:c>
      <x:c r="I405" s="50" t="n">
        <x:f>IF(B405="Active",MIN(Assumptions!$B$12,D405+G405),IF(B405="Deferred",MIN(Assumptions!$B$12,D405),D405))</x:f>
        <x:v>37</x:v>
      </x:c>
      <x:c r="J405" s="50" t="n">
        <x:f>IF(B405="Active",H405*I405*Assumptions!$B$11,IF(B405="Deferred",E405*I405*Assumptions!$B$11*(1+Assumptions!$B$9)^G405,F405))</x:f>
        <x:v>2117482.5058747944</x:v>
      </x:c>
      <x:c r="K405" s="37" t="n">
        <x:f>IF(B405="Pensioner",1,VLOOKUP(Assumptions!$B$10,Mortality!$A$2:$F$104,6,FALSE)/VLOOKUP(C405,Mortality!$A$2:$F$104,6,FALSE))</x:f>
        <x:v>0.9697719614347323</x:v>
      </x:c>
      <x:c r="L405" s="37" t="n">
        <x:f>VLOOKUP(IF(B405="Pensioner",C405,Assumptions!$B$10),Mortality!$A$2:$E$104,5,FALSE)</x:f>
        <x:v>17.296790022132885</x:v>
      </x:c>
      <x:c r="M405" s="37" t="n">
        <x:f>1+Assumptions!$B$13*Assumptions!$B$14*Assumptions!$B$15</x:f>
        <x:v>1.31875</x:v>
      </x:c>
      <x:c r="N405" s="37" t="n">
        <x:f>IF(B405="Pensioner",1,1/(1+Assumptions!$B$6)^G405)</x:f>
        <x:v>0.13329459861122173</x:v>
      </x:c>
      <x:c r="O405" s="50" t="n">
        <x:f>J405*K405*L405*M405*N405</x:f>
        <x:v>6243526.9615696445</x:v>
      </x:c>
    </x:row>
    <x:row r="406">
      <x:c r="A406" s="42" t="str">
        <x:f>Members!A406</x:f>
        <x:v>A0400</x:v>
      </x:c>
      <x:c r="B406" s="42" t="str">
        <x:f>Members!B406</x:f>
        <x:v>Active</x:v>
      </x:c>
      <x:c r="C406" s="42" t="n">
        <x:f>Members!C406</x:f>
        <x:v>43</x:v>
      </x:c>
      <x:c r="D406" s="44" t="n">
        <x:f>Members!D406</x:f>
        <x:v>15.9</x:v>
      </x:c>
      <x:c r="E406" s="48" t="n">
        <x:f>Members!E406</x:f>
        <x:v>1269000</x:v>
      </x:c>
      <x:c r="F406" s="48" t="n">
        <x:f>Members!F406</x:f>
        <x:v>0</x:v>
      </x:c>
      <x:c r="G406" s="46" t="n">
        <x:f>MAX(0,Assumptions!$B$10-C406)</x:f>
        <x:v>17</x:v>
      </x:c>
      <x:c r="H406" s="50" t="n">
        <x:f>IF(B406="Active",E406*(1+Assumptions!$B$7)^G406,E406)</x:f>
        <x:v>3153213.9255241193</x:v>
      </x:c>
      <x:c r="I406" s="50" t="n">
        <x:f>IF(B406="Active",MIN(Assumptions!$B$12,D406+G406),IF(B406="Deferred",MIN(Assumptions!$B$12,D406),D406))</x:f>
        <x:v>32.9</x:v>
      </x:c>
      <x:c r="J406" s="50" t="n">
        <x:f>IF(B406="Active",H406*I406*Assumptions!$B$11,IF(B406="Deferred",E406*I406*Assumptions!$B$11*(1+Assumptions!$B$9)^G406,F406))</x:f>
        <x:v>1729012.3024957255</x:v>
      </x:c>
      <x:c r="K406" s="37" t="n">
        <x:f>IF(B406="Pensioner",1,VLOOKUP(Assumptions!$B$10,Mortality!$A$2:$F$104,6,FALSE)/VLOOKUP(C406,Mortality!$A$2:$F$104,6,FALSE))</x:f>
        <x:v>0.975651758424938</x:v>
      </x:c>
      <x:c r="L406" s="37" t="n">
        <x:f>VLOOKUP(IF(B406="Pensioner",C406,Assumptions!$B$10),Mortality!$A$2:$E$104,5,FALSE)</x:f>
        <x:v>17.296790022132885</x:v>
      </x:c>
      <x:c r="M406" s="37" t="n">
        <x:f>1+Assumptions!$B$13*Assumptions!$B$14*Assumptions!$B$15</x:f>
        <x:v>1.31875</x:v>
      </x:c>
      <x:c r="N406" s="37" t="n">
        <x:f>IF(B406="Pensioner",1,1/(1+Assumptions!$B$6)^G406)</x:f>
        <x:v>0.34281251466174323</x:v>
      </x:c>
      <x:c r="O406" s="50" t="n">
        <x:f>J406*K406*L406*M406*N406</x:f>
        <x:v>13190995.396240365</x:v>
      </x:c>
    </x:row>
    <x:row r="407">
      <x:c r="A407" s="42" t="str">
        <x:f>Members!A407</x:f>
        <x:v>A0551</x:v>
      </x:c>
      <x:c r="B407" s="42" t="str">
        <x:f>Members!B407</x:f>
        <x:v>Active</x:v>
      </x:c>
      <x:c r="C407" s="42" t="n">
        <x:f>Members!C407</x:f>
        <x:v>39</x:v>
      </x:c>
      <x:c r="D407" s="44" t="n">
        <x:f>Members!D407</x:f>
        <x:v>8.6</x:v>
      </x:c>
      <x:c r="E407" s="48" t="n">
        <x:f>Members!E407</x:f>
        <x:v>642000</x:v>
      </x:c>
      <x:c r="F407" s="48" t="n">
        <x:f>Members!F407</x:f>
        <x:v>0</x:v>
      </x:c>
      <x:c r="G407" s="46" t="n">
        <x:f>MAX(0,Assumptions!$B$10-C407)</x:f>
        <x:v>21</x:v>
      </x:c>
      <x:c r="H407" s="50" t="n">
        <x:f>IF(B407="Active",E407*(1+Assumptions!$B$7)^G407,E407)</x:f>
        <x:v>1976226.3259610557</x:v>
      </x:c>
      <x:c r="I407" s="50" t="n">
        <x:f>IF(B407="Active",MIN(Assumptions!$B$12,D407+G407),IF(B407="Deferred",MIN(Assumptions!$B$12,D407),D407))</x:f>
        <x:v>29.6</x:v>
      </x:c>
      <x:c r="J407" s="50" t="n">
        <x:f>IF(B407="Active",H407*I407*Assumptions!$B$11,IF(B407="Deferred",E407*I407*Assumptions!$B$11*(1+Assumptions!$B$9)^G407,F407))</x:f>
        <x:v>974938.3208074542</x:v>
      </x:c>
      <x:c r="K407" s="37" t="n">
        <x:f>IF(B407="Pensioner",1,VLOOKUP(Assumptions!$B$10,Mortality!$A$2:$F$104,6,FALSE)/VLOOKUP(C407,Mortality!$A$2:$F$104,6,FALSE))</x:f>
        <x:v>0.973585741778878</x:v>
      </x:c>
      <x:c r="L407" s="37" t="n">
        <x:f>VLOOKUP(IF(B407="Pensioner",C407,Assumptions!$B$10),Mortality!$A$2:$E$104,5,FALSE)</x:f>
        <x:v>17.296790022132885</x:v>
      </x:c>
      <x:c r="M407" s="37" t="n">
        <x:f>1+Assumptions!$B$13*Assumptions!$B$14*Assumptions!$B$15</x:f>
        <x:v>1.31875</x:v>
      </x:c>
      <x:c r="N407" s="37" t="n">
        <x:f>IF(B407="Pensioner",1,1/(1+Assumptions!$B$6)^G407)</x:f>
        <x:v>0.26647608349429097</x:v>
      </x:c>
      <x:c r="O407" s="50" t="n">
        <x:f>J407*K407*L407*M407*N407</x:f>
        <x:v>5769491.909307656</x:v>
      </x:c>
    </x:row>
    <x:row r="408">
      <x:c r="A408" s="42" t="str">
        <x:f>Members!A408</x:f>
        <x:v>P0195</x:v>
      </x:c>
      <x:c r="B408" s="42" t="str">
        <x:f>Members!B408</x:f>
        <x:v>Pensioner</x:v>
      </x:c>
      <x:c r="C408" s="42" t="n">
        <x:f>Members!C408</x:f>
        <x:v>88</x:v>
      </x:c>
      <x:c r="D408" s="44" t="n">
        <x:f>Members!D408</x:f>
        <x:v>36.2</x:v>
      </x:c>
      <x:c r="E408" s="48" t="n">
        <x:f>Members!E408</x:f>
        <x:v>0</x:v>
      </x:c>
      <x:c r="F408" s="48" t="n">
        <x:f>Members!F408</x:f>
        <x:v>705000</x:v>
      </x:c>
      <x:c r="G408" s="46" t="n">
        <x:f>MAX(0,Assumptions!$B$10-C408)</x:f>
        <x:v>0</x:v>
      </x:c>
      <x:c r="H408" s="50" t="n">
        <x:f>IF(B408="Active",E408*(1+Assumptions!$B$7)^G408,E408)</x:f>
        <x:v>0</x:v>
      </x:c>
      <x:c r="I408" s="50" t="n">
        <x:f>IF(B408="Active",MIN(Assumptions!$B$12,D408+G408),IF(B408="Deferred",MIN(Assumptions!$B$12,D408),D408))</x:f>
        <x:v>36.2</x:v>
      </x:c>
      <x:c r="J408" s="50" t="n">
        <x:f>IF(B408="Active",H408*I408*Assumptions!$B$11,IF(B408="Deferred",E408*I408*Assumptions!$B$11*(1+Assumptions!$B$9)^G408,F408))</x:f>
        <x:v>705000</x:v>
      </x:c>
      <x:c r="K408" s="37" t="n">
        <x:f>IF(B408="Pensioner",1,VLOOKUP(Assumptions!$B$10,Mortality!$A$2:$F$104,6,FALSE)/VLOOKUP(C408,Mortality!$A$2:$F$104,6,FALSE))</x:f>
        <x:v>1</x:v>
      </x:c>
      <x:c r="L408" s="37" t="n">
        <x:f>VLOOKUP(IF(B408="Pensioner",C408,Assumptions!$B$10),Mortality!$A$2:$E$104,5,FALSE)</x:f>
        <x:v>5.043742896221734</x:v>
      </x:c>
      <x:c r="M408" s="37" t="n">
        <x:f>1+Assumptions!$B$13*Assumptions!$B$14*Assumptions!$B$15</x:f>
        <x:v>1.31875</x:v>
      </x:c>
      <x:c r="N408" s="37" t="n">
        <x:f>IF(B408="Pensioner",1,1/(1+Assumptions!$B$6)^G408)</x:f>
        <x:v>1</x:v>
      </x:c>
      <x:c r="O408" s="50" t="n">
        <x:f>J408*K408*L408*M408*N408</x:f>
        <x:v>4689262.34079665</x:v>
      </x:c>
    </x:row>
    <x:row r="409">
      <x:c r="A409" s="42" t="str">
        <x:f>Members!A409</x:f>
        <x:v>A0574</x:v>
      </x:c>
      <x:c r="B409" s="42" t="str">
        <x:f>Members!B409</x:f>
        <x:v>Active</x:v>
      </x:c>
      <x:c r="C409" s="42" t="n">
        <x:f>Members!C409</x:f>
        <x:v>50</x:v>
      </x:c>
      <x:c r="D409" s="44" t="n">
        <x:f>Members!D409</x:f>
        <x:v>9.1</x:v>
      </x:c>
      <x:c r="E409" s="48" t="n">
        <x:f>Members!E409</x:f>
        <x:v>1334000</x:v>
      </x:c>
      <x:c r="F409" s="48" t="n">
        <x:f>Members!F409</x:f>
        <x:v>0</x:v>
      </x:c>
      <x:c r="G409" s="46" t="n">
        <x:f>MAX(0,Assumptions!$B$10-C409)</x:f>
        <x:v>10</x:v>
      </x:c>
      <x:c r="H409" s="50" t="n">
        <x:f>IF(B409="Active",E409*(1+Assumptions!$B$7)^G409,E409)</x:f>
        <x:v>2278664.707443693</x:v>
      </x:c>
      <x:c r="I409" s="50" t="n">
        <x:f>IF(B409="Active",MIN(Assumptions!$B$12,D409+G409),IF(B409="Deferred",MIN(Assumptions!$B$12,D409),D409))</x:f>
        <x:v>19.1</x:v>
      </x:c>
      <x:c r="J409" s="50" t="n">
        <x:f>IF(B409="Active",H409*I409*Assumptions!$B$11,IF(B409="Deferred",E409*I409*Assumptions!$B$11*(1+Assumptions!$B$9)^G409,F409))</x:f>
        <x:v>725374.9318695758</x:v>
      </x:c>
      <x:c r="K409" s="37" t="n">
        <x:f>IF(B409="Pensioner",1,VLOOKUP(Assumptions!$B$10,Mortality!$A$2:$F$104,6,FALSE)/VLOOKUP(C409,Mortality!$A$2:$F$104,6,FALSE))</x:f>
        <x:v>0.9812729933582415</x:v>
      </x:c>
      <x:c r="L409" s="37" t="n">
        <x:f>VLOOKUP(IF(B409="Pensioner",C409,Assumptions!$B$10),Mortality!$A$2:$E$104,5,FALSE)</x:f>
        <x:v>17.296790022132885</x:v>
      </x:c>
      <x:c r="M409" s="37" t="n">
        <x:f>1+Assumptions!$B$13*Assumptions!$B$14*Assumptions!$B$15</x:f>
        <x:v>1.31875</x:v>
      </x:c>
      <x:c r="N409" s="37" t="n">
        <x:f>IF(B409="Pensioner",1,1/(1+Assumptions!$B$6)^G409)</x:f>
        <x:v>0.5327260355205289</x:v>
      </x:c>
      <x:c r="O409" s="50" t="n">
        <x:f>J409*K409*L409*M409*N409</x:f>
        <x:v>8649366.447763752</x:v>
      </x:c>
    </x:row>
    <x:row r="410">
      <x:c r="A410" s="42" t="str">
        <x:f>Members!A410</x:f>
        <x:v>A0492</x:v>
      </x:c>
      <x:c r="B410" s="42" t="str">
        <x:f>Members!B410</x:f>
        <x:v>Active</x:v>
      </x:c>
      <x:c r="C410" s="42" t="n">
        <x:f>Members!C410</x:f>
        <x:v>58</x:v>
      </x:c>
      <x:c r="D410" s="44" t="n">
        <x:f>Members!D410</x:f>
        <x:v>4.6</x:v>
      </x:c>
      <x:c r="E410" s="48" t="n">
        <x:f>Members!E410</x:f>
        <x:v>2228000</x:v>
      </x:c>
      <x:c r="F410" s="48" t="n">
        <x:f>Members!F410</x:f>
        <x:v>0</x:v>
      </x:c>
      <x:c r="G410" s="46" t="n">
        <x:f>MAX(0,Assumptions!$B$10-C410)</x:f>
        <x:v>2</x:v>
      </x:c>
      <x:c r="H410" s="50" t="n">
        <x:f>IF(B410="Active",E410*(1+Assumptions!$B$7)^G410,E410)</x:f>
        <x:v>2479819.6999999997</x:v>
      </x:c>
      <x:c r="I410" s="50" t="n">
        <x:f>IF(B410="Active",MIN(Assumptions!$B$12,D410+G410),IF(B410="Deferred",MIN(Assumptions!$B$12,D410),D410))</x:f>
        <x:v>6.6</x:v>
      </x:c>
      <x:c r="J410" s="50" t="n">
        <x:f>IF(B410="Active",H410*I410*Assumptions!$B$11,IF(B410="Deferred",E410*I410*Assumptions!$B$11*(1+Assumptions!$B$9)^G410,F410))</x:f>
        <x:v>272780.16699999996</x:v>
      </x:c>
      <x:c r="K410" s="37" t="n">
        <x:f>IF(B410="Pensioner",1,VLOOKUP(Assumptions!$B$10,Mortality!$A$2:$F$104,6,FALSE)/VLOOKUP(C410,Mortality!$A$2:$F$104,6,FALSE))</x:f>
        <x:v>0.9945213044203837</x:v>
      </x:c>
      <x:c r="L410" s="37" t="n">
        <x:f>VLOOKUP(IF(B410="Pensioner",C410,Assumptions!$B$10),Mortality!$A$2:$E$104,5,FALSE)</x:f>
        <x:v>17.296790022132885</x:v>
      </x:c>
      <x:c r="M410" s="37" t="n">
        <x:f>1+Assumptions!$B$13*Assumptions!$B$14*Assumptions!$B$15</x:f>
        <x:v>1.31875</x:v>
      </x:c>
      <x:c r="N410" s="37" t="n">
        <x:f>IF(B410="Pensioner",1,1/(1+Assumptions!$B$6)^G410)</x:f>
        <x:v>0.8816592827701736</x:v>
      </x:c>
      <x:c r="O410" s="50" t="n">
        <x:f>J410*K410*L410*M410*N410</x:f>
        <x:v>5455764.959867228</x:v>
      </x:c>
    </x:row>
    <x:row r="411">
      <x:c r="A411" s="42" t="str">
        <x:f>Members!A411</x:f>
        <x:v>A0063</x:v>
      </x:c>
      <x:c r="B411" s="42" t="str">
        <x:f>Members!B411</x:f>
        <x:v>Active</x:v>
      </x:c>
      <x:c r="C411" s="42" t="n">
        <x:f>Members!C411</x:f>
        <x:v>49</x:v>
      </x:c>
      <x:c r="D411" s="44" t="n">
        <x:f>Members!D411</x:f>
        <x:v>22.3</x:v>
      </x:c>
      <x:c r="E411" s="48" t="n">
        <x:f>Members!E411</x:f>
        <x:v>1301000</x:v>
      </x:c>
      <x:c r="F411" s="48" t="n">
        <x:f>Members!F411</x:f>
        <x:v>0</x:v>
      </x:c>
      <x:c r="G411" s="46" t="n">
        <x:f>MAX(0,Assumptions!$B$10-C411)</x:f>
        <x:v>11</x:v>
      </x:c>
      <x:c r="H411" s="50" t="n">
        <x:f>IF(B411="Active",E411*(1+Assumptions!$B$7)^G411,E411)</x:f>
        <x:v>2344522.2170355157</x:v>
      </x:c>
      <x:c r="I411" s="50" t="n">
        <x:f>IF(B411="Active",MIN(Assumptions!$B$12,D411+G411),IF(B411="Deferred",MIN(Assumptions!$B$12,D411),D411))</x:f>
        <x:v>33.3</x:v>
      </x:c>
      <x:c r="J411" s="50" t="n">
        <x:f>IF(B411="Active",H411*I411*Assumptions!$B$11,IF(B411="Deferred",E411*I411*Assumptions!$B$11*(1+Assumptions!$B$9)^G411,F411))</x:f>
        <x:v>1301209.830454711</x:v>
      </x:c>
      <x:c r="K411" s="37" t="n">
        <x:f>IF(B411="Pensioner",1,VLOOKUP(Assumptions!$B$10,Mortality!$A$2:$F$104,6,FALSE)/VLOOKUP(C411,Mortality!$A$2:$F$104,6,FALSE))</x:f>
        <x:v>0.9802429662359576</x:v>
      </x:c>
      <x:c r="L411" s="37" t="n">
        <x:f>VLOOKUP(IF(B411="Pensioner",C411,Assumptions!$B$10),Mortality!$A$2:$E$104,5,FALSE)</x:f>
        <x:v>17.296790022132885</x:v>
      </x:c>
      <x:c r="M411" s="37" t="n">
        <x:f>1+Assumptions!$B$13*Assumptions!$B$14*Assumptions!$B$15</x:f>
        <x:v>1.31875</x:v>
      </x:c>
      <x:c r="N411" s="37" t="n">
        <x:f>IF(B411="Pensioner",1,1/(1+Assumptions!$B$6)^G411)</x:f>
        <x:v>0.5002122399253793</x:v>
      </x:c>
      <x:c r="O411" s="50" t="n">
        <x:f>J411*K411*L411*M411*N411</x:f>
        <x:v>14553363.293366635</x:v>
      </x:c>
    </x:row>
    <x:row r="412">
      <x:c r="A412" s="42" t="str">
        <x:f>Members!A412</x:f>
        <x:v>A0539</x:v>
      </x:c>
      <x:c r="B412" s="42" t="str">
        <x:f>Members!B412</x:f>
        <x:v>Active</x:v>
      </x:c>
      <x:c r="C412" s="42" t="n">
        <x:f>Members!C412</x:f>
        <x:v>37</x:v>
      </x:c>
      <x:c r="D412" s="44" t="n">
        <x:f>Members!D412</x:f>
        <x:v>6.8</x:v>
      </x:c>
      <x:c r="E412" s="48" t="n">
        <x:f>Members!E412</x:f>
        <x:v>660000</x:v>
      </x:c>
      <x:c r="F412" s="48" t="n">
        <x:f>Members!F412</x:f>
        <x:v>0</x:v>
      </x:c>
      <x:c r="G412" s="46" t="n">
        <x:f>MAX(0,Assumptions!$B$10-C412)</x:f>
        <x:v>23</x:v>
      </x:c>
      <x:c r="H412" s="50" t="n">
        <x:f>IF(B412="Active",E412*(1+Assumptions!$B$7)^G412,E412)</x:f>
        <x:v>2261260.0346711064</x:v>
      </x:c>
      <x:c r="I412" s="50" t="n">
        <x:f>IF(B412="Active",MIN(Assumptions!$B$12,D412+G412),IF(B412="Deferred",MIN(Assumptions!$B$12,D412),D412))</x:f>
        <x:v>29.8</x:v>
      </x:c>
      <x:c r="J412" s="50" t="n">
        <x:f>IF(B412="Active",H412*I412*Assumptions!$B$11,IF(B412="Deferred",E412*I412*Assumptions!$B$11*(1+Assumptions!$B$9)^G412,F412))</x:f>
        <x:v>1123092.4838866494</x:v>
      </x:c>
      <x:c r="K412" s="37" t="n">
        <x:f>IF(B412="Pensioner",1,VLOOKUP(Assumptions!$B$10,Mortality!$A$2:$F$104,6,FALSE)/VLOOKUP(C412,Mortality!$A$2:$F$104,6,FALSE))</x:f>
        <x:v>0.9727356141265188</x:v>
      </x:c>
      <x:c r="L412" s="37" t="n">
        <x:f>VLOOKUP(IF(B412="Pensioner",C412,Assumptions!$B$10),Mortality!$A$2:$E$104,5,FALSE)</x:f>
        <x:v>17.296790022132885</x:v>
      </x:c>
      <x:c r="M412" s="37" t="n">
        <x:f>1+Assumptions!$B$13*Assumptions!$B$14*Assumptions!$B$15</x:f>
        <x:v>1.31875</x:v>
      </x:c>
      <x:c r="N412" s="37" t="n">
        <x:f>IF(B412="Pensioner",1,1/(1+Assumptions!$B$6)^G412)</x:f>
        <x:v>0.23494111264898151</x:v>
      </x:c>
      <x:c r="O412" s="50" t="n">
        <x:f>J412*K412*L412*M412*N412</x:f>
        <x:v>5854601.566110671</x:v>
      </x:c>
    </x:row>
    <x:row r="413">
      <x:c r="A413" s="42" t="str">
        <x:f>Members!A413</x:f>
        <x:v>P0136</x:v>
      </x:c>
      <x:c r="B413" s="42" t="str">
        <x:f>Members!B413</x:f>
        <x:v>Pensioner</x:v>
      </x:c>
      <x:c r="C413" s="42" t="n">
        <x:f>Members!C413</x:f>
        <x:v>78</x:v>
      </x:c>
      <x:c r="D413" s="44" t="n">
        <x:f>Members!D413</x:f>
        <x:v>17.3</x:v>
      </x:c>
      <x:c r="E413" s="48" t="n">
        <x:f>Members!E413</x:f>
        <x:v>0</x:v>
      </x:c>
      <x:c r="F413" s="48" t="n">
        <x:f>Members!F413</x:f>
        <x:v>316000</x:v>
      </x:c>
      <x:c r="G413" s="46" t="n">
        <x:f>MAX(0,Assumptions!$B$10-C413)</x:f>
        <x:v>0</x:v>
      </x:c>
      <x:c r="H413" s="50" t="n">
        <x:f>IF(B413="Active",E413*(1+Assumptions!$B$7)^G413,E413)</x:f>
        <x:v>0</x:v>
      </x:c>
      <x:c r="I413" s="50" t="n">
        <x:f>IF(B413="Active",MIN(Assumptions!$B$12,D413+G413),IF(B413="Deferred",MIN(Assumptions!$B$12,D413),D413))</x:f>
        <x:v>17.3</x:v>
      </x:c>
      <x:c r="J413" s="50" t="n">
        <x:f>IF(B413="Active",H413*I413*Assumptions!$B$11,IF(B413="Deferred",E413*I413*Assumptions!$B$11*(1+Assumptions!$B$9)^G413,F413))</x:f>
        <x:v>316000</x:v>
      </x:c>
      <x:c r="K413" s="37" t="n">
        <x:f>IF(B413="Pensioner",1,VLOOKUP(Assumptions!$B$10,Mortality!$A$2:$F$104,6,FALSE)/VLOOKUP(C413,Mortality!$A$2:$F$104,6,FALSE))</x:f>
        <x:v>1</x:v>
      </x:c>
      <x:c r="L413" s="37" t="n">
        <x:f>VLOOKUP(IF(B413="Pensioner",C413,Assumptions!$B$10),Mortality!$A$2:$E$104,5,FALSE)</x:f>
        <x:v>9.284717924120388</x:v>
      </x:c>
      <x:c r="M413" s="37" t="n">
        <x:f>1+Assumptions!$B$13*Assumptions!$B$14*Assumptions!$B$15</x:f>
        <x:v>1.31875</x:v>
      </x:c>
      <x:c r="N413" s="37" t="n">
        <x:f>IF(B413="Pensioner",1,1/(1+Assumptions!$B$6)^G413)</x:f>
        <x:v>1</x:v>
      </x:c>
      <x:c r="O413" s="50" t="n">
        <x:f>J413*K413*L413*M413*N413</x:f>
        <x:v>3869174.076929069</x:v>
      </x:c>
    </x:row>
    <x:row r="414">
      <x:c r="A414" s="42" t="str">
        <x:f>Members!A414</x:f>
        <x:v>A0282</x:v>
      </x:c>
      <x:c r="B414" s="42" t="str">
        <x:f>Members!B414</x:f>
        <x:v>Active</x:v>
      </x:c>
      <x:c r="C414" s="42" t="n">
        <x:f>Members!C414</x:f>
        <x:v>53</x:v>
      </x:c>
      <x:c r="D414" s="44" t="n">
        <x:f>Members!D414</x:f>
        <x:v>14.1</x:v>
      </x:c>
      <x:c r="E414" s="48" t="n">
        <x:f>Members!E414</x:f>
        <x:v>1663000</x:v>
      </x:c>
      <x:c r="F414" s="48" t="n">
        <x:f>Members!F414</x:f>
        <x:v>0</x:v>
      </x:c>
      <x:c r="G414" s="46" t="n">
        <x:f>MAX(0,Assumptions!$B$10-C414)</x:f>
        <x:v>7</x:v>
      </x:c>
      <x:c r="H414" s="50" t="n">
        <x:f>IF(B414="Active",E414*(1+Assumptions!$B$7)^G414,E414)</x:f>
        <x:v>2419131.4449654995</x:v>
      </x:c>
      <x:c r="I414" s="50" t="n">
        <x:f>IF(B414="Active",MIN(Assumptions!$B$12,D414+G414),IF(B414="Deferred",MIN(Assumptions!$B$12,D414),D414))</x:f>
        <x:v>21.1</x:v>
      </x:c>
      <x:c r="J414" s="50" t="n">
        <x:f>IF(B414="Active",H414*I414*Assumptions!$B$11,IF(B414="Deferred",E414*I414*Assumptions!$B$11*(1+Assumptions!$B$9)^G414,F414))</x:f>
        <x:v>850727.891479534</x:v>
      </x:c>
      <x:c r="K414" s="37" t="n">
        <x:f>IF(B414="Pensioner",1,VLOOKUP(Assumptions!$B$10,Mortality!$A$2:$F$104,6,FALSE)/VLOOKUP(C414,Mortality!$A$2:$F$104,6,FALSE))</x:f>
        <x:v>0.9850300017431317</x:v>
      </x:c>
      <x:c r="L414" s="37" t="n">
        <x:f>VLOOKUP(IF(B414="Pensioner",C414,Assumptions!$B$10),Mortality!$A$2:$E$104,5,FALSE)</x:f>
        <x:v>17.296790022132885</x:v>
      </x:c>
      <x:c r="M414" s="37" t="n">
        <x:f>1+Assumptions!$B$13*Assumptions!$B$14*Assumptions!$B$15</x:f>
        <x:v>1.31875</x:v>
      </x:c>
      <x:c r="N414" s="37" t="n">
        <x:f>IF(B414="Pensioner",1,1/(1+Assumptions!$B$6)^G414)</x:f>
        <x:v>0.6435062148347594</x:v>
      </x:c>
      <x:c r="O414" s="50" t="n">
        <x:f>J414*K414*L414*M414*N414</x:f>
        <x:v>12300446.073537316</x:v>
      </x:c>
    </x:row>
    <x:row r="415">
      <x:c r="A415" s="42" t="str">
        <x:f>Members!A415</x:f>
        <x:v>A0598</x:v>
      </x:c>
      <x:c r="B415" s="42" t="str">
        <x:f>Members!B415</x:f>
        <x:v>Active</x:v>
      </x:c>
      <x:c r="C415" s="42" t="n">
        <x:f>Members!C415</x:f>
        <x:v>26</x:v>
      </x:c>
      <x:c r="D415" s="44" t="n">
        <x:f>Members!D415</x:f>
        <x:v>1.4</x:v>
      </x:c>
      <x:c r="E415" s="48" t="n">
        <x:f>Members!E415</x:f>
        <x:v>428000</x:v>
      </x:c>
      <x:c r="F415" s="48" t="n">
        <x:f>Members!F415</x:f>
        <x:v>0</x:v>
      </x:c>
      <x:c r="G415" s="46" t="n">
        <x:f>MAX(0,Assumptions!$B$10-C415)</x:f>
        <x:v>34</x:v>
      </x:c>
      <x:c r="H415" s="50" t="n">
        <x:f>IF(B415="Active",E415*(1+Assumptions!$B$7)^G415,E415)</x:f>
        <x:v>2642575.453411396</x:v>
      </x:c>
      <x:c r="I415" s="50" t="n">
        <x:f>IF(B415="Active",MIN(Assumptions!$B$12,D415+G415),IF(B415="Deferred",MIN(Assumptions!$B$12,D415),D415))</x:f>
        <x:v>35.4</x:v>
      </x:c>
      <x:c r="J415" s="50" t="n">
        <x:f>IF(B415="Active",H415*I415*Assumptions!$B$11,IF(B415="Deferred",E415*I415*Assumptions!$B$11*(1+Assumptions!$B$9)^G415,F415))</x:f>
        <x:v>1559119.5175127236</x:v>
      </x:c>
      <x:c r="K415" s="37" t="n">
        <x:f>IF(B415="Pensioner",1,VLOOKUP(Assumptions!$B$10,Mortality!$A$2:$F$104,6,FALSE)/VLOOKUP(C415,Mortality!$A$2:$F$104,6,FALSE))</x:f>
        <x:v>0.9692291629189255</x:v>
      </x:c>
      <x:c r="L415" s="37" t="n">
        <x:f>VLOOKUP(IF(B415="Pensioner",C415,Assumptions!$B$10),Mortality!$A$2:$E$104,5,FALSE)</x:f>
        <x:v>17.296790022132885</x:v>
      </x:c>
      <x:c r="M415" s="37" t="n">
        <x:f>1+Assumptions!$B$13*Assumptions!$B$14*Assumptions!$B$15</x:f>
        <x:v>1.31875</x:v>
      </x:c>
      <x:c r="N415" s="37" t="n">
        <x:f>IF(B415="Pensioner",1,1/(1+Assumptions!$B$6)^G415)</x:f>
        <x:v>0.11752042020870793</x:v>
      </x:c>
      <x:c r="O415" s="50" t="n">
        <x:f>J415*K415*L415*M415*N415</x:f>
        <x:v>4050859.7091186526</x:v>
      </x:c>
    </x:row>
    <x:row r="416">
      <x:c r="A416" s="42" t="str">
        <x:f>Members!A416</x:f>
        <x:v>P0231</x:v>
      </x:c>
      <x:c r="B416" s="42" t="str">
        <x:f>Members!B416</x:f>
        <x:v>Pensioner</x:v>
      </x:c>
      <x:c r="C416" s="42" t="n">
        <x:f>Members!C416</x:f>
        <x:v>65</x:v>
      </x:c>
      <x:c r="D416" s="44" t="n">
        <x:f>Members!D416</x:f>
        <x:v>20.1</x:v>
      </x:c>
      <x:c r="E416" s="48" t="n">
        <x:f>Members!E416</x:f>
        <x:v>0</x:v>
      </x:c>
      <x:c r="F416" s="48" t="n">
        <x:f>Members!F416</x:f>
        <x:v>196000</x:v>
      </x:c>
      <x:c r="G416" s="46" t="n">
        <x:f>MAX(0,Assumptions!$B$10-C416)</x:f>
        <x:v>0</x:v>
      </x:c>
      <x:c r="H416" s="50" t="n">
        <x:f>IF(B416="Active",E416*(1+Assumptions!$B$7)^G416,E416)</x:f>
        <x:v>0</x:v>
      </x:c>
      <x:c r="I416" s="50" t="n">
        <x:f>IF(B416="Active",MIN(Assumptions!$B$12,D416+G416),IF(B416="Deferred",MIN(Assumptions!$B$12,D416),D416))</x:f>
        <x:v>20.1</x:v>
      </x:c>
      <x:c r="J416" s="50" t="n">
        <x:f>IF(B416="Active",H416*I416*Assumptions!$B$11,IF(B416="Deferred",E416*I416*Assumptions!$B$11*(1+Assumptions!$B$9)^G416,F416))</x:f>
        <x:v>196000</x:v>
      </x:c>
      <x:c r="K416" s="37" t="n">
        <x:f>IF(B416="Pensioner",1,VLOOKUP(Assumptions!$B$10,Mortality!$A$2:$F$104,6,FALSE)/VLOOKUP(C416,Mortality!$A$2:$F$104,6,FALSE))</x:f>
        <x:v>1</x:v>
      </x:c>
      <x:c r="L416" s="37" t="n">
        <x:f>VLOOKUP(IF(B416="Pensioner",C416,Assumptions!$B$10),Mortality!$A$2:$E$104,5,FALSE)</x:f>
        <x:v>15.196570962158528</x:v>
      </x:c>
      <x:c r="M416" s="37" t="n">
        <x:f>1+Assumptions!$B$13*Assumptions!$B$14*Assumptions!$B$15</x:f>
        <x:v>1.31875</x:v>
      </x:c>
      <x:c r="N416" s="37" t="n">
        <x:f>IF(B416="Pensioner",1,1/(1+Assumptions!$B$6)^G416)</x:f>
        <x:v>1</x:v>
      </x:c>
      <x:c r="O416" s="50" t="n">
        <x:f>J416*K416*L416*M416*N416</x:f>
        <x:v>3927933.679443926</x:v>
      </x:c>
    </x:row>
    <x:row r="417">
      <x:c r="A417" s="42" t="str">
        <x:f>Members!A417</x:f>
        <x:v>A0242</x:v>
      </x:c>
      <x:c r="B417" s="42" t="str">
        <x:f>Members!B417</x:f>
        <x:v>Active</x:v>
      </x:c>
      <x:c r="C417" s="42" t="n">
        <x:f>Members!C417</x:f>
        <x:v>39</x:v>
      </x:c>
      <x:c r="D417" s="44" t="n">
        <x:f>Members!D417</x:f>
        <x:v>12.6</x:v>
      </x:c>
      <x:c r="E417" s="48" t="n">
        <x:f>Members!E417</x:f>
        <x:v>994000</x:v>
      </x:c>
      <x:c r="F417" s="48" t="n">
        <x:f>Members!F417</x:f>
        <x:v>0</x:v>
      </x:c>
      <x:c r="G417" s="46" t="n">
        <x:f>MAX(0,Assumptions!$B$10-C417)</x:f>
        <x:v>21</x:v>
      </x:c>
      <x:c r="H417" s="50" t="n">
        <x:f>IF(B417="Active",E417*(1+Assumptions!$B$7)^G417,E417)</x:f>
        <x:v>3059764.74767179</x:v>
      </x:c>
      <x:c r="I417" s="50" t="n">
        <x:f>IF(B417="Active",MIN(Assumptions!$B$12,D417+G417),IF(B417="Deferred",MIN(Assumptions!$B$12,D417),D417))</x:f>
        <x:v>33.6</x:v>
      </x:c>
      <x:c r="J417" s="50" t="n">
        <x:f>IF(B417="Active",H417*I417*Assumptions!$B$11,IF(B417="Deferred",E417*I417*Assumptions!$B$11*(1+Assumptions!$B$9)^G417,F417))</x:f>
        <x:v>1713468.2586962024</x:v>
      </x:c>
      <x:c r="K417" s="37" t="n">
        <x:f>IF(B417="Pensioner",1,VLOOKUP(Assumptions!$B$10,Mortality!$A$2:$F$104,6,FALSE)/VLOOKUP(C417,Mortality!$A$2:$F$104,6,FALSE))</x:f>
        <x:v>0.973585741778878</x:v>
      </x:c>
      <x:c r="L417" s="37" t="n">
        <x:f>VLOOKUP(IF(B417="Pensioner",C417,Assumptions!$B$10),Mortality!$A$2:$E$104,5,FALSE)</x:f>
        <x:v>17.296790022132885</x:v>
      </x:c>
      <x:c r="M417" s="37" t="n">
        <x:f>1+Assumptions!$B$13*Assumptions!$B$14*Assumptions!$B$15</x:f>
        <x:v>1.31875</x:v>
      </x:c>
      <x:c r="N417" s="37" t="n">
        <x:f>IF(B417="Pensioner",1,1/(1+Assumptions!$B$6)^G417)</x:f>
        <x:v>0.26647608349429097</x:v>
      </x:c>
      <x:c r="O417" s="50" t="n">
        <x:f>J417*K417*L417*M417*N417</x:f>
        <x:v>10139965.825956723</x:v>
      </x:c>
    </x:row>
    <x:row r="418">
      <x:c r="A418" s="42" t="str">
        <x:f>Members!A418</x:f>
        <x:v>P0058</x:v>
      </x:c>
      <x:c r="B418" s="42" t="str">
        <x:f>Members!B418</x:f>
        <x:v>Pensioner</x:v>
      </x:c>
      <x:c r="C418" s="42" t="n">
        <x:f>Members!C418</x:f>
        <x:v>70</x:v>
      </x:c>
      <x:c r="D418" s="44" t="n">
        <x:f>Members!D418</x:f>
        <x:v>25.2</x:v>
      </x:c>
      <x:c r="E418" s="48" t="n">
        <x:f>Members!E418</x:f>
        <x:v>0</x:v>
      </x:c>
      <x:c r="F418" s="48" t="n">
        <x:f>Members!F418</x:f>
        <x:v>351000</x:v>
      </x:c>
      <x:c r="G418" s="46" t="n">
        <x:f>MAX(0,Assumptions!$B$10-C418)</x:f>
        <x:v>0</x:v>
      </x:c>
      <x:c r="H418" s="50" t="n">
        <x:f>IF(B418="Active",E418*(1+Assumptions!$B$7)^G418,E418)</x:f>
        <x:v>0</x:v>
      </x:c>
      <x:c r="I418" s="50" t="n">
        <x:f>IF(B418="Active",MIN(Assumptions!$B$12,D418+G418),IF(B418="Deferred",MIN(Assumptions!$B$12,D418),D418))</x:f>
        <x:v>25.2</x:v>
      </x:c>
      <x:c r="J418" s="50" t="n">
        <x:f>IF(B418="Active",H418*I418*Assumptions!$B$11,IF(B418="Deferred",E418*I418*Assumptions!$B$11*(1+Assumptions!$B$9)^G418,F418))</x:f>
        <x:v>351000</x:v>
      </x:c>
      <x:c r="K418" s="37" t="n">
        <x:f>IF(B418="Pensioner",1,VLOOKUP(Assumptions!$B$10,Mortality!$A$2:$F$104,6,FALSE)/VLOOKUP(C418,Mortality!$A$2:$F$104,6,FALSE))</x:f>
        <x:v>1</x:v>
      </x:c>
      <x:c r="L418" s="37" t="n">
        <x:f>VLOOKUP(IF(B418="Pensioner",C418,Assumptions!$B$10),Mortality!$A$2:$E$104,5,FALSE)</x:f>
        <x:v>12.963998211865617</x:v>
      </x:c>
      <x:c r="M418" s="37" t="n">
        <x:f>1+Assumptions!$B$13*Assumptions!$B$14*Assumptions!$B$15</x:f>
        <x:v>1.31875</x:v>
      </x:c>
      <x:c r="N418" s="37" t="n">
        <x:f>IF(B418="Pensioner",1,1/(1+Assumptions!$B$6)^G418)</x:f>
        <x:v>1</x:v>
      </x:c>
      <x:c r="O418" s="50" t="n">
        <x:f>J418*K418*L418*M418*N418</x:f>
        <x:v>6000791.697306122</x:v>
      </x:c>
    </x:row>
    <x:row r="419">
      <x:c r="A419" s="42" t="str">
        <x:f>Members!A419</x:f>
        <x:v>P0249</x:v>
      </x:c>
      <x:c r="B419" s="42" t="str">
        <x:f>Members!B419</x:f>
        <x:v>Pensioner</x:v>
      </x:c>
      <x:c r="C419" s="42" t="n">
        <x:f>Members!C419</x:f>
        <x:v>86</x:v>
      </x:c>
      <x:c r="D419" s="44" t="n">
        <x:f>Members!D419</x:f>
        <x:v>19.8</x:v>
      </x:c>
      <x:c r="E419" s="48" t="n">
        <x:f>Members!E419</x:f>
        <x:v>0</x:v>
      </x:c>
      <x:c r="F419" s="48" t="n">
        <x:f>Members!F419</x:f>
        <x:v>356000</x:v>
      </x:c>
      <x:c r="G419" s="46" t="n">
        <x:f>MAX(0,Assumptions!$B$10-C419)</x:f>
        <x:v>0</x:v>
      </x:c>
      <x:c r="H419" s="50" t="n">
        <x:f>IF(B419="Active",E419*(1+Assumptions!$B$7)^G419,E419)</x:f>
        <x:v>0</x:v>
      </x:c>
      <x:c r="I419" s="50" t="n">
        <x:f>IF(B419="Active",MIN(Assumptions!$B$12,D419+G419),IF(B419="Deferred",MIN(Assumptions!$B$12,D419),D419))</x:f>
        <x:v>19.8</x:v>
      </x:c>
      <x:c r="J419" s="50" t="n">
        <x:f>IF(B419="Active",H419*I419*Assumptions!$B$11,IF(B419="Deferred",E419*I419*Assumptions!$B$11*(1+Assumptions!$B$9)^G419,F419))</x:f>
        <x:v>356000</x:v>
      </x:c>
      <x:c r="K419" s="37" t="n">
        <x:f>IF(B419="Pensioner",1,VLOOKUP(Assumptions!$B$10,Mortality!$A$2:$F$104,6,FALSE)/VLOOKUP(C419,Mortality!$A$2:$F$104,6,FALSE))</x:f>
        <x:v>1</x:v>
      </x:c>
      <x:c r="L419" s="37" t="n">
        <x:f>VLOOKUP(IF(B419="Pensioner",C419,Assumptions!$B$10),Mortality!$A$2:$E$104,5,FALSE)</x:f>
        <x:v>5.822832972912483</x:v>
      </x:c>
      <x:c r="M419" s="37" t="n">
        <x:f>1+Assumptions!$B$13*Assumptions!$B$14*Assumptions!$B$15</x:f>
        <x:v>1.31875</x:v>
      </x:c>
      <x:c r="N419" s="37" t="n">
        <x:f>IF(B419="Pensioner",1,1/(1+Assumptions!$B$6)^G419)</x:f>
        <x:v>1</x:v>
      </x:c>
      <x:c r="O419" s="50" t="n">
        <x:f>J419*K419*L419*M419*N419</x:f>
        <x:v>2733674.509958088</x:v>
      </x:c>
    </x:row>
    <x:row r="420">
      <x:c r="A420" s="42" t="str">
        <x:f>Members!A420</x:f>
        <x:v>A0403</x:v>
      </x:c>
      <x:c r="B420" s="42" t="str">
        <x:f>Members!B420</x:f>
        <x:v>Active</x:v>
      </x:c>
      <x:c r="C420" s="42" t="n">
        <x:f>Members!C420</x:f>
        <x:v>38</x:v>
      </x:c>
      <x:c r="D420" s="44" t="n">
        <x:f>Members!D420</x:f>
        <x:v>2.8</x:v>
      </x:c>
      <x:c r="E420" s="48" t="n">
        <x:f>Members!E420</x:f>
        <x:v>1024000</x:v>
      </x:c>
      <x:c r="F420" s="48" t="n">
        <x:f>Members!F420</x:f>
        <x:v>0</x:v>
      </x:c>
      <x:c r="G420" s="46" t="n">
        <x:f>MAX(0,Assumptions!$B$10-C420)</x:f>
        <x:v>22</x:v>
      </x:c>
      <x:c r="H420" s="50" t="n">
        <x:f>IF(B420="Active",E420*(1+Assumptions!$B$7)^G420,E420)</x:f>
        <x:v>3325477.919723127</x:v>
      </x:c>
      <x:c r="I420" s="50" t="n">
        <x:f>IF(B420="Active",MIN(Assumptions!$B$12,D420+G420),IF(B420="Deferred",MIN(Assumptions!$B$12,D420),D420))</x:f>
        <x:v>24.8</x:v>
      </x:c>
      <x:c r="J420" s="50" t="n">
        <x:f>IF(B420="Active",H420*I420*Assumptions!$B$11,IF(B420="Deferred",E420*I420*Assumptions!$B$11*(1+Assumptions!$B$9)^G420,F420))</x:f>
        <x:v>1374530.8734855591</x:v>
      </x:c>
      <x:c r="K420" s="37" t="n">
        <x:f>IF(B420="Pensioner",1,VLOOKUP(Assumptions!$B$10,Mortality!$A$2:$F$104,6,FALSE)/VLOOKUP(C420,Mortality!$A$2:$F$104,6,FALSE))</x:f>
        <x:v>0.9731482688168002</x:v>
      </x:c>
      <x:c r="L420" s="37" t="n">
        <x:f>VLOOKUP(IF(B420="Pensioner",C420,Assumptions!$B$10),Mortality!$A$2:$E$104,5,FALSE)</x:f>
        <x:v>17.296790022132885</x:v>
      </x:c>
      <x:c r="M420" s="37" t="n">
        <x:f>1+Assumptions!$B$13*Assumptions!$B$14*Assumptions!$B$15</x:f>
        <x:v>1.31875</x:v>
      </x:c>
      <x:c r="N420" s="37" t="n">
        <x:f>IF(B420="Pensioner",1,1/(1+Assumptions!$B$6)^G420)</x:f>
        <x:v>0.25021228497116527</x:v>
      </x:c>
      <x:c r="O420" s="50" t="n">
        <x:f>J420*K420*L420*M420*N420</x:f>
        <x:v>7634315.928499661</x:v>
      </x:c>
    </x:row>
    <x:row r="421">
      <x:c r="A421" s="42" t="str">
        <x:f>Members!A421</x:f>
        <x:v>A0543</x:v>
      </x:c>
      <x:c r="B421" s="42" t="str">
        <x:f>Members!B421</x:f>
        <x:v>Active</x:v>
      </x:c>
      <x:c r="C421" s="42" t="n">
        <x:f>Members!C421</x:f>
        <x:v>32</x:v>
      </x:c>
      <x:c r="D421" s="44" t="n">
        <x:f>Members!D421</x:f>
        <x:v>6.6</x:v>
      </x:c>
      <x:c r="E421" s="48" t="n">
        <x:f>Members!E421</x:f>
        <x:v>736000</x:v>
      </x:c>
      <x:c r="F421" s="48" t="n">
        <x:f>Members!F421</x:f>
        <x:v>0</x:v>
      </x:c>
      <x:c r="G421" s="46" t="n">
        <x:f>MAX(0,Assumptions!$B$10-C421)</x:f>
        <x:v>28</x:v>
      </x:c>
      <x:c r="H421" s="50" t="n">
        <x:f>IF(B421="Active",E421*(1+Assumptions!$B$7)^G421,E421)</x:f>
        <x:v>3295692.503096305</x:v>
      </x:c>
      <x:c r="I421" s="50" t="n">
        <x:f>IF(B421="Active",MIN(Assumptions!$B$12,D421+G421),IF(B421="Deferred",MIN(Assumptions!$B$12,D421),D421))</x:f>
        <x:v>34.6</x:v>
      </x:c>
      <x:c r="J421" s="50" t="n">
        <x:f>IF(B421="Active",H421*I421*Assumptions!$B$11,IF(B421="Deferred",E421*I421*Assumptions!$B$11*(1+Assumptions!$B$9)^G421,F421))</x:f>
        <x:v>1900516.0101188691</x:v>
      </x:c>
      <x:c r="K421" s="37" t="n">
        <x:f>IF(B421="Pensioner",1,VLOOKUP(Assumptions!$B$10,Mortality!$A$2:$F$104,6,FALSE)/VLOOKUP(C421,Mortality!$A$2:$F$104,6,FALSE))</x:f>
        <x:v>0.9709584687664957</x:v>
      </x:c>
      <x:c r="L421" s="37" t="n">
        <x:f>VLOOKUP(IF(B421="Pensioner",C421,Assumptions!$B$10),Mortality!$A$2:$E$104,5,FALSE)</x:f>
        <x:v>17.296790022132885</x:v>
      </x:c>
      <x:c r="M421" s="37" t="n">
        <x:f>1+Assumptions!$B$13*Assumptions!$B$14*Assumptions!$B$15</x:f>
        <x:v>1.31875</x:v>
      </x:c>
      <x:c r="N421" s="37" t="n">
        <x:f>IF(B421="Pensioner",1,1/(1+Assumptions!$B$6)^G421)</x:f>
        <x:v>0.17147901583340255</x:v>
      </x:c>
      <x:c r="O421" s="50" t="n">
        <x:f>J421*K421*L421*M421*N421</x:f>
        <x:v>7217904.883946147</x:v>
      </x:c>
    </x:row>
    <x:row r="422">
      <x:c r="A422" s="42" t="str">
        <x:f>Members!A422</x:f>
        <x:v>A0020</x:v>
      </x:c>
      <x:c r="B422" s="42" t="str">
        <x:f>Members!B422</x:f>
        <x:v>Active</x:v>
      </x:c>
      <x:c r="C422" s="42" t="n">
        <x:f>Members!C422</x:f>
        <x:v>54</x:v>
      </x:c>
      <x:c r="D422" s="44" t="n">
        <x:f>Members!D422</x:f>
        <x:v>25.6</x:v>
      </x:c>
      <x:c r="E422" s="48" t="n">
        <x:f>Members!E422</x:f>
        <x:v>1650000</x:v>
      </x:c>
      <x:c r="F422" s="48" t="n">
        <x:f>Members!F422</x:f>
        <x:v>0</x:v>
      </x:c>
      <x:c r="G422" s="46" t="n">
        <x:f>MAX(0,Assumptions!$B$10-C422)</x:f>
        <x:v>6</x:v>
      </x:c>
      <x:c r="H422" s="50" t="n">
        <x:f>IF(B422="Active",E422*(1+Assumptions!$B$7)^G422,E422)</x:f>
        <x:v>2275090.631157119</x:v>
      </x:c>
      <x:c r="I422" s="50" t="n">
        <x:f>IF(B422="Active",MIN(Assumptions!$B$12,D422+G422),IF(B422="Deferred",MIN(Assumptions!$B$12,D422),D422))</x:f>
        <x:v>31.6</x:v>
      </x:c>
      <x:c r="J422" s="50" t="n">
        <x:f>IF(B422="Active",H422*I422*Assumptions!$B$11,IF(B422="Deferred",E422*I422*Assumptions!$B$11*(1+Assumptions!$B$9)^G422,F422))</x:f>
        <x:v>1198214.3990760825</x:v>
      </x:c>
      <x:c r="K422" s="37" t="n">
        <x:f>IF(B422="Pensioner",1,VLOOKUP(Assumptions!$B$10,Mortality!$A$2:$F$104,6,FALSE)/VLOOKUP(C422,Mortality!$A$2:$F$104,6,FALSE))</x:f>
        <x:v>0.9865535119056937</x:v>
      </x:c>
      <x:c r="L422" s="37" t="n">
        <x:f>VLOOKUP(IF(B422="Pensioner",C422,Assumptions!$B$10),Mortality!$A$2:$E$104,5,FALSE)</x:f>
        <x:v>17.296790022132885</x:v>
      </x:c>
      <x:c r="M422" s="37" t="n">
        <x:f>1+Assumptions!$B$13*Assumptions!$B$14*Assumptions!$B$15</x:f>
        <x:v>1.31875</x:v>
      </x:c>
      <x:c r="N422" s="37" t="n">
        <x:f>IF(B422="Pensioner",1,1/(1+Assumptions!$B$6)^G422)</x:f>
        <x:v>0.6853341187990187</x:v>
      </x:c>
      <x:c r="O422" s="50" t="n">
        <x:f>J422*K422*L422*M422*N422</x:f>
        <x:v>18479300.18595552</x:v>
      </x:c>
    </x:row>
    <x:row r="423">
      <x:c r="A423" s="42" t="str">
        <x:f>Members!A423</x:f>
        <x:v>A0057</x:v>
      </x:c>
      <x:c r="B423" s="42" t="str">
        <x:f>Members!B423</x:f>
        <x:v>Active</x:v>
      </x:c>
      <x:c r="C423" s="42" t="n">
        <x:f>Members!C423</x:f>
        <x:v>50</x:v>
      </x:c>
      <x:c r="D423" s="44" t="n">
        <x:f>Members!D423</x:f>
        <x:v>1</x:v>
      </x:c>
      <x:c r="E423" s="48" t="n">
        <x:f>Members!E423</x:f>
        <x:v>1533000</x:v>
      </x:c>
      <x:c r="F423" s="48" t="n">
        <x:f>Members!F423</x:f>
        <x:v>0</x:v>
      </x:c>
      <x:c r="G423" s="46" t="n">
        <x:f>MAX(0,Assumptions!$B$10-C423)</x:f>
        <x:v>10</x:v>
      </x:c>
      <x:c r="H423" s="50" t="n">
        <x:f>IF(B423="Active",E423*(1+Assumptions!$B$7)^G423,E423)</x:f>
        <x:v>2618585.454656058</x:v>
      </x:c>
      <x:c r="I423" s="50" t="n">
        <x:f>IF(B423="Active",MIN(Assumptions!$B$12,D423+G423),IF(B423="Deferred",MIN(Assumptions!$B$12,D423),D423))</x:f>
        <x:v>11</x:v>
      </x:c>
      <x:c r="J423" s="50" t="n">
        <x:f>IF(B423="Active",H423*I423*Assumptions!$B$11,IF(B423="Deferred",E423*I423*Assumptions!$B$11*(1+Assumptions!$B$9)^G423,F423))</x:f>
        <x:v>480074.0000202773</x:v>
      </x:c>
      <x:c r="K423" s="37" t="n">
        <x:f>IF(B423="Pensioner",1,VLOOKUP(Assumptions!$B$10,Mortality!$A$2:$F$104,6,FALSE)/VLOOKUP(C423,Mortality!$A$2:$F$104,6,FALSE))</x:f>
        <x:v>0.9812729933582415</x:v>
      </x:c>
      <x:c r="L423" s="37" t="n">
        <x:f>VLOOKUP(IF(B423="Pensioner",C423,Assumptions!$B$10),Mortality!$A$2:$E$104,5,FALSE)</x:f>
        <x:v>17.296790022132885</x:v>
      </x:c>
      <x:c r="M423" s="37" t="n">
        <x:f>1+Assumptions!$B$13*Assumptions!$B$14*Assumptions!$B$15</x:f>
        <x:v>1.31875</x:v>
      </x:c>
      <x:c r="N423" s="37" t="n">
        <x:f>IF(B423="Pensioner",1,1/(1+Assumptions!$B$6)^G423)</x:f>
        <x:v>0.5327260355205289</x:v>
      </x:c>
      <x:c r="O423" s="50" t="n">
        <x:f>J423*K423*L423*M423*N423</x:f>
        <x:v>5724399.570187684</x:v>
      </x:c>
    </x:row>
    <x:row r="424">
      <x:c r="A424" s="42" t="str">
        <x:f>Members!A424</x:f>
        <x:v>P0070</x:v>
      </x:c>
      <x:c r="B424" s="42" t="str">
        <x:f>Members!B424</x:f>
        <x:v>Pensioner</x:v>
      </x:c>
      <x:c r="C424" s="42" t="n">
        <x:f>Members!C424</x:f>
        <x:v>79</x:v>
      </x:c>
      <x:c r="D424" s="44" t="n">
        <x:f>Members!D424</x:f>
        <x:v>12.4</x:v>
      </x:c>
      <x:c r="E424" s="48" t="n">
        <x:f>Members!E424</x:f>
        <x:v>0</x:v>
      </x:c>
      <x:c r="F424" s="48" t="n">
        <x:f>Members!F424</x:f>
        <x:v>636000</x:v>
      </x:c>
      <x:c r="G424" s="46" t="n">
        <x:f>MAX(0,Assumptions!$B$10-C424)</x:f>
        <x:v>0</x:v>
      </x:c>
      <x:c r="H424" s="50" t="n">
        <x:f>IF(B424="Active",E424*(1+Assumptions!$B$7)^G424,E424)</x:f>
        <x:v>0</x:v>
      </x:c>
      <x:c r="I424" s="50" t="n">
        <x:f>IF(B424="Active",MIN(Assumptions!$B$12,D424+G424),IF(B424="Deferred",MIN(Assumptions!$B$12,D424),D424))</x:f>
        <x:v>12.4</x:v>
      </x:c>
      <x:c r="J424" s="50" t="n">
        <x:f>IF(B424="Active",H424*I424*Assumptions!$B$11,IF(B424="Deferred",E424*I424*Assumptions!$B$11*(1+Assumptions!$B$9)^G424,F424))</x:f>
        <x:v>636000</x:v>
      </x:c>
      <x:c r="K424" s="37" t="n">
        <x:f>IF(B424="Pensioner",1,VLOOKUP(Assumptions!$B$10,Mortality!$A$2:$F$104,6,FALSE)/VLOOKUP(C424,Mortality!$A$2:$F$104,6,FALSE))</x:f>
        <x:v>1</x:v>
      </x:c>
      <x:c r="L424" s="37" t="n">
        <x:f>VLOOKUP(IF(B424="Pensioner",C424,Assumptions!$B$10),Mortality!$A$2:$E$104,5,FALSE)</x:f>
        <x:v>8.83093256291476</x:v>
      </x:c>
      <x:c r="M424" s="37" t="n">
        <x:f>1+Assumptions!$B$13*Assumptions!$B$14*Assumptions!$B$15</x:f>
        <x:v>1.31875</x:v>
      </x:c>
      <x:c r="N424" s="37" t="n">
        <x:f>IF(B424="Pensioner",1,1/(1+Assumptions!$B$6)^G424)</x:f>
        <x:v>1</x:v>
      </x:c>
      <x:c r="O424" s="50" t="n">
        <x:f>J424*K424*L424*M424*N424</x:f>
        <x:v>7406723.913830683</x:v>
      </x:c>
    </x:row>
    <x:row r="425">
      <x:c r="A425" s="42" t="str">
        <x:f>Members!A425</x:f>
        <x:v>P0015</x:v>
      </x:c>
      <x:c r="B425" s="42" t="str">
        <x:f>Members!B425</x:f>
        <x:v>Pensioner</x:v>
      </x:c>
      <x:c r="C425" s="42" t="n">
        <x:f>Members!C425</x:f>
        <x:v>82</x:v>
      </x:c>
      <x:c r="D425" s="44" t="n">
        <x:f>Members!D425</x:f>
        <x:v>36.2</x:v>
      </x:c>
      <x:c r="E425" s="48" t="n">
        <x:f>Members!E425</x:f>
        <x:v>0</x:v>
      </x:c>
      <x:c r="F425" s="48" t="n">
        <x:f>Members!F425</x:f>
        <x:v>528000</x:v>
      </x:c>
      <x:c r="G425" s="46" t="n">
        <x:f>MAX(0,Assumptions!$B$10-C425)</x:f>
        <x:v>0</x:v>
      </x:c>
      <x:c r="H425" s="50" t="n">
        <x:f>IF(B425="Active",E425*(1+Assumptions!$B$7)^G425,E425)</x:f>
        <x:v>0</x:v>
      </x:c>
      <x:c r="I425" s="50" t="n">
        <x:f>IF(B425="Active",MIN(Assumptions!$B$12,D425+G425),IF(B425="Deferred",MIN(Assumptions!$B$12,D425),D425))</x:f>
        <x:v>36.2</x:v>
      </x:c>
      <x:c r="J425" s="50" t="n">
        <x:f>IF(B425="Active",H425*I425*Assumptions!$B$11,IF(B425="Deferred",E425*I425*Assumptions!$B$11*(1+Assumptions!$B$9)^G425,F425))</x:f>
        <x:v>528000</x:v>
      </x:c>
      <x:c r="K425" s="37" t="n">
        <x:f>IF(B425="Pensioner",1,VLOOKUP(Assumptions!$B$10,Mortality!$A$2:$F$104,6,FALSE)/VLOOKUP(C425,Mortality!$A$2:$F$104,6,FALSE))</x:f>
        <x:v>1</x:v>
      </x:c>
      <x:c r="L425" s="37" t="n">
        <x:f>VLOOKUP(IF(B425="Pensioner",C425,Assumptions!$B$10),Mortality!$A$2:$E$104,5,FALSE)</x:f>
        <x:v>7.498462430808598</x:v>
      </x:c>
      <x:c r="M425" s="37" t="n">
        <x:f>1+Assumptions!$B$13*Assumptions!$B$14*Assumptions!$B$15</x:f>
        <x:v>1.31875</x:v>
      </x:c>
      <x:c r="N425" s="37" t="n">
        <x:f>IF(B425="Pensioner",1,1/(1+Assumptions!$B$6)^G425)</x:f>
        <x:v>1</x:v>
      </x:c>
      <x:c r="O425" s="50" t="n">
        <x:f>J425*K425*L425*M425*N425</x:f>
        <x:v>5221179.390572027</x:v>
      </x:c>
    </x:row>
    <x:row r="426">
      <x:c r="A426" s="42" t="str">
        <x:f>Members!A426</x:f>
        <x:v>A0127</x:v>
      </x:c>
      <x:c r="B426" s="42" t="str">
        <x:f>Members!B426</x:f>
        <x:v>Active</x:v>
      </x:c>
      <x:c r="C426" s="42" t="n">
        <x:f>Members!C426</x:f>
        <x:v>23</x:v>
      </x:c>
      <x:c r="D426" s="44" t="n">
        <x:f>Members!D426</x:f>
        <x:v>2.8</x:v>
      </x:c>
      <x:c r="E426" s="48" t="n">
        <x:f>Members!E426</x:f>
        <x:v>480000</x:v>
      </x:c>
      <x:c r="F426" s="48" t="n">
        <x:f>Members!F426</x:f>
        <x:v>0</x:v>
      </x:c>
      <x:c r="G426" s="46" t="n">
        <x:f>MAX(0,Assumptions!$B$10-C426)</x:f>
        <x:v>37</x:v>
      </x:c>
      <x:c r="H426" s="50" t="n">
        <x:f>IF(B426="Active",E426*(1+Assumptions!$B$7)^G426,E426)</x:f>
        <x:v>3480024.038080425</x:v>
      </x:c>
      <x:c r="I426" s="50" t="n">
        <x:f>IF(B426="Active",MIN(Assumptions!$B$12,D426+G426),IF(B426="Deferred",MIN(Assumptions!$B$12,D426),D426))</x:f>
        <x:v>39.8</x:v>
      </x:c>
      <x:c r="J426" s="50" t="n">
        <x:f>IF(B426="Active",H426*I426*Assumptions!$B$11,IF(B426="Deferred",E426*I426*Assumptions!$B$11*(1+Assumptions!$B$9)^G426,F426))</x:f>
        <x:v>2308415.9452600153</x:v>
      </x:c>
      <x:c r="K426" s="37" t="n">
        <x:f>IF(B426="Pensioner",1,VLOOKUP(Assumptions!$B$10,Mortality!$A$2:$F$104,6,FALSE)/VLOOKUP(C426,Mortality!$A$2:$F$104,6,FALSE))</x:f>
        <x:v>0.9684592752197081</x:v>
      </x:c>
      <x:c r="L426" s="37" t="n">
        <x:f>VLOOKUP(IF(B426="Pensioner",C426,Assumptions!$B$10),Mortality!$A$2:$E$104,5,FALSE)</x:f>
        <x:v>17.296790022132885</x:v>
      </x:c>
      <x:c r="M426" s="37" t="n">
        <x:f>1+Assumptions!$B$13*Assumptions!$B$14*Assumptions!$B$15</x:f>
        <x:v>1.31875</x:v>
      </x:c>
      <x:c r="N426" s="37" t="n">
        <x:f>IF(B426="Pensioner",1,1/(1+Assumptions!$B$6)^G426)</x:f>
        <x:v>0.09728917313808341</x:v>
      </x:c>
      <x:c r="O426" s="50" t="n">
        <x:f>J426*K426*L426*M426*N426</x:f>
        <x:v>4961213.612150077</x:v>
      </x:c>
    </x:row>
    <x:row r="427">
      <x:c r="A427" s="42" t="str">
        <x:f>Members!A427</x:f>
        <x:v>A0054</x:v>
      </x:c>
      <x:c r="B427" s="42" t="str">
        <x:f>Members!B427</x:f>
        <x:v>Active</x:v>
      </x:c>
      <x:c r="C427" s="42" t="n">
        <x:f>Members!C427</x:f>
        <x:v>46</x:v>
      </x:c>
      <x:c r="D427" s="44" t="n">
        <x:f>Members!D427</x:f>
        <x:v>14.7</x:v>
      </x:c>
      <x:c r="E427" s="48" t="n">
        <x:f>Members!E427</x:f>
        <x:v>1382000</x:v>
      </x:c>
      <x:c r="F427" s="48" t="n">
        <x:f>Members!F427</x:f>
        <x:v>0</x:v>
      </x:c>
      <x:c r="G427" s="46" t="n">
        <x:f>MAX(0,Assumptions!$B$10-C427)</x:f>
        <x:v>14</x:v>
      </x:c>
      <x:c r="H427" s="50" t="n">
        <x:f>IF(B427="Active",E427*(1+Assumptions!$B$7)^G427,E427)</x:f>
        <x:v>2924438.4002586226</x:v>
      </x:c>
      <x:c r="I427" s="50" t="n">
        <x:f>IF(B427="Active",MIN(Assumptions!$B$12,D427+G427),IF(B427="Deferred",MIN(Assumptions!$B$12,D427),D427))</x:f>
        <x:v>28.7</x:v>
      </x:c>
      <x:c r="J427" s="50" t="n">
        <x:f>IF(B427="Active",H427*I427*Assumptions!$B$11,IF(B427="Deferred",E427*I427*Assumptions!$B$11*(1+Assumptions!$B$9)^G427,F427))</x:f>
        <x:v>1398856.3681237076</x:v>
      </x:c>
      <x:c r="K427" s="37" t="n">
        <x:f>IF(B427="Pensioner",1,VLOOKUP(Assumptions!$B$10,Mortality!$A$2:$F$104,6,FALSE)/VLOOKUP(C427,Mortality!$A$2:$F$104,6,FALSE))</x:f>
        <x:v>0.9776582328304806</x:v>
      </x:c>
      <x:c r="L427" s="37" t="n">
        <x:f>VLOOKUP(IF(B427="Pensioner",C427,Assumptions!$B$10),Mortality!$A$2:$E$104,5,FALSE)</x:f>
        <x:v>17.296790022132885</x:v>
      </x:c>
      <x:c r="M427" s="37" t="n">
        <x:f>1+Assumptions!$B$13*Assumptions!$B$14*Assumptions!$B$15</x:f>
        <x:v>1.31875</x:v>
      </x:c>
      <x:c r="N427" s="37" t="n">
        <x:f>IF(B427="Pensioner",1,1/(1+Assumptions!$B$6)^G427)</x:f>
        <x:v>0.41410024853095956</x:v>
      </x:c>
      <x:c r="O427" s="50" t="n">
        <x:f>J427*K427*L427*M427*N427</x:f>
        <x:v>12917951.899701245</x:v>
      </x:c>
    </x:row>
    <x:row r="428">
      <x:c r="A428" s="42" t="str">
        <x:f>Members!A428</x:f>
        <x:v>P0010</x:v>
      </x:c>
      <x:c r="B428" s="42" t="str">
        <x:f>Members!B428</x:f>
        <x:v>Pensioner</x:v>
      </x:c>
      <x:c r="C428" s="42" t="n">
        <x:f>Members!C428</x:f>
        <x:v>80</x:v>
      </x:c>
      <x:c r="D428" s="44" t="n">
        <x:f>Members!D428</x:f>
        <x:v>25.3</x:v>
      </x:c>
      <x:c r="E428" s="48" t="n">
        <x:f>Members!E428</x:f>
        <x:v>0</x:v>
      </x:c>
      <x:c r="F428" s="48" t="n">
        <x:f>Members!F428</x:f>
        <x:v>467000</x:v>
      </x:c>
      <x:c r="G428" s="46" t="n">
        <x:f>MAX(0,Assumptions!$B$10-C428)</x:f>
        <x:v>0</x:v>
      </x:c>
      <x:c r="H428" s="50" t="n">
        <x:f>IF(B428="Active",E428*(1+Assumptions!$B$7)^G428,E428)</x:f>
        <x:v>0</x:v>
      </x:c>
      <x:c r="I428" s="50" t="n">
        <x:f>IF(B428="Active",MIN(Assumptions!$B$12,D428+G428),IF(B428="Deferred",MIN(Assumptions!$B$12,D428),D428))</x:f>
        <x:v>25.3</x:v>
      </x:c>
      <x:c r="J428" s="50" t="n">
        <x:f>IF(B428="Active",H428*I428*Assumptions!$B$11,IF(B428="Deferred",E428*I428*Assumptions!$B$11*(1+Assumptions!$B$9)^G428,F428))</x:f>
        <x:v>467000</x:v>
      </x:c>
      <x:c r="K428" s="37" t="n">
        <x:f>IF(B428="Pensioner",1,VLOOKUP(Assumptions!$B$10,Mortality!$A$2:$F$104,6,FALSE)/VLOOKUP(C428,Mortality!$A$2:$F$104,6,FALSE))</x:f>
        <x:v>1</x:v>
      </x:c>
      <x:c r="L428" s="37" t="n">
        <x:f>VLOOKUP(IF(B428="Pensioner",C428,Assumptions!$B$10),Mortality!$A$2:$E$104,5,FALSE)</x:f>
        <x:v>8.381357362562298</x:v>
      </x:c>
      <x:c r="M428" s="37" t="n">
        <x:f>1+Assumptions!$B$13*Assumptions!$B$14*Assumptions!$B$15</x:f>
        <x:v>1.31875</x:v>
      </x:c>
      <x:c r="N428" s="37" t="n">
        <x:f>IF(B428="Pensioner",1,1/(1+Assumptions!$B$6)^G428)</x:f>
        <x:v>1</x:v>
      </x:c>
      <x:c r="O428" s="50" t="n">
        <x:f>J428*K428*L428*M428*N428</x:f>
        <x:v>5161711.315217508</x:v>
      </x:c>
    </x:row>
    <x:row r="429">
      <x:c r="A429" s="42" t="str">
        <x:f>Members!A429</x:f>
        <x:v>A0049</x:v>
      </x:c>
      <x:c r="B429" s="42" t="str">
        <x:f>Members!B429</x:f>
        <x:v>Active</x:v>
      </x:c>
      <x:c r="C429" s="42" t="n">
        <x:f>Members!C429</x:f>
        <x:v>47</x:v>
      </x:c>
      <x:c r="D429" s="44" t="n">
        <x:f>Members!D429</x:f>
        <x:v>16.9</x:v>
      </x:c>
      <x:c r="E429" s="48" t="n">
        <x:f>Members!E429</x:f>
        <x:v>1185000</x:v>
      </x:c>
      <x:c r="F429" s="48" t="n">
        <x:f>Members!F429</x:f>
        <x:v>0</x:v>
      </x:c>
      <x:c r="G429" s="46" t="n">
        <x:f>MAX(0,Assumptions!$B$10-C429)</x:f>
        <x:v>13</x:v>
      </x:c>
      <x:c r="H429" s="50" t="n">
        <x:f>IF(B429="Active",E429*(1+Assumptions!$B$7)^G429,E429)</x:f>
        <x:v>2376842.068508767</x:v>
      </x:c>
      <x:c r="I429" s="50" t="n">
        <x:f>IF(B429="Active",MIN(Assumptions!$B$12,D429+G429),IF(B429="Deferred",MIN(Assumptions!$B$12,D429),D429))</x:f>
        <x:v>29.9</x:v>
      </x:c>
      <x:c r="J429" s="50" t="n">
        <x:f>IF(B429="Active",H429*I429*Assumptions!$B$11,IF(B429="Deferred",E429*I429*Assumptions!$B$11*(1+Assumptions!$B$9)^G429,F429))</x:f>
        <x:v>1184459.6308068687</x:v>
      </x:c>
      <x:c r="K429" s="37" t="n">
        <x:f>IF(B429="Pensioner",1,VLOOKUP(Assumptions!$B$10,Mortality!$A$2:$F$104,6,FALSE)/VLOOKUP(C429,Mortality!$A$2:$F$104,6,FALSE))</x:f>
        <x:v>0.9784451675747989</x:v>
      </x:c>
      <x:c r="L429" s="37" t="n">
        <x:f>VLOOKUP(IF(B429="Pensioner",C429,Assumptions!$B$10),Mortality!$A$2:$E$104,5,FALSE)</x:f>
        <x:v>17.296790022132885</x:v>
      </x:c>
      <x:c r="M429" s="37" t="n">
        <x:f>1+Assumptions!$B$13*Assumptions!$B$14*Assumptions!$B$15</x:f>
        <x:v>1.31875</x:v>
      </x:c>
      <x:c r="N429" s="37" t="n">
        <x:f>IF(B429="Pensioner",1,1/(1+Assumptions!$B$6)^G429)</x:f>
        <x:v>0.4410167646854719</x:v>
      </x:c>
      <x:c r="O429" s="50" t="n">
        <x:f>J429*K429*L429*M429*N429</x:f>
        <x:v>11658423.86739438</x:v>
      </x:c>
    </x:row>
    <x:row r="430">
      <x:c r="A430" s="42" t="str">
        <x:f>Members!A430</x:f>
        <x:v>A0324</x:v>
      </x:c>
      <x:c r="B430" s="42" t="str">
        <x:f>Members!B430</x:f>
        <x:v>Active</x:v>
      </x:c>
      <x:c r="C430" s="42" t="n">
        <x:f>Members!C430</x:f>
        <x:v>59</x:v>
      </x:c>
      <x:c r="D430" s="44" t="n">
        <x:f>Members!D430</x:f>
        <x:v>1.9</x:v>
      </x:c>
      <x:c r="E430" s="48" t="n">
        <x:f>Members!E430</x:f>
        <x:v>1544000</x:v>
      </x:c>
      <x:c r="F430" s="48" t="n">
        <x:f>Members!F430</x:f>
        <x:v>0</x:v>
      </x:c>
      <x:c r="G430" s="46" t="n">
        <x:f>MAX(0,Assumptions!$B$10-C430)</x:f>
        <x:v>1</x:v>
      </x:c>
      <x:c r="H430" s="50" t="n">
        <x:f>IF(B430="Active",E430*(1+Assumptions!$B$7)^G430,E430)</x:f>
        <x:v>1628920</x:v>
      </x:c>
      <x:c r="I430" s="50" t="n">
        <x:f>IF(B430="Active",MIN(Assumptions!$B$12,D430+G430),IF(B430="Deferred",MIN(Assumptions!$B$12,D430),D430))</x:f>
        <x:v>2.9</x:v>
      </x:c>
      <x:c r="J430" s="50" t="n">
        <x:f>IF(B430="Active",H430*I430*Assumptions!$B$11,IF(B430="Deferred",E430*I430*Assumptions!$B$11*(1+Assumptions!$B$9)^G430,F430))</x:f>
        <x:v>78731.13333333333</x:v>
      </x:c>
      <x:c r="K430" s="37" t="n">
        <x:f>IF(B430="Pensioner",1,VLOOKUP(Assumptions!$B$10,Mortality!$A$2:$F$104,6,FALSE)/VLOOKUP(C430,Mortality!$A$2:$F$104,6,FALSE))</x:f>
        <x:v>0.9971096011831975</x:v>
      </x:c>
      <x:c r="L430" s="37" t="n">
        <x:f>VLOOKUP(IF(B430="Pensioner",C430,Assumptions!$B$10),Mortality!$A$2:$E$104,5,FALSE)</x:f>
        <x:v>17.296790022132885</x:v>
      </x:c>
      <x:c r="M430" s="37" t="n">
        <x:f>1+Assumptions!$B$13*Assumptions!$B$14*Assumptions!$B$15</x:f>
        <x:v>1.31875</x:v>
      </x:c>
      <x:c r="N430" s="37" t="n">
        <x:f>IF(B430="Pensioner",1,1/(1+Assumptions!$B$6)^G430)</x:f>
        <x:v>0.9389671361502347</x:v>
      </x:c>
      <x:c r="O430" s="50" t="n">
        <x:f>J430*K430*L430*M430*N430</x:f>
        <x:v>1681387.3643443082</x:v>
      </x:c>
    </x:row>
    <x:row r="431">
      <x:c r="A431" s="42" t="str">
        <x:f>Members!A431</x:f>
        <x:v>A0572</x:v>
      </x:c>
      <x:c r="B431" s="42" t="str">
        <x:f>Members!B431</x:f>
        <x:v>Active</x:v>
      </x:c>
      <x:c r="C431" s="42" t="n">
        <x:f>Members!C431</x:f>
        <x:v>40</x:v>
      </x:c>
      <x:c r="D431" s="44" t="n">
        <x:f>Members!D431</x:f>
        <x:v>11.1</x:v>
      </x:c>
      <x:c r="E431" s="48" t="n">
        <x:f>Members!E431</x:f>
        <x:v>879000</x:v>
      </x:c>
      <x:c r="F431" s="48" t="n">
        <x:f>Members!F431</x:f>
        <x:v>0</x:v>
      </x:c>
      <x:c r="G431" s="46" t="n">
        <x:f>MAX(0,Assumptions!$B$10-C431)</x:f>
        <x:v>20</x:v>
      </x:c>
      <x:c r="H431" s="50" t="n">
        <x:f>IF(B431="Active",E431*(1+Assumptions!$B$7)^G431,E431)</x:f>
        <x:v>2564708.8342409944</x:v>
      </x:c>
      <x:c r="I431" s="50" t="n">
        <x:f>IF(B431="Active",MIN(Assumptions!$B$12,D431+G431),IF(B431="Deferred",MIN(Assumptions!$B$12,D431),D431))</x:f>
        <x:v>31.1</x:v>
      </x:c>
      <x:c r="J431" s="50" t="n">
        <x:f>IF(B431="Active",H431*I431*Assumptions!$B$11,IF(B431="Deferred",E431*I431*Assumptions!$B$11*(1+Assumptions!$B$9)^G431,F431))</x:f>
        <x:v>1329374.0790815824</x:v>
      </x:c>
      <x:c r="K431" s="37" t="n">
        <x:f>IF(B431="Pensioner",1,VLOOKUP(Assumptions!$B$10,Mortality!$A$2:$F$104,6,FALSE)/VLOOKUP(C431,Mortality!$A$2:$F$104,6,FALSE))</x:f>
        <x:v>0.9740511243198767</x:v>
      </x:c>
      <x:c r="L431" s="37" t="n">
        <x:f>VLOOKUP(IF(B431="Pensioner",C431,Assumptions!$B$10),Mortality!$A$2:$E$104,5,FALSE)</x:f>
        <x:v>17.296790022132885</x:v>
      </x:c>
      <x:c r="M431" s="37" t="n">
        <x:f>1+Assumptions!$B$13*Assumptions!$B$14*Assumptions!$B$15</x:f>
        <x:v>1.31875</x:v>
      </x:c>
      <x:c r="N431" s="37" t="n">
        <x:f>IF(B431="Pensioner",1,1/(1+Assumptions!$B$6)^G431)</x:f>
        <x:v>0.2837970289214199</x:v>
      </x:c>
      <x:c r="O431" s="50" t="n">
        <x:f>J431*K431*L431*M431*N431</x:f>
        <x:v>8382330.6637652675</x:v>
      </x:c>
    </x:row>
    <x:row r="432">
      <x:c r="A432" s="42" t="str">
        <x:f>Members!A432</x:f>
        <x:v>A0383</x:v>
      </x:c>
      <x:c r="B432" s="42" t="str">
        <x:f>Members!B432</x:f>
        <x:v>Active</x:v>
      </x:c>
      <x:c r="C432" s="42" t="n">
        <x:f>Members!C432</x:f>
        <x:v>38</x:v>
      </x:c>
      <x:c r="D432" s="44" t="n">
        <x:f>Members!D432</x:f>
        <x:v>3.6</x:v>
      </x:c>
      <x:c r="E432" s="48" t="n">
        <x:f>Members!E432</x:f>
        <x:v>696000</x:v>
      </x:c>
      <x:c r="F432" s="48" t="n">
        <x:f>Members!F432</x:f>
        <x:v>0</x:v>
      </x:c>
      <x:c r="G432" s="46" t="n">
        <x:f>MAX(0,Assumptions!$B$10-C432)</x:f>
        <x:v>22</x:v>
      </x:c>
      <x:c r="H432" s="50" t="n">
        <x:f>IF(B432="Active",E432*(1+Assumptions!$B$7)^G432,E432)</x:f>
        <x:v>2260285.773561813</x:v>
      </x:c>
      <x:c r="I432" s="50" t="n">
        <x:f>IF(B432="Active",MIN(Assumptions!$B$12,D432+G432),IF(B432="Deferred",MIN(Assumptions!$B$12,D432),D432))</x:f>
        <x:v>25.6</x:v>
      </x:c>
      <x:c r="J432" s="50" t="n">
        <x:f>IF(B432="Active",H432*I432*Assumptions!$B$11,IF(B432="Deferred",E432*I432*Assumptions!$B$11*(1+Assumptions!$B$9)^G432,F432))</x:f>
        <x:v>964388.5967197069</x:v>
      </x:c>
      <x:c r="K432" s="37" t="n">
        <x:f>IF(B432="Pensioner",1,VLOOKUP(Assumptions!$B$10,Mortality!$A$2:$F$104,6,FALSE)/VLOOKUP(C432,Mortality!$A$2:$F$104,6,FALSE))</x:f>
        <x:v>0.9731482688168002</x:v>
      </x:c>
      <x:c r="L432" s="37" t="n">
        <x:f>VLOOKUP(IF(B432="Pensioner",C432,Assumptions!$B$10),Mortality!$A$2:$E$104,5,FALSE)</x:f>
        <x:v>17.296790022132885</x:v>
      </x:c>
      <x:c r="M432" s="37" t="n">
        <x:f>1+Assumptions!$B$13*Assumptions!$B$14*Assumptions!$B$15</x:f>
        <x:v>1.31875</x:v>
      </x:c>
      <x:c r="N432" s="37" t="n">
        <x:f>IF(B432="Pensioner",1,1/(1+Assumptions!$B$6)^G432)</x:f>
        <x:v>0.25021228497116527</x:v>
      </x:c>
      <x:c r="O432" s="50" t="n">
        <x:f>J432*K432*L432*M432*N432</x:f>
        <x:v>5356334.562737665</x:v>
      </x:c>
    </x:row>
    <x:row r="433">
      <x:c r="A433" s="42" t="str">
        <x:f>Members!A433</x:f>
        <x:v>A0161</x:v>
      </x:c>
      <x:c r="B433" s="42" t="str">
        <x:f>Members!B433</x:f>
        <x:v>Active</x:v>
      </x:c>
      <x:c r="C433" s="42" t="n">
        <x:f>Members!C433</x:f>
        <x:v>26</x:v>
      </x:c>
      <x:c r="D433" s="44" t="n">
        <x:f>Members!D433</x:f>
        <x:v>3.5</x:v>
      </x:c>
      <x:c r="E433" s="48" t="n">
        <x:f>Members!E433</x:f>
        <x:v>475000</x:v>
      </x:c>
      <x:c r="F433" s="48" t="n">
        <x:f>Members!F433</x:f>
        <x:v>0</x:v>
      </x:c>
      <x:c r="G433" s="46" t="n">
        <x:f>MAX(0,Assumptions!$B$10-C433)</x:f>
        <x:v>34</x:v>
      </x:c>
      <x:c r="H433" s="50" t="n">
        <x:f>IF(B433="Active",E433*(1+Assumptions!$B$7)^G433,E433)</x:f>
        <x:v>2932764.8139495635</x:v>
      </x:c>
      <x:c r="I433" s="50" t="n">
        <x:f>IF(B433="Active",MIN(Assumptions!$B$12,D433+G433),IF(B433="Deferred",MIN(Assumptions!$B$12,D433),D433))</x:f>
        <x:v>37.5</x:v>
      </x:c>
      <x:c r="J433" s="50" t="n">
        <x:f>IF(B433="Active",H433*I433*Assumptions!$B$11,IF(B433="Deferred",E433*I433*Assumptions!$B$11*(1+Assumptions!$B$9)^G433,F433))</x:f>
        <x:v>1832978.008718477</x:v>
      </x:c>
      <x:c r="K433" s="37" t="n">
        <x:f>IF(B433="Pensioner",1,VLOOKUP(Assumptions!$B$10,Mortality!$A$2:$F$104,6,FALSE)/VLOOKUP(C433,Mortality!$A$2:$F$104,6,FALSE))</x:f>
        <x:v>0.9692291629189255</x:v>
      </x:c>
      <x:c r="L433" s="37" t="n">
        <x:f>VLOOKUP(IF(B433="Pensioner",C433,Assumptions!$B$10),Mortality!$A$2:$E$104,5,FALSE)</x:f>
        <x:v>17.296790022132885</x:v>
      </x:c>
      <x:c r="M433" s="37" t="n">
        <x:f>1+Assumptions!$B$13*Assumptions!$B$14*Assumptions!$B$15</x:f>
        <x:v>1.31875</x:v>
      </x:c>
      <x:c r="N433" s="37" t="n">
        <x:f>IF(B433="Pensioner",1,1/(1+Assumptions!$B$6)^G433)</x:f>
        <x:v>0.11752042020870793</x:v>
      </x:c>
      <x:c r="O433" s="50" t="n">
        <x:f>J433*K433*L433*M433*N433</x:f>
        <x:v>4762391.003265484</x:v>
      </x:c>
    </x:row>
    <x:row r="434">
      <x:c r="A434" s="42" t="str">
        <x:f>Members!A434</x:f>
        <x:v>D0076</x:v>
      </x:c>
      <x:c r="B434" s="42" t="str">
        <x:f>Members!B434</x:f>
        <x:v>Deferred</x:v>
      </x:c>
      <x:c r="C434" s="42" t="n">
        <x:f>Members!C434</x:f>
        <x:v>52</x:v>
      </x:c>
      <x:c r="D434" s="44" t="n">
        <x:f>Members!D434</x:f>
        <x:v>10.9</x:v>
      </x:c>
      <x:c r="E434" s="48" t="n">
        <x:f>Members!E434</x:f>
        <x:v>721000</x:v>
      </x:c>
      <x:c r="F434" s="48" t="n">
        <x:f>Members!F434</x:f>
        <x:v>0</x:v>
      </x:c>
      <x:c r="G434" s="46" t="n">
        <x:f>MAX(0,Assumptions!$B$10-C434)</x:f>
        <x:v>8</x:v>
      </x:c>
      <x:c r="H434" s="50" t="n">
        <x:f>IF(B434="Active",E434*(1+Assumptions!$B$7)^G434,E434)</x:f>
        <x:v>721000</x:v>
      </x:c>
      <x:c r="I434" s="50" t="n">
        <x:f>IF(B434="Active",MIN(Assumptions!$B$12,D434+G434),IF(B434="Deferred",MIN(Assumptions!$B$12,D434),D434))</x:f>
        <x:v>10.9</x:v>
      </x:c>
      <x:c r="J434" s="50" t="n">
        <x:f>IF(B434="Active",H434*I434*Assumptions!$B$11,IF(B434="Deferred",E434*I434*Assumptions!$B$11*(1+Assumptions!$B$9)^G434,F434))</x:f>
        <x:v>179257.45517050015</x:v>
      </x:c>
      <x:c r="K434" s="37" t="n">
        <x:f>IF(B434="Pensioner",1,VLOOKUP(Assumptions!$B$10,Mortality!$A$2:$F$104,6,FALSE)/VLOOKUP(C434,Mortality!$A$2:$F$104,6,FALSE))</x:f>
        <x:v>0.9836527516879843</x:v>
      </x:c>
      <x:c r="L434" s="37" t="n">
        <x:f>VLOOKUP(IF(B434="Pensioner",C434,Assumptions!$B$10),Mortality!$A$2:$E$104,5,FALSE)</x:f>
        <x:v>17.296790022132885</x:v>
      </x:c>
      <x:c r="M434" s="37" t="n">
        <x:f>1+Assumptions!$B$13*Assumptions!$B$14*Assumptions!$B$15</x:f>
        <x:v>1.31875</x:v>
      </x:c>
      <x:c r="N434" s="37" t="n">
        <x:f>IF(B434="Pensioner",1,1/(1+Assumptions!$B$6)^G434)</x:f>
        <x:v>0.6042311876382719</x:v>
      </x:c>
      <x:c r="O434" s="50" t="n">
        <x:f>J434*K434*L434*M434*N434</x:f>
        <x:v>2430245.577848907</x:v>
      </x:c>
    </x:row>
    <x:row r="435">
      <x:c r="A435" s="42" t="str">
        <x:f>Members!A435</x:f>
        <x:v>P0237</x:v>
      </x:c>
      <x:c r="B435" s="42" t="str">
        <x:f>Members!B435</x:f>
        <x:v>Pensioner</x:v>
      </x:c>
      <x:c r="C435" s="42" t="n">
        <x:f>Members!C435</x:f>
        <x:v>67</x:v>
      </x:c>
      <x:c r="D435" s="44" t="n">
        <x:f>Members!D435</x:f>
        <x:v>26.3</x:v>
      </x:c>
      <x:c r="E435" s="48" t="n">
        <x:f>Members!E435</x:f>
        <x:v>0</x:v>
      </x:c>
      <x:c r="F435" s="48" t="n">
        <x:f>Members!F435</x:f>
        <x:v>271000</x:v>
      </x:c>
      <x:c r="G435" s="46" t="n">
        <x:f>MAX(0,Assumptions!$B$10-C435)</x:f>
        <x:v>0</x:v>
      </x:c>
      <x:c r="H435" s="50" t="n">
        <x:f>IF(B435="Active",E435*(1+Assumptions!$B$7)^G435,E435)</x:f>
        <x:v>0</x:v>
      </x:c>
      <x:c r="I435" s="50" t="n">
        <x:f>IF(B435="Active",MIN(Assumptions!$B$12,D435+G435),IF(B435="Deferred",MIN(Assumptions!$B$12,D435),D435))</x:f>
        <x:v>26.3</x:v>
      </x:c>
      <x:c r="J435" s="50" t="n">
        <x:f>IF(B435="Active",H435*I435*Assumptions!$B$11,IF(B435="Deferred",E435*I435*Assumptions!$B$11*(1+Assumptions!$B$9)^G435,F435))</x:f>
        <x:v>271000</x:v>
      </x:c>
      <x:c r="K435" s="37" t="n">
        <x:f>IF(B435="Pensioner",1,VLOOKUP(Assumptions!$B$10,Mortality!$A$2:$F$104,6,FALSE)/VLOOKUP(C435,Mortality!$A$2:$F$104,6,FALSE))</x:f>
        <x:v>1</x:v>
      </x:c>
      <x:c r="L435" s="37" t="n">
        <x:f>VLOOKUP(IF(B435="Pensioner",C435,Assumptions!$B$10),Mortality!$A$2:$E$104,5,FALSE)</x:f>
        <x:v>14.316480461373482</x:v>
      </x:c>
      <x:c r="M435" s="37" t="n">
        <x:f>1+Assumptions!$B$13*Assumptions!$B$14*Assumptions!$B$15</x:f>
        <x:v>1.31875</x:v>
      </x:c>
      <x:c r="N435" s="37" t="n">
        <x:f>IF(B435="Pensioner",1,1/(1+Assumptions!$B$6)^G435)</x:f>
        <x:v>1</x:v>
      </x:c>
      <x:c r="O435" s="50" t="n">
        <x:f>J435*K435*L435*M435*N435</x:f>
        <x:v>5116441.682886232</x:v>
      </x:c>
    </x:row>
    <x:row r="436">
      <x:c r="A436" s="42" t="str">
        <x:f>Members!A436</x:f>
        <x:v>P0188</x:v>
      </x:c>
      <x:c r="B436" s="42" t="str">
        <x:f>Members!B436</x:f>
        <x:v>Pensioner</x:v>
      </x:c>
      <x:c r="C436" s="42" t="n">
        <x:f>Members!C436</x:f>
        <x:v>83</x:v>
      </x:c>
      <x:c r="D436" s="44" t="n">
        <x:f>Members!D436</x:f>
        <x:v>26.3</x:v>
      </x:c>
      <x:c r="E436" s="48" t="n">
        <x:f>Members!E436</x:f>
        <x:v>0</x:v>
      </x:c>
      <x:c r="F436" s="48" t="n">
        <x:f>Members!F436</x:f>
        <x:v>767000</x:v>
      </x:c>
      <x:c r="G436" s="46" t="n">
        <x:f>MAX(0,Assumptions!$B$10-C436)</x:f>
        <x:v>0</x:v>
      </x:c>
      <x:c r="H436" s="50" t="n">
        <x:f>IF(B436="Active",E436*(1+Assumptions!$B$7)^G436,E436)</x:f>
        <x:v>0</x:v>
      </x:c>
      <x:c r="I436" s="50" t="n">
        <x:f>IF(B436="Active",MIN(Assumptions!$B$12,D436+G436),IF(B436="Deferred",MIN(Assumptions!$B$12,D436),D436))</x:f>
        <x:v>26.3</x:v>
      </x:c>
      <x:c r="J436" s="50" t="n">
        <x:f>IF(B436="Active",H436*I436*Assumptions!$B$11,IF(B436="Deferred",E436*I436*Assumptions!$B$11*(1+Assumptions!$B$9)^G436,F436))</x:f>
        <x:v>767000</x:v>
      </x:c>
      <x:c r="K436" s="37" t="n">
        <x:f>IF(B436="Pensioner",1,VLOOKUP(Assumptions!$B$10,Mortality!$A$2:$F$104,6,FALSE)/VLOOKUP(C436,Mortality!$A$2:$F$104,6,FALSE))</x:f>
        <x:v>1</x:v>
      </x:c>
      <x:c r="L436" s="37" t="n">
        <x:f>VLOOKUP(IF(B436="Pensioner",C436,Assumptions!$B$10),Mortality!$A$2:$E$104,5,FALSE)</x:f>
        <x:v>7.066956273830788</x:v>
      </x:c>
      <x:c r="M436" s="37" t="n">
        <x:f>1+Assumptions!$B$13*Assumptions!$B$14*Assumptions!$B$15</x:f>
        <x:v>1.31875</x:v>
      </x:c>
      <x:c r="N436" s="37" t="n">
        <x:f>IF(B436="Pensioner",1,1/(1+Assumptions!$B$6)^G436)</x:f>
        <x:v>1</x:v>
      </x:c>
      <x:c r="O436" s="50" t="n">
        <x:f>J436*K436*L436*M436*N436</x:f>
        <x:v>7148093.765549707</x:v>
      </x:c>
    </x:row>
    <x:row r="437">
      <x:c r="A437" s="42" t="str">
        <x:f>Members!A437</x:f>
        <x:v>A0562</x:v>
      </x:c>
      <x:c r="B437" s="42" t="str">
        <x:f>Members!B437</x:f>
        <x:v>Active</x:v>
      </x:c>
      <x:c r="C437" s="42" t="n">
        <x:f>Members!C437</x:f>
        <x:v>24</x:v>
      </x:c>
      <x:c r="D437" s="44" t="n">
        <x:f>Members!D437</x:f>
        <x:v>1.5</x:v>
      </x:c>
      <x:c r="E437" s="48" t="n">
        <x:f>Members!E437</x:f>
        <x:v>343000</x:v>
      </x:c>
      <x:c r="F437" s="48" t="n">
        <x:f>Members!F437</x:f>
        <x:v>0</x:v>
      </x:c>
      <x:c r="G437" s="46" t="n">
        <x:f>MAX(0,Assumptions!$B$10-C437)</x:f>
        <x:v>36</x:v>
      </x:c>
      <x:c r="H437" s="50" t="n">
        <x:f>IF(B437="Active",E437*(1+Assumptions!$B$7)^G437,E437)</x:f>
        <x:v>2357125.286456528</x:v>
      </x:c>
      <x:c r="I437" s="50" t="n">
        <x:f>IF(B437="Active",MIN(Assumptions!$B$12,D437+G437),IF(B437="Deferred",MIN(Assumptions!$B$12,D437),D437))</x:f>
        <x:v>37.5</x:v>
      </x:c>
      <x:c r="J437" s="50" t="n">
        <x:f>IF(B437="Active",H437*I437*Assumptions!$B$11,IF(B437="Deferred",E437*I437*Assumptions!$B$11*(1+Assumptions!$B$9)^G437,F437))</x:f>
        <x:v>1473203.30403533</x:v>
      </x:c>
      <x:c r="K437" s="37" t="n">
        <x:f>IF(B437="Pensioner",1,VLOOKUP(Assumptions!$B$10,Mortality!$A$2:$F$104,6,FALSE)/VLOOKUP(C437,Mortality!$A$2:$F$104,6,FALSE))</x:f>
        <x:v>0.9687108670060764</x:v>
      </x:c>
      <x:c r="L437" s="37" t="n">
        <x:f>VLOOKUP(IF(B437="Pensioner",C437,Assumptions!$B$10),Mortality!$A$2:$E$104,5,FALSE)</x:f>
        <x:v>17.296790022132885</x:v>
      </x:c>
      <x:c r="M437" s="37" t="n">
        <x:f>1+Assumptions!$B$13*Assumptions!$B$14*Assumptions!$B$15</x:f>
        <x:v>1.31875</x:v>
      </x:c>
      <x:c r="N437" s="37" t="n">
        <x:f>IF(B437="Pensioner",1,1/(1+Assumptions!$B$6)^G437)</x:f>
        <x:v>0.10361296939205883</x:v>
      </x:c>
      <x:c r="O437" s="50" t="n">
        <x:f>J437*K437*L437*M437*N437</x:f>
        <x:v>3372865.0241954615</x:v>
      </x:c>
    </x:row>
    <x:row r="438">
      <x:c r="A438" s="42" t="str">
        <x:f>Members!A438</x:f>
        <x:v>A0024</x:v>
      </x:c>
      <x:c r="B438" s="42" t="str">
        <x:f>Members!B438</x:f>
        <x:v>Active</x:v>
      </x:c>
      <x:c r="C438" s="42" t="n">
        <x:f>Members!C438</x:f>
        <x:v>46</x:v>
      </x:c>
      <x:c r="D438" s="44" t="n">
        <x:f>Members!D438</x:f>
        <x:v>10.9</x:v>
      </x:c>
      <x:c r="E438" s="48" t="n">
        <x:f>Members!E438</x:f>
        <x:v>1150000</x:v>
      </x:c>
      <x:c r="F438" s="48" t="n">
        <x:f>Members!F438</x:f>
        <x:v>0</x:v>
      </x:c>
      <x:c r="G438" s="46" t="n">
        <x:f>MAX(0,Assumptions!$B$10-C438)</x:f>
        <x:v>14</x:v>
      </x:c>
      <x:c r="H438" s="50" t="n">
        <x:f>IF(B438="Active",E438*(1+Assumptions!$B$7)^G438,E438)</x:f>
        <x:v>2433505.181112457</x:v>
      </x:c>
      <x:c r="I438" s="50" t="n">
        <x:f>IF(B438="Active",MIN(Assumptions!$B$12,D438+G438),IF(B438="Deferred",MIN(Assumptions!$B$12,D438),D438))</x:f>
        <x:v>24.9</x:v>
      </x:c>
      <x:c r="J438" s="50" t="n">
        <x:f>IF(B438="Active",H438*I438*Assumptions!$B$11,IF(B438="Deferred",E438*I438*Assumptions!$B$11*(1+Assumptions!$B$9)^G438,F438))</x:f>
        <x:v>1009904.6501616696</x:v>
      </x:c>
      <x:c r="K438" s="37" t="n">
        <x:f>IF(B438="Pensioner",1,VLOOKUP(Assumptions!$B$10,Mortality!$A$2:$F$104,6,FALSE)/VLOOKUP(C438,Mortality!$A$2:$F$104,6,FALSE))</x:f>
        <x:v>0.9776582328304806</x:v>
      </x:c>
      <x:c r="L438" s="37" t="n">
        <x:f>VLOOKUP(IF(B438="Pensioner",C438,Assumptions!$B$10),Mortality!$A$2:$E$104,5,FALSE)</x:f>
        <x:v>17.296790022132885</x:v>
      </x:c>
      <x:c r="M438" s="37" t="n">
        <x:f>1+Assumptions!$B$13*Assumptions!$B$14*Assumptions!$B$15</x:f>
        <x:v>1.31875</x:v>
      </x:c>
      <x:c r="N438" s="37" t="n">
        <x:f>IF(B438="Pensioner",1,1/(1+Assumptions!$B$6)^G438)</x:f>
        <x:v>0.41410024853095956</x:v>
      </x:c>
      <x:c r="O438" s="50" t="n">
        <x:f>J438*K438*L438*M438*N438</x:f>
        <x:v>9326118.100010214</x:v>
      </x:c>
    </x:row>
    <x:row r="439">
      <x:c r="A439" s="42" t="str">
        <x:f>Members!A439</x:f>
        <x:v>P0102</x:v>
      </x:c>
      <x:c r="B439" s="42" t="str">
        <x:f>Members!B439</x:f>
        <x:v>Pensioner</x:v>
      </x:c>
      <x:c r="C439" s="42" t="n">
        <x:f>Members!C439</x:f>
        <x:v>78</x:v>
      </x:c>
      <x:c r="D439" s="44" t="n">
        <x:f>Members!D439</x:f>
        <x:v>14.5</x:v>
      </x:c>
      <x:c r="E439" s="48" t="n">
        <x:f>Members!E439</x:f>
        <x:v>0</x:v>
      </x:c>
      <x:c r="F439" s="48" t="n">
        <x:f>Members!F439</x:f>
        <x:v>270000</x:v>
      </x:c>
      <x:c r="G439" s="46" t="n">
        <x:f>MAX(0,Assumptions!$B$10-C439)</x:f>
        <x:v>0</x:v>
      </x:c>
      <x:c r="H439" s="50" t="n">
        <x:f>IF(B439="Active",E439*(1+Assumptions!$B$7)^G439,E439)</x:f>
        <x:v>0</x:v>
      </x:c>
      <x:c r="I439" s="50" t="n">
        <x:f>IF(B439="Active",MIN(Assumptions!$B$12,D439+G439),IF(B439="Deferred",MIN(Assumptions!$B$12,D439),D439))</x:f>
        <x:v>14.5</x:v>
      </x:c>
      <x:c r="J439" s="50" t="n">
        <x:f>IF(B439="Active",H439*I439*Assumptions!$B$11,IF(B439="Deferred",E439*I439*Assumptions!$B$11*(1+Assumptions!$B$9)^G439,F439))</x:f>
        <x:v>270000</x:v>
      </x:c>
      <x:c r="K439" s="37" t="n">
        <x:f>IF(B439="Pensioner",1,VLOOKUP(Assumptions!$B$10,Mortality!$A$2:$F$104,6,FALSE)/VLOOKUP(C439,Mortality!$A$2:$F$104,6,FALSE))</x:f>
        <x:v>1</x:v>
      </x:c>
      <x:c r="L439" s="37" t="n">
        <x:f>VLOOKUP(IF(B439="Pensioner",C439,Assumptions!$B$10),Mortality!$A$2:$E$104,5,FALSE)</x:f>
        <x:v>9.284717924120388</x:v>
      </x:c>
      <x:c r="M439" s="37" t="n">
        <x:f>1+Assumptions!$B$13*Assumptions!$B$14*Assumptions!$B$15</x:f>
        <x:v>1.31875</x:v>
      </x:c>
      <x:c r="N439" s="37" t="n">
        <x:f>IF(B439="Pensioner",1,1/(1+Assumptions!$B$6)^G439)</x:f>
        <x:v>1</x:v>
      </x:c>
      <x:c r="O439" s="50" t="n">
        <x:f>J439*K439*L439*M439*N439</x:f>
        <x:v>3305939.8758571157</x:v>
      </x:c>
    </x:row>
    <x:row r="440">
      <x:c r="A440" s="42" t="str">
        <x:f>Members!A440</x:f>
        <x:v>D0091</x:v>
      </x:c>
      <x:c r="B440" s="42" t="str">
        <x:f>Members!B440</x:f>
        <x:v>Deferred</x:v>
      </x:c>
      <x:c r="C440" s="42" t="n">
        <x:f>Members!C440</x:f>
        <x:v>37</x:v>
      </x:c>
      <x:c r="D440" s="44" t="n">
        <x:f>Members!D440</x:f>
        <x:v>7.1</x:v>
      </x:c>
      <x:c r="E440" s="48" t="n">
        <x:f>Members!E440</x:f>
        <x:v>544000</x:v>
      </x:c>
      <x:c r="F440" s="48" t="n">
        <x:f>Members!F440</x:f>
        <x:v>0</x:v>
      </x:c>
      <x:c r="G440" s="46" t="n">
        <x:f>MAX(0,Assumptions!$B$10-C440)</x:f>
        <x:v>23</x:v>
      </x:c>
      <x:c r="H440" s="50" t="n">
        <x:f>IF(B440="Active",E440*(1+Assumptions!$B$7)^G440,E440)</x:f>
        <x:v>544000</x:v>
      </x:c>
      <x:c r="I440" s="50" t="n">
        <x:f>IF(B440="Active",MIN(Assumptions!$B$12,D440+G440),IF(B440="Deferred",MIN(Assumptions!$B$12,D440),D440))</x:f>
        <x:v>7.1</x:v>
      </x:c>
      <x:c r="J440" s="50" t="n">
        <x:f>IF(B440="Active",H440*I440*Assumptions!$B$11,IF(B440="Deferred",E440*I440*Assumptions!$B$11*(1+Assumptions!$B$9)^G440,F440))</x:f>
        <x:v>158661.9552320177</x:v>
      </x:c>
      <x:c r="K440" s="37" t="n">
        <x:f>IF(B440="Pensioner",1,VLOOKUP(Assumptions!$B$10,Mortality!$A$2:$F$104,6,FALSE)/VLOOKUP(C440,Mortality!$A$2:$F$104,6,FALSE))</x:f>
        <x:v>0.9727356141265188</x:v>
      </x:c>
      <x:c r="L440" s="37" t="n">
        <x:f>VLOOKUP(IF(B440="Pensioner",C440,Assumptions!$B$10),Mortality!$A$2:$E$104,5,FALSE)</x:f>
        <x:v>17.296790022132885</x:v>
      </x:c>
      <x:c r="M440" s="37" t="n">
        <x:f>1+Assumptions!$B$13*Assumptions!$B$14*Assumptions!$B$15</x:f>
        <x:v>1.31875</x:v>
      </x:c>
      <x:c r="N440" s="37" t="n">
        <x:f>IF(B440="Pensioner",1,1/(1+Assumptions!$B$6)^G440)</x:f>
        <x:v>0.23494111264898151</x:v>
      </x:c>
      <x:c r="O440" s="50" t="n">
        <x:f>J440*K440*L440*M440*N440</x:f>
        <x:v>827093.5340684762</x:v>
      </x:c>
    </x:row>
    <x:row r="441">
      <x:c r="A441" s="42" t="str">
        <x:f>Members!A441</x:f>
        <x:v>A0447</x:v>
      </x:c>
      <x:c r="B441" s="42" t="str">
        <x:f>Members!B441</x:f>
        <x:v>Active</x:v>
      </x:c>
      <x:c r="C441" s="42" t="n">
        <x:f>Members!C441</x:f>
        <x:v>26</x:v>
      </x:c>
      <x:c r="D441" s="44" t="n">
        <x:f>Members!D441</x:f>
        <x:v>1</x:v>
      </x:c>
      <x:c r="E441" s="48" t="n">
        <x:f>Members!E441</x:f>
        <x:v>472000</x:v>
      </x:c>
      <x:c r="F441" s="48" t="n">
        <x:f>Members!F441</x:f>
        <x:v>0</x:v>
      </x:c>
      <x:c r="G441" s="46" t="n">
        <x:f>MAX(0,Assumptions!$B$10-C441)</x:f>
        <x:v>34</x:v>
      </x:c>
      <x:c r="H441" s="50" t="n">
        <x:f>IF(B441="Active",E441*(1+Assumptions!$B$7)^G441,E441)</x:f>
        <x:v>2914242.0888088294</x:v>
      </x:c>
      <x:c r="I441" s="50" t="n">
        <x:f>IF(B441="Active",MIN(Assumptions!$B$12,D441+G441),IF(B441="Deferred",MIN(Assumptions!$B$12,D441),D441))</x:f>
        <x:v>35</x:v>
      </x:c>
      <x:c r="J441" s="50" t="n">
        <x:f>IF(B441="Active",H441*I441*Assumptions!$B$11,IF(B441="Deferred",E441*I441*Assumptions!$B$11*(1+Assumptions!$B$9)^G441,F441))</x:f>
        <x:v>1699974.5518051505</x:v>
      </x:c>
      <x:c r="K441" s="37" t="n">
        <x:f>IF(B441="Pensioner",1,VLOOKUP(Assumptions!$B$10,Mortality!$A$2:$F$104,6,FALSE)/VLOOKUP(C441,Mortality!$A$2:$F$104,6,FALSE))</x:f>
        <x:v>0.9692291629189255</x:v>
      </x:c>
      <x:c r="L441" s="37" t="n">
        <x:f>VLOOKUP(IF(B441="Pensioner",C441,Assumptions!$B$10),Mortality!$A$2:$E$104,5,FALSE)</x:f>
        <x:v>17.296790022132885</x:v>
      </x:c>
      <x:c r="M441" s="37" t="n">
        <x:f>1+Assumptions!$B$13*Assumptions!$B$14*Assumptions!$B$15</x:f>
        <x:v>1.31875</x:v>
      </x:c>
      <x:c r="N441" s="37" t="n">
        <x:f>IF(B441="Pensioner",1,1/(1+Assumptions!$B$6)^G441)</x:f>
        <x:v>0.11752042020870793</x:v>
      </x:c>
      <x:c r="O441" s="50" t="n">
        <x:f>J441*K441*L441*M441*N441</x:f>
        <x:v>4416825.2280109925</x:v>
      </x:c>
    </x:row>
    <x:row r="442">
      <x:c r="A442" s="42" t="str">
        <x:f>Members!A442</x:f>
        <x:v>A0136</x:v>
      </x:c>
      <x:c r="B442" s="42" t="str">
        <x:f>Members!B442</x:f>
        <x:v>Active</x:v>
      </x:c>
      <x:c r="C442" s="42" t="n">
        <x:f>Members!C442</x:f>
        <x:v>57</x:v>
      </x:c>
      <x:c r="D442" s="44" t="n">
        <x:f>Members!D442</x:f>
        <x:v>24.8</x:v>
      </x:c>
      <x:c r="E442" s="48" t="n">
        <x:f>Members!E442</x:f>
        <x:v>2133000</x:v>
      </x:c>
      <x:c r="F442" s="48" t="n">
        <x:f>Members!F442</x:f>
        <x:v>0</x:v>
      </x:c>
      <x:c r="G442" s="46" t="n">
        <x:f>MAX(0,Assumptions!$B$10-C442)</x:f>
        <x:v>3</x:v>
      </x:c>
      <x:c r="H442" s="50" t="n">
        <x:f>IF(B442="Active",E442*(1+Assumptions!$B$7)^G442,E442)</x:f>
        <x:v>2504656.8528749994</x:v>
      </x:c>
      <x:c r="I442" s="50" t="n">
        <x:f>IF(B442="Active",MIN(Assumptions!$B$12,D442+G442),IF(B442="Deferred",MIN(Assumptions!$B$12,D442),D442))</x:f>
        <x:v>27.8</x:v>
      </x:c>
      <x:c r="J442" s="50" t="n">
        <x:f>IF(B442="Active",H442*I442*Assumptions!$B$11,IF(B442="Deferred",E442*I442*Assumptions!$B$11*(1+Assumptions!$B$9)^G442,F442))</x:f>
        <x:v>1160491.0084987497</x:v>
      </x:c>
      <x:c r="K442" s="37" t="n">
        <x:f>IF(B442="Pensioner",1,VLOOKUP(Assumptions!$B$10,Mortality!$A$2:$F$104,6,FALSE)/VLOOKUP(C442,Mortality!$A$2:$F$104,6,FALSE))</x:f>
        <x:v>0.9922003892921417</x:v>
      </x:c>
      <x:c r="L442" s="37" t="n">
        <x:f>VLOOKUP(IF(B442="Pensioner",C442,Assumptions!$B$10),Mortality!$A$2:$E$104,5,FALSE)</x:f>
        <x:v>17.296790022132885</x:v>
      </x:c>
      <x:c r="M442" s="37" t="n">
        <x:f>1+Assumptions!$B$13*Assumptions!$B$14*Assumptions!$B$15</x:f>
        <x:v>1.31875</x:v>
      </x:c>
      <x:c r="N442" s="37" t="n">
        <x:f>IF(B442="Pensioner",1,1/(1+Assumptions!$B$6)^G442)</x:f>
        <x:v>0.8278490918029799</x:v>
      </x:c>
      <x:c r="O442" s="50" t="n">
        <x:f>J442*K442*L442*M442*N442</x:f>
        <x:v>21743043.540926885</x:v>
      </x:c>
    </x:row>
    <x:row r="443">
      <x:c r="A443" s="42" t="str">
        <x:f>Members!A443</x:f>
        <x:v>P0128</x:v>
      </x:c>
      <x:c r="B443" s="42" t="str">
        <x:f>Members!B443</x:f>
        <x:v>Pensioner</x:v>
      </x:c>
      <x:c r="C443" s="42" t="n">
        <x:f>Members!C443</x:f>
        <x:v>61</x:v>
      </x:c>
      <x:c r="D443" s="44" t="n">
        <x:f>Members!D443</x:f>
        <x:v>22.5</x:v>
      </x:c>
      <x:c r="E443" s="48" t="n">
        <x:f>Members!E443</x:f>
        <x:v>0</x:v>
      </x:c>
      <x:c r="F443" s="48" t="n">
        <x:f>Members!F443</x:f>
        <x:v>242000</x:v>
      </x:c>
      <x:c r="G443" s="46" t="n">
        <x:f>MAX(0,Assumptions!$B$10-C443)</x:f>
        <x:v>0</x:v>
      </x:c>
      <x:c r="H443" s="50" t="n">
        <x:f>IF(B443="Active",E443*(1+Assumptions!$B$7)^G443,E443)</x:f>
        <x:v>0</x:v>
      </x:c>
      <x:c r="I443" s="50" t="n">
        <x:f>IF(B443="Active",MIN(Assumptions!$B$12,D443+G443),IF(B443="Deferred",MIN(Assumptions!$B$12,D443),D443))</x:f>
        <x:v>22.5</x:v>
      </x:c>
      <x:c r="J443" s="50" t="n">
        <x:f>IF(B443="Active",H443*I443*Assumptions!$B$11,IF(B443="Deferred",E443*I443*Assumptions!$B$11*(1+Assumptions!$B$9)^G443,F443))</x:f>
        <x:v>242000</x:v>
      </x:c>
      <x:c r="K443" s="37" t="n">
        <x:f>IF(B443="Pensioner",1,VLOOKUP(Assumptions!$B$10,Mortality!$A$2:$F$104,6,FALSE)/VLOOKUP(C443,Mortality!$A$2:$F$104,6,FALSE))</x:f>
        <x:v>1</x:v>
      </x:c>
      <x:c r="L443" s="37" t="n">
        <x:f>VLOOKUP(IF(B443="Pensioner",C443,Assumptions!$B$10),Mortality!$A$2:$E$104,5,FALSE)</x:f>
        <x:v>16.889485221588366</x:v>
      </x:c>
      <x:c r="M443" s="37" t="n">
        <x:f>1+Assumptions!$B$13*Assumptions!$B$14*Assumptions!$B$15</x:f>
        <x:v>1.31875</x:v>
      </x:c>
      <x:c r="N443" s="37" t="n">
        <x:f>IF(B443="Pensioner",1,1/(1+Assumptions!$B$6)^G443)</x:f>
        <x:v>1</x:v>
      </x:c>
      <x:c r="O443" s="50" t="n">
        <x:f>J443*K443*L443*M443*N443</x:f>
        <x:v>5390068.089904658</x:v>
      </x:c>
    </x:row>
    <x:row r="444">
      <x:c r="A444" s="42" t="str">
        <x:f>Members!A444</x:f>
        <x:v>A0023</x:v>
      </x:c>
      <x:c r="B444" s="42" t="str">
        <x:f>Members!B444</x:f>
        <x:v>Active</x:v>
      </x:c>
      <x:c r="C444" s="42" t="n">
        <x:f>Members!C444</x:f>
        <x:v>57</x:v>
      </x:c>
      <x:c r="D444" s="44" t="n">
        <x:f>Members!D444</x:f>
        <x:v>27.4</x:v>
      </x:c>
      <x:c r="E444" s="48" t="n">
        <x:f>Members!E444</x:f>
        <x:v>1769000</x:v>
      </x:c>
      <x:c r="F444" s="48" t="n">
        <x:f>Members!F444</x:f>
        <x:v>0</x:v>
      </x:c>
      <x:c r="G444" s="46" t="n">
        <x:f>MAX(0,Assumptions!$B$10-C444)</x:f>
        <x:v>3</x:v>
      </x:c>
      <x:c r="H444" s="50" t="n">
        <x:f>IF(B444="Active",E444*(1+Assumptions!$B$7)^G444,E444)</x:f>
        <x:v>2077232.9923749997</x:v>
      </x:c>
      <x:c r="I444" s="50" t="n">
        <x:f>IF(B444="Active",MIN(Assumptions!$B$12,D444+G444),IF(B444="Deferred",MIN(Assumptions!$B$12,D444),D444))</x:f>
        <x:v>30.4</x:v>
      </x:c>
      <x:c r="J444" s="50" t="n">
        <x:f>IF(B444="Active",H444*I444*Assumptions!$B$11,IF(B444="Deferred",E444*I444*Assumptions!$B$11*(1+Assumptions!$B$9)^G444,F444))</x:f>
        <x:v>1052464.7161366665</x:v>
      </x:c>
      <x:c r="K444" s="37" t="n">
        <x:f>IF(B444="Pensioner",1,VLOOKUP(Assumptions!$B$10,Mortality!$A$2:$F$104,6,FALSE)/VLOOKUP(C444,Mortality!$A$2:$F$104,6,FALSE))</x:f>
        <x:v>0.9922003892921417</x:v>
      </x:c>
      <x:c r="L444" s="37" t="n">
        <x:f>VLOOKUP(IF(B444="Pensioner",C444,Assumptions!$B$10),Mortality!$A$2:$E$104,5,FALSE)</x:f>
        <x:v>17.296790022132885</x:v>
      </x:c>
      <x:c r="M444" s="37" t="n">
        <x:f>1+Assumptions!$B$13*Assumptions!$B$14*Assumptions!$B$15</x:f>
        <x:v>1.31875</x:v>
      </x:c>
      <x:c r="N444" s="37" t="n">
        <x:f>IF(B444="Pensioner",1,1/(1+Assumptions!$B$6)^G444)</x:f>
        <x:v>0.8278490918029799</x:v>
      </x:c>
      <x:c r="O444" s="50" t="n">
        <x:f>J444*K444*L444*M444*N444</x:f>
        <x:v>19719055.107417017</x:v>
      </x:c>
    </x:row>
    <x:row r="445">
      <x:c r="A445" s="42" t="str">
        <x:f>Members!A445</x:f>
        <x:v>A0145</x:v>
      </x:c>
      <x:c r="B445" s="42" t="str">
        <x:f>Members!B445</x:f>
        <x:v>Active</x:v>
      </x:c>
      <x:c r="C445" s="42" t="n">
        <x:f>Members!C445</x:f>
        <x:v>36</x:v>
      </x:c>
      <x:c r="D445" s="44" t="n">
        <x:f>Members!D445</x:f>
        <x:v>12.5</x:v>
      </x:c>
      <x:c r="E445" s="48" t="n">
        <x:f>Members!E445</x:f>
        <x:v>928000</x:v>
      </x:c>
      <x:c r="F445" s="48" t="n">
        <x:f>Members!F445</x:f>
        <x:v>0</x:v>
      </x:c>
      <x:c r="G445" s="46" t="n">
        <x:f>MAX(0,Assumptions!$B$10-C445)</x:f>
        <x:v>24</x:v>
      </x:c>
      <x:c r="H445" s="50" t="n">
        <x:f>IF(B445="Active",E445*(1+Assumptions!$B$7)^G445,E445)</x:f>
        <x:v>3354339.430824849</x:v>
      </x:c>
      <x:c r="I445" s="50" t="n">
        <x:f>IF(B445="Active",MIN(Assumptions!$B$12,D445+G445),IF(B445="Deferred",MIN(Assumptions!$B$12,D445),D445))</x:f>
        <x:v>36.5</x:v>
      </x:c>
      <x:c r="J445" s="50" t="n">
        <x:f>IF(B445="Active",H445*I445*Assumptions!$B$11,IF(B445="Deferred",E445*I445*Assumptions!$B$11*(1+Assumptions!$B$9)^G445,F445))</x:f>
        <x:v>2040556.4870851163</x:v>
      </x:c>
      <x:c r="K445" s="37" t="n">
        <x:f>IF(B445="Pensioner",1,VLOOKUP(Assumptions!$B$10,Mortality!$A$2:$F$104,6,FALSE)/VLOOKUP(C445,Mortality!$A$2:$F$104,6,FALSE))</x:f>
        <x:v>0.9723450305541352</x:v>
      </x:c>
      <x:c r="L445" s="37" t="n">
        <x:f>VLOOKUP(IF(B445="Pensioner",C445,Assumptions!$B$10),Mortality!$A$2:$E$104,5,FALSE)</x:f>
        <x:v>17.296790022132885</x:v>
      </x:c>
      <x:c r="M445" s="37" t="n">
        <x:f>1+Assumptions!$B$13*Assumptions!$B$14*Assumptions!$B$15</x:f>
        <x:v>1.31875</x:v>
      </x:c>
      <x:c r="N445" s="37" t="n">
        <x:f>IF(B445="Pensioner",1,1/(1+Assumptions!$B$6)^G445)</x:f>
        <x:v>0.22060198370796386</x:v>
      </x:c>
      <x:c r="O445" s="50" t="n">
        <x:f>J445*K445*L445*M445*N445</x:f>
        <x:v>9984042.470192693</x:v>
      </x:c>
    </x:row>
    <x:row r="446">
      <x:c r="A446" s="42" t="str">
        <x:f>Members!A446</x:f>
        <x:v>P0183</x:v>
      </x:c>
      <x:c r="B446" s="42" t="str">
        <x:f>Members!B446</x:f>
        <x:v>Pensioner</x:v>
      </x:c>
      <x:c r="C446" s="42" t="n">
        <x:f>Members!C446</x:f>
        <x:v>74</x:v>
      </x:c>
      <x:c r="D446" s="44" t="n">
        <x:f>Members!D446</x:f>
        <x:v>18.8</x:v>
      </x:c>
      <x:c r="E446" s="48" t="n">
        <x:f>Members!E446</x:f>
        <x:v>0</x:v>
      </x:c>
      <x:c r="F446" s="48" t="n">
        <x:f>Members!F446</x:f>
        <x:v>409000</x:v>
      </x:c>
      <x:c r="G446" s="46" t="n">
        <x:f>MAX(0,Assumptions!$B$10-C446)</x:f>
        <x:v>0</x:v>
      </x:c>
      <x:c r="H446" s="50" t="n">
        <x:f>IF(B446="Active",E446*(1+Assumptions!$B$7)^G446,E446)</x:f>
        <x:v>0</x:v>
      </x:c>
      <x:c r="I446" s="50" t="n">
        <x:f>IF(B446="Active",MIN(Assumptions!$B$12,D446+G446),IF(B446="Deferred",MIN(Assumptions!$B$12,D446),D446))</x:f>
        <x:v>18.8</x:v>
      </x:c>
      <x:c r="J446" s="50" t="n">
        <x:f>IF(B446="Active",H446*I446*Assumptions!$B$11,IF(B446="Deferred",E446*I446*Assumptions!$B$11*(1+Assumptions!$B$9)^G446,F446))</x:f>
        <x:v>409000</x:v>
      </x:c>
      <x:c r="K446" s="37" t="n">
        <x:f>IF(B446="Pensioner",1,VLOOKUP(Assumptions!$B$10,Mortality!$A$2:$F$104,6,FALSE)/VLOOKUP(C446,Mortality!$A$2:$F$104,6,FALSE))</x:f>
        <x:v>1</x:v>
      </x:c>
      <x:c r="L446" s="37" t="n">
        <x:f>VLOOKUP(IF(B446="Pensioner",C446,Assumptions!$B$10),Mortality!$A$2:$E$104,5,FALSE)</x:f>
        <x:v>11.124346929912107</x:v>
      </x:c>
      <x:c r="M446" s="37" t="n">
        <x:f>1+Assumptions!$B$13*Assumptions!$B$14*Assumptions!$B$15</x:f>
        <x:v>1.31875</x:v>
      </x:c>
      <x:c r="N446" s="37" t="n">
        <x:f>IF(B446="Pensioner",1,1/(1+Assumptions!$B$6)^G446)</x:f>
        <x:v>1</x:v>
      </x:c>
      <x:c r="O446" s="50" t="n">
        <x:f>J446*K446*L446*M446*N446</x:f>
        <x:v>6000125.098153031</x:v>
      </x:c>
    </x:row>
    <x:row r="447">
      <x:c r="A447" s="42" t="str">
        <x:f>Members!A447</x:f>
        <x:v>D0063</x:v>
      </x:c>
      <x:c r="B447" s="42" t="str">
        <x:f>Members!B447</x:f>
        <x:v>Deferred</x:v>
      </x:c>
      <x:c r="C447" s="42" t="n">
        <x:f>Members!C447</x:f>
        <x:v>41</x:v>
      </x:c>
      <x:c r="D447" s="44" t="n">
        <x:f>Members!D447</x:f>
        <x:v>6.1</x:v>
      </x:c>
      <x:c r="E447" s="48" t="n">
        <x:f>Members!E447</x:f>
        <x:v>500000</x:v>
      </x:c>
      <x:c r="F447" s="48" t="n">
        <x:f>Members!F447</x:f>
        <x:v>0</x:v>
      </x:c>
      <x:c r="G447" s="46" t="n">
        <x:f>MAX(0,Assumptions!$B$10-C447)</x:f>
        <x:v>19</x:v>
      </x:c>
      <x:c r="H447" s="50" t="n">
        <x:f>IF(B447="Active",E447*(1+Assumptions!$B$7)^G447,E447)</x:f>
        <x:v>500000</x:v>
      </x:c>
      <x:c r="I447" s="50" t="n">
        <x:f>IF(B447="Active",MIN(Assumptions!$B$12,D447+G447),IF(B447="Deferred",MIN(Assumptions!$B$12,D447),D447))</x:f>
        <x:v>6.1</x:v>
      </x:c>
      <x:c r="J447" s="50" t="n">
        <x:f>IF(B447="Active",H447*I447*Assumptions!$B$11,IF(B447="Deferred",E447*I447*Assumptions!$B$11*(1+Assumptions!$B$9)^G447,F447))</x:f>
        <x:v>107098.16644634512</x:v>
      </x:c>
      <x:c r="K447" s="37" t="n">
        <x:f>IF(B447="Pensioner",1,VLOOKUP(Assumptions!$B$10,Mortality!$A$2:$F$104,6,FALSE)/VLOOKUP(C447,Mortality!$A$2:$F$104,6,FALSE))</x:f>
        <x:v>0.9745478954079534</x:v>
      </x:c>
      <x:c r="L447" s="37" t="n">
        <x:f>VLOOKUP(IF(B447="Pensioner",C447,Assumptions!$B$10),Mortality!$A$2:$E$104,5,FALSE)</x:f>
        <x:v>17.296790022132885</x:v>
      </x:c>
      <x:c r="M447" s="37" t="n">
        <x:f>1+Assumptions!$B$13*Assumptions!$B$14*Assumptions!$B$15</x:f>
        <x:v>1.31875</x:v>
      </x:c>
      <x:c r="N447" s="37" t="n">
        <x:f>IF(B447="Pensioner",1,1/(1+Assumptions!$B$6)^G447)</x:f>
        <x:v>0.30224383580131214</x:v>
      </x:c>
      <x:c r="O447" s="50" t="n">
        <x:f>J447*K447*L447*M447*N447</x:f>
        <x:v>719566.0452393541</x:v>
      </x:c>
    </x:row>
    <x:row r="448">
      <x:c r="A448" s="42" t="str">
        <x:f>Members!A448</x:f>
        <x:v>D0097</x:v>
      </x:c>
      <x:c r="B448" s="42" t="str">
        <x:f>Members!B448</x:f>
        <x:v>Deferred</x:v>
      </x:c>
      <x:c r="C448" s="42" t="n">
        <x:f>Members!C448</x:f>
        <x:v>53</x:v>
      </x:c>
      <x:c r="D448" s="44" t="n">
        <x:f>Members!D448</x:f>
        <x:v>5.3</x:v>
      </x:c>
      <x:c r="E448" s="48" t="n">
        <x:f>Members!E448</x:f>
        <x:v>1114000</x:v>
      </x:c>
      <x:c r="F448" s="48" t="n">
        <x:f>Members!F448</x:f>
        <x:v>0</x:v>
      </x:c>
      <x:c r="G448" s="46" t="n">
        <x:f>MAX(0,Assumptions!$B$10-C448)</x:f>
        <x:v>7</x:v>
      </x:c>
      <x:c r="H448" s="50" t="n">
        <x:f>IF(B448="Active",E448*(1+Assumptions!$B$7)^G448,E448)</x:f>
        <x:v>1114000</x:v>
      </x:c>
      <x:c r="I448" s="50" t="n">
        <x:f>IF(B448="Active",MIN(Assumptions!$B$12,D448+G448),IF(B448="Deferred",MIN(Assumptions!$B$12,D448),D448))</x:f>
        <x:v>5.3</x:v>
      </x:c>
      <x:c r="J448" s="50" t="n">
        <x:f>IF(B448="Active",H448*I448*Assumptions!$B$11,IF(B448="Deferred",E448*I448*Assumptions!$B$11*(1+Assumptions!$B$9)^G448,F448))</x:f>
        <x:v>129492.0735160708</x:v>
      </x:c>
      <x:c r="K448" s="37" t="n">
        <x:f>IF(B448="Pensioner",1,VLOOKUP(Assumptions!$B$10,Mortality!$A$2:$F$104,6,FALSE)/VLOOKUP(C448,Mortality!$A$2:$F$104,6,FALSE))</x:f>
        <x:v>0.9850300017431317</x:v>
      </x:c>
      <x:c r="L448" s="37" t="n">
        <x:f>VLOOKUP(IF(B448="Pensioner",C448,Assumptions!$B$10),Mortality!$A$2:$E$104,5,FALSE)</x:f>
        <x:v>17.296790022132885</x:v>
      </x:c>
      <x:c r="M448" s="37" t="n">
        <x:f>1+Assumptions!$B$13*Assumptions!$B$14*Assumptions!$B$15</x:f>
        <x:v>1.31875</x:v>
      </x:c>
      <x:c r="N448" s="37" t="n">
        <x:f>IF(B448="Pensioner",1,1/(1+Assumptions!$B$6)^G448)</x:f>
        <x:v>0.6435062148347594</x:v>
      </x:c>
      <x:c r="O448" s="50" t="n">
        <x:f>J448*K448*L448*M448*N448</x:f>
        <x:v>1872291.1088113503</x:v>
      </x:c>
    </x:row>
    <x:row r="449">
      <x:c r="A449" s="42" t="str">
        <x:f>Members!A449</x:f>
        <x:v>P0221</x:v>
      </x:c>
      <x:c r="B449" s="42" t="str">
        <x:f>Members!B449</x:f>
        <x:v>Pensioner</x:v>
      </x:c>
      <x:c r="C449" s="42" t="n">
        <x:f>Members!C449</x:f>
        <x:v>71</x:v>
      </x:c>
      <x:c r="D449" s="44" t="n">
        <x:f>Members!D449</x:f>
        <x:v>13.6</x:v>
      </x:c>
      <x:c r="E449" s="48" t="n">
        <x:f>Members!E449</x:f>
        <x:v>0</x:v>
      </x:c>
      <x:c r="F449" s="48" t="n">
        <x:f>Members!F449</x:f>
        <x:v>467000</x:v>
      </x:c>
      <x:c r="G449" s="46" t="n">
        <x:f>MAX(0,Assumptions!$B$10-C449)</x:f>
        <x:v>0</x:v>
      </x:c>
      <x:c r="H449" s="50" t="n">
        <x:f>IF(B449="Active",E449*(1+Assumptions!$B$7)^G449,E449)</x:f>
        <x:v>0</x:v>
      </x:c>
      <x:c r="I449" s="50" t="n">
        <x:f>IF(B449="Active",MIN(Assumptions!$B$12,D449+G449),IF(B449="Deferred",MIN(Assumptions!$B$12,D449),D449))</x:f>
        <x:v>13.6</x:v>
      </x:c>
      <x:c r="J449" s="50" t="n">
        <x:f>IF(B449="Active",H449*I449*Assumptions!$B$11,IF(B449="Deferred",E449*I449*Assumptions!$B$11*(1+Assumptions!$B$9)^G449,F449))</x:f>
        <x:v>467000</x:v>
      </x:c>
      <x:c r="K449" s="37" t="n">
        <x:f>IF(B449="Pensioner",1,VLOOKUP(Assumptions!$B$10,Mortality!$A$2:$F$104,6,FALSE)/VLOOKUP(C449,Mortality!$A$2:$F$104,6,FALSE))</x:f>
        <x:v>1</x:v>
      </x:c>
      <x:c r="L449" s="37" t="n">
        <x:f>VLOOKUP(IF(B449="Pensioner",C449,Assumptions!$B$10),Mortality!$A$2:$E$104,5,FALSE)</x:f>
        <x:v>12.506703342154774</x:v>
      </x:c>
      <x:c r="M449" s="37" t="n">
        <x:f>1+Assumptions!$B$13*Assumptions!$B$14*Assumptions!$B$15</x:f>
        <x:v>1.31875</x:v>
      </x:c>
      <x:c r="N449" s="37" t="n">
        <x:f>IF(B449="Pensioner",1,1/(1+Assumptions!$B$6)^G449)</x:f>
        <x:v>1</x:v>
      </x:c>
      <x:c r="O449" s="50" t="n">
        <x:f>J449*K449*L449*M449*N449</x:f>
        <x:v>7702331.420161907</x:v>
      </x:c>
    </x:row>
    <x:row r="450">
      <x:c r="A450" s="42" t="str">
        <x:f>Members!A450</x:f>
        <x:v>A0067</x:v>
      </x:c>
      <x:c r="B450" s="42" t="str">
        <x:f>Members!B450</x:f>
        <x:v>Active</x:v>
      </x:c>
      <x:c r="C450" s="42" t="n">
        <x:f>Members!C450</x:f>
        <x:v>47</x:v>
      </x:c>
      <x:c r="D450" s="44" t="n">
        <x:f>Members!D450</x:f>
        <x:v>1.6</x:v>
      </x:c>
      <x:c r="E450" s="48" t="n">
        <x:f>Members!E450</x:f>
        <x:v>1036000</x:v>
      </x:c>
      <x:c r="F450" s="48" t="n">
        <x:f>Members!F450</x:f>
        <x:v>0</x:v>
      </x:c>
      <x:c r="G450" s="46" t="n">
        <x:f>MAX(0,Assumptions!$B$10-C450)</x:f>
        <x:v>13</x:v>
      </x:c>
      <x:c r="H450" s="50" t="n">
        <x:f>IF(B450="Active",E450*(1+Assumptions!$B$7)^G450,E450)</x:f>
        <x:v>2077981.75778488</x:v>
      </x:c>
      <x:c r="I450" s="50" t="n">
        <x:f>IF(B450="Active",MIN(Assumptions!$B$12,D450+G450),IF(B450="Deferred",MIN(Assumptions!$B$12,D450),D450))</x:f>
        <x:v>14.6</x:v>
      </x:c>
      <x:c r="J450" s="50" t="n">
        <x:f>IF(B450="Active",H450*I450*Assumptions!$B$11,IF(B450="Deferred",E450*I450*Assumptions!$B$11*(1+Assumptions!$B$9)^G450,F450))</x:f>
        <x:v>505642.22772765416</x:v>
      </x:c>
      <x:c r="K450" s="37" t="n">
        <x:f>IF(B450="Pensioner",1,VLOOKUP(Assumptions!$B$10,Mortality!$A$2:$F$104,6,FALSE)/VLOOKUP(C450,Mortality!$A$2:$F$104,6,FALSE))</x:f>
        <x:v>0.9784451675747989</x:v>
      </x:c>
      <x:c r="L450" s="37" t="n">
        <x:f>VLOOKUP(IF(B450="Pensioner",C450,Assumptions!$B$10),Mortality!$A$2:$E$104,5,FALSE)</x:f>
        <x:v>17.296790022132885</x:v>
      </x:c>
      <x:c r="M450" s="37" t="n">
        <x:f>1+Assumptions!$B$13*Assumptions!$B$14*Assumptions!$B$15</x:f>
        <x:v>1.31875</x:v>
      </x:c>
      <x:c r="N450" s="37" t="n">
        <x:f>IF(B450="Pensioner",1,1/(1+Assumptions!$B$6)^G450)</x:f>
        <x:v>0.4410167646854719</x:v>
      </x:c>
      <x:c r="O450" s="50" t="n">
        <x:f>J450*K450*L450*M450*N450</x:f>
        <x:v>4976945.826416056</x:v>
      </x:c>
    </x:row>
    <x:row r="451">
      <x:c r="A451" s="42" t="str">
        <x:f>Members!A451</x:f>
        <x:v>P0050</x:v>
      </x:c>
      <x:c r="B451" s="42" t="str">
        <x:f>Members!B451</x:f>
        <x:v>Pensioner</x:v>
      </x:c>
      <x:c r="C451" s="42" t="n">
        <x:f>Members!C451</x:f>
        <x:v>70</x:v>
      </x:c>
      <x:c r="D451" s="44" t="n">
        <x:f>Members!D451</x:f>
        <x:v>28.6</x:v>
      </x:c>
      <x:c r="E451" s="48" t="n">
        <x:f>Members!E451</x:f>
        <x:v>0</x:v>
      </x:c>
      <x:c r="F451" s="48" t="n">
        <x:f>Members!F451</x:f>
        <x:v>351000</x:v>
      </x:c>
      <x:c r="G451" s="46" t="n">
        <x:f>MAX(0,Assumptions!$B$10-C451)</x:f>
        <x:v>0</x:v>
      </x:c>
      <x:c r="H451" s="50" t="n">
        <x:f>IF(B451="Active",E451*(1+Assumptions!$B$7)^G451,E451)</x:f>
        <x:v>0</x:v>
      </x:c>
      <x:c r="I451" s="50" t="n">
        <x:f>IF(B451="Active",MIN(Assumptions!$B$12,D451+G451),IF(B451="Deferred",MIN(Assumptions!$B$12,D451),D451))</x:f>
        <x:v>28.6</x:v>
      </x:c>
      <x:c r="J451" s="50" t="n">
        <x:f>IF(B451="Active",H451*I451*Assumptions!$B$11,IF(B451="Deferred",E451*I451*Assumptions!$B$11*(1+Assumptions!$B$9)^G451,F451))</x:f>
        <x:v>351000</x:v>
      </x:c>
      <x:c r="K451" s="37" t="n">
        <x:f>IF(B451="Pensioner",1,VLOOKUP(Assumptions!$B$10,Mortality!$A$2:$F$104,6,FALSE)/VLOOKUP(C451,Mortality!$A$2:$F$104,6,FALSE))</x:f>
        <x:v>1</x:v>
      </x:c>
      <x:c r="L451" s="37" t="n">
        <x:f>VLOOKUP(IF(B451="Pensioner",C451,Assumptions!$B$10),Mortality!$A$2:$E$104,5,FALSE)</x:f>
        <x:v>12.963998211865617</x:v>
      </x:c>
      <x:c r="M451" s="37" t="n">
        <x:f>1+Assumptions!$B$13*Assumptions!$B$14*Assumptions!$B$15</x:f>
        <x:v>1.31875</x:v>
      </x:c>
      <x:c r="N451" s="37" t="n">
        <x:f>IF(B451="Pensioner",1,1/(1+Assumptions!$B$6)^G451)</x:f>
        <x:v>1</x:v>
      </x:c>
      <x:c r="O451" s="50" t="n">
        <x:f>J451*K451*L451*M451*N451</x:f>
        <x:v>6000791.697306122</x:v>
      </x:c>
    </x:row>
    <x:row r="452">
      <x:c r="A452" s="42" t="str">
        <x:f>Members!A452</x:f>
        <x:v>P0241</x:v>
      </x:c>
      <x:c r="B452" s="42" t="str">
        <x:f>Members!B452</x:f>
        <x:v>Pensioner</x:v>
      </x:c>
      <x:c r="C452" s="42" t="n">
        <x:f>Members!C452</x:f>
        <x:v>64</x:v>
      </x:c>
      <x:c r="D452" s="44" t="n">
        <x:f>Members!D452</x:f>
        <x:v>21.1</x:v>
      </x:c>
      <x:c r="E452" s="48" t="n">
        <x:f>Members!E452</x:f>
        <x:v>0</x:v>
      </x:c>
      <x:c r="F452" s="48" t="n">
        <x:f>Members!F452</x:f>
        <x:v>249000</x:v>
      </x:c>
      <x:c r="G452" s="46" t="n">
        <x:f>MAX(0,Assumptions!$B$10-C452)</x:f>
        <x:v>0</x:v>
      </x:c>
      <x:c r="H452" s="50" t="n">
        <x:f>IF(B452="Active",E452*(1+Assumptions!$B$7)^G452,E452)</x:f>
        <x:v>0</x:v>
      </x:c>
      <x:c r="I452" s="50" t="n">
        <x:f>IF(B452="Active",MIN(Assumptions!$B$12,D452+G452),IF(B452="Deferred",MIN(Assumptions!$B$12,D452),D452))</x:f>
        <x:v>21.1</x:v>
      </x:c>
      <x:c r="J452" s="50" t="n">
        <x:f>IF(B452="Active",H452*I452*Assumptions!$B$11,IF(B452="Deferred",E452*I452*Assumptions!$B$11*(1+Assumptions!$B$9)^G452,F452))</x:f>
        <x:v>249000</x:v>
      </x:c>
      <x:c r="K452" s="37" t="n">
        <x:f>IF(B452="Pensioner",1,VLOOKUP(Assumptions!$B$10,Mortality!$A$2:$F$104,6,FALSE)/VLOOKUP(C452,Mortality!$A$2:$F$104,6,FALSE))</x:f>
        <x:v>1</x:v>
      </x:c>
      <x:c r="L452" s="37" t="n">
        <x:f>VLOOKUP(IF(B452="Pensioner",C452,Assumptions!$B$10),Mortality!$A$2:$E$104,5,FALSE)</x:f>
        <x:v>15.628758769824573</x:v>
      </x:c>
      <x:c r="M452" s="37" t="n">
        <x:f>1+Assumptions!$B$13*Assumptions!$B$14*Assumptions!$B$15</x:f>
        <x:v>1.31875</x:v>
      </x:c>
      <x:c r="N452" s="37" t="n">
        <x:f>IF(B452="Pensioner",1,1/(1+Assumptions!$B$6)^G452)</x:f>
        <x:v>1</x:v>
      </x:c>
      <x:c r="O452" s="50" t="n">
        <x:f>J452*K452*L452*M452*N452</x:f>
        <x:v>5131995.981298833</x:v>
      </x:c>
    </x:row>
    <x:row r="453">
      <x:c r="A453" s="42" t="str">
        <x:f>Members!A453</x:f>
        <x:v>A0465</x:v>
      </x:c>
      <x:c r="B453" s="42" t="str">
        <x:f>Members!B453</x:f>
        <x:v>Active</x:v>
      </x:c>
      <x:c r="C453" s="42" t="n">
        <x:f>Members!C453</x:f>
        <x:v>51</x:v>
      </x:c>
      <x:c r="D453" s="44" t="n">
        <x:f>Members!D453</x:f>
        <x:v>1.8</x:v>
      </x:c>
      <x:c r="E453" s="48" t="n">
        <x:f>Members!E453</x:f>
        <x:v>1557000</x:v>
      </x:c>
      <x:c r="F453" s="48" t="n">
        <x:f>Members!F453</x:f>
        <x:v>0</x:v>
      </x:c>
      <x:c r="G453" s="46" t="n">
        <x:f>MAX(0,Assumptions!$B$10-C453)</x:f>
        <x:v>9</x:v>
      </x:c>
      <x:c r="H453" s="50" t="n">
        <x:f>IF(B453="Active",E453*(1+Assumptions!$B$7)^G453,E453)</x:f>
        <x:v>2520929.7835607054</x:v>
      </x:c>
      <x:c r="I453" s="50" t="n">
        <x:f>IF(B453="Active",MIN(Assumptions!$B$12,D453+G453),IF(B453="Deferred",MIN(Assumptions!$B$12,D453),D453))</x:f>
        <x:v>10.8</x:v>
      </x:c>
      <x:c r="J453" s="50" t="n">
        <x:f>IF(B453="Active",H453*I453*Assumptions!$B$11,IF(B453="Deferred",E453*I453*Assumptions!$B$11*(1+Assumptions!$B$9)^G453,F453))</x:f>
        <x:v>453767.36104092695</x:v>
      </x:c>
      <x:c r="K453" s="37" t="n">
        <x:f>IF(B453="Pensioner",1,VLOOKUP(Assumptions!$B$10,Mortality!$A$2:$F$104,6,FALSE)/VLOOKUP(C453,Mortality!$A$2:$F$104,6,FALSE))</x:f>
        <x:v>0.9824052797506154</x:v>
      </x:c>
      <x:c r="L453" s="37" t="n">
        <x:f>VLOOKUP(IF(B453="Pensioner",C453,Assumptions!$B$10),Mortality!$A$2:$E$104,5,FALSE)</x:f>
        <x:v>17.296790022132885</x:v>
      </x:c>
      <x:c r="M453" s="37" t="n">
        <x:f>1+Assumptions!$B$13*Assumptions!$B$14*Assumptions!$B$15</x:f>
        <x:v>1.31875</x:v>
      </x:c>
      <x:c r="N453" s="37" t="n">
        <x:f>IF(B453="Pensioner",1,1/(1+Assumptions!$B$6)^G453)</x:f>
        <x:v>0.5673532278293633</x:v>
      </x:c>
      <x:c r="O453" s="50" t="n">
        <x:f>J453*K453*L453*M453*N453</x:f>
        <x:v>5769065.344658997</x:v>
      </x:c>
    </x:row>
    <x:row r="454">
      <x:c r="A454" s="42" t="str">
        <x:f>Members!A454</x:f>
        <x:v>A0358</x:v>
      </x:c>
      <x:c r="B454" s="42" t="str">
        <x:f>Members!B454</x:f>
        <x:v>Active</x:v>
      </x:c>
      <x:c r="C454" s="42" t="n">
        <x:f>Members!C454</x:f>
        <x:v>26</x:v>
      </x:c>
      <x:c r="D454" s="44" t="n">
        <x:f>Members!D454</x:f>
        <x:v>2.2</x:v>
      </x:c>
      <x:c r="E454" s="48" t="n">
        <x:f>Members!E454</x:f>
        <x:v>448000</x:v>
      </x:c>
      <x:c r="F454" s="48" t="n">
        <x:f>Members!F454</x:f>
        <x:v>0</x:v>
      </x:c>
      <x:c r="G454" s="46" t="n">
        <x:f>MAX(0,Assumptions!$B$10-C454)</x:f>
        <x:v>34</x:v>
      </x:c>
      <x:c r="H454" s="50" t="n">
        <x:f>IF(B454="Active",E454*(1+Assumptions!$B$7)^G454,E454)</x:f>
        <x:v>2766060.2876829566</x:v>
      </x:c>
      <x:c r="I454" s="50" t="n">
        <x:f>IF(B454="Active",MIN(Assumptions!$B$12,D454+G454),IF(B454="Deferred",MIN(Assumptions!$B$12,D454),D454))</x:f>
        <x:v>36.2</x:v>
      </x:c>
      <x:c r="J454" s="50" t="n">
        <x:f>IF(B454="Active",H454*I454*Assumptions!$B$11,IF(B454="Deferred",E454*I454*Assumptions!$B$11*(1+Assumptions!$B$9)^G454,F454))</x:f>
        <x:v>1668856.3735687172</x:v>
      </x:c>
      <x:c r="K454" s="37" t="n">
        <x:f>IF(B454="Pensioner",1,VLOOKUP(Assumptions!$B$10,Mortality!$A$2:$F$104,6,FALSE)/VLOOKUP(C454,Mortality!$A$2:$F$104,6,FALSE))</x:f>
        <x:v>0.9692291629189255</x:v>
      </x:c>
      <x:c r="L454" s="37" t="n">
        <x:f>VLOOKUP(IF(B454="Pensioner",C454,Assumptions!$B$10),Mortality!$A$2:$E$104,5,FALSE)</x:f>
        <x:v>17.296790022132885</x:v>
      </x:c>
      <x:c r="M454" s="37" t="n">
        <x:f>1+Assumptions!$B$13*Assumptions!$B$14*Assumptions!$B$15</x:f>
        <x:v>1.31875</x:v>
      </x:c>
      <x:c r="N454" s="37" t="n">
        <x:f>IF(B454="Pensioner",1,1/(1+Assumptions!$B$6)^G454)</x:f>
        <x:v>0.11752042020870793</x:v>
      </x:c>
      <x:c r="O454" s="50" t="n">
        <x:f>J454*K454*L454*M454*N454</x:f>
        <x:v>4335974.867905028</x:v>
      </x:c>
    </x:row>
    <x:row r="455">
      <x:c r="A455" s="42" t="str">
        <x:f>Members!A455</x:f>
        <x:v>A0081</x:v>
      </x:c>
      <x:c r="B455" s="42" t="str">
        <x:f>Members!B455</x:f>
        <x:v>Active</x:v>
      </x:c>
      <x:c r="C455" s="42" t="n">
        <x:f>Members!C455</x:f>
        <x:v>25</x:v>
      </x:c>
      <x:c r="D455" s="44" t="n">
        <x:f>Members!D455</x:f>
        <x:v>1</x:v>
      </x:c>
      <x:c r="E455" s="48" t="n">
        <x:f>Members!E455</x:f>
        <x:v>526000</x:v>
      </x:c>
      <x:c r="F455" s="48" t="n">
        <x:f>Members!F455</x:f>
        <x:v>0</x:v>
      </x:c>
      <x:c r="G455" s="46" t="n">
        <x:f>MAX(0,Assumptions!$B$10-C455)</x:f>
        <x:v>35</x:v>
      </x:c>
      <x:c r="H455" s="50" t="n">
        <x:f>IF(B455="Active",E455*(1+Assumptions!$B$7)^G455,E455)</x:f>
        <x:v>3426271.9541158546</x:v>
      </x:c>
      <x:c r="I455" s="50" t="n">
        <x:f>IF(B455="Active",MIN(Assumptions!$B$12,D455+G455),IF(B455="Deferred",MIN(Assumptions!$B$12,D455),D455))</x:f>
        <x:v>36</x:v>
      </x:c>
      <x:c r="J455" s="50" t="n">
        <x:f>IF(B455="Active",H455*I455*Assumptions!$B$11,IF(B455="Deferred",E455*I455*Assumptions!$B$11*(1+Assumptions!$B$9)^G455,F455))</x:f>
        <x:v>2055763.1724695126</x:v>
      </x:c>
      <x:c r="K455" s="37" t="n">
        <x:f>IF(B455="Pensioner",1,VLOOKUP(Assumptions!$B$10,Mortality!$A$2:$F$104,6,FALSE)/VLOOKUP(C455,Mortality!$A$2:$F$104,6,FALSE))</x:f>
        <x:v>0.9689672976041144</x:v>
      </x:c>
      <x:c r="L455" s="37" t="n">
        <x:f>VLOOKUP(IF(B455="Pensioner",C455,Assumptions!$B$10),Mortality!$A$2:$E$104,5,FALSE)</x:f>
        <x:v>17.296790022132885</x:v>
      </x:c>
      <x:c r="M455" s="37" t="n">
        <x:f>1+Assumptions!$B$13*Assumptions!$B$14*Assumptions!$B$15</x:f>
        <x:v>1.31875</x:v>
      </x:c>
      <x:c r="N455" s="37" t="n">
        <x:f>IF(B455="Pensioner",1,1/(1+Assumptions!$B$6)^G455)</x:f>
        <x:v>0.11034781240254267</x:v>
      </x:c>
      <x:c r="O455" s="50" t="n">
        <x:f>J455*K455*L455*M455*N455</x:f>
        <x:v>5013879.768222274</x:v>
      </x:c>
    </x:row>
    <x:row r="456">
      <x:c r="A456" s="42" t="str">
        <x:f>Members!A456</x:f>
        <x:v>A0303</x:v>
      </x:c>
      <x:c r="B456" s="42" t="str">
        <x:f>Members!B456</x:f>
        <x:v>Active</x:v>
      </x:c>
      <x:c r="C456" s="42" t="n">
        <x:f>Members!C456</x:f>
        <x:v>51</x:v>
      </x:c>
      <x:c r="D456" s="44" t="n">
        <x:f>Members!D456</x:f>
        <x:v>9.9</x:v>
      </x:c>
      <x:c r="E456" s="48" t="n">
        <x:f>Members!E456</x:f>
        <x:v>1538000</x:v>
      </x:c>
      <x:c r="F456" s="48" t="n">
        <x:f>Members!F456</x:f>
        <x:v>0</x:v>
      </x:c>
      <x:c r="G456" s="46" t="n">
        <x:f>MAX(0,Assumptions!$B$10-C456)</x:f>
        <x:v>9</x:v>
      </x:c>
      <x:c r="H456" s="50" t="n">
        <x:f>IF(B456="Active",E456*(1+Assumptions!$B$7)^G456,E456)</x:f>
        <x:v>2490166.9923676075</x:v>
      </x:c>
      <x:c r="I456" s="50" t="n">
        <x:f>IF(B456="Active",MIN(Assumptions!$B$12,D456+G456),IF(B456="Deferred",MIN(Assumptions!$B$12,D456),D456))</x:f>
        <x:v>18.9</x:v>
      </x:c>
      <x:c r="J456" s="50" t="n">
        <x:f>IF(B456="Active",H456*I456*Assumptions!$B$11,IF(B456="Deferred",E456*I456*Assumptions!$B$11*(1+Assumptions!$B$9)^G456,F456))</x:f>
        <x:v>784402.6025957963</x:v>
      </x:c>
      <x:c r="K456" s="37" t="n">
        <x:f>IF(B456="Pensioner",1,VLOOKUP(Assumptions!$B$10,Mortality!$A$2:$F$104,6,FALSE)/VLOOKUP(C456,Mortality!$A$2:$F$104,6,FALSE))</x:f>
        <x:v>0.9824052797506154</x:v>
      </x:c>
      <x:c r="L456" s="37" t="n">
        <x:f>VLOOKUP(IF(B456="Pensioner",C456,Assumptions!$B$10),Mortality!$A$2:$E$104,5,FALSE)</x:f>
        <x:v>17.296790022132885</x:v>
      </x:c>
      <x:c r="M456" s="37" t="n">
        <x:f>1+Assumptions!$B$13*Assumptions!$B$14*Assumptions!$B$15</x:f>
        <x:v>1.31875</x:v>
      </x:c>
      <x:c r="N456" s="37" t="n">
        <x:f>IF(B456="Pensioner",1,1/(1+Assumptions!$B$6)^G456)</x:f>
        <x:v>0.5673532278293633</x:v>
      </x:c>
      <x:c r="O456" s="50" t="n">
        <x:f>J456*K456*L456*M456*N456</x:f>
        <x:v>9972664.980828317</x:v>
      </x:c>
    </x:row>
    <x:row r="457">
      <x:c r="A457" s="42" t="str">
        <x:f>Members!A457</x:f>
        <x:v>P0214</x:v>
      </x:c>
      <x:c r="B457" s="42" t="str">
        <x:f>Members!B457</x:f>
        <x:v>Pensioner</x:v>
      </x:c>
      <x:c r="C457" s="42" t="n">
        <x:f>Members!C457</x:f>
        <x:v>75</x:v>
      </x:c>
      <x:c r="D457" s="44" t="n">
        <x:f>Members!D457</x:f>
        <x:v>24.3</x:v>
      </x:c>
      <x:c r="E457" s="48" t="n">
        <x:f>Members!E457</x:f>
        <x:v>0</x:v>
      </x:c>
      <x:c r="F457" s="48" t="n">
        <x:f>Members!F457</x:f>
        <x:v>519000</x:v>
      </x:c>
      <x:c r="G457" s="46" t="n">
        <x:f>MAX(0,Assumptions!$B$10-C457)</x:f>
        <x:v>0</x:v>
      </x:c>
      <x:c r="H457" s="50" t="n">
        <x:f>IF(B457="Active",E457*(1+Assumptions!$B$7)^G457,E457)</x:f>
        <x:v>0</x:v>
      </x:c>
      <x:c r="I457" s="50" t="n">
        <x:f>IF(B457="Active",MIN(Assumptions!$B$12,D457+G457),IF(B457="Deferred",MIN(Assumptions!$B$12,D457),D457))</x:f>
        <x:v>24.3</x:v>
      </x:c>
      <x:c r="J457" s="50" t="n">
        <x:f>IF(B457="Active",H457*I457*Assumptions!$B$11,IF(B457="Deferred",E457*I457*Assumptions!$B$11*(1+Assumptions!$B$9)^G457,F457))</x:f>
        <x:v>519000</x:v>
      </x:c>
      <x:c r="K457" s="37" t="n">
        <x:f>IF(B457="Pensioner",1,VLOOKUP(Assumptions!$B$10,Mortality!$A$2:$F$104,6,FALSE)/VLOOKUP(C457,Mortality!$A$2:$F$104,6,FALSE))</x:f>
        <x:v>1</x:v>
      </x:c>
      <x:c r="L457" s="37" t="n">
        <x:f>VLOOKUP(IF(B457="Pensioner",C457,Assumptions!$B$10),Mortality!$A$2:$E$104,5,FALSE)</x:f>
        <x:v>10.662474804432929</x:v>
      </x:c>
      <x:c r="M457" s="37" t="n">
        <x:f>1+Assumptions!$B$13*Assumptions!$B$14*Assumptions!$B$15</x:f>
        <x:v>1.31875</x:v>
      </x:c>
      <x:c r="N457" s="37" t="n">
        <x:f>IF(B457="Pensioner",1,1/(1+Assumptions!$B$6)^G457)</x:f>
        <x:v>1</x:v>
      </x:c>
      <x:c r="O457" s="50" t="n">
        <x:f>J457*K457*L457*M457*N457</x:f>
        <x:v>7297730.958491535</x:v>
      </x:c>
    </x:row>
    <x:row r="458">
      <x:c r="A458" s="42" t="str">
        <x:f>Members!A458</x:f>
        <x:v>D0021</x:v>
      </x:c>
      <x:c r="B458" s="42" t="str">
        <x:f>Members!B458</x:f>
        <x:v>Deferred</x:v>
      </x:c>
      <x:c r="C458" s="42" t="n">
        <x:f>Members!C458</x:f>
        <x:v>55</x:v>
      </x:c>
      <x:c r="D458" s="44" t="n">
        <x:f>Members!D458</x:f>
        <x:v>10.6</x:v>
      </x:c>
      <x:c r="E458" s="48" t="n">
        <x:f>Members!E458</x:f>
        <x:v>1175000</x:v>
      </x:c>
      <x:c r="F458" s="48" t="n">
        <x:f>Members!F458</x:f>
        <x:v>0</x:v>
      </x:c>
      <x:c r="G458" s="46" t="n">
        <x:f>MAX(0,Assumptions!$B$10-C458)</x:f>
        <x:v>5</x:v>
      </x:c>
      <x:c r="H458" s="50" t="n">
        <x:f>IF(B458="Active",E458*(1+Assumptions!$B$7)^G458,E458)</x:f>
        <x:v>1175000</x:v>
      </x:c>
      <x:c r="I458" s="50" t="n">
        <x:f>IF(B458="Active",MIN(Assumptions!$B$12,D458+G458),IF(B458="Deferred",MIN(Assumptions!$B$12,D458),D458))</x:f>
        <x:v>10.6</x:v>
      </x:c>
      <x:c r="J458" s="50" t="n">
        <x:f>IF(B458="Active",H458*I458*Assumptions!$B$11,IF(B458="Deferred",E458*I458*Assumptions!$B$11*(1+Assumptions!$B$9)^G458,F458))</x:f>
        <x:v>252556.86498986676</x:v>
      </x:c>
      <x:c r="K458" s="37" t="n">
        <x:f>IF(B458="Pensioner",1,VLOOKUP(Assumptions!$B$10,Mortality!$A$2:$F$104,6,FALSE)/VLOOKUP(C458,Mortality!$A$2:$F$104,6,FALSE))</x:f>
        <x:v>0.9882419087499175</x:v>
      </x:c>
      <x:c r="L458" s="37" t="n">
        <x:f>VLOOKUP(IF(B458="Pensioner",C458,Assumptions!$B$10),Mortality!$A$2:$E$104,5,FALSE)</x:f>
        <x:v>17.296790022132885</x:v>
      </x:c>
      <x:c r="M458" s="37" t="n">
        <x:f>1+Assumptions!$B$13*Assumptions!$B$14*Assumptions!$B$15</x:f>
        <x:v>1.31875</x:v>
      </x:c>
      <x:c r="N458" s="37" t="n">
        <x:f>IF(B458="Pensioner",1,1/(1+Assumptions!$B$6)^G458)</x:f>
        <x:v>0.7298808365209549</x:v>
      </x:c>
      <x:c r="O458" s="50" t="n">
        <x:f>J458*K458*L458*M458*N458</x:f>
        <x:v>4155300.0788228074</x:v>
      </x:c>
    </x:row>
    <x:row r="459">
      <x:c r="A459" s="42" t="str">
        <x:f>Members!A459</x:f>
        <x:v>A0541</x:v>
      </x:c>
      <x:c r="B459" s="42" t="str">
        <x:f>Members!B459</x:f>
        <x:v>Active</x:v>
      </x:c>
      <x:c r="C459" s="42" t="n">
        <x:f>Members!C459</x:f>
        <x:v>42</x:v>
      </x:c>
      <x:c r="D459" s="44" t="n">
        <x:f>Members!D459</x:f>
        <x:v>10.6</x:v>
      </x:c>
      <x:c r="E459" s="48" t="n">
        <x:f>Members!E459</x:f>
        <x:v>1038000</x:v>
      </x:c>
      <x:c r="F459" s="48" t="n">
        <x:f>Members!F459</x:f>
        <x:v>0</x:v>
      </x:c>
      <x:c r="G459" s="46" t="n">
        <x:f>MAX(0,Assumptions!$B$10-C459)</x:f>
        <x:v>18</x:v>
      </x:c>
      <x:c r="H459" s="50" t="n">
        <x:f>IF(B459="Active",E459*(1+Assumptions!$B$7)^G459,E459)</x:f>
        <x:v>2721081.984004892</x:v>
      </x:c>
      <x:c r="I459" s="50" t="n">
        <x:f>IF(B459="Active",MIN(Assumptions!$B$12,D459+G459),IF(B459="Deferred",MIN(Assumptions!$B$12,D459),D459))</x:f>
        <x:v>28.6</x:v>
      </x:c>
      <x:c r="J459" s="50" t="n">
        <x:f>IF(B459="Active",H459*I459*Assumptions!$B$11,IF(B459="Deferred",E459*I459*Assumptions!$B$11*(1+Assumptions!$B$9)^G459,F459))</x:f>
        <x:v>1297049.0790423318</x:v>
      </x:c>
      <x:c r="K459" s="37" t="n">
        <x:f>IF(B459="Pensioner",1,VLOOKUP(Assumptions!$B$10,Mortality!$A$2:$F$104,6,FALSE)/VLOOKUP(C459,Mortality!$A$2:$F$104,6,FALSE))</x:f>
        <x:v>0.9750799707838386</x:v>
      </x:c>
      <x:c r="L459" s="37" t="n">
        <x:f>VLOOKUP(IF(B459="Pensioner",C459,Assumptions!$B$10),Mortality!$A$2:$E$104,5,FALSE)</x:f>
        <x:v>17.296790022132885</x:v>
      </x:c>
      <x:c r="M459" s="37" t="n">
        <x:f>1+Assumptions!$B$13*Assumptions!$B$14*Assumptions!$B$15</x:f>
        <x:v>1.31875</x:v>
      </x:c>
      <x:c r="N459" s="37" t="n">
        <x:f>IF(B459="Pensioner",1,1/(1+Assumptions!$B$6)^G459)</x:f>
        <x:v>0.3218896851283974</x:v>
      </x:c>
      <x:c r="O459" s="50" t="n">
        <x:f>J459*K459*L459*M459*N459</x:f>
        <x:v>9286064.400438253</x:v>
      </x:c>
    </x:row>
    <x:row r="460">
      <x:c r="A460" s="42" t="str">
        <x:f>Members!A460</x:f>
        <x:v>A0308</x:v>
      </x:c>
      <x:c r="B460" s="42" t="str">
        <x:f>Members!B460</x:f>
        <x:v>Active</x:v>
      </x:c>
      <x:c r="C460" s="42" t="n">
        <x:f>Members!C460</x:f>
        <x:v>56</x:v>
      </x:c>
      <x:c r="D460" s="44" t="n">
        <x:f>Members!D460</x:f>
        <x:v>4</x:v>
      </x:c>
      <x:c r="E460" s="48" t="n">
        <x:f>Members!E460</x:f>
        <x:v>1576000</x:v>
      </x:c>
      <x:c r="F460" s="48" t="n">
        <x:f>Members!F460</x:f>
        <x:v>0</x:v>
      </x:c>
      <x:c r="G460" s="46" t="n">
        <x:f>MAX(0,Assumptions!$B$10-C460)</x:f>
        <x:v>4</x:v>
      </x:c>
      <x:c r="H460" s="50" t="n">
        <x:f>IF(B460="Active",E460*(1+Assumptions!$B$7)^G460,E460)</x:f>
        <x:v>1952387.6493849996</x:v>
      </x:c>
      <x:c r="I460" s="50" t="n">
        <x:f>IF(B460="Active",MIN(Assumptions!$B$12,D460+G460),IF(B460="Deferred",MIN(Assumptions!$B$12,D460),D460))</x:f>
        <x:v>8</x:v>
      </x:c>
      <x:c r="J460" s="50" t="n">
        <x:f>IF(B460="Active",H460*I460*Assumptions!$B$11,IF(B460="Deferred",E460*I460*Assumptions!$B$11*(1+Assumptions!$B$9)^G460,F460))</x:f>
        <x:v>260318.3532513333</x:v>
      </x:c>
      <x:c r="K460" s="37" t="n">
        <x:f>IF(B460="Pensioner",1,VLOOKUP(Assumptions!$B$10,Mortality!$A$2:$F$104,6,FALSE)/VLOOKUP(C460,Mortality!$A$2:$F$104,6,FALSE))</x:f>
        <x:v>0.990116255810422</x:v>
      </x:c>
      <x:c r="L460" s="37" t="n">
        <x:f>VLOOKUP(IF(B460="Pensioner",C460,Assumptions!$B$10),Mortality!$A$2:$E$104,5,FALSE)</x:f>
        <x:v>17.296790022132885</x:v>
      </x:c>
      <x:c r="M460" s="37" t="n">
        <x:f>1+Assumptions!$B$13*Assumptions!$B$14*Assumptions!$B$15</x:f>
        <x:v>1.31875</x:v>
      </x:c>
      <x:c r="N460" s="37" t="n">
        <x:f>IF(B460="Pensioner",1,1/(1+Assumptions!$B$6)^G460)</x:f>
        <x:v>0.777323090894817</x:v>
      </x:c>
      <x:c r="O460" s="50" t="n">
        <x:f>J460*K460*L460*M460*N460</x:f>
        <x:v>4570045.604686143</x:v>
      </x:c>
    </x:row>
    <x:row r="461">
      <x:c r="A461" s="42" t="str">
        <x:f>Members!A461</x:f>
        <x:v>P0057</x:v>
      </x:c>
      <x:c r="B461" s="42" t="str">
        <x:f>Members!B461</x:f>
        <x:v>Pensioner</x:v>
      </x:c>
      <x:c r="C461" s="42" t="n">
        <x:f>Members!C461</x:f>
        <x:v>72</x:v>
      </x:c>
      <x:c r="D461" s="44" t="n">
        <x:f>Members!D461</x:f>
        <x:v>13.5</x:v>
      </x:c>
      <x:c r="E461" s="48" t="n">
        <x:f>Members!E461</x:f>
        <x:v>0</x:v>
      </x:c>
      <x:c r="F461" s="48" t="n">
        <x:f>Members!F461</x:f>
        <x:v>476000</x:v>
      </x:c>
      <x:c r="G461" s="46" t="n">
        <x:f>MAX(0,Assumptions!$B$10-C461)</x:f>
        <x:v>0</x:v>
      </x:c>
      <x:c r="H461" s="50" t="n">
        <x:f>IF(B461="Active",E461*(1+Assumptions!$B$7)^G461,E461)</x:f>
        <x:v>0</x:v>
      </x:c>
      <x:c r="I461" s="50" t="n">
        <x:f>IF(B461="Active",MIN(Assumptions!$B$12,D461+G461),IF(B461="Deferred",MIN(Assumptions!$B$12,D461),D461))</x:f>
        <x:v>13.5</x:v>
      </x:c>
      <x:c r="J461" s="50" t="n">
        <x:f>IF(B461="Active",H461*I461*Assumptions!$B$11,IF(B461="Deferred",E461*I461*Assumptions!$B$11*(1+Assumptions!$B$9)^G461,F461))</x:f>
        <x:v>476000</x:v>
      </x:c>
      <x:c r="K461" s="37" t="n">
        <x:f>IF(B461="Pensioner",1,VLOOKUP(Assumptions!$B$10,Mortality!$A$2:$F$104,6,FALSE)/VLOOKUP(C461,Mortality!$A$2:$F$104,6,FALSE))</x:f>
        <x:v>1</x:v>
      </x:c>
      <x:c r="L461" s="37" t="n">
        <x:f>VLOOKUP(IF(B461="Pensioner",C461,Assumptions!$B$10),Mortality!$A$2:$E$104,5,FALSE)</x:f>
        <x:v>12.047202362945457</x:v>
      </x:c>
      <x:c r="M461" s="37" t="n">
        <x:f>1+Assumptions!$B$13*Assumptions!$B$14*Assumptions!$B$15</x:f>
        <x:v>1.31875</x:v>
      </x:c>
      <x:c r="N461" s="37" t="n">
        <x:f>IF(B461="Pensioner",1,1/(1+Assumptions!$B$6)^G461)</x:f>
        <x:v>1</x:v>
      </x:c>
      <x:c r="O461" s="50" t="n">
        <x:f>J461*K461*L461*M461*N461</x:f>
        <x:v>7562330.103279938</x:v>
      </x:c>
    </x:row>
    <x:row r="462">
      <x:c r="A462" s="42" t="str">
        <x:f>Members!A462</x:f>
        <x:v>P0120</x:v>
      </x:c>
      <x:c r="B462" s="42" t="str">
        <x:f>Members!B462</x:f>
        <x:v>Pensioner</x:v>
      </x:c>
      <x:c r="C462" s="42" t="n">
        <x:f>Members!C462</x:f>
        <x:v>68</x:v>
      </x:c>
      <x:c r="D462" s="44" t="n">
        <x:f>Members!D462</x:f>
        <x:v>20.1</x:v>
      </x:c>
      <x:c r="E462" s="48" t="n">
        <x:f>Members!E462</x:f>
        <x:v>0</x:v>
      </x:c>
      <x:c r="F462" s="48" t="n">
        <x:f>Members!F462</x:f>
        <x:v>463000</x:v>
      </x:c>
      <x:c r="G462" s="46" t="n">
        <x:f>MAX(0,Assumptions!$B$10-C462)</x:f>
        <x:v>0</x:v>
      </x:c>
      <x:c r="H462" s="50" t="n">
        <x:f>IF(B462="Active",E462*(1+Assumptions!$B$7)^G462,E462)</x:f>
        <x:v>0</x:v>
      </x:c>
      <x:c r="I462" s="50" t="n">
        <x:f>IF(B462="Active",MIN(Assumptions!$B$12,D462+G462),IF(B462="Deferred",MIN(Assumptions!$B$12,D462),D462))</x:f>
        <x:v>20.1</x:v>
      </x:c>
      <x:c r="J462" s="50" t="n">
        <x:f>IF(B462="Active",H462*I462*Assumptions!$B$11,IF(B462="Deferred",E462*I462*Assumptions!$B$11*(1+Assumptions!$B$9)^G462,F462))</x:f>
        <x:v>463000</x:v>
      </x:c>
      <x:c r="K462" s="37" t="n">
        <x:f>IF(B462="Pensioner",1,VLOOKUP(Assumptions!$B$10,Mortality!$A$2:$F$104,6,FALSE)/VLOOKUP(C462,Mortality!$A$2:$F$104,6,FALSE))</x:f>
        <x:v>1</x:v>
      </x:c>
      <x:c r="L462" s="37" t="n">
        <x:f>VLOOKUP(IF(B462="Pensioner",C462,Assumptions!$B$10),Mortality!$A$2:$E$104,5,FALSE)</x:f>
        <x:v>13.869459484105445</x:v>
      </x:c>
      <x:c r="M462" s="37" t="n">
        <x:f>1+Assumptions!$B$13*Assumptions!$B$14*Assumptions!$B$15</x:f>
        <x:v>1.31875</x:v>
      </x:c>
      <x:c r="N462" s="37" t="n">
        <x:f>IF(B462="Pensioner",1,1/(1+Assumptions!$B$6)^G462)</x:f>
        <x:v>1</x:v>
      </x:c>
      <x:c r="O462" s="50" t="n">
        <x:f>J462*K462*L462*M462*N462</x:f>
        <x:v>8468431.908629458</x:v>
      </x:c>
    </x:row>
    <x:row r="463">
      <x:c r="A463" s="42" t="str">
        <x:f>Members!A463</x:f>
        <x:v>D0019</x:v>
      </x:c>
      <x:c r="B463" s="42" t="str">
        <x:f>Members!B463</x:f>
        <x:v>Deferred</x:v>
      </x:c>
      <x:c r="C463" s="42" t="n">
        <x:f>Members!C463</x:f>
        <x:v>46</x:v>
      </x:c>
      <x:c r="D463" s="44" t="n">
        <x:f>Members!D463</x:f>
        <x:v>7</x:v>
      </x:c>
      <x:c r="E463" s="48" t="n">
        <x:f>Members!E463</x:f>
        <x:v>593000</x:v>
      </x:c>
      <x:c r="F463" s="48" t="n">
        <x:f>Members!F463</x:f>
        <x:v>0</x:v>
      </x:c>
      <x:c r="G463" s="46" t="n">
        <x:f>MAX(0,Assumptions!$B$10-C463)</x:f>
        <x:v>14</x:v>
      </x:c>
      <x:c r="H463" s="50" t="n">
        <x:f>IF(B463="Active",E463*(1+Assumptions!$B$7)^G463,E463)</x:f>
        <x:v>593000</x:v>
      </x:c>
      <x:c r="I463" s="50" t="n">
        <x:f>IF(B463="Active",MIN(Assumptions!$B$12,D463+G463),IF(B463="Deferred",MIN(Assumptions!$B$12,D463),D463))</x:f>
        <x:v>7</x:v>
      </x:c>
      <x:c r="J463" s="50" t="n">
        <x:f>IF(B463="Active",H463*I463*Assumptions!$B$11,IF(B463="Deferred",E463*I463*Assumptions!$B$11*(1+Assumptions!$B$9)^G463,F463))</x:f>
        <x:v>119803.14889998735</x:v>
      </x:c>
      <x:c r="K463" s="37" t="n">
        <x:f>IF(B463="Pensioner",1,VLOOKUP(Assumptions!$B$10,Mortality!$A$2:$F$104,6,FALSE)/VLOOKUP(C463,Mortality!$A$2:$F$104,6,FALSE))</x:f>
        <x:v>0.9776582328304806</x:v>
      </x:c>
      <x:c r="L463" s="37" t="n">
        <x:f>VLOOKUP(IF(B463="Pensioner",C463,Assumptions!$B$10),Mortality!$A$2:$E$104,5,FALSE)</x:f>
        <x:v>17.296790022132885</x:v>
      </x:c>
      <x:c r="M463" s="37" t="n">
        <x:f>1+Assumptions!$B$13*Assumptions!$B$14*Assumptions!$B$15</x:f>
        <x:v>1.31875</x:v>
      </x:c>
      <x:c r="N463" s="37" t="n">
        <x:f>IF(B463="Pensioner",1,1/(1+Assumptions!$B$6)^G463)</x:f>
        <x:v>0.41410024853095956</x:v>
      </x:c>
      <x:c r="O463" s="50" t="n">
        <x:f>J463*K463*L463*M463*N463</x:f>
        <x:v>1106340.4007650912</x:v>
      </x:c>
    </x:row>
    <x:row r="464">
      <x:c r="A464" s="42" t="str">
        <x:f>Members!A464</x:f>
        <x:v>A0137</x:v>
      </x:c>
      <x:c r="B464" s="42" t="str">
        <x:f>Members!B464</x:f>
        <x:v>Active</x:v>
      </x:c>
      <x:c r="C464" s="42" t="n">
        <x:f>Members!C464</x:f>
        <x:v>28</x:v>
      </x:c>
      <x:c r="D464" s="44" t="n">
        <x:f>Members!D464</x:f>
        <x:v>1.9</x:v>
      </x:c>
      <x:c r="E464" s="48" t="n">
        <x:f>Members!E464</x:f>
        <x:v>412000</x:v>
      </x:c>
      <x:c r="F464" s="48" t="n">
        <x:f>Members!F464</x:f>
        <x:v>0</x:v>
      </x:c>
      <x:c r="G464" s="46" t="n">
        <x:f>MAX(0,Assumptions!$B$10-C464)</x:f>
        <x:v>32</x:v>
      </x:c>
      <x:c r="H464" s="50" t="n">
        <x:f>IF(B464="Active",E464*(1+Assumptions!$B$7)^G464,E464)</x:f>
        <x:v>2285472.1016995553</x:v>
      </x:c>
      <x:c r="I464" s="50" t="n">
        <x:f>IF(B464="Active",MIN(Assumptions!$B$12,D464+G464),IF(B464="Deferred",MIN(Assumptions!$B$12,D464),D464))</x:f>
        <x:v>33.9</x:v>
      </x:c>
      <x:c r="J464" s="50" t="n">
        <x:f>IF(B464="Active",H464*I464*Assumptions!$B$11,IF(B464="Deferred",E464*I464*Assumptions!$B$11*(1+Assumptions!$B$9)^G464,F464))</x:f>
        <x:v>1291291.7374602486</x:v>
      </x:c>
      <x:c r="K464" s="37" t="n">
        <x:f>IF(B464="Pensioner",1,VLOOKUP(Assumptions!$B$10,Mortality!$A$2:$F$104,6,FALSE)/VLOOKUP(C464,Mortality!$A$2:$F$104,6,FALSE))</x:f>
        <x:v>0.9697719614347323</x:v>
      </x:c>
      <x:c r="L464" s="37" t="n">
        <x:f>VLOOKUP(IF(B464="Pensioner",C464,Assumptions!$B$10),Mortality!$A$2:$E$104,5,FALSE)</x:f>
        <x:v>17.296790022132885</x:v>
      </x:c>
      <x:c r="M464" s="37" t="n">
        <x:f>1+Assumptions!$B$13*Assumptions!$B$14*Assumptions!$B$15</x:f>
        <x:v>1.31875</x:v>
      </x:c>
      <x:c r="N464" s="37" t="n">
        <x:f>IF(B464="Pensioner",1,1/(1+Assumptions!$B$6)^G464)</x:f>
        <x:v>0.13329459861122173</x:v>
      </x:c>
      <x:c r="O464" s="50" t="n">
        <x:f>J464*K464*L464*M464*N464</x:f>
        <x:v>3807452.8387919003</x:v>
      </x:c>
    </x:row>
    <x:row r="465">
      <x:c r="A465" s="42" t="str">
        <x:f>Members!A465</x:f>
        <x:v>A0246</x:v>
      </x:c>
      <x:c r="B465" s="42" t="str">
        <x:f>Members!B465</x:f>
        <x:v>Active</x:v>
      </x:c>
      <x:c r="C465" s="42" t="n">
        <x:f>Members!C465</x:f>
        <x:v>48</x:v>
      </x:c>
      <x:c r="D465" s="44" t="n">
        <x:f>Members!D465</x:f>
        <x:v>3</x:v>
      </x:c>
      <x:c r="E465" s="48" t="n">
        <x:f>Members!E465</x:f>
        <x:v>1180000</x:v>
      </x:c>
      <x:c r="F465" s="48" t="n">
        <x:f>Members!F465</x:f>
        <x:v>0</x:v>
      </x:c>
      <x:c r="G465" s="46" t="n">
        <x:f>MAX(0,Assumptions!$B$10-C465)</x:f>
        <x:v>12</x:v>
      </x:c>
      <x:c r="H465" s="50" t="n">
        <x:f>IF(B465="Active",E465*(1+Assumptions!$B$7)^G465,E465)</x:f>
        <x:v>2243424.833195629</x:v>
      </x:c>
      <x:c r="I465" s="50" t="n">
        <x:f>IF(B465="Active",MIN(Assumptions!$B$12,D465+G465),IF(B465="Deferred",MIN(Assumptions!$B$12,D465),D465))</x:f>
        <x:v>15</x:v>
      </x:c>
      <x:c r="J465" s="50" t="n">
        <x:f>IF(B465="Active",H465*I465*Assumptions!$B$11,IF(B465="Deferred",E465*I465*Assumptions!$B$11*(1+Assumptions!$B$9)^G465,F465))</x:f>
        <x:v>560856.2082989073</x:v>
      </x:c>
      <x:c r="K465" s="37" t="n">
        <x:f>IF(B465="Pensioner",1,VLOOKUP(Assumptions!$B$10,Mortality!$A$2:$F$104,6,FALSE)/VLOOKUP(C465,Mortality!$A$2:$F$104,6,FALSE))</x:f>
        <x:v>0.9793037429736591</x:v>
      </x:c>
      <x:c r="L465" s="37" t="n">
        <x:f>VLOOKUP(IF(B465="Pensioner",C465,Assumptions!$B$10),Mortality!$A$2:$E$104,5,FALSE)</x:f>
        <x:v>17.296790022132885</x:v>
      </x:c>
      <x:c r="M465" s="37" t="n">
        <x:f>1+Assumptions!$B$13*Assumptions!$B$14*Assumptions!$B$15</x:f>
        <x:v>1.31875</x:v>
      </x:c>
      <x:c r="N465" s="37" t="n">
        <x:f>IF(B465="Pensioner",1,1/(1+Assumptions!$B$6)^G465)</x:f>
        <x:v>0.4696828543900276</x:v>
      </x:c>
      <x:c r="O465" s="50" t="n">
        <x:f>J465*K465*L465*M465*N465</x:f>
        <x:v>5884392.571938029</x:v>
      </x:c>
    </x:row>
    <x:row r="466">
      <x:c r="A466" s="42" t="str">
        <x:f>Members!A466</x:f>
        <x:v>P0027</x:v>
      </x:c>
      <x:c r="B466" s="42" t="str">
        <x:f>Members!B466</x:f>
        <x:v>Pensioner</x:v>
      </x:c>
      <x:c r="C466" s="42" t="n">
        <x:f>Members!C466</x:f>
        <x:v>85</x:v>
      </x:c>
      <x:c r="D466" s="44" t="n">
        <x:f>Members!D466</x:f>
        <x:v>12.4</x:v>
      </x:c>
      <x:c r="E466" s="48" t="n">
        <x:f>Members!E466</x:f>
        <x:v>0</x:v>
      </x:c>
      <x:c r="F466" s="48" t="n">
        <x:f>Members!F466</x:f>
        <x:v>819000</x:v>
      </x:c>
      <x:c r="G466" s="46" t="n">
        <x:f>MAX(0,Assumptions!$B$10-C466)</x:f>
        <x:v>0</x:v>
      </x:c>
      <x:c r="H466" s="50" t="n">
        <x:f>IF(B466="Active",E466*(1+Assumptions!$B$7)^G466,E466)</x:f>
        <x:v>0</x:v>
      </x:c>
      <x:c r="I466" s="50" t="n">
        <x:f>IF(B466="Active",MIN(Assumptions!$B$12,D466+G466),IF(B466="Deferred",MIN(Assumptions!$B$12,D466),D466))</x:f>
        <x:v>12.4</x:v>
      </x:c>
      <x:c r="J466" s="50" t="n">
        <x:f>IF(B466="Active",H466*I466*Assumptions!$B$11,IF(B466="Deferred",E466*I466*Assumptions!$B$11*(1+Assumptions!$B$9)^G466,F466))</x:f>
        <x:v>819000</x:v>
      </x:c>
      <x:c r="K466" s="37" t="n">
        <x:f>IF(B466="Pensioner",1,VLOOKUP(Assumptions!$B$10,Mortality!$A$2:$F$104,6,FALSE)/VLOOKUP(C466,Mortality!$A$2:$F$104,6,FALSE))</x:f>
        <x:v>1</x:v>
      </x:c>
      <x:c r="L466" s="37" t="n">
        <x:f>VLOOKUP(IF(B466="Pensioner",C466,Assumptions!$B$10),Mortality!$A$2:$E$104,5,FALSE)</x:f>
        <x:v>6.2282827560748935</x:v>
      </x:c>
      <x:c r="M466" s="37" t="n">
        <x:f>1+Assumptions!$B$13*Assumptions!$B$14*Assumptions!$B$15</x:f>
        <x:v>1.31875</x:v>
      </x:c>
      <x:c r="N466" s="37" t="n">
        <x:f>IF(B466="Pensioner",1,1/(1+Assumptions!$B$6)^G466)</x:f>
        <x:v>1</x:v>
      </x:c>
      <x:c r="O466" s="50" t="n">
        <x:f>J466*K466*L466*M466*N466</x:f>
        <x:v>6726895.717465915</x:v>
      </x:c>
    </x:row>
    <x:row r="467">
      <x:c r="A467" s="42" t="str">
        <x:f>Members!A467</x:f>
        <x:v>A0482</x:v>
      </x:c>
      <x:c r="B467" s="42" t="str">
        <x:f>Members!B467</x:f>
        <x:v>Active</x:v>
      </x:c>
      <x:c r="C467" s="42" t="n">
        <x:f>Members!C467</x:f>
        <x:v>53</x:v>
      </x:c>
      <x:c r="D467" s="44" t="n">
        <x:f>Members!D467</x:f>
        <x:v>2.2</x:v>
      </x:c>
      <x:c r="E467" s="48" t="n">
        <x:f>Members!E467</x:f>
        <x:v>1445000</x:v>
      </x:c>
      <x:c r="F467" s="48" t="n">
        <x:f>Members!F467</x:f>
        <x:v>0</x:v>
      </x:c>
      <x:c r="G467" s="46" t="n">
        <x:f>MAX(0,Assumptions!$B$10-C467)</x:f>
        <x:v>7</x:v>
      </x:c>
      <x:c r="H467" s="50" t="n">
        <x:f>IF(B467="Active",E467*(1+Assumptions!$B$7)^G467,E467)</x:f>
        <x:v>2102011.3878383324</x:v>
      </x:c>
      <x:c r="I467" s="50" t="n">
        <x:f>IF(B467="Active",MIN(Assumptions!$B$12,D467+G467),IF(B467="Deferred",MIN(Assumptions!$B$12,D467),D467))</x:f>
        <x:v>9.2</x:v>
      </x:c>
      <x:c r="J467" s="50" t="n">
        <x:f>IF(B467="Active",H467*I467*Assumptions!$B$11,IF(B467="Deferred",E467*I467*Assumptions!$B$11*(1+Assumptions!$B$9)^G467,F467))</x:f>
        <x:v>322308.4128018776</x:v>
      </x:c>
      <x:c r="K467" s="37" t="n">
        <x:f>IF(B467="Pensioner",1,VLOOKUP(Assumptions!$B$10,Mortality!$A$2:$F$104,6,FALSE)/VLOOKUP(C467,Mortality!$A$2:$F$104,6,FALSE))</x:f>
        <x:v>0.9850300017431317</x:v>
      </x:c>
      <x:c r="L467" s="37" t="n">
        <x:f>VLOOKUP(IF(B467="Pensioner",C467,Assumptions!$B$10),Mortality!$A$2:$E$104,5,FALSE)</x:f>
        <x:v>17.296790022132885</x:v>
      </x:c>
      <x:c r="M467" s="37" t="n">
        <x:f>1+Assumptions!$B$13*Assumptions!$B$14*Assumptions!$B$15</x:f>
        <x:v>1.31875</x:v>
      </x:c>
      <x:c r="N467" s="37" t="n">
        <x:f>IF(B467="Pensioner",1,1/(1+Assumptions!$B$6)^G467)</x:f>
        <x:v>0.6435062148347594</x:v>
      </x:c>
      <x:c r="O467" s="50" t="n">
        <x:f>J467*K467*L467*M467*N467</x:f>
        <x:v>4660170.767202682</x:v>
      </x:c>
    </x:row>
    <x:row r="468">
      <x:c r="A468" s="42" t="str">
        <x:f>Members!A468</x:f>
        <x:v>A0294</x:v>
      </x:c>
      <x:c r="B468" s="42" t="str">
        <x:f>Members!B468</x:f>
        <x:v>Active</x:v>
      </x:c>
      <x:c r="C468" s="42" t="n">
        <x:f>Members!C468</x:f>
        <x:v>46</x:v>
      </x:c>
      <x:c r="D468" s="44" t="n">
        <x:f>Members!D468</x:f>
        <x:v>15.4</x:v>
      </x:c>
      <x:c r="E468" s="48" t="n">
        <x:f>Members!E468</x:f>
        <x:v>967000</x:v>
      </x:c>
      <x:c r="F468" s="48" t="n">
        <x:f>Members!F468</x:f>
        <x:v>0</x:v>
      </x:c>
      <x:c r="G468" s="46" t="n">
        <x:f>MAX(0,Assumptions!$B$10-C468)</x:f>
        <x:v>14</x:v>
      </x:c>
      <x:c r="H468" s="50" t="n">
        <x:f>IF(B468="Active",E468*(1+Assumptions!$B$7)^G468,E468)</x:f>
        <x:v>2046260.443596301</x:v>
      </x:c>
      <x:c r="I468" s="50" t="n">
        <x:f>IF(B468="Active",MIN(Assumptions!$B$12,D468+G468),IF(B468="Deferred",MIN(Assumptions!$B$12,D468),D468))</x:f>
        <x:v>29.4</x:v>
      </x:c>
      <x:c r="J468" s="50" t="n">
        <x:f>IF(B468="Active",H468*I468*Assumptions!$B$11,IF(B468="Deferred",E468*I468*Assumptions!$B$11*(1+Assumptions!$B$9)^G468,F468))</x:f>
        <x:v>1002667.6173621874</x:v>
      </x:c>
      <x:c r="K468" s="37" t="n">
        <x:f>IF(B468="Pensioner",1,VLOOKUP(Assumptions!$B$10,Mortality!$A$2:$F$104,6,FALSE)/VLOOKUP(C468,Mortality!$A$2:$F$104,6,FALSE))</x:f>
        <x:v>0.9776582328304806</x:v>
      </x:c>
      <x:c r="L468" s="37" t="n">
        <x:f>VLOOKUP(IF(B468="Pensioner",C468,Assumptions!$B$10),Mortality!$A$2:$E$104,5,FALSE)</x:f>
        <x:v>17.296790022132885</x:v>
      </x:c>
      <x:c r="M468" s="37" t="n">
        <x:f>1+Assumptions!$B$13*Assumptions!$B$14*Assumptions!$B$15</x:f>
        <x:v>1.31875</x:v>
      </x:c>
      <x:c r="N468" s="37" t="n">
        <x:f>IF(B468="Pensioner",1,1/(1+Assumptions!$B$6)^G468)</x:f>
        <x:v>0.41410024853095956</x:v>
      </x:c>
      <x:c r="O468" s="50" t="n">
        <x:f>J468*K468*L468*M468*N468</x:f>
        <x:v>9259286.619859276</x:v>
      </x:c>
    </x:row>
    <x:row r="469">
      <x:c r="A469" s="42" t="str">
        <x:f>Members!A469</x:f>
        <x:v>A0580</x:v>
      </x:c>
      <x:c r="B469" s="42" t="str">
        <x:f>Members!B469</x:f>
        <x:v>Active</x:v>
      </x:c>
      <x:c r="C469" s="42" t="n">
        <x:f>Members!C469</x:f>
        <x:v>25</x:v>
      </x:c>
      <x:c r="D469" s="44" t="n">
        <x:f>Members!D469</x:f>
        <x:v>1.1</x:v>
      </x:c>
      <x:c r="E469" s="48" t="n">
        <x:f>Members!E469</x:f>
        <x:v>584000</x:v>
      </x:c>
      <x:c r="F469" s="48" t="n">
        <x:f>Members!F469</x:f>
        <x:v>0</x:v>
      </x:c>
      <x:c r="G469" s="46" t="n">
        <x:f>MAX(0,Assumptions!$B$10-C469)</x:f>
        <x:v>35</x:v>
      </x:c>
      <x:c r="H469" s="50" t="n">
        <x:f>IF(B469="Active",E469*(1+Assumptions!$B$7)^G469,E469)</x:f>
        <x:v>3804073.804569694</x:v>
      </x:c>
      <x:c r="I469" s="50" t="n">
        <x:f>IF(B469="Active",MIN(Assumptions!$B$12,D469+G469),IF(B469="Deferred",MIN(Assumptions!$B$12,D469),D469))</x:f>
        <x:v>36.1</x:v>
      </x:c>
      <x:c r="J469" s="50" t="n">
        <x:f>IF(B469="Active",H469*I469*Assumptions!$B$11,IF(B469="Deferred",E469*I469*Assumptions!$B$11*(1+Assumptions!$B$9)^G469,F469))</x:f>
        <x:v>2288784.4057494327</x:v>
      </x:c>
      <x:c r="K469" s="37" t="n">
        <x:f>IF(B469="Pensioner",1,VLOOKUP(Assumptions!$B$10,Mortality!$A$2:$F$104,6,FALSE)/VLOOKUP(C469,Mortality!$A$2:$F$104,6,FALSE))</x:f>
        <x:v>0.9689672976041144</x:v>
      </x:c>
      <x:c r="L469" s="37" t="n">
        <x:f>VLOOKUP(IF(B469="Pensioner",C469,Assumptions!$B$10),Mortality!$A$2:$E$104,5,FALSE)</x:f>
        <x:v>17.296790022132885</x:v>
      </x:c>
      <x:c r="M469" s="37" t="n">
        <x:f>1+Assumptions!$B$13*Assumptions!$B$14*Assumptions!$B$15</x:f>
        <x:v>1.31875</x:v>
      </x:c>
      <x:c r="N469" s="37" t="n">
        <x:f>IF(B469="Pensioner",1,1/(1+Assumptions!$B$6)^G469)</x:f>
        <x:v>0.11034781240254267</x:v>
      </x:c>
      <x:c r="O469" s="50" t="n">
        <x:f>J469*K469*L469*M469*N469</x:f>
        <x:v>5582204.204983592</x:v>
      </x:c>
    </x:row>
    <x:row r="470">
      <x:c r="A470" s="42" t="str">
        <x:f>Members!A470</x:f>
        <x:v>A0244</x:v>
      </x:c>
      <x:c r="B470" s="42" t="str">
        <x:f>Members!B470</x:f>
        <x:v>Active</x:v>
      </x:c>
      <x:c r="C470" s="42" t="n">
        <x:f>Members!C470</x:f>
        <x:v>50</x:v>
      </x:c>
      <x:c r="D470" s="44" t="n">
        <x:f>Members!D470</x:f>
        <x:v>10</x:v>
      </x:c>
      <x:c r="E470" s="48" t="n">
        <x:f>Members!E470</x:f>
        <x:v>1177000</x:v>
      </x:c>
      <x:c r="F470" s="48" t="n">
        <x:f>Members!F470</x:f>
        <x:v>0</x:v>
      </x:c>
      <x:c r="G470" s="46" t="n">
        <x:f>MAX(0,Assumptions!$B$10-C470)</x:f>
        <x:v>10</x:v>
      </x:c>
      <x:c r="H470" s="50" t="n">
        <x:f>IF(B470="Active",E470*(1+Assumptions!$B$7)^G470,E470)</x:f>
        <x:v>2010486.027482179</x:v>
      </x:c>
      <x:c r="I470" s="50" t="n">
        <x:f>IF(B470="Active",MIN(Assumptions!$B$12,D470+G470),IF(B470="Deferred",MIN(Assumptions!$B$12,D470),D470))</x:f>
        <x:v>20</x:v>
      </x:c>
      <x:c r="J470" s="50" t="n">
        <x:f>IF(B470="Active",H470*I470*Assumptions!$B$11,IF(B470="Deferred",E470*I470*Assumptions!$B$11*(1+Assumptions!$B$9)^G470,F470))</x:f>
        <x:v>670162.0091607262</x:v>
      </x:c>
      <x:c r="K470" s="37" t="n">
        <x:f>IF(B470="Pensioner",1,VLOOKUP(Assumptions!$B$10,Mortality!$A$2:$F$104,6,FALSE)/VLOOKUP(C470,Mortality!$A$2:$F$104,6,FALSE))</x:f>
        <x:v>0.9812729933582415</x:v>
      </x:c>
      <x:c r="L470" s="37" t="n">
        <x:f>VLOOKUP(IF(B470="Pensioner",C470,Assumptions!$B$10),Mortality!$A$2:$E$104,5,FALSE)</x:f>
        <x:v>17.296790022132885</x:v>
      </x:c>
      <x:c r="M470" s="37" t="n">
        <x:f>1+Assumptions!$B$13*Assumptions!$B$14*Assumptions!$B$15</x:f>
        <x:v>1.31875</x:v>
      </x:c>
      <x:c r="N470" s="37" t="n">
        <x:f>IF(B470="Pensioner",1,1/(1+Assumptions!$B$6)^G470)</x:f>
        <x:v>0.5327260355205289</x:v>
      </x:c>
      <x:c r="O470" s="50" t="n">
        <x:f>J470*K470*L470*M470*N470</x:f>
        <x:v>7991007.880105443</x:v>
      </x:c>
    </x:row>
    <x:row r="471">
      <x:c r="A471" s="42" t="str">
        <x:f>Members!A471</x:f>
        <x:v>P0247</x:v>
      </x:c>
      <x:c r="B471" s="42" t="str">
        <x:f>Members!B471</x:f>
        <x:v>Pensioner</x:v>
      </x:c>
      <x:c r="C471" s="42" t="n">
        <x:f>Members!C471</x:f>
        <x:v>66</x:v>
      </x:c>
      <x:c r="D471" s="44" t="n">
        <x:f>Members!D471</x:f>
        <x:v>35.3</x:v>
      </x:c>
      <x:c r="E471" s="48" t="n">
        <x:f>Members!E471</x:f>
        <x:v>0</x:v>
      </x:c>
      <x:c r="F471" s="48" t="n">
        <x:f>Members!F471</x:f>
        <x:v>214000</x:v>
      </x:c>
      <x:c r="G471" s="46" t="n">
        <x:f>MAX(0,Assumptions!$B$10-C471)</x:f>
        <x:v>0</x:v>
      </x:c>
      <x:c r="H471" s="50" t="n">
        <x:f>IF(B471="Active",E471*(1+Assumptions!$B$7)^G471,E471)</x:f>
        <x:v>0</x:v>
      </x:c>
      <x:c r="I471" s="50" t="n">
        <x:f>IF(B471="Active",MIN(Assumptions!$B$12,D471+G471),IF(B471="Deferred",MIN(Assumptions!$B$12,D471),D471))</x:f>
        <x:v>35.3</x:v>
      </x:c>
      <x:c r="J471" s="50" t="n">
        <x:f>IF(B471="Active",H471*I471*Assumptions!$B$11,IF(B471="Deferred",E471*I471*Assumptions!$B$11*(1+Assumptions!$B$9)^G471,F471))</x:f>
        <x:v>214000</x:v>
      </x:c>
      <x:c r="K471" s="37" t="n">
        <x:f>IF(B471="Pensioner",1,VLOOKUP(Assumptions!$B$10,Mortality!$A$2:$F$104,6,FALSE)/VLOOKUP(C471,Mortality!$A$2:$F$104,6,FALSE))</x:f>
        <x:v>1</x:v>
      </x:c>
      <x:c r="L471" s="37" t="n">
        <x:f>VLOOKUP(IF(B471="Pensioner",C471,Assumptions!$B$10),Mortality!$A$2:$E$104,5,FALSE)</x:f>
        <x:v>14.759005103694845</x:v>
      </x:c>
      <x:c r="M471" s="37" t="n">
        <x:f>1+Assumptions!$B$13*Assumptions!$B$14*Assumptions!$B$15</x:f>
        <x:v>1.31875</x:v>
      </x:c>
      <x:c r="N471" s="37" t="n">
        <x:f>IF(B471="Pensioner",1,1/(1+Assumptions!$B$6)^G471)</x:f>
        <x:v>1</x:v>
      </x:c>
      <x:c r="O471" s="50" t="n">
        <x:f>J471*K471*L471*M471*N471</x:f>
        <x:v>4165175.7278264817</x:v>
      </x:c>
    </x:row>
    <x:row r="472">
      <x:c r="A472" s="42" t="str">
        <x:f>Members!A472</x:f>
        <x:v>D0029</x:v>
      </x:c>
      <x:c r="B472" s="42" t="str">
        <x:f>Members!B472</x:f>
        <x:v>Deferred</x:v>
      </x:c>
      <x:c r="C472" s="42" t="n">
        <x:f>Members!C472</x:f>
        <x:v>50</x:v>
      </x:c>
      <x:c r="D472" s="44" t="n">
        <x:f>Members!D472</x:f>
        <x:v>11.1</x:v>
      </x:c>
      <x:c r="E472" s="48" t="n">
        <x:f>Members!E472</x:f>
        <x:v>995000</x:v>
      </x:c>
      <x:c r="F472" s="48" t="n">
        <x:f>Members!F472</x:f>
        <x:v>0</x:v>
      </x:c>
      <x:c r="G472" s="46" t="n">
        <x:f>MAX(0,Assumptions!$B$10-C472)</x:f>
        <x:v>10</x:v>
      </x:c>
      <x:c r="H472" s="50" t="n">
        <x:f>IF(B472="Active",E472*(1+Assumptions!$B$7)^G472,E472)</x:f>
        <x:v>995000</x:v>
      </x:c>
      <x:c r="I472" s="50" t="n">
        <x:f>IF(B472="Active",MIN(Assumptions!$B$12,D472+G472),IF(B472="Deferred",MIN(Assumptions!$B$12,D472),D472))</x:f>
        <x:v>11.1</x:v>
      </x:c>
      <x:c r="J472" s="50" t="n">
        <x:f>IF(B472="Active",H472*I472*Assumptions!$B$11,IF(B472="Deferred",E472*I472*Assumptions!$B$11*(1+Assumptions!$B$9)^G472,F472))</x:f>
        <x:v>272475.9667463443</x:v>
      </x:c>
      <x:c r="K472" s="37" t="n">
        <x:f>IF(B472="Pensioner",1,VLOOKUP(Assumptions!$B$10,Mortality!$A$2:$F$104,6,FALSE)/VLOOKUP(C472,Mortality!$A$2:$F$104,6,FALSE))</x:f>
        <x:v>0.9812729933582415</x:v>
      </x:c>
      <x:c r="L472" s="37" t="n">
        <x:f>VLOOKUP(IF(B472="Pensioner",C472,Assumptions!$B$10),Mortality!$A$2:$E$104,5,FALSE)</x:f>
        <x:v>17.296790022132885</x:v>
      </x:c>
      <x:c r="M472" s="37" t="n">
        <x:f>1+Assumptions!$B$13*Assumptions!$B$14*Assumptions!$B$15</x:f>
        <x:v>1.31875</x:v>
      </x:c>
      <x:c r="N472" s="37" t="n">
        <x:f>IF(B472="Pensioner",1,1/(1+Assumptions!$B$6)^G472)</x:f>
        <x:v>0.5327260355205289</x:v>
      </x:c>
      <x:c r="O472" s="50" t="n">
        <x:f>J472*K472*L472*M472*N472</x:f>
        <x:v>3249001.8348491406</x:v>
      </x:c>
    </x:row>
    <x:row r="473">
      <x:c r="A473" s="42" t="str">
        <x:f>Members!A473</x:f>
        <x:v>D0100</x:v>
      </x:c>
      <x:c r="B473" s="42" t="str">
        <x:f>Members!B473</x:f>
        <x:v>Deferred</x:v>
      </x:c>
      <x:c r="C473" s="42" t="n">
        <x:f>Members!C473</x:f>
        <x:v>47</x:v>
      </x:c>
      <x:c r="D473" s="44" t="n">
        <x:f>Members!D473</x:f>
        <x:v>2.5</x:v>
      </x:c>
      <x:c r="E473" s="48" t="n">
        <x:f>Members!E473</x:f>
        <x:v>942000</x:v>
      </x:c>
      <x:c r="F473" s="48" t="n">
        <x:f>Members!F473</x:f>
        <x:v>0</x:v>
      </x:c>
      <x:c r="G473" s="46" t="n">
        <x:f>MAX(0,Assumptions!$B$10-C473)</x:f>
        <x:v>13</x:v>
      </x:c>
      <x:c r="H473" s="50" t="n">
        <x:f>IF(B473="Active",E473*(1+Assumptions!$B$7)^G473,E473)</x:f>
        <x:v>942000</x:v>
      </x:c>
      <x:c r="I473" s="50" t="n">
        <x:f>IF(B473="Active",MIN(Assumptions!$B$12,D473+G473),IF(B473="Deferred",MIN(Assumptions!$B$12,D473),D473))</x:f>
        <x:v>2.5</x:v>
      </x:c>
      <x:c r="J473" s="50" t="n">
        <x:f>IF(B473="Active",H473*I473*Assumptions!$B$11,IF(B473="Deferred",E473*I473*Assumptions!$B$11*(1+Assumptions!$B$9)^G473,F473))</x:f>
        <x:v>65354.13516193277</x:v>
      </x:c>
      <x:c r="K473" s="37" t="n">
        <x:f>IF(B473="Pensioner",1,VLOOKUP(Assumptions!$B$10,Mortality!$A$2:$F$104,6,FALSE)/VLOOKUP(C473,Mortality!$A$2:$F$104,6,FALSE))</x:f>
        <x:v>0.9784451675747989</x:v>
      </x:c>
      <x:c r="L473" s="37" t="n">
        <x:f>VLOOKUP(IF(B473="Pensioner",C473,Assumptions!$B$10),Mortality!$A$2:$E$104,5,FALSE)</x:f>
        <x:v>17.296790022132885</x:v>
      </x:c>
      <x:c r="M473" s="37" t="n">
        <x:f>1+Assumptions!$B$13*Assumptions!$B$14*Assumptions!$B$15</x:f>
        <x:v>1.31875</x:v>
      </x:c>
      <x:c r="N473" s="37" t="n">
        <x:f>IF(B473="Pensioner",1,1/(1+Assumptions!$B$6)^G473)</x:f>
        <x:v>0.4410167646854719</x:v>
      </x:c>
      <x:c r="O473" s="50" t="n">
        <x:f>J473*K473*L473*M473*N473</x:f>
        <x:v>643269.039642796</x:v>
      </x:c>
    </x:row>
    <x:row r="474">
      <x:c r="A474" s="42" t="str">
        <x:f>Members!A474</x:f>
        <x:v>D0080</x:v>
      </x:c>
      <x:c r="B474" s="42" t="str">
        <x:f>Members!B474</x:f>
        <x:v>Deferred</x:v>
      </x:c>
      <x:c r="C474" s="42" t="n">
        <x:f>Members!C474</x:f>
        <x:v>40</x:v>
      </x:c>
      <x:c r="D474" s="44" t="n">
        <x:f>Members!D474</x:f>
        <x:v>15.6</x:v>
      </x:c>
      <x:c r="E474" s="48" t="n">
        <x:f>Members!E474</x:f>
        <x:v>668000</x:v>
      </x:c>
      <x:c r="F474" s="48" t="n">
        <x:f>Members!F474</x:f>
        <x:v>0</x:v>
      </x:c>
      <x:c r="G474" s="46" t="n">
        <x:f>MAX(0,Assumptions!$B$10-C474)</x:f>
        <x:v>20</x:v>
      </x:c>
      <x:c r="H474" s="50" t="n">
        <x:f>IF(B474="Active",E474*(1+Assumptions!$B$7)^G474,E474)</x:f>
        <x:v>668000</x:v>
      </x:c>
      <x:c r="I474" s="50" t="n">
        <x:f>IF(B474="Active",MIN(Assumptions!$B$12,D474+G474),IF(B474="Deferred",MIN(Assumptions!$B$12,D474),D474))</x:f>
        <x:v>15.6</x:v>
      </x:c>
      <x:c r="J474" s="50" t="n">
        <x:f>IF(B474="Active",H474*I474*Assumptions!$B$11,IF(B474="Deferred",E474*I474*Assumptions!$B$11*(1+Assumptions!$B$9)^G474,F474))</x:f>
        <x:v>380554.2674820446</x:v>
      </x:c>
      <x:c r="K474" s="37" t="n">
        <x:f>IF(B474="Pensioner",1,VLOOKUP(Assumptions!$B$10,Mortality!$A$2:$F$104,6,FALSE)/VLOOKUP(C474,Mortality!$A$2:$F$104,6,FALSE))</x:f>
        <x:v>0.9740511243198767</x:v>
      </x:c>
      <x:c r="L474" s="37" t="n">
        <x:f>VLOOKUP(IF(B474="Pensioner",C474,Assumptions!$B$10),Mortality!$A$2:$E$104,5,FALSE)</x:f>
        <x:v>17.296790022132885</x:v>
      </x:c>
      <x:c r="M474" s="37" t="n">
        <x:f>1+Assumptions!$B$13*Assumptions!$B$14*Assumptions!$B$15</x:f>
        <x:v>1.31875</x:v>
      </x:c>
      <x:c r="N474" s="37" t="n">
        <x:f>IF(B474="Pensioner",1,1/(1+Assumptions!$B$6)^G474)</x:f>
        <x:v>0.2837970289214199</x:v>
      </x:c>
      <x:c r="O474" s="50" t="n">
        <x:f>J474*K474*L474*M474*N474</x:f>
        <x:v>2399574.1723392736</x:v>
      </x:c>
    </x:row>
    <x:row r="475">
      <x:c r="A475" s="42" t="str">
        <x:f>Members!A475</x:f>
        <x:v>A0466</x:v>
      </x:c>
      <x:c r="B475" s="42" t="str">
        <x:f>Members!B475</x:f>
        <x:v>Active</x:v>
      </x:c>
      <x:c r="C475" s="42" t="n">
        <x:f>Members!C475</x:f>
        <x:v>42</x:v>
      </x:c>
      <x:c r="D475" s="44" t="n">
        <x:f>Members!D475</x:f>
        <x:v>14.9</x:v>
      </x:c>
      <x:c r="E475" s="48" t="n">
        <x:f>Members!E475</x:f>
        <x:v>773000</x:v>
      </x:c>
      <x:c r="F475" s="48" t="n">
        <x:f>Members!F475</x:f>
        <x:v>0</x:v>
      </x:c>
      <x:c r="G475" s="46" t="n">
        <x:f>MAX(0,Assumptions!$B$10-C475)</x:f>
        <x:v>18</x:v>
      </x:c>
      <x:c r="H475" s="50" t="n">
        <x:f>IF(B475="Active",E475*(1+Assumptions!$B$7)^G475,E475)</x:f>
        <x:v>2026393.4235412152</x:v>
      </x:c>
      <x:c r="I475" s="50" t="n">
        <x:f>IF(B475="Active",MIN(Assumptions!$B$12,D475+G475),IF(B475="Deferred",MIN(Assumptions!$B$12,D475),D475))</x:f>
        <x:v>32.9</x:v>
      </x:c>
      <x:c r="J475" s="50" t="n">
        <x:f>IF(B475="Active",H475*I475*Assumptions!$B$11,IF(B475="Deferred",E475*I475*Assumptions!$B$11*(1+Assumptions!$B$9)^G475,F475))</x:f>
        <x:v>1111139.0605750997</x:v>
      </x:c>
      <x:c r="K475" s="37" t="n">
        <x:f>IF(B475="Pensioner",1,VLOOKUP(Assumptions!$B$10,Mortality!$A$2:$F$104,6,FALSE)/VLOOKUP(C475,Mortality!$A$2:$F$104,6,FALSE))</x:f>
        <x:v>0.9750799707838386</x:v>
      </x:c>
      <x:c r="L475" s="37" t="n">
        <x:f>VLOOKUP(IF(B475="Pensioner",C475,Assumptions!$B$10),Mortality!$A$2:$E$104,5,FALSE)</x:f>
        <x:v>17.296790022132885</x:v>
      </x:c>
      <x:c r="M475" s="37" t="n">
        <x:f>1+Assumptions!$B$13*Assumptions!$B$14*Assumptions!$B$15</x:f>
        <x:v>1.31875</x:v>
      </x:c>
      <x:c r="N475" s="37" t="n">
        <x:f>IF(B475="Pensioner",1,1/(1+Assumptions!$B$6)^G475)</x:f>
        <x:v>0.3218896851283974</x:v>
      </x:c>
      <x:c r="O475" s="50" t="n">
        <x:f>J475*K475*L475*M475*N475</x:f>
        <x:v>7955064.338784427</x:v>
      </x:c>
    </x:row>
    <x:row r="476">
      <x:c r="A476" s="42" t="str">
        <x:f>Members!A476</x:f>
        <x:v>P0085</x:v>
      </x:c>
      <x:c r="B476" s="42" t="str">
        <x:f>Members!B476</x:f>
        <x:v>Pensioner</x:v>
      </x:c>
      <x:c r="C476" s="42" t="n">
        <x:f>Members!C476</x:f>
        <x:v>82</x:v>
      </x:c>
      <x:c r="D476" s="44" t="n">
        <x:f>Members!D476</x:f>
        <x:v>13.7</x:v>
      </x:c>
      <x:c r="E476" s="48" t="n">
        <x:f>Members!E476</x:f>
        <x:v>0</x:v>
      </x:c>
      <x:c r="F476" s="48" t="n">
        <x:f>Members!F476</x:f>
        <x:v>419000</x:v>
      </x:c>
      <x:c r="G476" s="46" t="n">
        <x:f>MAX(0,Assumptions!$B$10-C476)</x:f>
        <x:v>0</x:v>
      </x:c>
      <x:c r="H476" s="50" t="n">
        <x:f>IF(B476="Active",E476*(1+Assumptions!$B$7)^G476,E476)</x:f>
        <x:v>0</x:v>
      </x:c>
      <x:c r="I476" s="50" t="n">
        <x:f>IF(B476="Active",MIN(Assumptions!$B$12,D476+G476),IF(B476="Deferred",MIN(Assumptions!$B$12,D476),D476))</x:f>
        <x:v>13.7</x:v>
      </x:c>
      <x:c r="J476" s="50" t="n">
        <x:f>IF(B476="Active",H476*I476*Assumptions!$B$11,IF(B476="Deferred",E476*I476*Assumptions!$B$11*(1+Assumptions!$B$9)^G476,F476))</x:f>
        <x:v>419000</x:v>
      </x:c>
      <x:c r="K476" s="37" t="n">
        <x:f>IF(B476="Pensioner",1,VLOOKUP(Assumptions!$B$10,Mortality!$A$2:$F$104,6,FALSE)/VLOOKUP(C476,Mortality!$A$2:$F$104,6,FALSE))</x:f>
        <x:v>1</x:v>
      </x:c>
      <x:c r="L476" s="37" t="n">
        <x:f>VLOOKUP(IF(B476="Pensioner",C476,Assumptions!$B$10),Mortality!$A$2:$E$104,5,FALSE)</x:f>
        <x:v>7.498462430808598</x:v>
      </x:c>
      <x:c r="M476" s="37" t="n">
        <x:f>1+Assumptions!$B$13*Assumptions!$B$14*Assumptions!$B$15</x:f>
        <x:v>1.31875</x:v>
      </x:c>
      <x:c r="N476" s="37" t="n">
        <x:f>IF(B476="Pensioner",1,1/(1+Assumptions!$B$6)^G476)</x:f>
        <x:v>1</x:v>
      </x:c>
      <x:c r="O476" s="50" t="n">
        <x:f>J476*K476*L476*M476*N476</x:f>
        <x:v>4143322.2815334834</x:v>
      </x:c>
    </x:row>
    <x:row r="477">
      <x:c r="A477" s="42" t="str">
        <x:f>Members!A477</x:f>
        <x:v>A0502</x:v>
      </x:c>
      <x:c r="B477" s="42" t="str">
        <x:f>Members!B477</x:f>
        <x:v>Active</x:v>
      </x:c>
      <x:c r="C477" s="42" t="n">
        <x:f>Members!C477</x:f>
        <x:v>37</x:v>
      </x:c>
      <x:c r="D477" s="44" t="n">
        <x:f>Members!D477</x:f>
        <x:v>5.2</x:v>
      </x:c>
      <x:c r="E477" s="48" t="n">
        <x:f>Members!E477</x:f>
        <x:v>979000</x:v>
      </x:c>
      <x:c r="F477" s="48" t="n">
        <x:f>Members!F477</x:f>
        <x:v>0</x:v>
      </x:c>
      <x:c r="G477" s="46" t="n">
        <x:f>MAX(0,Assumptions!$B$10-C477)</x:f>
        <x:v>23</x:v>
      </x:c>
      <x:c r="H477" s="50" t="n">
        <x:f>IF(B477="Active",E477*(1+Assumptions!$B$7)^G477,E477)</x:f>
        <x:v>3354202.3847621414</x:v>
      </x:c>
      <x:c r="I477" s="50" t="n">
        <x:f>IF(B477="Active",MIN(Assumptions!$B$12,D477+G477),IF(B477="Deferred",MIN(Assumptions!$B$12,D477),D477))</x:f>
        <x:v>28.2</x:v>
      </x:c>
      <x:c r="J477" s="50" t="n">
        <x:f>IF(B477="Active",H477*I477*Assumptions!$B$11,IF(B477="Deferred",E477*I477*Assumptions!$B$11*(1+Assumptions!$B$9)^G477,F477))</x:f>
        <x:v>1576475.1208382065</x:v>
      </x:c>
      <x:c r="K477" s="37" t="n">
        <x:f>IF(B477="Pensioner",1,VLOOKUP(Assumptions!$B$10,Mortality!$A$2:$F$104,6,FALSE)/VLOOKUP(C477,Mortality!$A$2:$F$104,6,FALSE))</x:f>
        <x:v>0.9727356141265188</x:v>
      </x:c>
      <x:c r="L477" s="37" t="n">
        <x:f>VLOOKUP(IF(B477="Pensioner",C477,Assumptions!$B$10),Mortality!$A$2:$E$104,5,FALSE)</x:f>
        <x:v>17.296790022132885</x:v>
      </x:c>
      <x:c r="M477" s="37" t="n">
        <x:f>1+Assumptions!$B$13*Assumptions!$B$14*Assumptions!$B$15</x:f>
        <x:v>1.31875</x:v>
      </x:c>
      <x:c r="N477" s="37" t="n">
        <x:f>IF(B477="Pensioner",1,1/(1+Assumptions!$B$6)^G477)</x:f>
        <x:v>0.23494111264898151</x:v>
      </x:c>
      <x:c r="O477" s="50" t="n">
        <x:f>J477*K477*L477*M477*N477</x:f>
        <x:v>8218053.137933203</x:v>
      </x:c>
    </x:row>
    <x:row r="478">
      <x:c r="A478" s="42" t="str">
        <x:f>Members!A478</x:f>
        <x:v>P0047</x:v>
      </x:c>
      <x:c r="B478" s="42" t="str">
        <x:f>Members!B478</x:f>
        <x:v>Pensioner</x:v>
      </x:c>
      <x:c r="C478" s="42" t="n">
        <x:f>Members!C478</x:f>
        <x:v>70</x:v>
      </x:c>
      <x:c r="D478" s="44" t="n">
        <x:f>Members!D478</x:f>
        <x:v>30.7</x:v>
      </x:c>
      <x:c r="E478" s="48" t="n">
        <x:f>Members!E478</x:f>
        <x:v>0</x:v>
      </x:c>
      <x:c r="F478" s="48" t="n">
        <x:f>Members!F478</x:f>
        <x:v>277000</x:v>
      </x:c>
      <x:c r="G478" s="46" t="n">
        <x:f>MAX(0,Assumptions!$B$10-C478)</x:f>
        <x:v>0</x:v>
      </x:c>
      <x:c r="H478" s="50" t="n">
        <x:f>IF(B478="Active",E478*(1+Assumptions!$B$7)^G478,E478)</x:f>
        <x:v>0</x:v>
      </x:c>
      <x:c r="I478" s="50" t="n">
        <x:f>IF(B478="Active",MIN(Assumptions!$B$12,D478+G478),IF(B478="Deferred",MIN(Assumptions!$B$12,D478),D478))</x:f>
        <x:v>30.7</x:v>
      </x:c>
      <x:c r="J478" s="50" t="n">
        <x:f>IF(B478="Active",H478*I478*Assumptions!$B$11,IF(B478="Deferred",E478*I478*Assumptions!$B$11*(1+Assumptions!$B$9)^G478,F478))</x:f>
        <x:v>277000</x:v>
      </x:c>
      <x:c r="K478" s="37" t="n">
        <x:f>IF(B478="Pensioner",1,VLOOKUP(Assumptions!$B$10,Mortality!$A$2:$F$104,6,FALSE)/VLOOKUP(C478,Mortality!$A$2:$F$104,6,FALSE))</x:f>
        <x:v>1</x:v>
      </x:c>
      <x:c r="L478" s="37" t="n">
        <x:f>VLOOKUP(IF(B478="Pensioner",C478,Assumptions!$B$10),Mortality!$A$2:$E$104,5,FALSE)</x:f>
        <x:v>12.963998211865617</x:v>
      </x:c>
      <x:c r="M478" s="37" t="n">
        <x:f>1+Assumptions!$B$13*Assumptions!$B$14*Assumptions!$B$15</x:f>
        <x:v>1.31875</x:v>
      </x:c>
      <x:c r="N478" s="37" t="n">
        <x:f>IF(B478="Pensioner",1,1/(1+Assumptions!$B$6)^G478)</x:f>
        <x:v>1</x:v>
      </x:c>
      <x:c r="O478" s="50" t="n">
        <x:f>J478*K478*L478*M478*N478</x:f>
        <x:v>4735667.521805686</x:v>
      </x:c>
    </x:row>
    <x:row r="479">
      <x:c r="A479" s="42" t="str">
        <x:f>Members!A479</x:f>
        <x:v>P0232</x:v>
      </x:c>
      <x:c r="B479" s="42" t="str">
        <x:f>Members!B479</x:f>
        <x:v>Pensioner</x:v>
      </x:c>
      <x:c r="C479" s="42" t="n">
        <x:f>Members!C479</x:f>
        <x:v>83</x:v>
      </x:c>
      <x:c r="D479" s="44" t="n">
        <x:f>Members!D479</x:f>
        <x:v>21.1</x:v>
      </x:c>
      <x:c r="E479" s="48" t="n">
        <x:f>Members!E479</x:f>
        <x:v>0</x:v>
      </x:c>
      <x:c r="F479" s="48" t="n">
        <x:f>Members!F479</x:f>
        <x:v>790000</x:v>
      </x:c>
      <x:c r="G479" s="46" t="n">
        <x:f>MAX(0,Assumptions!$B$10-C479)</x:f>
        <x:v>0</x:v>
      </x:c>
      <x:c r="H479" s="50" t="n">
        <x:f>IF(B479="Active",E479*(1+Assumptions!$B$7)^G479,E479)</x:f>
        <x:v>0</x:v>
      </x:c>
      <x:c r="I479" s="50" t="n">
        <x:f>IF(B479="Active",MIN(Assumptions!$B$12,D479+G479),IF(B479="Deferred",MIN(Assumptions!$B$12,D479),D479))</x:f>
        <x:v>21.1</x:v>
      </x:c>
      <x:c r="J479" s="50" t="n">
        <x:f>IF(B479="Active",H479*I479*Assumptions!$B$11,IF(B479="Deferred",E479*I479*Assumptions!$B$11*(1+Assumptions!$B$9)^G479,F479))</x:f>
        <x:v>790000</x:v>
      </x:c>
      <x:c r="K479" s="37" t="n">
        <x:f>IF(B479="Pensioner",1,VLOOKUP(Assumptions!$B$10,Mortality!$A$2:$F$104,6,FALSE)/VLOOKUP(C479,Mortality!$A$2:$F$104,6,FALSE))</x:f>
        <x:v>1</x:v>
      </x:c>
      <x:c r="L479" s="37" t="n">
        <x:f>VLOOKUP(IF(B479="Pensioner",C479,Assumptions!$B$10),Mortality!$A$2:$E$104,5,FALSE)</x:f>
        <x:v>7.066956273830788</x:v>
      </x:c>
      <x:c r="M479" s="37" t="n">
        <x:f>1+Assumptions!$B$13*Assumptions!$B$14*Assumptions!$B$15</x:f>
        <x:v>1.31875</x:v>
      </x:c>
      <x:c r="N479" s="37" t="n">
        <x:f>IF(B479="Pensioner",1,1/(1+Assumptions!$B$6)^G479)</x:f>
        <x:v>1</x:v>
      </x:c>
      <x:c r="O479" s="50" t="n">
        <x:f>J479*K479*L479*M479*N479</x:f>
        <x:v>7362443.383030338</x:v>
      </x:c>
    </x:row>
    <x:row r="480">
      <x:c r="A480" s="42" t="str">
        <x:f>Members!A480</x:f>
        <x:v>A0455</x:v>
      </x:c>
      <x:c r="B480" s="42" t="str">
        <x:f>Members!B480</x:f>
        <x:v>Active</x:v>
      </x:c>
      <x:c r="C480" s="42" t="n">
        <x:f>Members!C480</x:f>
        <x:v>41</x:v>
      </x:c>
      <x:c r="D480" s="44" t="n">
        <x:f>Members!D480</x:f>
        <x:v>14</x:v>
      </x:c>
      <x:c r="E480" s="48" t="n">
        <x:f>Members!E480</x:f>
        <x:v>736000</x:v>
      </x:c>
      <x:c r="F480" s="48" t="n">
        <x:f>Members!F480</x:f>
        <x:v>0</x:v>
      </x:c>
      <x:c r="G480" s="46" t="n">
        <x:f>MAX(0,Assumptions!$B$10-C480)</x:f>
        <x:v>19</x:v>
      </x:c>
      <x:c r="H480" s="50" t="n">
        <x:f>IF(B480="Active",E480*(1+Assumptions!$B$7)^G480,E480)</x:f>
        <x:v>2035516.1261465494</x:v>
      </x:c>
      <x:c r="I480" s="50" t="n">
        <x:f>IF(B480="Active",MIN(Assumptions!$B$12,D480+G480),IF(B480="Deferred",MIN(Assumptions!$B$12,D480),D480))</x:f>
        <x:v>33</x:v>
      </x:c>
      <x:c r="J480" s="50" t="n">
        <x:f>IF(B480="Active",H480*I480*Assumptions!$B$11,IF(B480="Deferred",E480*I480*Assumptions!$B$11*(1+Assumptions!$B$9)^G480,F480))</x:f>
        <x:v>1119533.8693806021</x:v>
      </x:c>
      <x:c r="K480" s="37" t="n">
        <x:f>IF(B480="Pensioner",1,VLOOKUP(Assumptions!$B$10,Mortality!$A$2:$F$104,6,FALSE)/VLOOKUP(C480,Mortality!$A$2:$F$104,6,FALSE))</x:f>
        <x:v>0.9745478954079534</x:v>
      </x:c>
      <x:c r="L480" s="37" t="n">
        <x:f>VLOOKUP(IF(B480="Pensioner",C480,Assumptions!$B$10),Mortality!$A$2:$E$104,5,FALSE)</x:f>
        <x:v>17.296790022132885</x:v>
      </x:c>
      <x:c r="M480" s="37" t="n">
        <x:f>1+Assumptions!$B$13*Assumptions!$B$14*Assumptions!$B$15</x:f>
        <x:v>1.31875</x:v>
      </x:c>
      <x:c r="N480" s="37" t="n">
        <x:f>IF(B480="Pensioner",1,1/(1+Assumptions!$B$6)^G480)</x:f>
        <x:v>0.30224383580131214</x:v>
      </x:c>
      <x:c r="O480" s="50" t="n">
        <x:f>J480*K480*L480*M480*N480</x:f>
        <x:v>7521870.68772365</x:v>
      </x:c>
    </x:row>
    <x:row r="481">
      <x:c r="A481" s="42" t="str">
        <x:f>Members!A481</x:f>
        <x:v>A0563</x:v>
      </x:c>
      <x:c r="B481" s="42" t="str">
        <x:f>Members!B481</x:f>
        <x:v>Active</x:v>
      </x:c>
      <x:c r="C481" s="42" t="n">
        <x:f>Members!C481</x:f>
        <x:v>46</x:v>
      </x:c>
      <x:c r="D481" s="44" t="n">
        <x:f>Members!D481</x:f>
        <x:v>23.5</x:v>
      </x:c>
      <x:c r="E481" s="48" t="n">
        <x:f>Members!E481</x:f>
        <x:v>1448000</x:v>
      </x:c>
      <x:c r="F481" s="48" t="n">
        <x:f>Members!F481</x:f>
        <x:v>0</x:v>
      </x:c>
      <x:c r="G481" s="46" t="n">
        <x:f>MAX(0,Assumptions!$B$10-C481)</x:f>
        <x:v>14</x:v>
      </x:c>
      <x:c r="H481" s="50" t="n">
        <x:f>IF(B481="Active",E481*(1+Assumptions!$B$7)^G481,E481)</x:f>
        <x:v>3064100.436739859</x:v>
      </x:c>
      <x:c r="I481" s="50" t="n">
        <x:f>IF(B481="Active",MIN(Assumptions!$B$12,D481+G481),IF(B481="Deferred",MIN(Assumptions!$B$12,D481),D481))</x:f>
        <x:v>37.5</x:v>
      </x:c>
      <x:c r="J481" s="50" t="n">
        <x:f>IF(B481="Active",H481*I481*Assumptions!$B$11,IF(B481="Deferred",E481*I481*Assumptions!$B$11*(1+Assumptions!$B$9)^G481,F481))</x:f>
        <x:v>1915062.7729624119</x:v>
      </x:c>
      <x:c r="K481" s="37" t="n">
        <x:f>IF(B481="Pensioner",1,VLOOKUP(Assumptions!$B$10,Mortality!$A$2:$F$104,6,FALSE)/VLOOKUP(C481,Mortality!$A$2:$F$104,6,FALSE))</x:f>
        <x:v>0.9776582328304806</x:v>
      </x:c>
      <x:c r="L481" s="37" t="n">
        <x:f>VLOOKUP(IF(B481="Pensioner",C481,Assumptions!$B$10),Mortality!$A$2:$E$104,5,FALSE)</x:f>
        <x:v>17.296790022132885</x:v>
      </x:c>
      <x:c r="M481" s="37" t="n">
        <x:f>1+Assumptions!$B$13*Assumptions!$B$14*Assumptions!$B$15</x:f>
        <x:v>1.31875</x:v>
      </x:c>
      <x:c r="N481" s="37" t="n">
        <x:f>IF(B481="Pensioner",1,1/(1+Assumptions!$B$6)^G481)</x:f>
        <x:v>0.41410024853095956</x:v>
      </x:c>
      <x:c r="O481" s="50" t="n">
        <x:f>J481*K481*L481*M481*N481</x:f>
        <x:v>17684938.4609937</x:v>
      </x:c>
    </x:row>
    <x:row r="482">
      <x:c r="A482" s="42" t="str">
        <x:f>Members!A482</x:f>
        <x:v>A0204</x:v>
      </x:c>
      <x:c r="B482" s="42" t="str">
        <x:f>Members!B482</x:f>
        <x:v>Active</x:v>
      </x:c>
      <x:c r="C482" s="42" t="n">
        <x:f>Members!C482</x:f>
        <x:v>42</x:v>
      </x:c>
      <x:c r="D482" s="44" t="n">
        <x:f>Members!D482</x:f>
        <x:v>7.6</x:v>
      </x:c>
      <x:c r="E482" s="48" t="n">
        <x:f>Members!E482</x:f>
        <x:v>1113000</x:v>
      </x:c>
      <x:c r="F482" s="48" t="n">
        <x:f>Members!F482</x:f>
        <x:v>0</x:v>
      </x:c>
      <x:c r="G482" s="46" t="n">
        <x:f>MAX(0,Assumptions!$B$10-C482)</x:f>
        <x:v>18</x:v>
      </x:c>
      <x:c r="H482" s="50" t="n">
        <x:f>IF(B482="Active",E482*(1+Assumptions!$B$7)^G482,E482)</x:f>
        <x:v>2917691.953947442</x:v>
      </x:c>
      <x:c r="I482" s="50" t="n">
        <x:f>IF(B482="Active",MIN(Assumptions!$B$12,D482+G482),IF(B482="Deferred",MIN(Assumptions!$B$12,D482),D482))</x:f>
        <x:v>25.6</x:v>
      </x:c>
      <x:c r="J482" s="50" t="n">
        <x:f>IF(B482="Active",H482*I482*Assumptions!$B$11,IF(B482="Deferred",E482*I482*Assumptions!$B$11*(1+Assumptions!$B$9)^G482,F482))</x:f>
        <x:v>1244881.9003509087</x:v>
      </x:c>
      <x:c r="K482" s="37" t="n">
        <x:f>IF(B482="Pensioner",1,VLOOKUP(Assumptions!$B$10,Mortality!$A$2:$F$104,6,FALSE)/VLOOKUP(C482,Mortality!$A$2:$F$104,6,FALSE))</x:f>
        <x:v>0.9750799707838386</x:v>
      </x:c>
      <x:c r="L482" s="37" t="n">
        <x:f>VLOOKUP(IF(B482="Pensioner",C482,Assumptions!$B$10),Mortality!$A$2:$E$104,5,FALSE)</x:f>
        <x:v>17.296790022132885</x:v>
      </x:c>
      <x:c r="M482" s="37" t="n">
        <x:f>1+Assumptions!$B$13*Assumptions!$B$14*Assumptions!$B$15</x:f>
        <x:v>1.31875</x:v>
      </x:c>
      <x:c r="N482" s="37" t="n">
        <x:f>IF(B482="Pensioner",1,1/(1+Assumptions!$B$6)^G482)</x:f>
        <x:v>0.3218896851283974</x:v>
      </x:c>
      <x:c r="O482" s="50" t="n">
        <x:f>J482*K482*L482*M482*N482</x:f>
        <x:v>8912579.858684907</x:v>
      </x:c>
    </x:row>
    <x:row r="483">
      <x:c r="A483" s="42" t="str">
        <x:f>Members!A483</x:f>
        <x:v>D0054</x:v>
      </x:c>
      <x:c r="B483" s="42" t="str">
        <x:f>Members!B483</x:f>
        <x:v>Deferred</x:v>
      </x:c>
      <x:c r="C483" s="42" t="n">
        <x:f>Members!C483</x:f>
        <x:v>49</x:v>
      </x:c>
      <x:c r="D483" s="44" t="n">
        <x:f>Members!D483</x:f>
        <x:v>9.1</x:v>
      </x:c>
      <x:c r="E483" s="48" t="n">
        <x:f>Members!E483</x:f>
        <x:v>882000</x:v>
      </x:c>
      <x:c r="F483" s="48" t="n">
        <x:f>Members!F483</x:f>
        <x:v>0</x:v>
      </x:c>
      <x:c r="G483" s="46" t="n">
        <x:f>MAX(0,Assumptions!$B$10-C483)</x:f>
        <x:v>11</x:v>
      </x:c>
      <x:c r="H483" s="50" t="n">
        <x:f>IF(B483="Active",E483*(1+Assumptions!$B$7)^G483,E483)</x:f>
        <x:v>882000</x:v>
      </x:c>
      <x:c r="I483" s="50" t="n">
        <x:f>IF(B483="Active",MIN(Assumptions!$B$12,D483+G483),IF(B483="Deferred",MIN(Assumptions!$B$12,D483),D483))</x:f>
        <x:v>9.1</x:v>
      </x:c>
      <x:c r="J483" s="50" t="n">
        <x:f>IF(B483="Active",H483*I483*Assumptions!$B$11,IF(B483="Deferred",E483*I483*Assumptions!$B$11*(1+Assumptions!$B$9)^G483,F483))</x:f>
        <x:v>205932.769113268</x:v>
      </x:c>
      <x:c r="K483" s="37" t="n">
        <x:f>IF(B483="Pensioner",1,VLOOKUP(Assumptions!$B$10,Mortality!$A$2:$F$104,6,FALSE)/VLOOKUP(C483,Mortality!$A$2:$F$104,6,FALSE))</x:f>
        <x:v>0.9802429662359576</x:v>
      </x:c>
      <x:c r="L483" s="37" t="n">
        <x:f>VLOOKUP(IF(B483="Pensioner",C483,Assumptions!$B$10),Mortality!$A$2:$E$104,5,FALSE)</x:f>
        <x:v>17.296790022132885</x:v>
      </x:c>
      <x:c r="M483" s="37" t="n">
        <x:f>1+Assumptions!$B$13*Assumptions!$B$14*Assumptions!$B$15</x:f>
        <x:v>1.31875</x:v>
      </x:c>
      <x:c r="N483" s="37" t="n">
        <x:f>IF(B483="Pensioner",1,1/(1+Assumptions!$B$6)^G483)</x:f>
        <x:v>0.5002122399253793</x:v>
      </x:c>
      <x:c r="O483" s="50" t="n">
        <x:f>J483*K483*L483*M483*N483</x:f>
        <x:v>2303252.1986612002</x:v>
      </x:c>
    </x:row>
    <x:row r="484">
      <x:c r="A484" s="42" t="str">
        <x:f>Members!A484</x:f>
        <x:v>A0061</x:v>
      </x:c>
      <x:c r="B484" s="42" t="str">
        <x:f>Members!B484</x:f>
        <x:v>Active</x:v>
      </x:c>
      <x:c r="C484" s="42" t="n">
        <x:f>Members!C484</x:f>
        <x:v>52</x:v>
      </x:c>
      <x:c r="D484" s="44" t="n">
        <x:f>Members!D484</x:f>
        <x:v>5.5</x:v>
      </x:c>
      <x:c r="E484" s="48" t="n">
        <x:f>Members!E484</x:f>
        <x:v>1485000</x:v>
      </x:c>
      <x:c r="F484" s="48" t="n">
        <x:f>Members!F484</x:f>
        <x:v>0</x:v>
      </x:c>
      <x:c r="G484" s="46" t="n">
        <x:f>MAX(0,Assumptions!$B$10-C484)</x:f>
        <x:v>8</x:v>
      </x:c>
      <x:c r="H484" s="50" t="n">
        <x:f>IF(B484="Active",E484*(1+Assumptions!$B$7)^G484,E484)</x:f>
        <x:v>2279009.474769287</x:v>
      </x:c>
      <x:c r="I484" s="50" t="n">
        <x:f>IF(B484="Active",MIN(Assumptions!$B$12,D484+G484),IF(B484="Deferred",MIN(Assumptions!$B$12,D484),D484))</x:f>
        <x:v>13.5</x:v>
      </x:c>
      <x:c r="J484" s="50" t="n">
        <x:f>IF(B484="Active",H484*I484*Assumptions!$B$11,IF(B484="Deferred",E484*I484*Assumptions!$B$11*(1+Assumptions!$B$9)^G484,F484))</x:f>
        <x:v>512777.1318230895</x:v>
      </x:c>
      <x:c r="K484" s="37" t="n">
        <x:f>IF(B484="Pensioner",1,VLOOKUP(Assumptions!$B$10,Mortality!$A$2:$F$104,6,FALSE)/VLOOKUP(C484,Mortality!$A$2:$F$104,6,FALSE))</x:f>
        <x:v>0.9836527516879843</x:v>
      </x:c>
      <x:c r="L484" s="37" t="n">
        <x:f>VLOOKUP(IF(B484="Pensioner",C484,Assumptions!$B$10),Mortality!$A$2:$E$104,5,FALSE)</x:f>
        <x:v>17.296790022132885</x:v>
      </x:c>
      <x:c r="M484" s="37" t="n">
        <x:f>1+Assumptions!$B$13*Assumptions!$B$14*Assumptions!$B$15</x:f>
        <x:v>1.31875</x:v>
      </x:c>
      <x:c r="N484" s="37" t="n">
        <x:f>IF(B484="Pensioner",1,1/(1+Assumptions!$B$6)^G484)</x:f>
        <x:v>0.6042311876382719</x:v>
      </x:c>
      <x:c r="O484" s="50" t="n">
        <x:f>J484*K484*L484*M484*N484</x:f>
        <x:v>6951869.063687279</x:v>
      </x:c>
    </x:row>
    <x:row r="485">
      <x:c r="A485" s="42" t="str">
        <x:f>Members!A485</x:f>
        <x:v>D0123</x:v>
      </x:c>
      <x:c r="B485" s="42" t="str">
        <x:f>Members!B485</x:f>
        <x:v>Deferred</x:v>
      </x:c>
      <x:c r="C485" s="42" t="n">
        <x:f>Members!C485</x:f>
        <x:v>57</x:v>
      </x:c>
      <x:c r="D485" s="44" t="n">
        <x:f>Members!D485</x:f>
        <x:v>8.9</x:v>
      </x:c>
      <x:c r="E485" s="48" t="n">
        <x:f>Members!E485</x:f>
        <x:v>1167000</x:v>
      </x:c>
      <x:c r="F485" s="48" t="n">
        <x:f>Members!F485</x:f>
        <x:v>0</x:v>
      </x:c>
      <x:c r="G485" s="46" t="n">
        <x:f>MAX(0,Assumptions!$B$10-C485)</x:f>
        <x:v>3</x:v>
      </x:c>
      <x:c r="H485" s="50" t="n">
        <x:f>IF(B485="Active",E485*(1+Assumptions!$B$7)^G485,E485)</x:f>
        <x:v>1167000</x:v>
      </x:c>
      <x:c r="I485" s="50" t="n">
        <x:f>IF(B485="Active",MIN(Assumptions!$B$12,D485+G485),IF(B485="Deferred",MIN(Assumptions!$B$12,D485),D485))</x:f>
        <x:v>8.9</x:v>
      </x:c>
      <x:c r="J485" s="50" t="n">
        <x:f>IF(B485="Active",H485*I485*Assumptions!$B$11,IF(B485="Deferred",E485*I485*Assumptions!$B$11*(1+Assumptions!$B$9)^G485,F485))</x:f>
        <x:v>194719.58272</x:v>
      </x:c>
      <x:c r="K485" s="37" t="n">
        <x:f>IF(B485="Pensioner",1,VLOOKUP(Assumptions!$B$10,Mortality!$A$2:$F$104,6,FALSE)/VLOOKUP(C485,Mortality!$A$2:$F$104,6,FALSE))</x:f>
        <x:v>0.9922003892921417</x:v>
      </x:c>
      <x:c r="L485" s="37" t="n">
        <x:f>VLOOKUP(IF(B485="Pensioner",C485,Assumptions!$B$10),Mortality!$A$2:$E$104,5,FALSE)</x:f>
        <x:v>17.296790022132885</x:v>
      </x:c>
      <x:c r="M485" s="37" t="n">
        <x:f>1+Assumptions!$B$13*Assumptions!$B$14*Assumptions!$B$15</x:f>
        <x:v>1.31875</x:v>
      </x:c>
      <x:c r="N485" s="37" t="n">
        <x:f>IF(B485="Pensioner",1,1/(1+Assumptions!$B$6)^G485)</x:f>
        <x:v>0.8278490918029799</x:v>
      </x:c>
      <x:c r="O485" s="50" t="n">
        <x:f>J485*K485*L485*M485*N485</x:f>
        <x:v>3648280.197215019</x:v>
      </x:c>
    </x:row>
    <x:row r="486">
      <x:c r="A486" s="42" t="str">
        <x:f>Members!A486</x:f>
        <x:v>P0248</x:v>
      </x:c>
      <x:c r="B486" s="42" t="str">
        <x:f>Members!B486</x:f>
        <x:v>Pensioner</x:v>
      </x:c>
      <x:c r="C486" s="42" t="n">
        <x:f>Members!C486</x:f>
        <x:v>60</x:v>
      </x:c>
      <x:c r="D486" s="44" t="n">
        <x:f>Members!D486</x:f>
        <x:v>14.8</x:v>
      </x:c>
      <x:c r="E486" s="48" t="n">
        <x:f>Members!E486</x:f>
        <x:v>0</x:v>
      </x:c>
      <x:c r="F486" s="48" t="n">
        <x:f>Members!F486</x:f>
        <x:v>206000</x:v>
      </x:c>
      <x:c r="G486" s="46" t="n">
        <x:f>MAX(0,Assumptions!$B$10-C486)</x:f>
        <x:v>0</x:v>
      </x:c>
      <x:c r="H486" s="50" t="n">
        <x:f>IF(B486="Active",E486*(1+Assumptions!$B$7)^G486,E486)</x:f>
        <x:v>0</x:v>
      </x:c>
      <x:c r="I486" s="50" t="n">
        <x:f>IF(B486="Active",MIN(Assumptions!$B$12,D486+G486),IF(B486="Deferred",MIN(Assumptions!$B$12,D486),D486))</x:f>
        <x:v>14.8</x:v>
      </x:c>
      <x:c r="J486" s="50" t="n">
        <x:f>IF(B486="Active",H486*I486*Assumptions!$B$11,IF(B486="Deferred",E486*I486*Assumptions!$B$11*(1+Assumptions!$B$9)^G486,F486))</x:f>
        <x:v>206000</x:v>
      </x:c>
      <x:c r="K486" s="37" t="n">
        <x:f>IF(B486="Pensioner",1,VLOOKUP(Assumptions!$B$10,Mortality!$A$2:$F$104,6,FALSE)/VLOOKUP(C486,Mortality!$A$2:$F$104,6,FALSE))</x:f>
        <x:v>1</x:v>
      </x:c>
      <x:c r="L486" s="37" t="n">
        <x:f>VLOOKUP(IF(B486="Pensioner",C486,Assumptions!$B$10),Mortality!$A$2:$E$104,5,FALSE)</x:f>
        <x:v>17.296790022132885</x:v>
      </x:c>
      <x:c r="M486" s="37" t="n">
        <x:f>1+Assumptions!$B$13*Assumptions!$B$14*Assumptions!$B$15</x:f>
        <x:v>1.31875</x:v>
      </x:c>
      <x:c r="N486" s="37" t="n">
        <x:f>IF(B486="Pensioner",1,1/(1+Assumptions!$B$6)^G486)</x:f>
        <x:v>1</x:v>
      </x:c>
      <x:c r="O486" s="50" t="n">
        <x:f>J486*K486*L486*M486*N486</x:f>
        <x:v>4698889.219387675</x:v>
      </x:c>
    </x:row>
    <x:row r="487">
      <x:c r="A487" s="42" t="str">
        <x:f>Members!A487</x:f>
        <x:v>A0462</x:v>
      </x:c>
      <x:c r="B487" s="42" t="str">
        <x:f>Members!B487</x:f>
        <x:v>Active</x:v>
      </x:c>
      <x:c r="C487" s="42" t="n">
        <x:f>Members!C487</x:f>
        <x:v>48</x:v>
      </x:c>
      <x:c r="D487" s="44" t="n">
        <x:f>Members!D487</x:f>
        <x:v>9.9</x:v>
      </x:c>
      <x:c r="E487" s="48" t="n">
        <x:f>Members!E487</x:f>
        <x:v>1541000</x:v>
      </x:c>
      <x:c r="F487" s="48" t="n">
        <x:f>Members!F487</x:f>
        <x:v>0</x:v>
      </x:c>
      <x:c r="G487" s="46" t="n">
        <x:f>MAX(0,Assumptions!$B$10-C487)</x:f>
        <x:v>12</x:v>
      </x:c>
      <x:c r="H487" s="50" t="n">
        <x:f>IF(B487="Active",E487*(1+Assumptions!$B$7)^G487,E487)</x:f>
        <x:v>2929760.735554631</x:v>
      </x:c>
      <x:c r="I487" s="50" t="n">
        <x:f>IF(B487="Active",MIN(Assumptions!$B$12,D487+G487),IF(B487="Deferred",MIN(Assumptions!$B$12,D487),D487))</x:f>
        <x:v>21.9</x:v>
      </x:c>
      <x:c r="J487" s="50" t="n">
        <x:f>IF(B487="Active",H487*I487*Assumptions!$B$11,IF(B487="Deferred",E487*I487*Assumptions!$B$11*(1+Assumptions!$B$9)^G487,F487))</x:f>
        <x:v>1069362.6684774403</x:v>
      </x:c>
      <x:c r="K487" s="37" t="n">
        <x:f>IF(B487="Pensioner",1,VLOOKUP(Assumptions!$B$10,Mortality!$A$2:$F$104,6,FALSE)/VLOOKUP(C487,Mortality!$A$2:$F$104,6,FALSE))</x:f>
        <x:v>0.9793037429736591</x:v>
      </x:c>
      <x:c r="L487" s="37" t="n">
        <x:f>VLOOKUP(IF(B487="Pensioner",C487,Assumptions!$B$10),Mortality!$A$2:$E$104,5,FALSE)</x:f>
        <x:v>17.296790022132885</x:v>
      </x:c>
      <x:c r="M487" s="37" t="n">
        <x:f>1+Assumptions!$B$13*Assumptions!$B$14*Assumptions!$B$15</x:f>
        <x:v>1.31875</x:v>
      </x:c>
      <x:c r="N487" s="37" t="n">
        <x:f>IF(B487="Pensioner",1,1/(1+Assumptions!$B$6)^G487)</x:f>
        <x:v>0.4696828543900276</x:v>
      </x:c>
      <x:c r="O487" s="50" t="n">
        <x:f>J487*K487*L487*M487*N487</x:f>
        <x:v>11219541.9253394</x:v>
      </x:c>
    </x:row>
    <x:row r="488">
      <x:c r="A488" s="42" t="str">
        <x:f>Members!A488</x:f>
        <x:v>P0234</x:v>
      </x:c>
      <x:c r="B488" s="42" t="str">
        <x:f>Members!B488</x:f>
        <x:v>Pensioner</x:v>
      </x:c>
      <x:c r="C488" s="42" t="n">
        <x:f>Members!C488</x:f>
        <x:v>77</x:v>
      </x:c>
      <x:c r="D488" s="44" t="n">
        <x:f>Members!D488</x:f>
        <x:v>31.3</x:v>
      </x:c>
      <x:c r="E488" s="48" t="n">
        <x:f>Members!E488</x:f>
        <x:v>0</x:v>
      </x:c>
      <x:c r="F488" s="48" t="n">
        <x:f>Members!F488</x:f>
        <x:v>404000</x:v>
      </x:c>
      <x:c r="G488" s="46" t="n">
        <x:f>MAX(0,Assumptions!$B$10-C488)</x:f>
        <x:v>0</x:v>
      </x:c>
      <x:c r="H488" s="50" t="n">
        <x:f>IF(B488="Active",E488*(1+Assumptions!$B$7)^G488,E488)</x:f>
        <x:v>0</x:v>
      </x:c>
      <x:c r="I488" s="50" t="n">
        <x:f>IF(B488="Active",MIN(Assumptions!$B$12,D488+G488),IF(B488="Deferred",MIN(Assumptions!$B$12,D488),D488))</x:f>
        <x:v>31.3</x:v>
      </x:c>
      <x:c r="J488" s="50" t="n">
        <x:f>IF(B488="Active",H488*I488*Assumptions!$B$11,IF(B488="Deferred",E488*I488*Assumptions!$B$11*(1+Assumptions!$B$9)^G488,F488))</x:f>
        <x:v>404000</x:v>
      </x:c>
      <x:c r="K488" s="37" t="n">
        <x:f>IF(B488="Pensioner",1,VLOOKUP(Assumptions!$B$10,Mortality!$A$2:$F$104,6,FALSE)/VLOOKUP(C488,Mortality!$A$2:$F$104,6,FALSE))</x:f>
        <x:v>1</x:v>
      </x:c>
      <x:c r="L488" s="37" t="n">
        <x:f>VLOOKUP(IF(B488="Pensioner",C488,Assumptions!$B$10),Mortality!$A$2:$E$104,5,FALSE)</x:f>
        <x:v>9.741818456431972</x:v>
      </x:c>
      <x:c r="M488" s="37" t="n">
        <x:f>1+Assumptions!$B$13*Assumptions!$B$14*Assumptions!$B$15</x:f>
        <x:v>1.31875</x:v>
      </x:c>
      <x:c r="N488" s="37" t="n">
        <x:f>IF(B488="Pensioner",1,1/(1+Assumptions!$B$6)^G488)</x:f>
        <x:v>1</x:v>
      </x:c>
      <x:c r="O488" s="50" t="n">
        <x:f>J488*K488*L488*M488*N488</x:f>
        <x:v>5190197.328125544</x:v>
      </x:c>
    </x:row>
    <x:row r="489">
      <x:c r="A489" s="42" t="str">
        <x:f>Members!A489</x:f>
        <x:v>D0043</x:v>
      </x:c>
      <x:c r="B489" s="42" t="str">
        <x:f>Members!B489</x:f>
        <x:v>Deferred</x:v>
      </x:c>
      <x:c r="C489" s="42" t="n">
        <x:f>Members!C489</x:f>
        <x:v>55</x:v>
      </x:c>
      <x:c r="D489" s="44" t="n">
        <x:f>Members!D489</x:f>
        <x:v>19.5</x:v>
      </x:c>
      <x:c r="E489" s="48" t="n">
        <x:f>Members!E489</x:f>
        <x:v>1387000</x:v>
      </x:c>
      <x:c r="F489" s="48" t="n">
        <x:f>Members!F489</x:f>
        <x:v>0</x:v>
      </x:c>
      <x:c r="G489" s="46" t="n">
        <x:f>MAX(0,Assumptions!$B$10-C489)</x:f>
        <x:v>5</x:v>
      </x:c>
      <x:c r="H489" s="50" t="n">
        <x:f>IF(B489="Active",E489*(1+Assumptions!$B$7)^G489,E489)</x:f>
        <x:v>1387000</x:v>
      </x:c>
      <x:c r="I489" s="50" t="n">
        <x:f>IF(B489="Active",MIN(Assumptions!$B$12,D489+G489),IF(B489="Deferred",MIN(Assumptions!$B$12,D489),D489))</x:f>
        <x:v>19.5</x:v>
      </x:c>
      <x:c r="J489" s="50" t="n">
        <x:f>IF(B489="Active",H489*I489*Assumptions!$B$11,IF(B489="Deferred",E489*I489*Assumptions!$B$11*(1+Assumptions!$B$9)^G489,F489))</x:f>
        <x:v>548436.7120793601</x:v>
      </x:c>
      <x:c r="K489" s="37" t="n">
        <x:f>IF(B489="Pensioner",1,VLOOKUP(Assumptions!$B$10,Mortality!$A$2:$F$104,6,FALSE)/VLOOKUP(C489,Mortality!$A$2:$F$104,6,FALSE))</x:f>
        <x:v>0.9882419087499175</x:v>
      </x:c>
      <x:c r="L489" s="37" t="n">
        <x:f>VLOOKUP(IF(B489="Pensioner",C489,Assumptions!$B$10),Mortality!$A$2:$E$104,5,FALSE)</x:f>
        <x:v>17.296790022132885</x:v>
      </x:c>
      <x:c r="M489" s="37" t="n">
        <x:f>1+Assumptions!$B$13*Assumptions!$B$14*Assumptions!$B$15</x:f>
        <x:v>1.31875</x:v>
      </x:c>
      <x:c r="N489" s="37" t="n">
        <x:f>IF(B489="Pensioner",1,1/(1+Assumptions!$B$6)^G489)</x:f>
        <x:v>0.7298808365209549</x:v>
      </x:c>
      <x:c r="O489" s="50" t="n">
        <x:f>J489*K489*L489*M489*N489</x:f>
        <x:v>9023390.090877645</x:v>
      </x:c>
    </x:row>
    <x:row r="490">
      <x:c r="A490" s="42" t="str">
        <x:f>Members!A490</x:f>
        <x:v>P0092</x:v>
      </x:c>
      <x:c r="B490" s="42" t="str">
        <x:f>Members!B490</x:f>
        <x:v>Pensioner</x:v>
      </x:c>
      <x:c r="C490" s="42" t="n">
        <x:f>Members!C490</x:f>
        <x:v>88</x:v>
      </x:c>
      <x:c r="D490" s="44" t="n">
        <x:f>Members!D490</x:f>
        <x:v>26.2</x:v>
      </x:c>
      <x:c r="E490" s="48" t="n">
        <x:f>Members!E490</x:f>
        <x:v>0</x:v>
      </x:c>
      <x:c r="F490" s="48" t="n">
        <x:f>Members!F490</x:f>
        <x:v>375000</x:v>
      </x:c>
      <x:c r="G490" s="46" t="n">
        <x:f>MAX(0,Assumptions!$B$10-C490)</x:f>
        <x:v>0</x:v>
      </x:c>
      <x:c r="H490" s="50" t="n">
        <x:f>IF(B490="Active",E490*(1+Assumptions!$B$7)^G490,E490)</x:f>
        <x:v>0</x:v>
      </x:c>
      <x:c r="I490" s="50" t="n">
        <x:f>IF(B490="Active",MIN(Assumptions!$B$12,D490+G490),IF(B490="Deferred",MIN(Assumptions!$B$12,D490),D490))</x:f>
        <x:v>26.2</x:v>
      </x:c>
      <x:c r="J490" s="50" t="n">
        <x:f>IF(B490="Active",H490*I490*Assumptions!$B$11,IF(B490="Deferred",E490*I490*Assumptions!$B$11*(1+Assumptions!$B$9)^G490,F490))</x:f>
        <x:v>375000</x:v>
      </x:c>
      <x:c r="K490" s="37" t="n">
        <x:f>IF(B490="Pensioner",1,VLOOKUP(Assumptions!$B$10,Mortality!$A$2:$F$104,6,FALSE)/VLOOKUP(C490,Mortality!$A$2:$F$104,6,FALSE))</x:f>
        <x:v>1</x:v>
      </x:c>
      <x:c r="L490" s="37" t="n">
        <x:f>VLOOKUP(IF(B490="Pensioner",C490,Assumptions!$B$10),Mortality!$A$2:$E$104,5,FALSE)</x:f>
        <x:v>5.043742896221734</x:v>
      </x:c>
      <x:c r="M490" s="37" t="n">
        <x:f>1+Assumptions!$B$13*Assumptions!$B$14*Assumptions!$B$15</x:f>
        <x:v>1.31875</x:v>
      </x:c>
      <x:c r="N490" s="37" t="n">
        <x:f>IF(B490="Pensioner",1,1/(1+Assumptions!$B$6)^G490)</x:f>
        <x:v>1</x:v>
      </x:c>
      <x:c r="O490" s="50" t="n">
        <x:f>J490*K490*L490*M490*N490</x:f>
        <x:v>2494288.4791471544</x:v>
      </x:c>
    </x:row>
    <x:row r="491">
      <x:c r="A491" s="42" t="str">
        <x:f>Members!A491</x:f>
        <x:v>D0087</x:v>
      </x:c>
      <x:c r="B491" s="42" t="str">
        <x:f>Members!B491</x:f>
        <x:v>Deferred</x:v>
      </x:c>
      <x:c r="C491" s="42" t="n">
        <x:f>Members!C491</x:f>
        <x:v>55</x:v>
      </x:c>
      <x:c r="D491" s="44" t="n">
        <x:f>Members!D491</x:f>
        <x:v>24.7</x:v>
      </x:c>
      <x:c r="E491" s="48" t="n">
        <x:f>Members!E491</x:f>
        <x:v>989000</x:v>
      </x:c>
      <x:c r="F491" s="48" t="n">
        <x:f>Members!F491</x:f>
        <x:v>0</x:v>
      </x:c>
      <x:c r="G491" s="46" t="n">
        <x:f>MAX(0,Assumptions!$B$10-C491)</x:f>
        <x:v>5</x:v>
      </x:c>
      <x:c r="H491" s="50" t="n">
        <x:f>IF(B491="Active",E491*(1+Assumptions!$B$7)^G491,E491)</x:f>
        <x:v>989000</x:v>
      </x:c>
      <x:c r="I491" s="50" t="n">
        <x:f>IF(B491="Active",MIN(Assumptions!$B$12,D491+G491),IF(B491="Deferred",MIN(Assumptions!$B$12,D491),D491))</x:f>
        <x:v>24.7</x:v>
      </x:c>
      <x:c r="J491" s="50" t="n">
        <x:f>IF(B491="Active",H491*I491*Assumptions!$B$11,IF(B491="Deferred",E491*I491*Assumptions!$B$11*(1+Assumptions!$B$9)^G491,F491))</x:f>
        <x:v>495346.0349282988</x:v>
      </x:c>
      <x:c r="K491" s="37" t="n">
        <x:f>IF(B491="Pensioner",1,VLOOKUP(Assumptions!$B$10,Mortality!$A$2:$F$104,6,FALSE)/VLOOKUP(C491,Mortality!$A$2:$F$104,6,FALSE))</x:f>
        <x:v>0.9882419087499175</x:v>
      </x:c>
      <x:c r="L491" s="37" t="n">
        <x:f>VLOOKUP(IF(B491="Pensioner",C491,Assumptions!$B$10),Mortality!$A$2:$E$104,5,FALSE)</x:f>
        <x:v>17.296790022132885</x:v>
      </x:c>
      <x:c r="M491" s="37" t="n">
        <x:f>1+Assumptions!$B$13*Assumptions!$B$14*Assumptions!$B$15</x:f>
        <x:v>1.31875</x:v>
      </x:c>
      <x:c r="N491" s="37" t="n">
        <x:f>IF(B491="Pensioner",1,1/(1+Assumptions!$B$6)^G491)</x:f>
        <x:v>0.7298808365209549</x:v>
      </x:c>
      <x:c r="O491" s="50" t="n">
        <x:f>J491*K491*L491*M491*N491</x:f>
        <x:v>8149892.967925104</x:v>
      </x:c>
    </x:row>
    <x:row r="492">
      <x:c r="A492" s="42" t="str">
        <x:f>Members!A492</x:f>
        <x:v>A0247</x:v>
      </x:c>
      <x:c r="B492" s="42" t="str">
        <x:f>Members!B492</x:f>
        <x:v>Active</x:v>
      </x:c>
      <x:c r="C492" s="42" t="n">
        <x:f>Members!C492</x:f>
        <x:v>39</x:v>
      </x:c>
      <x:c r="D492" s="44" t="n">
        <x:f>Members!D492</x:f>
        <x:v>9</x:v>
      </x:c>
      <x:c r="E492" s="48" t="n">
        <x:f>Members!E492</x:f>
        <x:v>784000</x:v>
      </x:c>
      <x:c r="F492" s="48" t="n">
        <x:f>Members!F492</x:f>
        <x:v>0</x:v>
      </x:c>
      <x:c r="G492" s="46" t="n">
        <x:f>MAX(0,Assumptions!$B$10-C492)</x:f>
        <x:v>21</x:v>
      </x:c>
      <x:c r="H492" s="50" t="n">
        <x:f>IF(B492="Active",E492*(1+Assumptions!$B$7)^G492,E492)</x:f>
        <x:v>2413335.5756284543</x:v>
      </x:c>
      <x:c r="I492" s="50" t="n">
        <x:f>IF(B492="Active",MIN(Assumptions!$B$12,D492+G492),IF(B492="Deferred",MIN(Assumptions!$B$12,D492),D492))</x:f>
        <x:v>30</x:v>
      </x:c>
      <x:c r="J492" s="50" t="n">
        <x:f>IF(B492="Active",H492*I492*Assumptions!$B$11,IF(B492="Deferred",E492*I492*Assumptions!$B$11*(1+Assumptions!$B$9)^G492,F492))</x:f>
        <x:v>1206667.7878142272</x:v>
      </x:c>
      <x:c r="K492" s="37" t="n">
        <x:f>IF(B492="Pensioner",1,VLOOKUP(Assumptions!$B$10,Mortality!$A$2:$F$104,6,FALSE)/VLOOKUP(C492,Mortality!$A$2:$F$104,6,FALSE))</x:f>
        <x:v>0.973585741778878</x:v>
      </x:c>
      <x:c r="L492" s="37" t="n">
        <x:f>VLOOKUP(IF(B492="Pensioner",C492,Assumptions!$B$10),Mortality!$A$2:$E$104,5,FALSE)</x:f>
        <x:v>17.296790022132885</x:v>
      </x:c>
      <x:c r="M492" s="37" t="n">
        <x:f>1+Assumptions!$B$13*Assumptions!$B$14*Assumptions!$B$15</x:f>
        <x:v>1.31875</x:v>
      </x:c>
      <x:c r="N492" s="37" t="n">
        <x:f>IF(B492="Pensioner",1,1/(1+Assumptions!$B$6)^G492)</x:f>
        <x:v>0.26647608349429097</x:v>
      </x:c>
      <x:c r="O492" s="50" t="n">
        <x:f>J492*K492*L492*M492*N492</x:f>
        <x:v>7140821.004194876</x:v>
      </x:c>
    </x:row>
    <x:row r="493">
      <x:c r="A493" s="42" t="str">
        <x:f>Members!A493</x:f>
        <x:v>A0275</x:v>
      </x:c>
      <x:c r="B493" s="42" t="str">
        <x:f>Members!B493</x:f>
        <x:v>Active</x:v>
      </x:c>
      <x:c r="C493" s="42" t="n">
        <x:f>Members!C493</x:f>
        <x:v>48</x:v>
      </x:c>
      <x:c r="D493" s="44" t="n">
        <x:f>Members!D493</x:f>
        <x:v>13.1</x:v>
      </x:c>
      <x:c r="E493" s="48" t="n">
        <x:f>Members!E493</x:f>
        <x:v>1237000</x:v>
      </x:c>
      <x:c r="F493" s="48" t="n">
        <x:f>Members!F493</x:f>
        <x:v>0</x:v>
      </x:c>
      <x:c r="G493" s="46" t="n">
        <x:f>MAX(0,Assumptions!$B$10-C493)</x:f>
        <x:v>12</x:v>
      </x:c>
      <x:c r="H493" s="50" t="n">
        <x:f>IF(B493="Active",E493*(1+Assumptions!$B$7)^G493,E493)</x:f>
        <x:v>2351793.659883892</x:v>
      </x:c>
      <x:c r="I493" s="50" t="n">
        <x:f>IF(B493="Active",MIN(Assumptions!$B$12,D493+G493),IF(B493="Deferred",MIN(Assumptions!$B$12,D493),D493))</x:f>
        <x:v>25.1</x:v>
      </x:c>
      <x:c r="J493" s="50" t="n">
        <x:f>IF(B493="Active",H493*I493*Assumptions!$B$11,IF(B493="Deferred",E493*I493*Assumptions!$B$11*(1+Assumptions!$B$9)^G493,F493))</x:f>
        <x:v>983833.6810514282</x:v>
      </x:c>
      <x:c r="K493" s="37" t="n">
        <x:f>IF(B493="Pensioner",1,VLOOKUP(Assumptions!$B$10,Mortality!$A$2:$F$104,6,FALSE)/VLOOKUP(C493,Mortality!$A$2:$F$104,6,FALSE))</x:f>
        <x:v>0.9793037429736591</x:v>
      </x:c>
      <x:c r="L493" s="37" t="n">
        <x:f>VLOOKUP(IF(B493="Pensioner",C493,Assumptions!$B$10),Mortality!$A$2:$E$104,5,FALSE)</x:f>
        <x:v>17.296790022132885</x:v>
      </x:c>
      <x:c r="M493" s="37" t="n">
        <x:f>1+Assumptions!$B$13*Assumptions!$B$14*Assumptions!$B$15</x:f>
        <x:v>1.31875</x:v>
      </x:c>
      <x:c r="N493" s="37" t="n">
        <x:f>IF(B493="Pensioner",1,1/(1+Assumptions!$B$6)^G493)</x:f>
        <x:v>0.4696828543900276</x:v>
      </x:c>
      <x:c r="O493" s="50" t="n">
        <x:f>J493*K493*L493*M493*N493</x:f>
        <x:v>10322188.680696735</x:v>
      </x:c>
    </x:row>
    <x:row r="494">
      <x:c r="A494" s="42" t="str">
        <x:f>Members!A494</x:f>
        <x:v>A0509</x:v>
      </x:c>
      <x:c r="B494" s="42" t="str">
        <x:f>Members!B494</x:f>
        <x:v>Active</x:v>
      </x:c>
      <x:c r="C494" s="42" t="n">
        <x:f>Members!C494</x:f>
        <x:v>34</x:v>
      </x:c>
      <x:c r="D494" s="44" t="n">
        <x:f>Members!D494</x:f>
        <x:v>7.7</x:v>
      </x:c>
      <x:c r="E494" s="48" t="n">
        <x:f>Members!E494</x:f>
        <x:v>551000</x:v>
      </x:c>
      <x:c r="F494" s="48" t="n">
        <x:f>Members!F494</x:f>
        <x:v>0</x:v>
      </x:c>
      <x:c r="G494" s="46" t="n">
        <x:f>MAX(0,Assumptions!$B$10-C494)</x:f>
        <x:v>26</x:v>
      </x:c>
      <x:c r="H494" s="50" t="n">
        <x:f>IF(B494="Active",E494*(1+Assumptions!$B$7)^G494,E494)</x:f>
        <x:v>2216744.039215085</x:v>
      </x:c>
      <x:c r="I494" s="50" t="n">
        <x:f>IF(B494="Active",MIN(Assumptions!$B$12,D494+G494),IF(B494="Deferred",MIN(Assumptions!$B$12,D494),D494))</x:f>
        <x:v>33.7</x:v>
      </x:c>
      <x:c r="J494" s="50" t="n">
        <x:f>IF(B494="Active",H494*I494*Assumptions!$B$11,IF(B494="Deferred",E494*I494*Assumptions!$B$11*(1+Assumptions!$B$9)^G494,F494))</x:f>
        <x:v>1245071.2353591395</x:v>
      </x:c>
      <x:c r="K494" s="37" t="n">
        <x:f>IF(B494="Pensioner",1,VLOOKUP(Assumptions!$B$10,Mortality!$A$2:$F$104,6,FALSE)/VLOOKUP(C494,Mortality!$A$2:$F$104,6,FALSE))</x:f>
        <x:v>0.9716205819233391</x:v>
      </x:c>
      <x:c r="L494" s="37" t="n">
        <x:f>VLOOKUP(IF(B494="Pensioner",C494,Assumptions!$B$10),Mortality!$A$2:$E$104,5,FALSE)</x:f>
        <x:v>17.296790022132885</x:v>
      </x:c>
      <x:c r="M494" s="37" t="n">
        <x:f>1+Assumptions!$B$13*Assumptions!$B$14*Assumptions!$B$15</x:f>
        <x:v>1.31875</x:v>
      </x:c>
      <x:c r="N494" s="37" t="n">
        <x:f>IF(B494="Pensioner",1,1/(1+Assumptions!$B$6)^G494)</x:f>
        <x:v>0.19449578673364096</x:v>
      </x:c>
      <x:c r="O494" s="50" t="n">
        <x:f>J494*K494*L494*M494*N494</x:f>
        <x:v>5366969.03345732</x:v>
      </x:c>
    </x:row>
    <x:row r="495">
      <x:c r="A495" s="42" t="str">
        <x:f>Members!A495</x:f>
        <x:v>D0034</x:v>
      </x:c>
      <x:c r="B495" s="42" t="str">
        <x:f>Members!B495</x:f>
        <x:v>Deferred</x:v>
      </x:c>
      <x:c r="C495" s="42" t="n">
        <x:f>Members!C495</x:f>
        <x:v>43</x:v>
      </x:c>
      <x:c r="D495" s="44" t="n">
        <x:f>Members!D495</x:f>
        <x:v>11.8</x:v>
      </x:c>
      <x:c r="E495" s="48" t="n">
        <x:f>Members!E495</x:f>
        <x:v>728000</x:v>
      </x:c>
      <x:c r="F495" s="48" t="n">
        <x:f>Members!F495</x:f>
        <x:v>0</x:v>
      </x:c>
      <x:c r="G495" s="46" t="n">
        <x:f>MAX(0,Assumptions!$B$10-C495)</x:f>
        <x:v>17</x:v>
      </x:c>
      <x:c r="H495" s="50" t="n">
        <x:f>IF(B495="Active",E495*(1+Assumptions!$B$7)^G495,E495)</x:f>
        <x:v>728000</x:v>
      </x:c>
      <x:c r="I495" s="50" t="n">
        <x:f>IF(B495="Active",MIN(Assumptions!$B$12,D495+G495),IF(B495="Deferred",MIN(Assumptions!$B$12,D495),D495))</x:f>
        <x:v>11.8</x:v>
      </x:c>
      <x:c r="J495" s="50" t="n">
        <x:f>IF(B495="Active",H495*I495*Assumptions!$B$11,IF(B495="Deferred",E495*I495*Assumptions!$B$11*(1+Assumptions!$B$9)^G495,F495))</x:f>
        <x:v>278887.4069504447</x:v>
      </x:c>
      <x:c r="K495" s="37" t="n">
        <x:f>IF(B495="Pensioner",1,VLOOKUP(Assumptions!$B$10,Mortality!$A$2:$F$104,6,FALSE)/VLOOKUP(C495,Mortality!$A$2:$F$104,6,FALSE))</x:f>
        <x:v>0.975651758424938</x:v>
      </x:c>
      <x:c r="L495" s="37" t="n">
        <x:f>VLOOKUP(IF(B495="Pensioner",C495,Assumptions!$B$10),Mortality!$A$2:$E$104,5,FALSE)</x:f>
        <x:v>17.296790022132885</x:v>
      </x:c>
      <x:c r="M495" s="37" t="n">
        <x:f>1+Assumptions!$B$13*Assumptions!$B$14*Assumptions!$B$15</x:f>
        <x:v>1.31875</x:v>
      </x:c>
      <x:c r="N495" s="37" t="n">
        <x:f>IF(B495="Pensioner",1,1/(1+Assumptions!$B$6)^G495)</x:f>
        <x:v>0.34281251466174323</x:v>
      </x:c>
      <x:c r="O495" s="50" t="n">
        <x:f>J495*K495*L495*M495*N495</x:f>
        <x:v>2127690.182332768</x:v>
      </x:c>
    </x:row>
    <x:row r="496">
      <x:c r="A496" s="42" t="str">
        <x:f>Members!A496</x:f>
        <x:v>A0188</x:v>
      </x:c>
      <x:c r="B496" s="42" t="str">
        <x:f>Members!B496</x:f>
        <x:v>Active</x:v>
      </x:c>
      <x:c r="C496" s="42" t="n">
        <x:f>Members!C496</x:f>
        <x:v>48</x:v>
      </x:c>
      <x:c r="D496" s="44" t="n">
        <x:f>Members!D496</x:f>
        <x:v>1.5</x:v>
      </x:c>
      <x:c r="E496" s="48" t="n">
        <x:f>Members!E496</x:f>
        <x:v>944000</x:v>
      </x:c>
      <x:c r="F496" s="48" t="n">
        <x:f>Members!F496</x:f>
        <x:v>0</x:v>
      </x:c>
      <x:c r="G496" s="46" t="n">
        <x:f>MAX(0,Assumptions!$B$10-C496)</x:f>
        <x:v>12</x:v>
      </x:c>
      <x:c r="H496" s="50" t="n">
        <x:f>IF(B496="Active",E496*(1+Assumptions!$B$7)^G496,E496)</x:f>
        <x:v>1794739.866556503</x:v>
      </x:c>
      <x:c r="I496" s="50" t="n">
        <x:f>IF(B496="Active",MIN(Assumptions!$B$12,D496+G496),IF(B496="Deferred",MIN(Assumptions!$B$12,D496),D496))</x:f>
        <x:v>13.5</x:v>
      </x:c>
      <x:c r="J496" s="50" t="n">
        <x:f>IF(B496="Active",H496*I496*Assumptions!$B$11,IF(B496="Deferred",E496*I496*Assumptions!$B$11*(1+Assumptions!$B$9)^G496,F496))</x:f>
        <x:v>403816.46997521323</x:v>
      </x:c>
      <x:c r="K496" s="37" t="n">
        <x:f>IF(B496="Pensioner",1,VLOOKUP(Assumptions!$B$10,Mortality!$A$2:$F$104,6,FALSE)/VLOOKUP(C496,Mortality!$A$2:$F$104,6,FALSE))</x:f>
        <x:v>0.9793037429736591</x:v>
      </x:c>
      <x:c r="L496" s="37" t="n">
        <x:f>VLOOKUP(IF(B496="Pensioner",C496,Assumptions!$B$10),Mortality!$A$2:$E$104,5,FALSE)</x:f>
        <x:v>17.296790022132885</x:v>
      </x:c>
      <x:c r="M496" s="37" t="n">
        <x:f>1+Assumptions!$B$13*Assumptions!$B$14*Assumptions!$B$15</x:f>
        <x:v>1.31875</x:v>
      </x:c>
      <x:c r="N496" s="37" t="n">
        <x:f>IF(B496="Pensioner",1,1/(1+Assumptions!$B$6)^G496)</x:f>
        <x:v>0.4696828543900276</x:v>
      </x:c>
      <x:c r="O496" s="50" t="n">
        <x:f>J496*K496*L496*M496*N496</x:f>
        <x:v>4236762.65179538</x:v>
      </x:c>
    </x:row>
    <x:row r="497">
      <x:c r="A497" s="42" t="str">
        <x:f>Members!A497</x:f>
        <x:v>D0052</x:v>
      </x:c>
      <x:c r="B497" s="42" t="str">
        <x:f>Members!B497</x:f>
        <x:v>Deferred</x:v>
      </x:c>
      <x:c r="C497" s="42" t="n">
        <x:f>Members!C497</x:f>
        <x:v>37</x:v>
      </x:c>
      <x:c r="D497" s="44" t="n">
        <x:f>Members!D497</x:f>
        <x:v>14.5</x:v>
      </x:c>
      <x:c r="E497" s="48" t="n">
        <x:f>Members!E497</x:f>
        <x:v>567000</x:v>
      </x:c>
      <x:c r="F497" s="48" t="n">
        <x:f>Members!F497</x:f>
        <x:v>0</x:v>
      </x:c>
      <x:c r="G497" s="46" t="n">
        <x:f>MAX(0,Assumptions!$B$10-C497)</x:f>
        <x:v>23</x:v>
      </x:c>
      <x:c r="H497" s="50" t="n">
        <x:f>IF(B497="Active",E497*(1+Assumptions!$B$7)^G497,E497)</x:f>
        <x:v>567000</x:v>
      </x:c>
      <x:c r="I497" s="50" t="n">
        <x:f>IF(B497="Active",MIN(Assumptions!$B$12,D497+G497),IF(B497="Deferred",MIN(Assumptions!$B$12,D497),D497))</x:f>
        <x:v>14.5</x:v>
      </x:c>
      <x:c r="J497" s="50" t="n">
        <x:f>IF(B497="Active",H497*I497*Assumptions!$B$11,IF(B497="Deferred",E497*I497*Assumptions!$B$11*(1+Assumptions!$B$9)^G497,F497))</x:f>
        <x:v>337727.6473022042</x:v>
      </x:c>
      <x:c r="K497" s="37" t="n">
        <x:f>IF(B497="Pensioner",1,VLOOKUP(Assumptions!$B$10,Mortality!$A$2:$F$104,6,FALSE)/VLOOKUP(C497,Mortality!$A$2:$F$104,6,FALSE))</x:f>
        <x:v>0.9727356141265188</x:v>
      </x:c>
      <x:c r="L497" s="37" t="n">
        <x:f>VLOOKUP(IF(B497="Pensioner",C497,Assumptions!$B$10),Mortality!$A$2:$E$104,5,FALSE)</x:f>
        <x:v>17.296790022132885</x:v>
      </x:c>
      <x:c r="M497" s="37" t="n">
        <x:f>1+Assumptions!$B$13*Assumptions!$B$14*Assumptions!$B$15</x:f>
        <x:v>1.31875</x:v>
      </x:c>
      <x:c r="N497" s="37" t="n">
        <x:f>IF(B497="Pensioner",1,1/(1+Assumptions!$B$6)^G497)</x:f>
        <x:v>0.23494111264898151</x:v>
      </x:c>
      <x:c r="O497" s="50" t="n">
        <x:f>J497*K497*L497*M497*N497</x:f>
        <x:v>1760550.3030095214</x:v>
      </x:c>
    </x:row>
    <x:row r="498">
      <x:c r="A498" s="42" t="str">
        <x:f>Members!A498</x:f>
        <x:v>A0604</x:v>
      </x:c>
      <x:c r="B498" s="42" t="str">
        <x:f>Members!B498</x:f>
        <x:v>Active</x:v>
      </x:c>
      <x:c r="C498" s="42" t="n">
        <x:f>Members!C498</x:f>
        <x:v>38</x:v>
      </x:c>
      <x:c r="D498" s="44" t="n">
        <x:f>Members!D498</x:f>
        <x:v>4.3</x:v>
      </x:c>
      <x:c r="E498" s="48" t="n">
        <x:f>Members!E498</x:f>
        <x:v>726000</x:v>
      </x:c>
      <x:c r="F498" s="48" t="n">
        <x:f>Members!F498</x:f>
        <x:v>0</x:v>
      </x:c>
      <x:c r="G498" s="46" t="n">
        <x:f>MAX(0,Assumptions!$B$10-C498)</x:f>
        <x:v>22</x:v>
      </x:c>
      <x:c r="H498" s="50" t="n">
        <x:f>IF(B498="Active",E498*(1+Assumptions!$B$7)^G498,E498)</x:f>
        <x:v>2357711.8844912015</x:v>
      </x:c>
      <x:c r="I498" s="50" t="n">
        <x:f>IF(B498="Active",MIN(Assumptions!$B$12,D498+G498),IF(B498="Deferred",MIN(Assumptions!$B$12,D498),D498))</x:f>
        <x:v>26.3</x:v>
      </x:c>
      <x:c r="J498" s="50" t="n">
        <x:f>IF(B498="Active",H498*I498*Assumptions!$B$11,IF(B498="Deferred",E498*I498*Assumptions!$B$11*(1+Assumptions!$B$9)^G498,F498))</x:f>
        <x:v>1033463.7093686432</x:v>
      </x:c>
      <x:c r="K498" s="37" t="n">
        <x:f>IF(B498="Pensioner",1,VLOOKUP(Assumptions!$B$10,Mortality!$A$2:$F$104,6,FALSE)/VLOOKUP(C498,Mortality!$A$2:$F$104,6,FALSE))</x:f>
        <x:v>0.9731482688168002</x:v>
      </x:c>
      <x:c r="L498" s="37" t="n">
        <x:f>VLOOKUP(IF(B498="Pensioner",C498,Assumptions!$B$10),Mortality!$A$2:$E$104,5,FALSE)</x:f>
        <x:v>17.296790022132885</x:v>
      </x:c>
      <x:c r="M498" s="37" t="n">
        <x:f>1+Assumptions!$B$13*Assumptions!$B$14*Assumptions!$B$15</x:f>
        <x:v>1.31875</x:v>
      </x:c>
      <x:c r="N498" s="37" t="n">
        <x:f>IF(B498="Pensioner",1,1/(1+Assumptions!$B$6)^G498)</x:f>
        <x:v>0.25021228497116527</x:v>
      </x:c>
      <x:c r="O498" s="50" t="n">
        <x:f>J498*K498*L498*M498*N498</x:f>
        <x:v>5739986.354727933</x:v>
      </x:c>
    </x:row>
    <x:row r="499">
      <x:c r="A499" s="42" t="str">
        <x:f>Members!A499</x:f>
        <x:v>A0357</x:v>
      </x:c>
      <x:c r="B499" s="42" t="str">
        <x:f>Members!B499</x:f>
        <x:v>Active</x:v>
      </x:c>
      <x:c r="C499" s="42" t="n">
        <x:f>Members!C499</x:f>
        <x:v>53</x:v>
      </x:c>
      <x:c r="D499" s="44" t="n">
        <x:f>Members!D499</x:f>
        <x:v>4.2</x:v>
      </x:c>
      <x:c r="E499" s="48" t="n">
        <x:f>Members!E499</x:f>
        <x:v>1840000</x:v>
      </x:c>
      <x:c r="F499" s="48" t="n">
        <x:f>Members!F499</x:f>
        <x:v>0</x:v>
      </x:c>
      <x:c r="G499" s="46" t="n">
        <x:f>MAX(0,Assumptions!$B$10-C499)</x:f>
        <x:v>7</x:v>
      </x:c>
      <x:c r="H499" s="50" t="n">
        <x:f>IF(B499="Active",E499*(1+Assumptions!$B$7)^G499,E499)</x:f>
        <x:v>2676609.656486181</x:v>
      </x:c>
      <x:c r="I499" s="50" t="n">
        <x:f>IF(B499="Active",MIN(Assumptions!$B$12,D499+G499),IF(B499="Deferred",MIN(Assumptions!$B$12,D499),D499))</x:f>
        <x:v>11.2</x:v>
      </x:c>
      <x:c r="J499" s="50" t="n">
        <x:f>IF(B499="Active",H499*I499*Assumptions!$B$11,IF(B499="Deferred",E499*I499*Assumptions!$B$11*(1+Assumptions!$B$9)^G499,F499))</x:f>
        <x:v>499633.8025440871</x:v>
      </x:c>
      <x:c r="K499" s="37" t="n">
        <x:f>IF(B499="Pensioner",1,VLOOKUP(Assumptions!$B$10,Mortality!$A$2:$F$104,6,FALSE)/VLOOKUP(C499,Mortality!$A$2:$F$104,6,FALSE))</x:f>
        <x:v>0.9850300017431317</x:v>
      </x:c>
      <x:c r="L499" s="37" t="n">
        <x:f>VLOOKUP(IF(B499="Pensioner",C499,Assumptions!$B$10),Mortality!$A$2:$E$104,5,FALSE)</x:f>
        <x:v>17.296790022132885</x:v>
      </x:c>
      <x:c r="M499" s="37" t="n">
        <x:f>1+Assumptions!$B$13*Assumptions!$B$14*Assumptions!$B$15</x:f>
        <x:v>1.31875</x:v>
      </x:c>
      <x:c r="N499" s="37" t="n">
        <x:f>IF(B499="Pensioner",1,1/(1+Assumptions!$B$6)^G499)</x:f>
        <x:v>0.6435062148347594</x:v>
      </x:c>
      <x:c r="O499" s="50" t="n">
        <x:f>J499*K499*L499*M499*N499</x:f>
        <x:v>7224070.947082361</x:v>
      </x:c>
    </x:row>
    <x:row r="500">
      <x:c r="A500" s="42" t="str">
        <x:f>Members!A500</x:f>
        <x:v>A0164</x:v>
      </x:c>
      <x:c r="B500" s="42" t="str">
        <x:f>Members!B500</x:f>
        <x:v>Active</x:v>
      </x:c>
      <x:c r="C500" s="42" t="n">
        <x:f>Members!C500</x:f>
        <x:v>36</x:v>
      </x:c>
      <x:c r="D500" s="44" t="n">
        <x:f>Members!D500</x:f>
        <x:v>4.3</x:v>
      </x:c>
      <x:c r="E500" s="48" t="n">
        <x:f>Members!E500</x:f>
        <x:v>935000</x:v>
      </x:c>
      <x:c r="F500" s="48" t="n">
        <x:f>Members!F500</x:f>
        <x:v>0</x:v>
      </x:c>
      <x:c r="G500" s="46" t="n">
        <x:f>MAX(0,Assumptions!$B$10-C500)</x:f>
        <x:v>24</x:v>
      </x:c>
      <x:c r="H500" s="50" t="n">
        <x:f>IF(B500="Active",E500*(1+Assumptions!$B$7)^G500,E500)</x:f>
        <x:v>3379641.560152191</x:v>
      </x:c>
      <x:c r="I500" s="50" t="n">
        <x:f>IF(B500="Active",MIN(Assumptions!$B$12,D500+G500),IF(B500="Deferred",MIN(Assumptions!$B$12,D500),D500))</x:f>
        <x:v>28.3</x:v>
      </x:c>
      <x:c r="J500" s="50" t="n">
        <x:f>IF(B500="Active",H500*I500*Assumptions!$B$11,IF(B500="Deferred",E500*I500*Assumptions!$B$11*(1+Assumptions!$B$9)^G500,F500))</x:f>
        <x:v>1594064.269205117</x:v>
      </x:c>
      <x:c r="K500" s="37" t="n">
        <x:f>IF(B500="Pensioner",1,VLOOKUP(Assumptions!$B$10,Mortality!$A$2:$F$104,6,FALSE)/VLOOKUP(C500,Mortality!$A$2:$F$104,6,FALSE))</x:f>
        <x:v>0.9723450305541352</x:v>
      </x:c>
      <x:c r="L500" s="37" t="n">
        <x:f>VLOOKUP(IF(B500="Pensioner",C500,Assumptions!$B$10),Mortality!$A$2:$E$104,5,FALSE)</x:f>
        <x:v>17.296790022132885</x:v>
      </x:c>
      <x:c r="M500" s="37" t="n">
        <x:f>1+Assumptions!$B$13*Assumptions!$B$14*Assumptions!$B$15</x:f>
        <x:v>1.31875</x:v>
      </x:c>
      <x:c r="N500" s="37" t="n">
        <x:f>IF(B500="Pensioner",1,1/(1+Assumptions!$B$6)^G500)</x:f>
        <x:v>0.22060198370796386</x:v>
      </x:c>
      <x:c r="O500" s="50" t="n">
        <x:f>J500*K500*L500*M500*N500</x:f>
        <x:v>7799443.663867908</x:v>
      </x:c>
    </x:row>
    <x:row r="501">
      <x:c r="A501" s="42" t="str">
        <x:f>Members!A501</x:f>
        <x:v>A0566</x:v>
      </x:c>
      <x:c r="B501" s="42" t="str">
        <x:f>Members!B501</x:f>
        <x:v>Active</x:v>
      </x:c>
      <x:c r="C501" s="42" t="n">
        <x:f>Members!C501</x:f>
        <x:v>33</x:v>
      </x:c>
      <x:c r="D501" s="44" t="n">
        <x:f>Members!D501</x:f>
        <x:v>2.8</x:v>
      </x:c>
      <x:c r="E501" s="48" t="n">
        <x:f>Members!E501</x:f>
        <x:v>768000</x:v>
      </x:c>
      <x:c r="F501" s="48" t="n">
        <x:f>Members!F501</x:f>
        <x:v>0</x:v>
      </x:c>
      <x:c r="G501" s="46" t="n">
        <x:f>MAX(0,Assumptions!$B$10-C501)</x:f>
        <x:v>27</x:v>
      </x:c>
      <x:c r="H501" s="50" t="n">
        <x:f>IF(B501="Active",E501*(1+Assumptions!$B$7)^G501,E501)</x:f>
        <x:v>3259699.982456679</x:v>
      </x:c>
      <x:c r="I501" s="50" t="n">
        <x:f>IF(B501="Active",MIN(Assumptions!$B$12,D501+G501),IF(B501="Deferred",MIN(Assumptions!$B$12,D501),D501))</x:f>
        <x:v>29.8</x:v>
      </x:c>
      <x:c r="J501" s="50" t="n">
        <x:f>IF(B501="Active",H501*I501*Assumptions!$B$11,IF(B501="Deferred",E501*I501*Assumptions!$B$11*(1+Assumptions!$B$9)^G501,F501))</x:f>
        <x:v>1618984.3246201505</x:v>
      </x:c>
      <x:c r="K501" s="37" t="n">
        <x:f>IF(B501="Pensioner",1,VLOOKUP(Assumptions!$B$10,Mortality!$A$2:$F$104,6,FALSE)/VLOOKUP(C501,Mortality!$A$2:$F$104,6,FALSE))</x:f>
        <x:v>0.9712826176321353</x:v>
      </x:c>
      <x:c r="L501" s="37" t="n">
        <x:f>VLOOKUP(IF(B501="Pensioner",C501,Assumptions!$B$10),Mortality!$A$2:$E$104,5,FALSE)</x:f>
        <x:v>17.296790022132885</x:v>
      </x:c>
      <x:c r="M501" s="37" t="n">
        <x:f>1+Assumptions!$B$13*Assumptions!$B$14*Assumptions!$B$15</x:f>
        <x:v>1.31875</x:v>
      </x:c>
      <x:c r="N501" s="37" t="n">
        <x:f>IF(B501="Pensioner",1,1/(1+Assumptions!$B$6)^G501)</x:f>
        <x:v>0.1826251518625737</x:v>
      </x:c>
      <x:c r="O501" s="50" t="n">
        <x:f>J501*K501*L501*M501*N501</x:f>
        <x:v>6550535.978734611</x:v>
      </x:c>
    </x:row>
    <x:row r="502">
      <x:c r="A502" s="42" t="str">
        <x:f>Members!A502</x:f>
        <x:v>D0032</x:v>
      </x:c>
      <x:c r="B502" s="42" t="str">
        <x:f>Members!B502</x:f>
        <x:v>Deferred</x:v>
      </x:c>
      <x:c r="C502" s="42" t="n">
        <x:f>Members!C502</x:f>
        <x:v>42</x:v>
      </x:c>
      <x:c r="D502" s="44" t="n">
        <x:f>Members!D502</x:f>
        <x:v>4</x:v>
      </x:c>
      <x:c r="E502" s="48" t="n">
        <x:f>Members!E502</x:f>
        <x:v>479000</x:v>
      </x:c>
      <x:c r="F502" s="48" t="n">
        <x:f>Members!F502</x:f>
        <x:v>0</x:v>
      </x:c>
      <x:c r="G502" s="46" t="n">
        <x:f>MAX(0,Assumptions!$B$10-C502)</x:f>
        <x:v>18</x:v>
      </x:c>
      <x:c r="H502" s="50" t="n">
        <x:f>IF(B502="Active",E502*(1+Assumptions!$B$7)^G502,E502)</x:f>
        <x:v>479000</x:v>
      </x:c>
      <x:c r="I502" s="50" t="n">
        <x:f>IF(B502="Active",MIN(Assumptions!$B$12,D502+G502),IF(B502="Deferred",MIN(Assumptions!$B$12,D502),D502))</x:f>
        <x:v>4</x:v>
      </x:c>
      <x:c r="J502" s="50" t="n">
        <x:f>IF(B502="Active",H502*I502*Assumptions!$B$11,IF(B502="Deferred",E502*I502*Assumptions!$B$11*(1+Assumptions!$B$9)^G502,F502))</x:f>
        <x:v>64691.074057754486</x:v>
      </x:c>
      <x:c r="K502" s="37" t="n">
        <x:f>IF(B502="Pensioner",1,VLOOKUP(Assumptions!$B$10,Mortality!$A$2:$F$104,6,FALSE)/VLOOKUP(C502,Mortality!$A$2:$F$104,6,FALSE))</x:f>
        <x:v>0.9750799707838386</x:v>
      </x:c>
      <x:c r="L502" s="37" t="n">
        <x:f>VLOOKUP(IF(B502="Pensioner",C502,Assumptions!$B$10),Mortality!$A$2:$E$104,5,FALSE)</x:f>
        <x:v>17.296790022132885</x:v>
      </x:c>
      <x:c r="M502" s="37" t="n">
        <x:f>1+Assumptions!$B$13*Assumptions!$B$14*Assumptions!$B$15</x:f>
        <x:v>1.31875</x:v>
      </x:c>
      <x:c r="N502" s="37" t="n">
        <x:f>IF(B502="Pensioner",1,1/(1+Assumptions!$B$6)^G502)</x:f>
        <x:v>0.3218896851283974</x:v>
      </x:c>
      <x:c r="O502" s="50" t="n">
        <x:f>J502*K502*L502*M502*N502</x:f>
        <x:v>463147.84038655687</x:v>
      </x:c>
    </x:row>
    <x:row r="503">
      <x:c r="A503" s="42" t="str">
        <x:f>Members!A503</x:f>
        <x:v>A0012</x:v>
      </x:c>
      <x:c r="B503" s="42" t="str">
        <x:f>Members!B503</x:f>
        <x:v>Active</x:v>
      </x:c>
      <x:c r="C503" s="42" t="n">
        <x:f>Members!C503</x:f>
        <x:v>36</x:v>
      </x:c>
      <x:c r="D503" s="44" t="n">
        <x:f>Members!D503</x:f>
        <x:v>5.2</x:v>
      </x:c>
      <x:c r="E503" s="48" t="n">
        <x:f>Members!E503</x:f>
        <x:v>538000</x:v>
      </x:c>
      <x:c r="F503" s="48" t="n">
        <x:f>Members!F503</x:f>
        <x:v>0</x:v>
      </x:c>
      <x:c r="G503" s="46" t="n">
        <x:f>MAX(0,Assumptions!$B$10-C503)</x:f>
        <x:v>24</x:v>
      </x:c>
      <x:c r="H503" s="50" t="n">
        <x:f>IF(B503="Active",E503*(1+Assumptions!$B$7)^G503,E503)</x:f>
        <x:v>1944649.3683014747</x:v>
      </x:c>
      <x:c r="I503" s="50" t="n">
        <x:f>IF(B503="Active",MIN(Assumptions!$B$12,D503+G503),IF(B503="Deferred",MIN(Assumptions!$B$12,D503),D503))</x:f>
        <x:v>29.2</x:v>
      </x:c>
      <x:c r="J503" s="50" t="n">
        <x:f>IF(B503="Active",H503*I503*Assumptions!$B$11,IF(B503="Deferred",E503*I503*Assumptions!$B$11*(1+Assumptions!$B$9)^G503,F503))</x:f>
        <x:v>946396.0259067176</x:v>
      </x:c>
      <x:c r="K503" s="37" t="n">
        <x:f>IF(B503="Pensioner",1,VLOOKUP(Assumptions!$B$10,Mortality!$A$2:$F$104,6,FALSE)/VLOOKUP(C503,Mortality!$A$2:$F$104,6,FALSE))</x:f>
        <x:v>0.9723450305541352</x:v>
      </x:c>
      <x:c r="L503" s="37" t="n">
        <x:f>VLOOKUP(IF(B503="Pensioner",C503,Assumptions!$B$10),Mortality!$A$2:$E$104,5,FALSE)</x:f>
        <x:v>17.296790022132885</x:v>
      </x:c>
      <x:c r="M503" s="37" t="n">
        <x:f>1+Assumptions!$B$13*Assumptions!$B$14*Assumptions!$B$15</x:f>
        <x:v>1.31875</x:v>
      </x:c>
      <x:c r="N503" s="37" t="n">
        <x:f>IF(B503="Pensioner",1,1/(1+Assumptions!$B$6)^G503)</x:f>
        <x:v>0.22060198370796386</x:v>
      </x:c>
      <x:c r="O503" s="50" t="n">
        <x:f>J503*K503*L503*M503*N503</x:f>
        <x:v>4630530.042210058</x:v>
      </x:c>
    </x:row>
    <x:row r="504">
      <x:c r="A504" s="42" t="str">
        <x:f>Members!A504</x:f>
        <x:v>A0507</x:v>
      </x:c>
      <x:c r="B504" s="42" t="str">
        <x:f>Members!B504</x:f>
        <x:v>Active</x:v>
      </x:c>
      <x:c r="C504" s="42" t="n">
        <x:f>Members!C504</x:f>
        <x:v>58</x:v>
      </x:c>
      <x:c r="D504" s="44" t="n">
        <x:f>Members!D504</x:f>
        <x:v>9.4</x:v>
      </x:c>
      <x:c r="E504" s="48" t="n">
        <x:f>Members!E504</x:f>
        <x:v>1416000</x:v>
      </x:c>
      <x:c r="F504" s="48" t="n">
        <x:f>Members!F504</x:f>
        <x:v>0</x:v>
      </x:c>
      <x:c r="G504" s="46" t="n">
        <x:f>MAX(0,Assumptions!$B$10-C504)</x:f>
        <x:v>2</x:v>
      </x:c>
      <x:c r="H504" s="50" t="n">
        <x:f>IF(B504="Active",E504*(1+Assumptions!$B$7)^G504,E504)</x:f>
        <x:v>1576043.4</x:v>
      </x:c>
      <x:c r="I504" s="50" t="n">
        <x:f>IF(B504="Active",MIN(Assumptions!$B$12,D504+G504),IF(B504="Deferred",MIN(Assumptions!$B$12,D504),D504))</x:f>
        <x:v>11.4</x:v>
      </x:c>
      <x:c r="J504" s="50" t="n">
        <x:f>IF(B504="Active",H504*I504*Assumptions!$B$11,IF(B504="Deferred",E504*I504*Assumptions!$B$11*(1+Assumptions!$B$9)^G504,F504))</x:f>
        <x:v>299448.246</x:v>
      </x:c>
      <x:c r="K504" s="37" t="n">
        <x:f>IF(B504="Pensioner",1,VLOOKUP(Assumptions!$B$10,Mortality!$A$2:$F$104,6,FALSE)/VLOOKUP(C504,Mortality!$A$2:$F$104,6,FALSE))</x:f>
        <x:v>0.9945213044203837</x:v>
      </x:c>
      <x:c r="L504" s="37" t="n">
        <x:f>VLOOKUP(IF(B504="Pensioner",C504,Assumptions!$B$10),Mortality!$A$2:$E$104,5,FALSE)</x:f>
        <x:v>17.296790022132885</x:v>
      </x:c>
      <x:c r="M504" s="37" t="n">
        <x:f>1+Assumptions!$B$13*Assumptions!$B$14*Assumptions!$B$15</x:f>
        <x:v>1.31875</x:v>
      </x:c>
      <x:c r="N504" s="37" t="n">
        <x:f>IF(B504="Pensioner",1,1/(1+Assumptions!$B$6)^G504)</x:f>
        <x:v>0.8816592827701736</x:v>
      </x:c>
      <x:c r="O504" s="50" t="n">
        <x:f>J504*K504*L504*M504*N504</x:f>
        <x:v>5989142.34047119</x:v>
      </x:c>
    </x:row>
    <x:row r="505">
      <x:c r="A505" s="42" t="str">
        <x:f>Members!A505</x:f>
        <x:v>P0118</x:v>
      </x:c>
      <x:c r="B505" s="42" t="str">
        <x:f>Members!B505</x:f>
        <x:v>Pensioner</x:v>
      </x:c>
      <x:c r="C505" s="42" t="n">
        <x:f>Members!C505</x:f>
        <x:v>65</x:v>
      </x:c>
      <x:c r="D505" s="44" t="n">
        <x:f>Members!D505</x:f>
        <x:v>15.1</x:v>
      </x:c>
      <x:c r="E505" s="48" t="n">
        <x:f>Members!E505</x:f>
        <x:v>0</x:v>
      </x:c>
      <x:c r="F505" s="48" t="n">
        <x:f>Members!F505</x:f>
        <x:v>204000</x:v>
      </x:c>
      <x:c r="G505" s="46" t="n">
        <x:f>MAX(0,Assumptions!$B$10-C505)</x:f>
        <x:v>0</x:v>
      </x:c>
      <x:c r="H505" s="50" t="n">
        <x:f>IF(B505="Active",E505*(1+Assumptions!$B$7)^G505,E505)</x:f>
        <x:v>0</x:v>
      </x:c>
      <x:c r="I505" s="50" t="n">
        <x:f>IF(B505="Active",MIN(Assumptions!$B$12,D505+G505),IF(B505="Deferred",MIN(Assumptions!$B$12,D505),D505))</x:f>
        <x:v>15.1</x:v>
      </x:c>
      <x:c r="J505" s="50" t="n">
        <x:f>IF(B505="Active",H505*I505*Assumptions!$B$11,IF(B505="Deferred",E505*I505*Assumptions!$B$11*(1+Assumptions!$B$9)^G505,F505))</x:f>
        <x:v>204000</x:v>
      </x:c>
      <x:c r="K505" s="37" t="n">
        <x:f>IF(B505="Pensioner",1,VLOOKUP(Assumptions!$B$10,Mortality!$A$2:$F$104,6,FALSE)/VLOOKUP(C505,Mortality!$A$2:$F$104,6,FALSE))</x:f>
        <x:v>1</x:v>
      </x:c>
      <x:c r="L505" s="37" t="n">
        <x:f>VLOOKUP(IF(B505="Pensioner",C505,Assumptions!$B$10),Mortality!$A$2:$E$104,5,FALSE)</x:f>
        <x:v>15.196570962158528</x:v>
      </x:c>
      <x:c r="M505" s="37" t="n">
        <x:f>1+Assumptions!$B$13*Assumptions!$B$14*Assumptions!$B$15</x:f>
        <x:v>1.31875</x:v>
      </x:c>
      <x:c r="N505" s="37" t="n">
        <x:f>IF(B505="Pensioner",1,1/(1+Assumptions!$B$6)^G505)</x:f>
        <x:v>1</x:v>
      </x:c>
      <x:c r="O505" s="50" t="n">
        <x:f>J505*K505*L505*M505*N505</x:f>
        <x:v>4088257.503094699</x:v>
      </x:c>
    </x:row>
    <x:row r="506">
      <x:c r="A506" s="42" t="str">
        <x:f>Members!A506</x:f>
        <x:v>D0109</x:v>
      </x:c>
      <x:c r="B506" s="42" t="str">
        <x:f>Members!B506</x:f>
        <x:v>Deferred</x:v>
      </x:c>
      <x:c r="C506" s="42" t="n">
        <x:f>Members!C506</x:f>
        <x:v>32</x:v>
      </x:c>
      <x:c r="D506" s="44" t="n">
        <x:f>Members!D506</x:f>
        <x:v>3.8</x:v>
      </x:c>
      <x:c r="E506" s="48" t="n">
        <x:f>Members!E506</x:f>
        <x:v>503000</x:v>
      </x:c>
      <x:c r="F506" s="48" t="n">
        <x:f>Members!F506</x:f>
        <x:v>0</x:v>
      </x:c>
      <x:c r="G506" s="46" t="n">
        <x:f>MAX(0,Assumptions!$B$10-C506)</x:f>
        <x:v>28</x:v>
      </x:c>
      <x:c r="H506" s="50" t="n">
        <x:f>IF(B506="Active",E506*(1+Assumptions!$B$7)^G506,E506)</x:f>
        <x:v>503000</x:v>
      </x:c>
      <x:c r="I506" s="50" t="n">
        <x:f>IF(B506="Active",MIN(Assumptions!$B$12,D506+G506),IF(B506="Deferred",MIN(Assumptions!$B$12,D506),D506))</x:f>
        <x:v>3.8</x:v>
      </x:c>
      <x:c r="J506" s="50" t="n">
        <x:f>IF(B506="Active",H506*I506*Assumptions!$B$11,IF(B506="Deferred",E506*I506*Assumptions!$B$11*(1+Assumptions!$B$9)^G506,F506))</x:f>
        <x:v>95528.6920714165</x:v>
      </x:c>
      <x:c r="K506" s="37" t="n">
        <x:f>IF(B506="Pensioner",1,VLOOKUP(Assumptions!$B$10,Mortality!$A$2:$F$104,6,FALSE)/VLOOKUP(C506,Mortality!$A$2:$F$104,6,FALSE))</x:f>
        <x:v>0.9709584687664957</x:v>
      </x:c>
      <x:c r="L506" s="37" t="n">
        <x:f>VLOOKUP(IF(B506="Pensioner",C506,Assumptions!$B$10),Mortality!$A$2:$E$104,5,FALSE)</x:f>
        <x:v>17.296790022132885</x:v>
      </x:c>
      <x:c r="M506" s="37" t="n">
        <x:f>1+Assumptions!$B$13*Assumptions!$B$14*Assumptions!$B$15</x:f>
        <x:v>1.31875</x:v>
      </x:c>
      <x:c r="N506" s="37" t="n">
        <x:f>IF(B506="Pensioner",1,1/(1+Assumptions!$B$6)^G506)</x:f>
        <x:v>0.17147901583340255</x:v>
      </x:c>
      <x:c r="O506" s="50" t="n">
        <x:f>J506*K506*L506*M506*N506</x:f>
        <x:v>362805.1589084684</x:v>
      </x:c>
    </x:row>
    <x:row r="507">
      <x:c r="A507" s="42" t="str">
        <x:f>Members!A507</x:f>
        <x:v>A0525</x:v>
      </x:c>
      <x:c r="B507" s="42" t="str">
        <x:f>Members!B507</x:f>
        <x:v>Active</x:v>
      </x:c>
      <x:c r="C507" s="42" t="n">
        <x:f>Members!C507</x:f>
        <x:v>31</x:v>
      </x:c>
      <x:c r="D507" s="44" t="n">
        <x:f>Members!D507</x:f>
        <x:v>5.3</x:v>
      </x:c>
      <x:c r="E507" s="48" t="n">
        <x:f>Members!E507</x:f>
        <x:v>430000</x:v>
      </x:c>
      <x:c r="F507" s="48" t="n">
        <x:f>Members!F507</x:f>
        <x:v>0</x:v>
      </x:c>
      <x:c r="G507" s="46" t="n">
        <x:f>MAX(0,Assumptions!$B$10-C507)</x:f>
        <x:v>29</x:v>
      </x:c>
      <x:c r="H507" s="50" t="n">
        <x:f>IF(B507="Active",E507*(1+Assumptions!$B$7)^G507,E507)</x:f>
        <x:v>2031373.5109098349</x:v>
      </x:c>
      <x:c r="I507" s="50" t="n">
        <x:f>IF(B507="Active",MIN(Assumptions!$B$12,D507+G507),IF(B507="Deferred",MIN(Assumptions!$B$12,D507),D507))</x:f>
        <x:v>34.3</x:v>
      </x:c>
      <x:c r="J507" s="50" t="n">
        <x:f>IF(B507="Active",H507*I507*Assumptions!$B$11,IF(B507="Deferred",E507*I507*Assumptions!$B$11*(1+Assumptions!$B$9)^G507,F507))</x:f>
        <x:v>1161268.523736789</x:v>
      </x:c>
      <x:c r="K507" s="37" t="n">
        <x:f>IF(B507="Pensioner",1,VLOOKUP(Assumptions!$B$10,Mortality!$A$2:$F$104,6,FALSE)/VLOOKUP(C507,Mortality!$A$2:$F$104,6,FALSE))</x:f>
        <x:v>0.9706466107295209</x:v>
      </x:c>
      <x:c r="L507" s="37" t="n">
        <x:f>VLOOKUP(IF(B507="Pensioner",C507,Assumptions!$B$10),Mortality!$A$2:$E$104,5,FALSE)</x:f>
        <x:v>17.296790022132885</x:v>
      </x:c>
      <x:c r="M507" s="37" t="n">
        <x:f>1+Assumptions!$B$13*Assumptions!$B$14*Assumptions!$B$15</x:f>
        <x:v>1.31875</x:v>
      </x:c>
      <x:c r="N507" s="37" t="n">
        <x:f>IF(B507="Pensioner",1,1/(1+Assumptions!$B$6)^G507)</x:f>
        <x:v>0.16101316040695074</x:v>
      </x:c>
      <x:c r="O507" s="50" t="n">
        <x:f>J507*K507*L507*M507*N507</x:f>
        <x:v>4139836.196508946</x:v>
      </x:c>
    </x:row>
    <x:row r="508">
      <x:c r="A508" s="42" t="str">
        <x:f>Members!A508</x:f>
        <x:v>A0397</x:v>
      </x:c>
      <x:c r="B508" s="42" t="str">
        <x:f>Members!B508</x:f>
        <x:v>Active</x:v>
      </x:c>
      <x:c r="C508" s="42" t="n">
        <x:f>Members!C508</x:f>
        <x:v>40</x:v>
      </x:c>
      <x:c r="D508" s="44" t="n">
        <x:f>Members!D508</x:f>
        <x:v>10.9</x:v>
      </x:c>
      <x:c r="E508" s="48" t="n">
        <x:f>Members!E508</x:f>
        <x:v>891000</x:v>
      </x:c>
      <x:c r="F508" s="48" t="n">
        <x:f>Members!F508</x:f>
        <x:v>0</x:v>
      </x:c>
      <x:c r="G508" s="46" t="n">
        <x:f>MAX(0,Assumptions!$B$10-C508)</x:f>
        <x:v>20</x:v>
      </x:c>
      <x:c r="H508" s="50" t="n">
        <x:f>IF(B508="Active",E508*(1+Assumptions!$B$7)^G508,E508)</x:f>
        <x:v>2599721.9241282437</x:v>
      </x:c>
      <x:c r="I508" s="50" t="n">
        <x:f>IF(B508="Active",MIN(Assumptions!$B$12,D508+G508),IF(B508="Deferred",MIN(Assumptions!$B$12,D508),D508))</x:f>
        <x:v>30.9</x:v>
      </x:c>
      <x:c r="J508" s="50" t="n">
        <x:f>IF(B508="Active",H508*I508*Assumptions!$B$11,IF(B508="Deferred",E508*I508*Assumptions!$B$11*(1+Assumptions!$B$9)^G508,F508))</x:f>
        <x:v>1338856.7909260455</x:v>
      </x:c>
      <x:c r="K508" s="37" t="n">
        <x:f>IF(B508="Pensioner",1,VLOOKUP(Assumptions!$B$10,Mortality!$A$2:$F$104,6,FALSE)/VLOOKUP(C508,Mortality!$A$2:$F$104,6,FALSE))</x:f>
        <x:v>0.9740511243198767</x:v>
      </x:c>
      <x:c r="L508" s="37" t="n">
        <x:f>VLOOKUP(IF(B508="Pensioner",C508,Assumptions!$B$10),Mortality!$A$2:$E$104,5,FALSE)</x:f>
        <x:v>17.296790022132885</x:v>
      </x:c>
      <x:c r="M508" s="37" t="n">
        <x:f>1+Assumptions!$B$13*Assumptions!$B$14*Assumptions!$B$15</x:f>
        <x:v>1.31875</x:v>
      </x:c>
      <x:c r="N508" s="37" t="n">
        <x:f>IF(B508="Pensioner",1,1/(1+Assumptions!$B$6)^G508)</x:f>
        <x:v>0.2837970289214199</x:v>
      </x:c>
      <x:c r="O508" s="50" t="n">
        <x:f>J508*K508*L508*M508*N508</x:f>
        <x:v>8442123.635149522</x:v>
      </x:c>
    </x:row>
    <x:row r="509">
      <x:c r="A509" s="42" t="str">
        <x:f>Members!A509</x:f>
        <x:v>P0150</x:v>
      </x:c>
      <x:c r="B509" s="42" t="str">
        <x:f>Members!B509</x:f>
        <x:v>Pensioner</x:v>
      </x:c>
      <x:c r="C509" s="42" t="n">
        <x:f>Members!C509</x:f>
        <x:v>70</x:v>
      </x:c>
      <x:c r="D509" s="44" t="n">
        <x:f>Members!D509</x:f>
        <x:v>32.1</x:v>
      </x:c>
      <x:c r="E509" s="48" t="n">
        <x:f>Members!E509</x:f>
        <x:v>0</x:v>
      </x:c>
      <x:c r="F509" s="48" t="n">
        <x:f>Members!F509</x:f>
        <x:v>346000</x:v>
      </x:c>
      <x:c r="G509" s="46" t="n">
        <x:f>MAX(0,Assumptions!$B$10-C509)</x:f>
        <x:v>0</x:v>
      </x:c>
      <x:c r="H509" s="50" t="n">
        <x:f>IF(B509="Active",E509*(1+Assumptions!$B$7)^G509,E509)</x:f>
        <x:v>0</x:v>
      </x:c>
      <x:c r="I509" s="50" t="n">
        <x:f>IF(B509="Active",MIN(Assumptions!$B$12,D509+G509),IF(B509="Deferred",MIN(Assumptions!$B$12,D509),D509))</x:f>
        <x:v>32.1</x:v>
      </x:c>
      <x:c r="J509" s="50" t="n">
        <x:f>IF(B509="Active",H509*I509*Assumptions!$B$11,IF(B509="Deferred",E509*I509*Assumptions!$B$11*(1+Assumptions!$B$9)^G509,F509))</x:f>
        <x:v>346000</x:v>
      </x:c>
      <x:c r="K509" s="37" t="n">
        <x:f>IF(B509="Pensioner",1,VLOOKUP(Assumptions!$B$10,Mortality!$A$2:$F$104,6,FALSE)/VLOOKUP(C509,Mortality!$A$2:$F$104,6,FALSE))</x:f>
        <x:v>1</x:v>
      </x:c>
      <x:c r="L509" s="37" t="n">
        <x:f>VLOOKUP(IF(B509="Pensioner",C509,Assumptions!$B$10),Mortality!$A$2:$E$104,5,FALSE)</x:f>
        <x:v>12.963998211865617</x:v>
      </x:c>
      <x:c r="M509" s="37" t="n">
        <x:f>1+Assumptions!$B$13*Assumptions!$B$14*Assumptions!$B$15</x:f>
        <x:v>1.31875</x:v>
      </x:c>
      <x:c r="N509" s="37" t="n">
        <x:f>IF(B509="Pensioner",1,1/(1+Assumptions!$B$6)^G509)</x:f>
        <x:v>1</x:v>
      </x:c>
      <x:c r="O509" s="50" t="n">
        <x:f>J509*K509*L509*M509*N509</x:f>
        <x:v>5915310.334096633</x:v>
      </x:c>
    </x:row>
    <x:row r="510">
      <x:c r="A510" s="42" t="str">
        <x:f>Members!A510</x:f>
        <x:v>P0199</x:v>
      </x:c>
      <x:c r="B510" s="42" t="str">
        <x:f>Members!B510</x:f>
        <x:v>Pensioner</x:v>
      </x:c>
      <x:c r="C510" s="42" t="n">
        <x:f>Members!C510</x:f>
        <x:v>61</x:v>
      </x:c>
      <x:c r="D510" s="44" t="n">
        <x:f>Members!D510</x:f>
        <x:v>33.4</x:v>
      </x:c>
      <x:c r="E510" s="48" t="n">
        <x:f>Members!E510</x:f>
        <x:v>0</x:v>
      </x:c>
      <x:c r="F510" s="48" t="n">
        <x:f>Members!F510</x:f>
        <x:v>300000</x:v>
      </x:c>
      <x:c r="G510" s="46" t="n">
        <x:f>MAX(0,Assumptions!$B$10-C510)</x:f>
        <x:v>0</x:v>
      </x:c>
      <x:c r="H510" s="50" t="n">
        <x:f>IF(B510="Active",E510*(1+Assumptions!$B$7)^G510,E510)</x:f>
        <x:v>0</x:v>
      </x:c>
      <x:c r="I510" s="50" t="n">
        <x:f>IF(B510="Active",MIN(Assumptions!$B$12,D510+G510),IF(B510="Deferred",MIN(Assumptions!$B$12,D510),D510))</x:f>
        <x:v>33.4</x:v>
      </x:c>
      <x:c r="J510" s="50" t="n">
        <x:f>IF(B510="Active",H510*I510*Assumptions!$B$11,IF(B510="Deferred",E510*I510*Assumptions!$B$11*(1+Assumptions!$B$9)^G510,F510))</x:f>
        <x:v>300000</x:v>
      </x:c>
      <x:c r="K510" s="37" t="n">
        <x:f>IF(B510="Pensioner",1,VLOOKUP(Assumptions!$B$10,Mortality!$A$2:$F$104,6,FALSE)/VLOOKUP(C510,Mortality!$A$2:$F$104,6,FALSE))</x:f>
        <x:v>1</x:v>
      </x:c>
      <x:c r="L510" s="37" t="n">
        <x:f>VLOOKUP(IF(B510="Pensioner",C510,Assumptions!$B$10),Mortality!$A$2:$E$104,5,FALSE)</x:f>
        <x:v>16.889485221588366</x:v>
      </x:c>
      <x:c r="M510" s="37" t="n">
        <x:f>1+Assumptions!$B$13*Assumptions!$B$14*Assumptions!$B$15</x:f>
        <x:v>1.31875</x:v>
      </x:c>
      <x:c r="N510" s="37" t="n">
        <x:f>IF(B510="Pensioner",1,1/(1+Assumptions!$B$6)^G510)</x:f>
        <x:v>1</x:v>
      </x:c>
      <x:c r="O510" s="50" t="n">
        <x:f>J510*K510*L510*M510*N510</x:f>
        <x:v>6681902.590790898</x:v>
      </x:c>
    </x:row>
    <x:row r="511">
      <x:c r="A511" s="42" t="str">
        <x:f>Members!A511</x:f>
        <x:v>P0089</x:v>
      </x:c>
      <x:c r="B511" s="42" t="str">
        <x:f>Members!B511</x:f>
        <x:v>Pensioner</x:v>
      </x:c>
      <x:c r="C511" s="42" t="n">
        <x:f>Members!C511</x:f>
        <x:v>83</x:v>
      </x:c>
      <x:c r="D511" s="44" t="n">
        <x:f>Members!D511</x:f>
        <x:v>19.3</x:v>
      </x:c>
      <x:c r="E511" s="48" t="n">
        <x:f>Members!E511</x:f>
        <x:v>0</x:v>
      </x:c>
      <x:c r="F511" s="48" t="n">
        <x:f>Members!F511</x:f>
        <x:v>706000</x:v>
      </x:c>
      <x:c r="G511" s="46" t="n">
        <x:f>MAX(0,Assumptions!$B$10-C511)</x:f>
        <x:v>0</x:v>
      </x:c>
      <x:c r="H511" s="50" t="n">
        <x:f>IF(B511="Active",E511*(1+Assumptions!$B$7)^G511,E511)</x:f>
        <x:v>0</x:v>
      </x:c>
      <x:c r="I511" s="50" t="n">
        <x:f>IF(B511="Active",MIN(Assumptions!$B$12,D511+G511),IF(B511="Deferred",MIN(Assumptions!$B$12,D511),D511))</x:f>
        <x:v>19.3</x:v>
      </x:c>
      <x:c r="J511" s="50" t="n">
        <x:f>IF(B511="Active",H511*I511*Assumptions!$B$11,IF(B511="Deferred",E511*I511*Assumptions!$B$11*(1+Assumptions!$B$9)^G511,F511))</x:f>
        <x:v>706000</x:v>
      </x:c>
      <x:c r="K511" s="37" t="n">
        <x:f>IF(B511="Pensioner",1,VLOOKUP(Assumptions!$B$10,Mortality!$A$2:$F$104,6,FALSE)/VLOOKUP(C511,Mortality!$A$2:$F$104,6,FALSE))</x:f>
        <x:v>1</x:v>
      </x:c>
      <x:c r="L511" s="37" t="n">
        <x:f>VLOOKUP(IF(B511="Pensioner",C511,Assumptions!$B$10),Mortality!$A$2:$E$104,5,FALSE)</x:f>
        <x:v>7.066956273830788</x:v>
      </x:c>
      <x:c r="M511" s="37" t="n">
        <x:f>1+Assumptions!$B$13*Assumptions!$B$14*Assumptions!$B$15</x:f>
        <x:v>1.31875</x:v>
      </x:c>
      <x:c r="N511" s="37" t="n">
        <x:f>IF(B511="Pensioner",1,1/(1+Assumptions!$B$6)^G511)</x:f>
        <x:v>1</x:v>
      </x:c>
      <x:c r="O511" s="50" t="n">
        <x:f>J511*K511*L511*M511*N511</x:f>
        <x:v>6579601.3017967325</x:v>
      </x:c>
    </x:row>
    <x:row r="512">
      <x:c r="A512" s="42" t="str">
        <x:f>Members!A512</x:f>
        <x:v>A0106</x:v>
      </x:c>
      <x:c r="B512" s="42" t="str">
        <x:f>Members!B512</x:f>
        <x:v>Active</x:v>
      </x:c>
      <x:c r="C512" s="42" t="n">
        <x:f>Members!C512</x:f>
        <x:v>58</x:v>
      </x:c>
      <x:c r="D512" s="44" t="n">
        <x:f>Members!D512</x:f>
        <x:v>20.9</x:v>
      </x:c>
      <x:c r="E512" s="48" t="n">
        <x:f>Members!E512</x:f>
        <x:v>2507000</x:v>
      </x:c>
      <x:c r="F512" s="48" t="n">
        <x:f>Members!F512</x:f>
        <x:v>0</x:v>
      </x:c>
      <x:c r="G512" s="46" t="n">
        <x:f>MAX(0,Assumptions!$B$10-C512)</x:f>
        <x:v>2</x:v>
      </x:c>
      <x:c r="H512" s="50" t="n">
        <x:f>IF(B512="Active",E512*(1+Assumptions!$B$7)^G512,E512)</x:f>
        <x:v>2790353.675</x:v>
      </x:c>
      <x:c r="I512" s="50" t="n">
        <x:f>IF(B512="Active",MIN(Assumptions!$B$12,D512+G512),IF(B512="Deferred",MIN(Assumptions!$B$12,D512),D512))</x:f>
        <x:v>22.9</x:v>
      </x:c>
      <x:c r="J512" s="50" t="n">
        <x:f>IF(B512="Active",H512*I512*Assumptions!$B$11,IF(B512="Deferred",E512*I512*Assumptions!$B$11*(1+Assumptions!$B$9)^G512,F512))</x:f>
        <x:v>1064984.9859583331</x:v>
      </x:c>
      <x:c r="K512" s="37" t="n">
        <x:f>IF(B512="Pensioner",1,VLOOKUP(Assumptions!$B$10,Mortality!$A$2:$F$104,6,FALSE)/VLOOKUP(C512,Mortality!$A$2:$F$104,6,FALSE))</x:f>
        <x:v>0.9945213044203837</x:v>
      </x:c>
      <x:c r="L512" s="37" t="n">
        <x:f>VLOOKUP(IF(B512="Pensioner",C512,Assumptions!$B$10),Mortality!$A$2:$E$104,5,FALSE)</x:f>
        <x:v>17.296790022132885</x:v>
      </x:c>
      <x:c r="M512" s="37" t="n">
        <x:f>1+Assumptions!$B$13*Assumptions!$B$14*Assumptions!$B$15</x:f>
        <x:v>1.31875</x:v>
      </x:c>
      <x:c r="N512" s="37" t="n">
        <x:f>IF(B512="Pensioner",1,1/(1+Assumptions!$B$6)^G512)</x:f>
        <x:v>0.8816592827701736</x:v>
      </x:c>
      <x:c r="O512" s="50" t="n">
        <x:f>J512*K512*L512*M512*N512</x:f>
        <x:v>21300330.71347217</x:v>
      </x:c>
    </x:row>
    <x:row r="513">
      <x:c r="A513" s="42" t="str">
        <x:f>Members!A513</x:f>
        <x:v>A0519</x:v>
      </x:c>
      <x:c r="B513" s="42" t="str">
        <x:f>Members!B513</x:f>
        <x:v>Active</x:v>
      </x:c>
      <x:c r="C513" s="42" t="n">
        <x:f>Members!C513</x:f>
        <x:v>56</x:v>
      </x:c>
      <x:c r="D513" s="44" t="n">
        <x:f>Members!D513</x:f>
        <x:v>5.1</x:v>
      </x:c>
      <x:c r="E513" s="48" t="n">
        <x:f>Members!E513</x:f>
        <x:v>1593000</x:v>
      </x:c>
      <x:c r="F513" s="48" t="n">
        <x:f>Members!F513</x:f>
        <x:v>0</x:v>
      </x:c>
      <x:c r="G513" s="46" t="n">
        <x:f>MAX(0,Assumptions!$B$10-C513)</x:f>
        <x:v>4</x:v>
      </x:c>
      <x:c r="H513" s="50" t="n">
        <x:f>IF(B513="Active",E513*(1+Assumptions!$B$7)^G513,E513)</x:f>
        <x:v>1973447.6684456246</x:v>
      </x:c>
      <x:c r="I513" s="50" t="n">
        <x:f>IF(B513="Active",MIN(Assumptions!$B$12,D513+G513),IF(B513="Deferred",MIN(Assumptions!$B$12,D513),D513))</x:f>
        <x:v>9.1</x:v>
      </x:c>
      <x:c r="J513" s="50" t="n">
        <x:f>IF(B513="Active",H513*I513*Assumptions!$B$11,IF(B513="Deferred",E513*I513*Assumptions!$B$11*(1+Assumptions!$B$9)^G513,F513))</x:f>
        <x:v>299306.22971425304</x:v>
      </x:c>
      <x:c r="K513" s="37" t="n">
        <x:f>IF(B513="Pensioner",1,VLOOKUP(Assumptions!$B$10,Mortality!$A$2:$F$104,6,FALSE)/VLOOKUP(C513,Mortality!$A$2:$F$104,6,FALSE))</x:f>
        <x:v>0.990116255810422</x:v>
      </x:c>
      <x:c r="L513" s="37" t="n">
        <x:f>VLOOKUP(IF(B513="Pensioner",C513,Assumptions!$B$10),Mortality!$A$2:$E$104,5,FALSE)</x:f>
        <x:v>17.296790022132885</x:v>
      </x:c>
      <x:c r="M513" s="37" t="n">
        <x:f>1+Assumptions!$B$13*Assumptions!$B$14*Assumptions!$B$15</x:f>
        <x:v>1.31875</x:v>
      </x:c>
      <x:c r="N513" s="37" t="n">
        <x:f>IF(B513="Pensioner",1,1/(1+Assumptions!$B$6)^G513)</x:f>
        <x:v>0.777323090894817</x:v>
      </x:c>
      <x:c r="O513" s="50" t="n">
        <x:f>J513*K513*L513*M513*N513</x:f>
        <x:v>5254501.276904485</x:v>
      </x:c>
    </x:row>
    <x:row r="514">
      <x:c r="A514" s="42" t="str">
        <x:f>Members!A514</x:f>
        <x:v>D0107</x:v>
      </x:c>
      <x:c r="B514" s="42" t="str">
        <x:f>Members!B514</x:f>
        <x:v>Deferred</x:v>
      </x:c>
      <x:c r="C514" s="42" t="n">
        <x:f>Members!C514</x:f>
        <x:v>36</x:v>
      </x:c>
      <x:c r="D514" s="44" t="n">
        <x:f>Members!D514</x:f>
        <x:v>5.4</x:v>
      </x:c>
      <x:c r="E514" s="48" t="n">
        <x:f>Members!E514</x:f>
        <x:v>528000</x:v>
      </x:c>
      <x:c r="F514" s="48" t="n">
        <x:f>Members!F514</x:f>
        <x:v>0</x:v>
      </x:c>
      <x:c r="G514" s="46" t="n">
        <x:f>MAX(0,Assumptions!$B$10-C514)</x:f>
        <x:v>24</x:v>
      </x:c>
      <x:c r="H514" s="50" t="n">
        <x:f>IF(B514="Active",E514*(1+Assumptions!$B$7)^G514,E514)</x:f>
        <x:v>528000</x:v>
      </x:c>
      <x:c r="I514" s="50" t="n">
        <x:f>IF(B514="Active",MIN(Assumptions!$B$12,D514+G514),IF(B514="Deferred",MIN(Assumptions!$B$12,D514),D514))</x:f>
        <x:v>5.4</x:v>
      </x:c>
      <x:c r="J514" s="50" t="n">
        <x:f>IF(B514="Active",H514*I514*Assumptions!$B$11,IF(B514="Deferred",E514*I514*Assumptions!$B$11*(1+Assumptions!$B$9)^G514,F514))</x:f>
        <x:v>121808.21391565609</x:v>
      </x:c>
      <x:c r="K514" s="37" t="n">
        <x:f>IF(B514="Pensioner",1,VLOOKUP(Assumptions!$B$10,Mortality!$A$2:$F$104,6,FALSE)/VLOOKUP(C514,Mortality!$A$2:$F$104,6,FALSE))</x:f>
        <x:v>0.9723450305541352</x:v>
      </x:c>
      <x:c r="L514" s="37" t="n">
        <x:f>VLOOKUP(IF(B514="Pensioner",C514,Assumptions!$B$10),Mortality!$A$2:$E$104,5,FALSE)</x:f>
        <x:v>17.296790022132885</x:v>
      </x:c>
      <x:c r="M514" s="37" t="n">
        <x:f>1+Assumptions!$B$13*Assumptions!$B$14*Assumptions!$B$15</x:f>
        <x:v>1.31875</x:v>
      </x:c>
      <x:c r="N514" s="37" t="n">
        <x:f>IF(B514="Pensioner",1,1/(1+Assumptions!$B$6)^G514)</x:f>
        <x:v>0.22060198370796386</x:v>
      </x:c>
      <x:c r="O514" s="50" t="n">
        <x:f>J514*K514*L514*M514*N514</x:f>
        <x:v>595983.6881014013</x:v>
      </x:c>
    </x:row>
    <x:row r="515">
      <x:c r="A515" s="42" t="str">
        <x:f>Members!A515</x:f>
        <x:v>A0530</x:v>
      </x:c>
      <x:c r="B515" s="42" t="str">
        <x:f>Members!B515</x:f>
        <x:v>Active</x:v>
      </x:c>
      <x:c r="C515" s="42" t="n">
        <x:f>Members!C515</x:f>
        <x:v>54</x:v>
      </x:c>
      <x:c r="D515" s="44" t="n">
        <x:f>Members!D515</x:f>
        <x:v>11.9</x:v>
      </x:c>
      <x:c r="E515" s="48" t="n">
        <x:f>Members!E515</x:f>
        <x:v>2063000</x:v>
      </x:c>
      <x:c r="F515" s="48" t="n">
        <x:f>Members!F515</x:f>
        <x:v>0</x:v>
      </x:c>
      <x:c r="G515" s="46" t="n">
        <x:f>MAX(0,Assumptions!$B$10-C515)</x:f>
        <x:v>6</x:v>
      </x:c>
      <x:c r="H515" s="50" t="n">
        <x:f>IF(B515="Active",E515*(1+Assumptions!$B$7)^G515,E515)</x:f>
        <x:v>2844552.7103497796</x:v>
      </x:c>
      <x:c r="I515" s="50" t="n">
        <x:f>IF(B515="Active",MIN(Assumptions!$B$12,D515+G515),IF(B515="Deferred",MIN(Assumptions!$B$12,D515),D515))</x:f>
        <x:v>17.9</x:v>
      </x:c>
      <x:c r="J515" s="50" t="n">
        <x:f>IF(B515="Active",H515*I515*Assumptions!$B$11,IF(B515="Deferred",E515*I515*Assumptions!$B$11*(1+Assumptions!$B$9)^G515,F515))</x:f>
        <x:v>848624.8919210176</x:v>
      </x:c>
      <x:c r="K515" s="37" t="n">
        <x:f>IF(B515="Pensioner",1,VLOOKUP(Assumptions!$B$10,Mortality!$A$2:$F$104,6,FALSE)/VLOOKUP(C515,Mortality!$A$2:$F$104,6,FALSE))</x:f>
        <x:v>0.9865535119056937</x:v>
      </x:c>
      <x:c r="L515" s="37" t="n">
        <x:f>VLOOKUP(IF(B515="Pensioner",C515,Assumptions!$B$10),Mortality!$A$2:$E$104,5,FALSE)</x:f>
        <x:v>17.296790022132885</x:v>
      </x:c>
      <x:c r="M515" s="37" t="n">
        <x:f>1+Assumptions!$B$13*Assumptions!$B$14*Assumptions!$B$15</x:f>
        <x:v>1.31875</x:v>
      </x:c>
      <x:c r="N515" s="37" t="n">
        <x:f>IF(B515="Pensioner",1,1/(1+Assumptions!$B$6)^G515)</x:f>
        <x:v>0.6853341187990187</x:v>
      </x:c>
      <x:c r="O515" s="50" t="n">
        <x:f>J515*K515*L515*M515*N515</x:f>
        <x:v>13087803.096987143</x:v>
      </x:c>
    </x:row>
    <x:row r="516">
      <x:c r="A516" s="42" t="str">
        <x:f>Members!A516</x:f>
        <x:v>A0143</x:v>
      </x:c>
      <x:c r="B516" s="42" t="str">
        <x:f>Members!B516</x:f>
        <x:v>Active</x:v>
      </x:c>
      <x:c r="C516" s="42" t="n">
        <x:f>Members!C516</x:f>
        <x:v>59</x:v>
      </x:c>
      <x:c r="D516" s="44" t="n">
        <x:f>Members!D516</x:f>
        <x:v>16.4</x:v>
      </x:c>
      <x:c r="E516" s="48" t="n">
        <x:f>Members!E516</x:f>
        <x:v>2317000</x:v>
      </x:c>
      <x:c r="F516" s="48" t="n">
        <x:f>Members!F516</x:f>
        <x:v>0</x:v>
      </x:c>
      <x:c r="G516" s="46" t="n">
        <x:f>MAX(0,Assumptions!$B$10-C516)</x:f>
        <x:v>1</x:v>
      </x:c>
      <x:c r="H516" s="50" t="n">
        <x:f>IF(B516="Active",E516*(1+Assumptions!$B$7)^G516,E516)</x:f>
        <x:v>2444435</x:v>
      </x:c>
      <x:c r="I516" s="50" t="n">
        <x:f>IF(B516="Active",MIN(Assumptions!$B$12,D516+G516),IF(B516="Deferred",MIN(Assumptions!$B$12,D516),D516))</x:f>
        <x:v>17.4</x:v>
      </x:c>
      <x:c r="J516" s="50" t="n">
        <x:f>IF(B516="Active",H516*I516*Assumptions!$B$11,IF(B516="Deferred",E516*I516*Assumptions!$B$11*(1+Assumptions!$B$9)^G516,F516))</x:f>
        <x:v>708886.15</x:v>
      </x:c>
      <x:c r="K516" s="37" t="n">
        <x:f>IF(B516="Pensioner",1,VLOOKUP(Assumptions!$B$10,Mortality!$A$2:$F$104,6,FALSE)/VLOOKUP(C516,Mortality!$A$2:$F$104,6,FALSE))</x:f>
        <x:v>0.9971096011831975</x:v>
      </x:c>
      <x:c r="L516" s="37" t="n">
        <x:f>VLOOKUP(IF(B516="Pensioner",C516,Assumptions!$B$10),Mortality!$A$2:$E$104,5,FALSE)</x:f>
        <x:v>17.296790022132885</x:v>
      </x:c>
      <x:c r="M516" s="37" t="n">
        <x:f>1+Assumptions!$B$13*Assumptions!$B$14*Assumptions!$B$15</x:f>
        <x:v>1.31875</x:v>
      </x:c>
      <x:c r="N516" s="37" t="n">
        <x:f>IF(B516="Pensioner",1,1/(1+Assumptions!$B$6)^G516)</x:f>
        <x:v>0.9389671361502347</x:v>
      </x:c>
      <x:c r="O516" s="50" t="n">
        <x:f>J516*K516*L516*M516*N516</x:f>
        <x:v>15139020.167820318</x:v>
      </x:c>
    </x:row>
    <x:row r="517">
      <x:c r="A517" s="42" t="str">
        <x:f>Members!A517</x:f>
        <x:v>D0040</x:v>
      </x:c>
      <x:c r="B517" s="42" t="str">
        <x:f>Members!B517</x:f>
        <x:v>Deferred</x:v>
      </x:c>
      <x:c r="C517" s="42" t="n">
        <x:f>Members!C517</x:f>
        <x:v>36</x:v>
      </x:c>
      <x:c r="D517" s="44" t="n">
        <x:f>Members!D517</x:f>
        <x:v>6.5</x:v>
      </x:c>
      <x:c r="E517" s="48" t="n">
        <x:f>Members!E517</x:f>
        <x:v>628000</x:v>
      </x:c>
      <x:c r="F517" s="48" t="n">
        <x:f>Members!F517</x:f>
        <x:v>0</x:v>
      </x:c>
      <x:c r="G517" s="46" t="n">
        <x:f>MAX(0,Assumptions!$B$10-C517)</x:f>
        <x:v>24</x:v>
      </x:c>
      <x:c r="H517" s="50" t="n">
        <x:f>IF(B517="Active",E517*(1+Assumptions!$B$7)^G517,E517)</x:f>
        <x:v>628000</x:v>
      </x:c>
      <x:c r="I517" s="50" t="n">
        <x:f>IF(B517="Active",MIN(Assumptions!$B$12,D517+G517),IF(B517="Deferred",MIN(Assumptions!$B$12,D517),D517))</x:f>
        <x:v>6.5</x:v>
      </x:c>
      <x:c r="J517" s="50" t="n">
        <x:f>IF(B517="Active",H517*I517*Assumptions!$B$11,IF(B517="Deferred",E517*I517*Assumptions!$B$11*(1+Assumptions!$B$9)^G517,F517))</x:f>
        <x:v>174390.12668480224</x:v>
      </x:c>
      <x:c r="K517" s="37" t="n">
        <x:f>IF(B517="Pensioner",1,VLOOKUP(Assumptions!$B$10,Mortality!$A$2:$F$104,6,FALSE)/VLOOKUP(C517,Mortality!$A$2:$F$104,6,FALSE))</x:f>
        <x:v>0.9723450305541352</x:v>
      </x:c>
      <x:c r="L517" s="37" t="n">
        <x:f>VLOOKUP(IF(B517="Pensioner",C517,Assumptions!$B$10),Mortality!$A$2:$E$104,5,FALSE)</x:f>
        <x:v>17.296790022132885</x:v>
      </x:c>
      <x:c r="M517" s="37" t="n">
        <x:f>1+Assumptions!$B$13*Assumptions!$B$14*Assumptions!$B$15</x:f>
        <x:v>1.31875</x:v>
      </x:c>
      <x:c r="N517" s="37" t="n">
        <x:f>IF(B517="Pensioner",1,1/(1+Assumptions!$B$6)^G517)</x:f>
        <x:v>0.22060198370796386</x:v>
      </x:c>
      <x:c r="O517" s="50" t="n">
        <x:f>J517*K517*L517*M517*N517</x:f>
        <x:v>853256.6690621212</x:v>
      </x:c>
    </x:row>
    <x:row r="518">
      <x:c r="A518" s="42" t="str">
        <x:f>Members!A518</x:f>
        <x:v>D0130</x:v>
      </x:c>
      <x:c r="B518" s="42" t="str">
        <x:f>Members!B518</x:f>
        <x:v>Deferred</x:v>
      </x:c>
      <x:c r="C518" s="42" t="n">
        <x:f>Members!C518</x:f>
        <x:v>47</x:v>
      </x:c>
      <x:c r="D518" s="44" t="n">
        <x:f>Members!D518</x:f>
        <x:v>16.5</x:v>
      </x:c>
      <x:c r="E518" s="48" t="n">
        <x:f>Members!E518</x:f>
        <x:v>747000</x:v>
      </x:c>
      <x:c r="F518" s="48" t="n">
        <x:f>Members!F518</x:f>
        <x:v>0</x:v>
      </x:c>
      <x:c r="G518" s="46" t="n">
        <x:f>MAX(0,Assumptions!$B$10-C518)</x:f>
        <x:v>13</x:v>
      </x:c>
      <x:c r="H518" s="50" t="n">
        <x:f>IF(B518="Active",E518*(1+Assumptions!$B$7)^G518,E518)</x:f>
        <x:v>747000</x:v>
      </x:c>
      <x:c r="I518" s="50" t="n">
        <x:f>IF(B518="Active",MIN(Assumptions!$B$12,D518+G518),IF(B518="Deferred",MIN(Assumptions!$B$12,D518),D518))</x:f>
        <x:v>16.5</x:v>
      </x:c>
      <x:c r="J518" s="50" t="n">
        <x:f>IF(B518="Active",H518*I518*Assumptions!$B$11,IF(B518="Deferred",E518*I518*Assumptions!$B$11*(1+Assumptions!$B$9)^G518,F518))</x:f>
        <x:v>342047.72523923666</x:v>
      </x:c>
      <x:c r="K518" s="37" t="n">
        <x:f>IF(B518="Pensioner",1,VLOOKUP(Assumptions!$B$10,Mortality!$A$2:$F$104,6,FALSE)/VLOOKUP(C518,Mortality!$A$2:$F$104,6,FALSE))</x:f>
        <x:v>0.9784451675747989</x:v>
      </x:c>
      <x:c r="L518" s="37" t="n">
        <x:f>VLOOKUP(IF(B518="Pensioner",C518,Assumptions!$B$10),Mortality!$A$2:$E$104,5,FALSE)</x:f>
        <x:v>17.296790022132885</x:v>
      </x:c>
      <x:c r="M518" s="37" t="n">
        <x:f>1+Assumptions!$B$13*Assumptions!$B$14*Assumptions!$B$15</x:f>
        <x:v>1.31875</x:v>
      </x:c>
      <x:c r="N518" s="37" t="n">
        <x:f>IF(B518="Pensioner",1,1/(1+Assumptions!$B$6)^G518)</x:f>
        <x:v>0.4410167646854719</x:v>
      </x:c>
      <x:c r="O518" s="50" t="n">
        <x:f>J518*K518*L518*M518*N518</x:f>
        <x:v>3366714.457799271</x:v>
      </x:c>
    </x:row>
    <x:row r="519">
      <x:c r="A519" s="42" t="str">
        <x:f>Members!A519</x:f>
        <x:v>A0411</x:v>
      </x:c>
      <x:c r="B519" s="42" t="str">
        <x:f>Members!B519</x:f>
        <x:v>Active</x:v>
      </x:c>
      <x:c r="C519" s="42" t="n">
        <x:f>Members!C519</x:f>
        <x:v>33</x:v>
      </x:c>
      <x:c r="D519" s="44" t="n">
        <x:f>Members!D519</x:f>
        <x:v>2.1</x:v>
      </x:c>
      <x:c r="E519" s="48" t="n">
        <x:f>Members!E519</x:f>
        <x:v>830000</x:v>
      </x:c>
      <x:c r="F519" s="48" t="n">
        <x:f>Members!F519</x:f>
        <x:v>0</x:v>
      </x:c>
      <x:c r="G519" s="46" t="n">
        <x:f>MAX(0,Assumptions!$B$10-C519)</x:f>
        <x:v>27</x:v>
      </x:c>
      <x:c r="H519" s="50" t="n">
        <x:f>IF(B519="Active",E519*(1+Assumptions!$B$7)^G519,E519)</x:f>
        <x:v>3522852.845623755</x:v>
      </x:c>
      <x:c r="I519" s="50" t="n">
        <x:f>IF(B519="Active",MIN(Assumptions!$B$12,D519+G519),IF(B519="Deferred",MIN(Assumptions!$B$12,D519),D519))</x:f>
        <x:v>29.1</x:v>
      </x:c>
      <x:c r="J519" s="50" t="n">
        <x:f>IF(B519="Active",H519*I519*Assumptions!$B$11,IF(B519="Deferred",E519*I519*Assumptions!$B$11*(1+Assumptions!$B$9)^G519,F519))</x:f>
        <x:v>1708583.630127521</x:v>
      </x:c>
      <x:c r="K519" s="37" t="n">
        <x:f>IF(B519="Pensioner",1,VLOOKUP(Assumptions!$B$10,Mortality!$A$2:$F$104,6,FALSE)/VLOOKUP(C519,Mortality!$A$2:$F$104,6,FALSE))</x:f>
        <x:v>0.9712826176321353</x:v>
      </x:c>
      <x:c r="L519" s="37" t="n">
        <x:f>VLOOKUP(IF(B519="Pensioner",C519,Assumptions!$B$10),Mortality!$A$2:$E$104,5,FALSE)</x:f>
        <x:v>17.296790022132885</x:v>
      </x:c>
      <x:c r="M519" s="37" t="n">
        <x:f>1+Assumptions!$B$13*Assumptions!$B$14*Assumptions!$B$15</x:f>
        <x:v>1.31875</x:v>
      </x:c>
      <x:c r="N519" s="37" t="n">
        <x:f>IF(B519="Pensioner",1,1/(1+Assumptions!$B$6)^G519)</x:f>
        <x:v>0.1826251518625737</x:v>
      </x:c>
      <x:c r="O519" s="50" t="n">
        <x:f>J519*K519*L519*M519*N519</x:f>
        <x:v>6913061.708891615</x:v>
      </x:c>
    </x:row>
    <x:row r="520">
      <x:c r="A520" s="42" t="str">
        <x:f>Members!A520</x:f>
        <x:v>A0273</x:v>
      </x:c>
      <x:c r="B520" s="42" t="str">
        <x:f>Members!B520</x:f>
        <x:v>Active</x:v>
      </x:c>
      <x:c r="C520" s="42" t="n">
        <x:f>Members!C520</x:f>
        <x:v>51</x:v>
      </x:c>
      <x:c r="D520" s="44" t="n">
        <x:f>Members!D520</x:f>
        <x:v>19</x:v>
      </x:c>
      <x:c r="E520" s="48" t="n">
        <x:f>Members!E520</x:f>
        <x:v>1088000</x:v>
      </x:c>
      <x:c r="F520" s="48" t="n">
        <x:f>Members!F520</x:f>
        <x:v>0</x:v>
      </x:c>
      <x:c r="G520" s="46" t="n">
        <x:f>MAX(0,Assumptions!$B$10-C520)</x:f>
        <x:v>9</x:v>
      </x:c>
      <x:c r="H520" s="50" t="n">
        <x:f>IF(B520="Active",E520*(1+Assumptions!$B$7)^G520,E520)</x:f>
        <x:v>1761574.5693731841</x:v>
      </x:c>
      <x:c r="I520" s="50" t="n">
        <x:f>IF(B520="Active",MIN(Assumptions!$B$12,D520+G520),IF(B520="Deferred",MIN(Assumptions!$B$12,D520),D520))</x:f>
        <x:v>28</x:v>
      </x:c>
      <x:c r="J520" s="50" t="n">
        <x:f>IF(B520="Active",H520*I520*Assumptions!$B$11,IF(B520="Deferred",E520*I520*Assumptions!$B$11*(1+Assumptions!$B$9)^G520,F520))</x:f>
        <x:v>822068.1323741525</x:v>
      </x:c>
      <x:c r="K520" s="37" t="n">
        <x:f>IF(B520="Pensioner",1,VLOOKUP(Assumptions!$B$10,Mortality!$A$2:$F$104,6,FALSE)/VLOOKUP(C520,Mortality!$A$2:$F$104,6,FALSE))</x:f>
        <x:v>0.9824052797506154</x:v>
      </x:c>
      <x:c r="L520" s="37" t="n">
        <x:f>VLOOKUP(IF(B520="Pensioner",C520,Assumptions!$B$10),Mortality!$A$2:$E$104,5,FALSE)</x:f>
        <x:v>17.296790022132885</x:v>
      </x:c>
      <x:c r="M520" s="37" t="n">
        <x:f>1+Assumptions!$B$13*Assumptions!$B$14*Assumptions!$B$15</x:f>
        <x:v>1.31875</x:v>
      </x:c>
      <x:c r="N520" s="37" t="n">
        <x:f>IF(B520="Pensioner",1,1/(1+Assumptions!$B$6)^G520)</x:f>
        <x:v>0.5673532278293633</x:v>
      </x:c>
      <x:c r="O520" s="50" t="n">
        <x:f>J520*K520*L520*M520*N520</x:f>
        <x:v>10451533.496258931</x:v>
      </x:c>
    </x:row>
    <x:row r="521">
      <x:c r="A521" s="42" t="str">
        <x:f>Members!A521</x:f>
        <x:v>A0080</x:v>
      </x:c>
      <x:c r="B521" s="42" t="str">
        <x:f>Members!B521</x:f>
        <x:v>Active</x:v>
      </x:c>
      <x:c r="C521" s="42" t="n">
        <x:f>Members!C521</x:f>
        <x:v>44</x:v>
      </x:c>
      <x:c r="D521" s="44" t="n">
        <x:f>Members!D521</x:f>
        <x:v>21.4</x:v>
      </x:c>
      <x:c r="E521" s="48" t="n">
        <x:f>Members!E521</x:f>
        <x:v>1049000</x:v>
      </x:c>
      <x:c r="F521" s="48" t="n">
        <x:f>Members!F521</x:f>
        <x:v>0</x:v>
      </x:c>
      <x:c r="G521" s="46" t="n">
        <x:f>MAX(0,Assumptions!$B$10-C521)</x:f>
        <x:v>16</x:v>
      </x:c>
      <x:c r="H521" s="50" t="n">
        <x:f>IF(B521="Active",E521*(1+Assumptions!$B$7)^G521,E521)</x:f>
        <x:v>2470670.5715772775</x:v>
      </x:c>
      <x:c r="I521" s="50" t="n">
        <x:f>IF(B521="Active",MIN(Assumptions!$B$12,D521+G521),IF(B521="Deferred",MIN(Assumptions!$B$12,D521),D521))</x:f>
        <x:v>37.4</x:v>
      </x:c>
      <x:c r="J521" s="50" t="n">
        <x:f>IF(B521="Active",H521*I521*Assumptions!$B$11,IF(B521="Deferred",E521*I521*Assumptions!$B$11*(1+Assumptions!$B$9)^G521,F521))</x:f>
        <x:v>1540051.322949836</x:v>
      </x:c>
      <x:c r="K521" s="37" t="n">
        <x:f>IF(B521="Pensioner",1,VLOOKUP(Assumptions!$B$10,Mortality!$A$2:$F$104,6,FALSE)/VLOOKUP(C521,Mortality!$A$2:$F$104,6,FALSE))</x:f>
        <x:v>0.9762682212178733</x:v>
      </x:c>
      <x:c r="L521" s="37" t="n">
        <x:f>VLOOKUP(IF(B521="Pensioner",C521,Assumptions!$B$10),Mortality!$A$2:$E$104,5,FALSE)</x:f>
        <x:v>17.296790022132885</x:v>
      </x:c>
      <x:c r="M521" s="37" t="n">
        <x:f>1+Assumptions!$B$13*Assumptions!$B$14*Assumptions!$B$15</x:f>
        <x:v>1.31875</x:v>
      </x:c>
      <x:c r="N521" s="37" t="n">
        <x:f>IF(B521="Pensioner",1,1/(1+Assumptions!$B$6)^G521)</x:f>
        <x:v>0.3650953281147565</x:v>
      </x:c>
      <x:c r="O521" s="50" t="n">
        <x:f>J521*K521*L521*M521*N521</x:f>
        <x:v>12520988.25988479</x:v>
      </x:c>
    </x:row>
    <x:row r="522">
      <x:c r="A522" s="42" t="str">
        <x:f>Members!A522</x:f>
        <x:v>A0129</x:v>
      </x:c>
      <x:c r="B522" s="42" t="str">
        <x:f>Members!B522</x:f>
        <x:v>Active</x:v>
      </x:c>
      <x:c r="C522" s="42" t="n">
        <x:f>Members!C522</x:f>
        <x:v>38</x:v>
      </x:c>
      <x:c r="D522" s="44" t="n">
        <x:f>Members!D522</x:f>
        <x:v>7.1</x:v>
      </x:c>
      <x:c r="E522" s="48" t="n">
        <x:f>Members!E522</x:f>
        <x:v>925000</x:v>
      </x:c>
      <x:c r="F522" s="48" t="n">
        <x:f>Members!F522</x:f>
        <x:v>0</x:v>
      </x:c>
      <x:c r="G522" s="46" t="n">
        <x:f>MAX(0,Assumptions!$B$10-C522)</x:f>
        <x:v>22</x:v>
      </x:c>
      <x:c r="H522" s="50" t="n">
        <x:f>IF(B522="Active",E522*(1+Assumptions!$B$7)^G522,E522)</x:f>
        <x:v>3003971.7536561447</x:v>
      </x:c>
      <x:c r="I522" s="50" t="n">
        <x:f>IF(B522="Active",MIN(Assumptions!$B$12,D522+G522),IF(B522="Deferred",MIN(Assumptions!$B$12,D522),D522))</x:f>
        <x:v>29.1</x:v>
      </x:c>
      <x:c r="J522" s="50" t="n">
        <x:f>IF(B522="Active",H522*I522*Assumptions!$B$11,IF(B522="Deferred",E522*I522*Assumptions!$B$11*(1+Assumptions!$B$9)^G522,F522))</x:f>
        <x:v>1456926.30052323</x:v>
      </x:c>
      <x:c r="K522" s="37" t="n">
        <x:f>IF(B522="Pensioner",1,VLOOKUP(Assumptions!$B$10,Mortality!$A$2:$F$104,6,FALSE)/VLOOKUP(C522,Mortality!$A$2:$F$104,6,FALSE))</x:f>
        <x:v>0.9731482688168002</x:v>
      </x:c>
      <x:c r="L522" s="37" t="n">
        <x:f>VLOOKUP(IF(B522="Pensioner",C522,Assumptions!$B$10),Mortality!$A$2:$E$104,5,FALSE)</x:f>
        <x:v>17.296790022132885</x:v>
      </x:c>
      <x:c r="M522" s="37" t="n">
        <x:f>1+Assumptions!$B$13*Assumptions!$B$14*Assumptions!$B$15</x:f>
        <x:v>1.31875</x:v>
      </x:c>
      <x:c r="N522" s="37" t="n">
        <x:f>IF(B522="Pensioner",1,1/(1+Assumptions!$B$6)^G522)</x:f>
        <x:v>0.25021228497116527</x:v>
      </x:c>
      <x:c r="O522" s="50" t="n">
        <x:f>J522*K522*L522*M522*N522</x:f>
        <x:v>8091950.408163337</x:v>
      </x:c>
    </x:row>
    <x:row r="523">
      <x:c r="A523" s="42" t="str">
        <x:f>Members!A523</x:f>
        <x:v>P0170</x:v>
      </x:c>
      <x:c r="B523" s="42" t="str">
        <x:f>Members!B523</x:f>
        <x:v>Pensioner</x:v>
      </x:c>
      <x:c r="C523" s="42" t="n">
        <x:f>Members!C523</x:f>
        <x:v>74</x:v>
      </x:c>
      <x:c r="D523" s="44" t="n">
        <x:f>Members!D523</x:f>
        <x:v>36.7</x:v>
      </x:c>
      <x:c r="E523" s="48" t="n">
        <x:f>Members!E523</x:f>
        <x:v>0</x:v>
      </x:c>
      <x:c r="F523" s="48" t="n">
        <x:f>Members!F523</x:f>
        <x:v>382000</x:v>
      </x:c>
      <x:c r="G523" s="46" t="n">
        <x:f>MAX(0,Assumptions!$B$10-C523)</x:f>
        <x:v>0</x:v>
      </x:c>
      <x:c r="H523" s="50" t="n">
        <x:f>IF(B523="Active",E523*(1+Assumptions!$B$7)^G523,E523)</x:f>
        <x:v>0</x:v>
      </x:c>
      <x:c r="I523" s="50" t="n">
        <x:f>IF(B523="Active",MIN(Assumptions!$B$12,D523+G523),IF(B523="Deferred",MIN(Assumptions!$B$12,D523),D523))</x:f>
        <x:v>36.7</x:v>
      </x:c>
      <x:c r="J523" s="50" t="n">
        <x:f>IF(B523="Active",H523*I523*Assumptions!$B$11,IF(B523="Deferred",E523*I523*Assumptions!$B$11*(1+Assumptions!$B$9)^G523,F523))</x:f>
        <x:v>382000</x:v>
      </x:c>
      <x:c r="K523" s="37" t="n">
        <x:f>IF(B523="Pensioner",1,VLOOKUP(Assumptions!$B$10,Mortality!$A$2:$F$104,6,FALSE)/VLOOKUP(C523,Mortality!$A$2:$F$104,6,FALSE))</x:f>
        <x:v>1</x:v>
      </x:c>
      <x:c r="L523" s="37" t="n">
        <x:f>VLOOKUP(IF(B523="Pensioner",C523,Assumptions!$B$10),Mortality!$A$2:$E$104,5,FALSE)</x:f>
        <x:v>11.124346929912107</x:v>
      </x:c>
      <x:c r="M523" s="37" t="n">
        <x:f>1+Assumptions!$B$13*Assumptions!$B$14*Assumptions!$B$15</x:f>
        <x:v>1.31875</x:v>
      </x:c>
      <x:c r="N523" s="37" t="n">
        <x:f>IF(B523="Pensioner",1,1/(1+Assumptions!$B$6)^G523)</x:f>
        <x:v>1</x:v>
      </x:c>
      <x:c r="O523" s="50" t="n">
        <x:f>J523*K523*L523*M523*N523</x:f>
        <x:v>5604028.820279848</x:v>
      </x:c>
    </x:row>
    <x:row r="524">
      <x:c r="A524" s="42" t="str">
        <x:f>Members!A524</x:f>
        <x:v>A0078</x:v>
      </x:c>
      <x:c r="B524" s="42" t="str">
        <x:f>Members!B524</x:f>
        <x:v>Active</x:v>
      </x:c>
      <x:c r="C524" s="42" t="n">
        <x:f>Members!C524</x:f>
        <x:v>52</x:v>
      </x:c>
      <x:c r="D524" s="44" t="n">
        <x:f>Members!D524</x:f>
        <x:v>29.3</x:v>
      </x:c>
      <x:c r="E524" s="48" t="n">
        <x:f>Members!E524</x:f>
        <x:v>1193000</x:v>
      </x:c>
      <x:c r="F524" s="48" t="n">
        <x:f>Members!F524</x:f>
        <x:v>0</x:v>
      </x:c>
      <x:c r="G524" s="46" t="n">
        <x:f>MAX(0,Assumptions!$B$10-C524)</x:f>
        <x:v>8</x:v>
      </x:c>
      <x:c r="H524" s="50" t="n">
        <x:f>IF(B524="Active",E524*(1+Assumptions!$B$7)^G524,E524)</x:f>
        <x:v>1830881.0123904103</x:v>
      </x:c>
      <x:c r="I524" s="50" t="n">
        <x:f>IF(B524="Active",MIN(Assumptions!$B$12,D524+G524),IF(B524="Deferred",MIN(Assumptions!$B$12,D524),D524))</x:f>
        <x:v>37.3</x:v>
      </x:c>
      <x:c r="J524" s="50" t="n">
        <x:f>IF(B524="Active",H524*I524*Assumptions!$B$11,IF(B524="Deferred",E524*I524*Assumptions!$B$11*(1+Assumptions!$B$9)^G524,F524))</x:f>
        <x:v>1138197.6960360382</x:v>
      </x:c>
      <x:c r="K524" s="37" t="n">
        <x:f>IF(B524="Pensioner",1,VLOOKUP(Assumptions!$B$10,Mortality!$A$2:$F$104,6,FALSE)/VLOOKUP(C524,Mortality!$A$2:$F$104,6,FALSE))</x:f>
        <x:v>0.9836527516879843</x:v>
      </x:c>
      <x:c r="L524" s="37" t="n">
        <x:f>VLOOKUP(IF(B524="Pensioner",C524,Assumptions!$B$10),Mortality!$A$2:$E$104,5,FALSE)</x:f>
        <x:v>17.296790022132885</x:v>
      </x:c>
      <x:c r="M524" s="37" t="n">
        <x:f>1+Assumptions!$B$13*Assumptions!$B$14*Assumptions!$B$15</x:f>
        <x:v>1.31875</x:v>
      </x:c>
      <x:c r="N524" s="37" t="n">
        <x:f>IF(B524="Pensioner",1,1/(1+Assumptions!$B$6)^G524)</x:f>
        <x:v>0.6042311876382719</x:v>
      </x:c>
      <x:c r="O524" s="50" t="n">
        <x:f>J524*K524*L524*M524*N524</x:f>
        <x:v>15430877.978706265</x:v>
      </x:c>
    </x:row>
    <x:row r="525">
      <x:c r="A525" s="42" t="str">
        <x:f>Members!A525</x:f>
        <x:v>D0079</x:v>
      </x:c>
      <x:c r="B525" s="42" t="str">
        <x:f>Members!B525</x:f>
        <x:v>Deferred</x:v>
      </x:c>
      <x:c r="C525" s="42" t="n">
        <x:f>Members!C525</x:f>
        <x:v>57</x:v>
      </x:c>
      <x:c r="D525" s="44" t="n">
        <x:f>Members!D525</x:f>
        <x:v>22.2</x:v>
      </x:c>
      <x:c r="E525" s="48" t="n">
        <x:f>Members!E525</x:f>
        <x:v>1220000</x:v>
      </x:c>
      <x:c r="F525" s="48" t="n">
        <x:f>Members!F525</x:f>
        <x:v>0</x:v>
      </x:c>
      <x:c r="G525" s="46" t="n">
        <x:f>MAX(0,Assumptions!$B$10-C525)</x:f>
        <x:v>3</x:v>
      </x:c>
      <x:c r="H525" s="50" t="n">
        <x:f>IF(B525="Active",E525*(1+Assumptions!$B$7)^G525,E525)</x:f>
        <x:v>1220000</x:v>
      </x:c>
      <x:c r="I525" s="50" t="n">
        <x:f>IF(B525="Active",MIN(Assumptions!$B$12,D525+G525),IF(B525="Deferred",MIN(Assumptions!$B$12,D525),D525))</x:f>
        <x:v>22.2</x:v>
      </x:c>
      <x:c r="J525" s="50" t="n">
        <x:f>IF(B525="Active",H525*I525*Assumptions!$B$11,IF(B525="Deferred",E525*I525*Assumptions!$B$11*(1+Assumptions!$B$9)^G525,F525))</x:f>
        <x:v>507763.6096</x:v>
      </x:c>
      <x:c r="K525" s="37" t="n">
        <x:f>IF(B525="Pensioner",1,VLOOKUP(Assumptions!$B$10,Mortality!$A$2:$F$104,6,FALSE)/VLOOKUP(C525,Mortality!$A$2:$F$104,6,FALSE))</x:f>
        <x:v>0.9922003892921417</x:v>
      </x:c>
      <x:c r="L525" s="37" t="n">
        <x:f>VLOOKUP(IF(B525="Pensioner",C525,Assumptions!$B$10),Mortality!$A$2:$E$104,5,FALSE)</x:f>
        <x:v>17.296790022132885</x:v>
      </x:c>
      <x:c r="M525" s="37" t="n">
        <x:f>1+Assumptions!$B$13*Assumptions!$B$14*Assumptions!$B$15</x:f>
        <x:v>1.31875</x:v>
      </x:c>
      <x:c r="N525" s="37" t="n">
        <x:f>IF(B525="Pensioner",1,1/(1+Assumptions!$B$6)^G525)</x:f>
        <x:v>0.8278490918029799</x:v>
      </x:c>
      <x:c r="O525" s="50" t="n">
        <x:f>J525*K525*L525*M525*N525</x:f>
        <x:v>9513495.74548892</x:v>
      </x:c>
    </x:row>
    <x:row r="526">
      <x:c r="A526" s="42" t="str">
        <x:f>Members!A526</x:f>
        <x:v>D0033</x:v>
      </x:c>
      <x:c r="B526" s="42" t="str">
        <x:f>Members!B526</x:f>
        <x:v>Deferred</x:v>
      </x:c>
      <x:c r="C526" s="42" t="n">
        <x:f>Members!C526</x:f>
        <x:v>43</x:v>
      </x:c>
      <x:c r="D526" s="44" t="n">
        <x:f>Members!D526</x:f>
        <x:v>5.8</x:v>
      </x:c>
      <x:c r="E526" s="48" t="n">
        <x:f>Members!E526</x:f>
        <x:v>738000</x:v>
      </x:c>
      <x:c r="F526" s="48" t="n">
        <x:f>Members!F526</x:f>
        <x:v>0</x:v>
      </x:c>
      <x:c r="G526" s="46" t="n">
        <x:f>MAX(0,Assumptions!$B$10-C526)</x:f>
        <x:v>17</x:v>
      </x:c>
      <x:c r="H526" s="50" t="n">
        <x:f>IF(B526="Active",E526*(1+Assumptions!$B$7)^G526,E526)</x:f>
        <x:v>738000</x:v>
      </x:c>
      <x:c r="I526" s="50" t="n">
        <x:f>IF(B526="Active",MIN(Assumptions!$B$12,D526+G526),IF(B526="Deferred",MIN(Assumptions!$B$12,D526),D526))</x:f>
        <x:v>5.8</x:v>
      </x:c>
      <x:c r="J526" s="50" t="n">
        <x:f>IF(B526="Active",H526*I526*Assumptions!$B$11,IF(B526="Deferred",E526*I526*Assumptions!$B$11*(1+Assumptions!$B$9)^G526,F526))</x:f>
        <x:v>138963.22135298513</x:v>
      </x:c>
      <x:c r="K526" s="37" t="n">
        <x:f>IF(B526="Pensioner",1,VLOOKUP(Assumptions!$B$10,Mortality!$A$2:$F$104,6,FALSE)/VLOOKUP(C526,Mortality!$A$2:$F$104,6,FALSE))</x:f>
        <x:v>0.975651758424938</x:v>
      </x:c>
      <x:c r="L526" s="37" t="n">
        <x:f>VLOOKUP(IF(B526="Pensioner",C526,Assumptions!$B$10),Mortality!$A$2:$E$104,5,FALSE)</x:f>
        <x:v>17.296790022132885</x:v>
      </x:c>
      <x:c r="M526" s="37" t="n">
        <x:f>1+Assumptions!$B$13*Assumptions!$B$14*Assumptions!$B$15</x:f>
        <x:v>1.31875</x:v>
      </x:c>
      <x:c r="N526" s="37" t="n">
        <x:f>IF(B526="Pensioner",1,1/(1+Assumptions!$B$6)^G526)</x:f>
        <x:v>0.34281251466174323</x:v>
      </x:c>
      <x:c r="O526" s="50" t="n">
        <x:f>J526*K526*L526*M526*N526</x:f>
        <x:v>1060179.3928637994</x:v>
      </x:c>
    </x:row>
    <x:row r="527">
      <x:c r="A527" s="42" t="str">
        <x:f>Members!A527</x:f>
        <x:v>A0276</x:v>
      </x:c>
      <x:c r="B527" s="42" t="str">
        <x:f>Members!B527</x:f>
        <x:v>Active</x:v>
      </x:c>
      <x:c r="C527" s="42" t="n">
        <x:f>Members!C527</x:f>
        <x:v>30</x:v>
      </x:c>
      <x:c r="D527" s="44" t="n">
        <x:f>Members!D527</x:f>
        <x:v>1.9</x:v>
      </x:c>
      <x:c r="E527" s="48" t="n">
        <x:f>Members!E527</x:f>
        <x:v>585000</x:v>
      </x:c>
      <x:c r="F527" s="48" t="n">
        <x:f>Members!F527</x:f>
        <x:v>0</x:v>
      </x:c>
      <x:c r="G527" s="46" t="n">
        <x:f>MAX(0,Assumptions!$B$10-C527)</x:f>
        <x:v>30</x:v>
      </x:c>
      <x:c r="H527" s="50" t="n">
        <x:f>IF(B527="Active",E527*(1+Assumptions!$B$7)^G527,E527)</x:f>
        <x:v>2915611.50371111</x:v>
      </x:c>
      <x:c r="I527" s="50" t="n">
        <x:f>IF(B527="Active",MIN(Assumptions!$B$12,D527+G527),IF(B527="Deferred",MIN(Assumptions!$B$12,D527),D527))</x:f>
        <x:v>31.9</x:v>
      </x:c>
      <x:c r="J527" s="50" t="n">
        <x:f>IF(B527="Active",H527*I527*Assumptions!$B$11,IF(B527="Deferred",E527*I527*Assumptions!$B$11*(1+Assumptions!$B$9)^G527,F527))</x:f>
        <x:v>1550133.4494730732</x:v>
      </x:c>
      <x:c r="K527" s="37" t="n">
        <x:f>IF(B527="Pensioner",1,VLOOKUP(Assumptions!$B$10,Mortality!$A$2:$F$104,6,FALSE)/VLOOKUP(C527,Mortality!$A$2:$F$104,6,FALSE))</x:f>
        <x:v>0.9703456880318753</x:v>
      </x:c>
      <x:c r="L527" s="37" t="n">
        <x:f>VLOOKUP(IF(B527="Pensioner",C527,Assumptions!$B$10),Mortality!$A$2:$E$104,5,FALSE)</x:f>
        <x:v>17.296790022132885</x:v>
      </x:c>
      <x:c r="M527" s="37" t="n">
        <x:f>1+Assumptions!$B$13*Assumptions!$B$14*Assumptions!$B$15</x:f>
        <x:v>1.31875</x:v>
      </x:c>
      <x:c r="N527" s="37" t="n">
        <x:f>IF(B527="Pensioner",1,1/(1+Assumptions!$B$6)^G527)</x:f>
        <x:v>0.1511860661098129</x:v>
      </x:c>
      <x:c r="O527" s="50" t="n">
        <x:f>J527*K527*L527*M527*N527</x:f>
        <x:v>5187227.800230853</x:v>
      </x:c>
    </x:row>
    <x:row r="528">
      <x:c r="A528" s="42" t="str">
        <x:f>Members!A528</x:f>
        <x:v>A0076</x:v>
      </x:c>
      <x:c r="B528" s="42" t="str">
        <x:f>Members!B528</x:f>
        <x:v>Active</x:v>
      </x:c>
      <x:c r="C528" s="42" t="n">
        <x:f>Members!C528</x:f>
        <x:v>27</x:v>
      </x:c>
      <x:c r="D528" s="44" t="n">
        <x:f>Members!D528</x:f>
        <x:v>1.1</x:v>
      </x:c>
      <x:c r="E528" s="48" t="n">
        <x:f>Members!E528</x:f>
        <x:v>563000</x:v>
      </x:c>
      <x:c r="F528" s="48" t="n">
        <x:f>Members!F528</x:f>
        <x:v>0</x:v>
      </x:c>
      <x:c r="G528" s="46" t="n">
        <x:f>MAX(0,Assumptions!$B$10-C528)</x:f>
        <x:v>33</x:v>
      </x:c>
      <x:c r="H528" s="50" t="n">
        <x:f>IF(B528="Active",E528*(1+Assumptions!$B$7)^G528,E528)</x:f>
        <x:v>3294879.701179554</x:v>
      </x:c>
      <x:c r="I528" s="50" t="n">
        <x:f>IF(B528="Active",MIN(Assumptions!$B$12,D528+G528),IF(B528="Deferred",MIN(Assumptions!$B$12,D528),D528))</x:f>
        <x:v>34.1</x:v>
      </x:c>
      <x:c r="J528" s="50" t="n">
        <x:f>IF(B528="Active",H528*I528*Assumptions!$B$11,IF(B528="Deferred",E528*I528*Assumptions!$B$11*(1+Assumptions!$B$9)^G528,F528))</x:f>
        <x:v>1872589.9635037135</x:v>
      </x:c>
      <x:c r="K528" s="37" t="n">
        <x:f>IF(B528="Pensioner",1,VLOOKUP(Assumptions!$B$10,Mortality!$A$2:$F$104,6,FALSE)/VLOOKUP(C528,Mortality!$A$2:$F$104,6,FALSE))</x:f>
        <x:v>0.9694971330284515</x:v>
      </x:c>
      <x:c r="L528" s="37" t="n">
        <x:f>VLOOKUP(IF(B528="Pensioner",C528,Assumptions!$B$10),Mortality!$A$2:$E$104,5,FALSE)</x:f>
        <x:v>17.296790022132885</x:v>
      </x:c>
      <x:c r="M528" s="37" t="n">
        <x:f>1+Assumptions!$B$13*Assumptions!$B$14*Assumptions!$B$15</x:f>
        <x:v>1.31875</x:v>
      </x:c>
      <x:c r="N528" s="37" t="n">
        <x:f>IF(B528="Pensioner",1,1/(1+Assumptions!$B$6)^G528)</x:f>
        <x:v>0.12515924752227392</x:v>
      </x:c>
      <x:c r="O528" s="50" t="n">
        <x:f>J528*K528*L528*M528*N528</x:f>
        <x:v>5182987.361393703</x:v>
      </x:c>
    </x:row>
    <x:row r="529">
      <x:c r="A529" s="42" t="str">
        <x:f>Members!A529</x:f>
        <x:v>A0309</x:v>
      </x:c>
      <x:c r="B529" s="42" t="str">
        <x:f>Members!B529</x:f>
        <x:v>Active</x:v>
      </x:c>
      <x:c r="C529" s="42" t="n">
        <x:f>Members!C529</x:f>
        <x:v>38</x:v>
      </x:c>
      <x:c r="D529" s="44" t="n">
        <x:f>Members!D529</x:f>
        <x:v>14.3</x:v>
      </x:c>
      <x:c r="E529" s="48" t="n">
        <x:f>Members!E529</x:f>
        <x:v>621000</x:v>
      </x:c>
      <x:c r="F529" s="48" t="n">
        <x:f>Members!F529</x:f>
        <x:v>0</x:v>
      </x:c>
      <x:c r="G529" s="46" t="n">
        <x:f>MAX(0,Assumptions!$B$10-C529)</x:f>
        <x:v>22</x:v>
      </x:c>
      <x:c r="H529" s="50" t="n">
        <x:f>IF(B529="Active",E529*(1+Assumptions!$B$7)^G529,E529)</x:f>
        <x:v>2016720.4962383416</x:v>
      </x:c>
      <x:c r="I529" s="50" t="n">
        <x:f>IF(B529="Active",MIN(Assumptions!$B$12,D529+G529),IF(B529="Deferred",MIN(Assumptions!$B$12,D529),D529))</x:f>
        <x:v>36.3</x:v>
      </x:c>
      <x:c r="J529" s="50" t="n">
        <x:f>IF(B529="Active",H529*I529*Assumptions!$B$11,IF(B529="Deferred",E529*I529*Assumptions!$B$11*(1+Assumptions!$B$9)^G529,F529))</x:f>
        <x:v>1220115.9002241967</x:v>
      </x:c>
      <x:c r="K529" s="37" t="n">
        <x:f>IF(B529="Pensioner",1,VLOOKUP(Assumptions!$B$10,Mortality!$A$2:$F$104,6,FALSE)/VLOOKUP(C529,Mortality!$A$2:$F$104,6,FALSE))</x:f>
        <x:v>0.9731482688168002</x:v>
      </x:c>
      <x:c r="L529" s="37" t="n">
        <x:f>VLOOKUP(IF(B529="Pensioner",C529,Assumptions!$B$10),Mortality!$A$2:$E$104,5,FALSE)</x:f>
        <x:v>17.296790022132885</x:v>
      </x:c>
      <x:c r="M529" s="37" t="n">
        <x:f>1+Assumptions!$B$13*Assumptions!$B$14*Assumptions!$B$15</x:f>
        <x:v>1.31875</x:v>
      </x:c>
      <x:c r="N529" s="37" t="n">
        <x:f>IF(B529="Pensioner",1,1/(1+Assumptions!$B$6)^G529)</x:f>
        <x:v>0.25021228497116527</x:v>
      </x:c>
      <x:c r="O529" s="50" t="n">
        <x:f>J529*K529*L529*M529*N529</x:f>
        <x:v>6776675.905486781</x:v>
      </x:c>
    </x:row>
    <x:row r="530">
      <x:c r="A530" s="42" t="str">
        <x:f>Members!A530</x:f>
        <x:v>A0584</x:v>
      </x:c>
      <x:c r="B530" s="42" t="str">
        <x:f>Members!B530</x:f>
        <x:v>Active</x:v>
      </x:c>
      <x:c r="C530" s="42" t="n">
        <x:f>Members!C530</x:f>
        <x:v>57</x:v>
      </x:c>
      <x:c r="D530" s="44" t="n">
        <x:f>Members!D530</x:f>
        <x:v>29.5</x:v>
      </x:c>
      <x:c r="E530" s="48" t="n">
        <x:f>Members!E530</x:f>
        <x:v>2109000</x:v>
      </x:c>
      <x:c r="F530" s="48" t="n">
        <x:f>Members!F530</x:f>
        <x:v>0</x:v>
      </x:c>
      <x:c r="G530" s="46" t="n">
        <x:f>MAX(0,Assumptions!$B$10-C530)</x:f>
        <x:v>3</x:v>
      </x:c>
      <x:c r="H530" s="50" t="n">
        <x:f>IF(B530="Active",E530*(1+Assumptions!$B$7)^G530,E530)</x:f>
        <x:v>2476475.059875</x:v>
      </x:c>
      <x:c r="I530" s="50" t="n">
        <x:f>IF(B530="Active",MIN(Assumptions!$B$12,D530+G530),IF(B530="Deferred",MIN(Assumptions!$B$12,D530),D530))</x:f>
        <x:v>32.5</x:v>
      </x:c>
      <x:c r="J530" s="50" t="n">
        <x:f>IF(B530="Active",H530*I530*Assumptions!$B$11,IF(B530="Deferred",E530*I530*Assumptions!$B$11*(1+Assumptions!$B$9)^G530,F530))</x:f>
        <x:v>1341423.990765625</x:v>
      </x:c>
      <x:c r="K530" s="37" t="n">
        <x:f>IF(B530="Pensioner",1,VLOOKUP(Assumptions!$B$10,Mortality!$A$2:$F$104,6,FALSE)/VLOOKUP(C530,Mortality!$A$2:$F$104,6,FALSE))</x:f>
        <x:v>0.9922003892921417</x:v>
      </x:c>
      <x:c r="L530" s="37" t="n">
        <x:f>VLOOKUP(IF(B530="Pensioner",C530,Assumptions!$B$10),Mortality!$A$2:$E$104,5,FALSE)</x:f>
        <x:v>17.296790022132885</x:v>
      </x:c>
      <x:c r="M530" s="37" t="n">
        <x:f>1+Assumptions!$B$13*Assumptions!$B$14*Assumptions!$B$15</x:f>
        <x:v>1.31875</x:v>
      </x:c>
      <x:c r="N530" s="37" t="n">
        <x:f>IF(B530="Pensioner",1,1/(1+Assumptions!$B$6)^G530)</x:f>
        <x:v>0.8278490918029799</x:v>
      </x:c>
      <x:c r="O530" s="50" t="n">
        <x:f>J530*K530*L530*M530*N530</x:f>
        <x:v>25133016.99406688</x:v>
      </x:c>
    </x:row>
    <x:row r="531">
      <x:c r="A531" s="42" t="str">
        <x:f>Members!A531</x:f>
        <x:v>D0057</x:v>
      </x:c>
      <x:c r="B531" s="42" t="str">
        <x:f>Members!B531</x:f>
        <x:v>Deferred</x:v>
      </x:c>
      <x:c r="C531" s="42" t="n">
        <x:f>Members!C531</x:f>
        <x:v>37</x:v>
      </x:c>
      <x:c r="D531" s="44" t="n">
        <x:f>Members!D531</x:f>
        <x:v>6.2</x:v>
      </x:c>
      <x:c r="E531" s="48" t="n">
        <x:f>Members!E531</x:f>
        <x:v>395000</x:v>
      </x:c>
      <x:c r="F531" s="48" t="n">
        <x:f>Members!F531</x:f>
        <x:v>0</x:v>
      </x:c>
      <x:c r="G531" s="46" t="n">
        <x:f>MAX(0,Assumptions!$B$10-C531)</x:f>
        <x:v>23</x:v>
      </x:c>
      <x:c r="H531" s="50" t="n">
        <x:f>IF(B531="Active",E531*(1+Assumptions!$B$7)^G531,E531)</x:f>
        <x:v>395000</x:v>
      </x:c>
      <x:c r="I531" s="50" t="n">
        <x:f>IF(B531="Active",MIN(Assumptions!$B$12,D531+G531),IF(B531="Deferred",MIN(Assumptions!$B$12,D531),D531))</x:f>
        <x:v>6.2</x:v>
      </x:c>
      <x:c r="J531" s="50" t="n">
        <x:f>IF(B531="Active",H531*I531*Assumptions!$B$11,IF(B531="Deferred",E531*I531*Assumptions!$B$11*(1+Assumptions!$B$9)^G531,F531))</x:f>
        <x:v>100601.47275352407</x:v>
      </x:c>
      <x:c r="K531" s="37" t="n">
        <x:f>IF(B531="Pensioner",1,VLOOKUP(Assumptions!$B$10,Mortality!$A$2:$F$104,6,FALSE)/VLOOKUP(C531,Mortality!$A$2:$F$104,6,FALSE))</x:f>
        <x:v>0.9727356141265188</x:v>
      </x:c>
      <x:c r="L531" s="37" t="n">
        <x:f>VLOOKUP(IF(B531="Pensioner",C531,Assumptions!$B$10),Mortality!$A$2:$E$104,5,FALSE)</x:f>
        <x:v>17.296790022132885</x:v>
      </x:c>
      <x:c r="M531" s="37" t="n">
        <x:f>1+Assumptions!$B$13*Assumptions!$B$14*Assumptions!$B$15</x:f>
        <x:v>1.31875</x:v>
      </x:c>
      <x:c r="N531" s="37" t="n">
        <x:f>IF(B531="Pensioner",1,1/(1+Assumptions!$B$6)^G531)</x:f>
        <x:v>0.23494111264898151</x:v>
      </x:c>
      <x:c r="O531" s="50" t="n">
        <x:f>J531*K531*L531*M531*N531</x:f>
        <x:v>524428.351525916</x:v>
      </x:c>
    </x:row>
    <x:row r="532">
      <x:c r="A532" s="42" t="str">
        <x:f>Members!A532</x:f>
        <x:v>P0180</x:v>
      </x:c>
      <x:c r="B532" s="42" t="str">
        <x:f>Members!B532</x:f>
        <x:v>Pensioner</x:v>
      </x:c>
      <x:c r="C532" s="42" t="n">
        <x:f>Members!C532</x:f>
        <x:v>89</x:v>
      </x:c>
      <x:c r="D532" s="44" t="n">
        <x:f>Members!D532</x:f>
        <x:v>29.7</x:v>
      </x:c>
      <x:c r="E532" s="48" t="n">
        <x:f>Members!E532</x:f>
        <x:v>0</x:v>
      </x:c>
      <x:c r="F532" s="48" t="n">
        <x:f>Members!F532</x:f>
        <x:v>794000</x:v>
      </x:c>
      <x:c r="G532" s="46" t="n">
        <x:f>MAX(0,Assumptions!$B$10-C532)</x:f>
        <x:v>0</x:v>
      </x:c>
      <x:c r="H532" s="50" t="n">
        <x:f>IF(B532="Active",E532*(1+Assumptions!$B$7)^G532,E532)</x:f>
        <x:v>0</x:v>
      </x:c>
      <x:c r="I532" s="50" t="n">
        <x:f>IF(B532="Active",MIN(Assumptions!$B$12,D532+G532),IF(B532="Deferred",MIN(Assumptions!$B$12,D532),D532))</x:f>
        <x:v>29.7</x:v>
      </x:c>
      <x:c r="J532" s="50" t="n">
        <x:f>IF(B532="Active",H532*I532*Assumptions!$B$11,IF(B532="Deferred",E532*I532*Assumptions!$B$11*(1+Assumptions!$B$9)^G532,F532))</x:f>
        <x:v>794000</x:v>
      </x:c>
      <x:c r="K532" s="37" t="n">
        <x:f>IF(B532="Pensioner",1,VLOOKUP(Assumptions!$B$10,Mortality!$A$2:$F$104,6,FALSE)/VLOOKUP(C532,Mortality!$A$2:$F$104,6,FALSE))</x:f>
        <x:v>1</x:v>
      </x:c>
      <x:c r="L532" s="37" t="n">
        <x:f>VLOOKUP(IF(B532="Pensioner",C532,Assumptions!$B$10),Mortality!$A$2:$E$104,5,FALSE)</x:f>
        <x:v>4.671582182389365</x:v>
      </x:c>
      <x:c r="M532" s="37" t="n">
        <x:f>1+Assumptions!$B$13*Assumptions!$B$14*Assumptions!$B$15</x:f>
        <x:v>1.31875</x:v>
      </x:c>
      <x:c r="N532" s="37" t="n">
        <x:f>IF(B532="Pensioner",1,1/(1+Assumptions!$B$6)^G532)</x:f>
        <x:v>1</x:v>
      </x:c>
      <x:c r="O532" s="50" t="n">
        <x:f>J532*K532*L532*M532*N532</x:f>
        <x:v>4891555.308402625</x:v>
      </x:c>
    </x:row>
    <x:row r="533">
      <x:c r="A533" s="42" t="str">
        <x:f>Members!A533</x:f>
        <x:v>P0077</x:v>
      </x:c>
      <x:c r="B533" s="42" t="str">
        <x:f>Members!B533</x:f>
        <x:v>Pensioner</x:v>
      </x:c>
      <x:c r="C533" s="42" t="n">
        <x:f>Members!C533</x:f>
        <x:v>60</x:v>
      </x:c>
      <x:c r="D533" s="44" t="n">
        <x:f>Members!D533</x:f>
        <x:v>22.8</x:v>
      </x:c>
      <x:c r="E533" s="48" t="n">
        <x:f>Members!E533</x:f>
        <x:v>0</x:v>
      </x:c>
      <x:c r="F533" s="48" t="n">
        <x:f>Members!F533</x:f>
        <x:v>141000</x:v>
      </x:c>
      <x:c r="G533" s="46" t="n">
        <x:f>MAX(0,Assumptions!$B$10-C533)</x:f>
        <x:v>0</x:v>
      </x:c>
      <x:c r="H533" s="50" t="n">
        <x:f>IF(B533="Active",E533*(1+Assumptions!$B$7)^G533,E533)</x:f>
        <x:v>0</x:v>
      </x:c>
      <x:c r="I533" s="50" t="n">
        <x:f>IF(B533="Active",MIN(Assumptions!$B$12,D533+G533),IF(B533="Deferred",MIN(Assumptions!$B$12,D533),D533))</x:f>
        <x:v>22.8</x:v>
      </x:c>
      <x:c r="J533" s="50" t="n">
        <x:f>IF(B533="Active",H533*I533*Assumptions!$B$11,IF(B533="Deferred",E533*I533*Assumptions!$B$11*(1+Assumptions!$B$9)^G533,F533))</x:f>
        <x:v>141000</x:v>
      </x:c>
      <x:c r="K533" s="37" t="n">
        <x:f>IF(B533="Pensioner",1,VLOOKUP(Assumptions!$B$10,Mortality!$A$2:$F$104,6,FALSE)/VLOOKUP(C533,Mortality!$A$2:$F$104,6,FALSE))</x:f>
        <x:v>1</x:v>
      </x:c>
      <x:c r="L533" s="37" t="n">
        <x:f>VLOOKUP(IF(B533="Pensioner",C533,Assumptions!$B$10),Mortality!$A$2:$E$104,5,FALSE)</x:f>
        <x:v>17.296790022132885</x:v>
      </x:c>
      <x:c r="M533" s="37" t="n">
        <x:f>1+Assumptions!$B$13*Assumptions!$B$14*Assumptions!$B$15</x:f>
        <x:v>1.31875</x:v>
      </x:c>
      <x:c r="N533" s="37" t="n">
        <x:f>IF(B533="Pensioner",1,1/(1+Assumptions!$B$6)^G533)</x:f>
        <x:v>1</x:v>
      </x:c>
      <x:c r="O533" s="50" t="n">
        <x:f>J533*K533*L533*M533*N533</x:f>
        <x:v>3216229.999677972</x:v>
      </x:c>
    </x:row>
    <x:row r="534">
      <x:c r="A534" s="42" t="str">
        <x:f>Members!A534</x:f>
        <x:v>A0014</x:v>
      </x:c>
      <x:c r="B534" s="42" t="str">
        <x:f>Members!B534</x:f>
        <x:v>Active</x:v>
      </x:c>
      <x:c r="C534" s="42" t="n">
        <x:f>Members!C534</x:f>
        <x:v>58</x:v>
      </x:c>
      <x:c r="D534" s="44" t="n">
        <x:f>Members!D534</x:f>
        <x:v>7.5</x:v>
      </x:c>
      <x:c r="E534" s="48" t="n">
        <x:f>Members!E534</x:f>
        <x:v>1444000</x:v>
      </x:c>
      <x:c r="F534" s="48" t="n">
        <x:f>Members!F534</x:f>
        <x:v>0</x:v>
      </x:c>
      <x:c r="G534" s="46" t="n">
        <x:f>MAX(0,Assumptions!$B$10-C534)</x:f>
        <x:v>2</x:v>
      </x:c>
      <x:c r="H534" s="50" t="n">
        <x:f>IF(B534="Active",E534*(1+Assumptions!$B$7)^G534,E534)</x:f>
        <x:v>1607208.0999999999</x:v>
      </x:c>
      <x:c r="I534" s="50" t="n">
        <x:f>IF(B534="Active",MIN(Assumptions!$B$12,D534+G534),IF(B534="Deferred",MIN(Assumptions!$B$12,D534),D534))</x:f>
        <x:v>9.5</x:v>
      </x:c>
      <x:c r="J534" s="50" t="n">
        <x:f>IF(B534="Active",H534*I534*Assumptions!$B$11,IF(B534="Deferred",E534*I534*Assumptions!$B$11*(1+Assumptions!$B$9)^G534,F534))</x:f>
        <x:v>254474.61583333332</x:v>
      </x:c>
      <x:c r="K534" s="37" t="n">
        <x:f>IF(B534="Pensioner",1,VLOOKUP(Assumptions!$B$10,Mortality!$A$2:$F$104,6,FALSE)/VLOOKUP(C534,Mortality!$A$2:$F$104,6,FALSE))</x:f>
        <x:v>0.9945213044203837</x:v>
      </x:c>
      <x:c r="L534" s="37" t="n">
        <x:f>VLOOKUP(IF(B534="Pensioner",C534,Assumptions!$B$10),Mortality!$A$2:$E$104,5,FALSE)</x:f>
        <x:v>17.296790022132885</x:v>
      </x:c>
      <x:c r="M534" s="37" t="n">
        <x:f>1+Assumptions!$B$13*Assumptions!$B$14*Assumptions!$B$15</x:f>
        <x:v>1.31875</x:v>
      </x:c>
      <x:c r="N534" s="37" t="n">
        <x:f>IF(B534="Pensioner",1,1/(1+Assumptions!$B$6)^G534)</x:f>
        <x:v>0.8816592827701736</x:v>
      </x:c>
      <x:c r="O534" s="50" t="n">
        <x:f>J534*K534*L534*M534*N534</x:f>
        <x:v>5089643.090654659</x:v>
      </x:c>
    </x:row>
    <x:row r="535">
      <x:c r="A535" s="42" t="str">
        <x:f>Members!A535</x:f>
        <x:v>A0371</x:v>
      </x:c>
      <x:c r="B535" s="42" t="str">
        <x:f>Members!B535</x:f>
        <x:v>Active</x:v>
      </x:c>
      <x:c r="C535" s="42" t="n">
        <x:f>Members!C535</x:f>
        <x:v>36</x:v>
      </x:c>
      <x:c r="D535" s="44" t="n">
        <x:f>Members!D535</x:f>
        <x:v>3.1</x:v>
      </x:c>
      <x:c r="E535" s="48" t="n">
        <x:f>Members!E535</x:f>
        <x:v>914000</x:v>
      </x:c>
      <x:c r="F535" s="48" t="n">
        <x:f>Members!F535</x:f>
        <x:v>0</x:v>
      </x:c>
      <x:c r="G535" s="46" t="n">
        <x:f>MAX(0,Assumptions!$B$10-C535)</x:f>
        <x:v>24</x:v>
      </x:c>
      <x:c r="H535" s="50" t="n">
        <x:f>IF(B535="Active",E535*(1+Assumptions!$B$7)^G535,E535)</x:f>
        <x:v>3303735.1721701636</x:v>
      </x:c>
      <x:c r="I535" s="50" t="n">
        <x:f>IF(B535="Active",MIN(Assumptions!$B$12,D535+G535),IF(B535="Deferred",MIN(Assumptions!$B$12,D535),D535))</x:f>
        <x:v>27.1</x:v>
      </x:c>
      <x:c r="J535" s="50" t="n">
        <x:f>IF(B535="Active",H535*I535*Assumptions!$B$11,IF(B535="Deferred",E535*I535*Assumptions!$B$11*(1+Assumptions!$B$9)^G535,F535))</x:f>
        <x:v>1492187.052763524</x:v>
      </x:c>
      <x:c r="K535" s="37" t="n">
        <x:f>IF(B535="Pensioner",1,VLOOKUP(Assumptions!$B$10,Mortality!$A$2:$F$104,6,FALSE)/VLOOKUP(C535,Mortality!$A$2:$F$104,6,FALSE))</x:f>
        <x:v>0.9723450305541352</x:v>
      </x:c>
      <x:c r="L535" s="37" t="n">
        <x:f>VLOOKUP(IF(B535="Pensioner",C535,Assumptions!$B$10),Mortality!$A$2:$E$104,5,FALSE)</x:f>
        <x:v>17.296790022132885</x:v>
      </x:c>
      <x:c r="M535" s="37" t="n">
        <x:f>1+Assumptions!$B$13*Assumptions!$B$14*Assumptions!$B$15</x:f>
        <x:v>1.31875</x:v>
      </x:c>
      <x:c r="N535" s="37" t="n">
        <x:f>IF(B535="Pensioner",1,1/(1+Assumptions!$B$6)^G535)</x:f>
        <x:v>0.22060198370796386</x:v>
      </x:c>
      <x:c r="O535" s="50" t="n">
        <x:f>J535*K535*L535*M535*N535</x:f>
        <x:v>7300978.435320942</x:v>
      </x:c>
    </x:row>
    <x:row r="536">
      <x:c r="A536" s="42" t="str">
        <x:f>Members!A536</x:f>
        <x:v>A0007</x:v>
      </x:c>
      <x:c r="B536" s="42" t="str">
        <x:f>Members!B536</x:f>
        <x:v>Active</x:v>
      </x:c>
      <x:c r="C536" s="42" t="n">
        <x:f>Members!C536</x:f>
        <x:v>30</x:v>
      </x:c>
      <x:c r="D536" s="44" t="n">
        <x:f>Members!D536</x:f>
        <x:v>1.5</x:v>
      </x:c>
      <x:c r="E536" s="48" t="n">
        <x:f>Members!E536</x:f>
        <x:v>639000</x:v>
      </x:c>
      <x:c r="F536" s="48" t="n">
        <x:f>Members!F536</x:f>
        <x:v>0</x:v>
      </x:c>
      <x:c r="G536" s="46" t="n">
        <x:f>MAX(0,Assumptions!$B$10-C536)</x:f>
        <x:v>30</x:v>
      </x:c>
      <x:c r="H536" s="50" t="n">
        <x:f>IF(B536="Active",E536*(1+Assumptions!$B$7)^G536,E536)</x:f>
        <x:v>3184744.8732844433</x:v>
      </x:c>
      <x:c r="I536" s="50" t="n">
        <x:f>IF(B536="Active",MIN(Assumptions!$B$12,D536+G536),IF(B536="Deferred",MIN(Assumptions!$B$12,D536),D536))</x:f>
        <x:v>31.5</x:v>
      </x:c>
      <x:c r="J536" s="50" t="n">
        <x:f>IF(B536="Active",H536*I536*Assumptions!$B$11,IF(B536="Deferred",E536*I536*Assumptions!$B$11*(1+Assumptions!$B$9)^G536,F536))</x:f>
        <x:v>1671991.0584743328</x:v>
      </x:c>
      <x:c r="K536" s="37" t="n">
        <x:f>IF(B536="Pensioner",1,VLOOKUP(Assumptions!$B$10,Mortality!$A$2:$F$104,6,FALSE)/VLOOKUP(C536,Mortality!$A$2:$F$104,6,FALSE))</x:f>
        <x:v>0.9703456880318753</x:v>
      </x:c>
      <x:c r="L536" s="37" t="n">
        <x:f>VLOOKUP(IF(B536="Pensioner",C536,Assumptions!$B$10),Mortality!$A$2:$E$104,5,FALSE)</x:f>
        <x:v>17.296790022132885</x:v>
      </x:c>
      <x:c r="M536" s="37" t="n">
        <x:f>1+Assumptions!$B$13*Assumptions!$B$14*Assumptions!$B$15</x:f>
        <x:v>1.31875</x:v>
      </x:c>
      <x:c r="N536" s="37" t="n">
        <x:f>IF(B536="Pensioner",1,1/(1+Assumptions!$B$6)^G536)</x:f>
        <x:v>0.1511860661098129</x:v>
      </x:c>
      <x:c r="O536" s="50" t="n">
        <x:f>J536*K536*L536*M536*N536</x:f>
        <x:v>5595001.193738272</x:v>
      </x:c>
    </x:row>
    <x:row r="537">
      <x:c r="A537" s="42" t="str">
        <x:f>Members!A537</x:f>
        <x:v>P0037</x:v>
      </x:c>
      <x:c r="B537" s="42" t="str">
        <x:f>Members!B537</x:f>
        <x:v>Pensioner</x:v>
      </x:c>
      <x:c r="C537" s="42" t="n">
        <x:f>Members!C537</x:f>
        <x:v>64</x:v>
      </x:c>
      <x:c r="D537" s="44" t="n">
        <x:f>Members!D537</x:f>
        <x:v>19.2</x:v>
      </x:c>
      <x:c r="E537" s="48" t="n">
        <x:f>Members!E537</x:f>
        <x:v>0</x:v>
      </x:c>
      <x:c r="F537" s="48" t="n">
        <x:f>Members!F537</x:f>
        <x:v>278000</x:v>
      </x:c>
      <x:c r="G537" s="46" t="n">
        <x:f>MAX(0,Assumptions!$B$10-C537)</x:f>
        <x:v>0</x:v>
      </x:c>
      <x:c r="H537" s="50" t="n">
        <x:f>IF(B537="Active",E537*(1+Assumptions!$B$7)^G537,E537)</x:f>
        <x:v>0</x:v>
      </x:c>
      <x:c r="I537" s="50" t="n">
        <x:f>IF(B537="Active",MIN(Assumptions!$B$12,D537+G537),IF(B537="Deferred",MIN(Assumptions!$B$12,D537),D537))</x:f>
        <x:v>19.2</x:v>
      </x:c>
      <x:c r="J537" s="50" t="n">
        <x:f>IF(B537="Active",H537*I537*Assumptions!$B$11,IF(B537="Deferred",E537*I537*Assumptions!$B$11*(1+Assumptions!$B$9)^G537,F537))</x:f>
        <x:v>278000</x:v>
      </x:c>
      <x:c r="K537" s="37" t="n">
        <x:f>IF(B537="Pensioner",1,VLOOKUP(Assumptions!$B$10,Mortality!$A$2:$F$104,6,FALSE)/VLOOKUP(C537,Mortality!$A$2:$F$104,6,FALSE))</x:f>
        <x:v>1</x:v>
      </x:c>
      <x:c r="L537" s="37" t="n">
        <x:f>VLOOKUP(IF(B537="Pensioner",C537,Assumptions!$B$10),Mortality!$A$2:$E$104,5,FALSE)</x:f>
        <x:v>15.628758769824573</x:v>
      </x:c>
      <x:c r="M537" s="37" t="n">
        <x:f>1+Assumptions!$B$13*Assumptions!$B$14*Assumptions!$B$15</x:f>
        <x:v>1.31875</x:v>
      </x:c>
      <x:c r="N537" s="37" t="n">
        <x:f>IF(B537="Pensioner",1,1/(1+Assumptions!$B$6)^G537)</x:f>
        <x:v>1</x:v>
      </x:c>
      <x:c r="O537" s="50" t="n">
        <x:f>J537*K537*L537*M537*N537</x:f>
        <x:v>5729698.324502313</x:v>
      </x:c>
    </x:row>
    <x:row r="538">
      <x:c r="A538" s="42" t="str">
        <x:f>Members!A538</x:f>
        <x:v>P0163</x:v>
      </x:c>
      <x:c r="B538" s="42" t="str">
        <x:f>Members!B538</x:f>
        <x:v>Pensioner</x:v>
      </x:c>
      <x:c r="C538" s="42" t="n">
        <x:f>Members!C538</x:f>
        <x:v>87</x:v>
      </x:c>
      <x:c r="D538" s="44" t="n">
        <x:f>Members!D538</x:f>
        <x:v>33.1</x:v>
      </x:c>
      <x:c r="E538" s="48" t="n">
        <x:f>Members!E538</x:f>
        <x:v>0</x:v>
      </x:c>
      <x:c r="F538" s="48" t="n">
        <x:f>Members!F538</x:f>
        <x:v>451000</x:v>
      </x:c>
      <x:c r="G538" s="46" t="n">
        <x:f>MAX(0,Assumptions!$B$10-C538)</x:f>
        <x:v>0</x:v>
      </x:c>
      <x:c r="H538" s="50" t="n">
        <x:f>IF(B538="Active",E538*(1+Assumptions!$B$7)^G538,E538)</x:f>
        <x:v>0</x:v>
      </x:c>
      <x:c r="I538" s="50" t="n">
        <x:f>IF(B538="Active",MIN(Assumptions!$B$12,D538+G538),IF(B538="Deferred",MIN(Assumptions!$B$12,D538),D538))</x:f>
        <x:v>33.1</x:v>
      </x:c>
      <x:c r="J538" s="50" t="n">
        <x:f>IF(B538="Active",H538*I538*Assumptions!$B$11,IF(B538="Deferred",E538*I538*Assumptions!$B$11*(1+Assumptions!$B$9)^G538,F538))</x:f>
        <x:v>451000</x:v>
      </x:c>
      <x:c r="K538" s="37" t="n">
        <x:f>IF(B538="Pensioner",1,VLOOKUP(Assumptions!$B$10,Mortality!$A$2:$F$104,6,FALSE)/VLOOKUP(C538,Mortality!$A$2:$F$104,6,FALSE))</x:f>
        <x:v>1</x:v>
      </x:c>
      <x:c r="L538" s="37" t="n">
        <x:f>VLOOKUP(IF(B538="Pensioner",C538,Assumptions!$B$10),Mortality!$A$2:$E$104,5,FALSE)</x:f>
        <x:v>5.427731360162463</x:v>
      </x:c>
      <x:c r="M538" s="37" t="n">
        <x:f>1+Assumptions!$B$13*Assumptions!$B$14*Assumptions!$B$15</x:f>
        <x:v>1.31875</x:v>
      </x:c>
      <x:c r="N538" s="37" t="n">
        <x:f>IF(B538="Pensioner",1,1/(1+Assumptions!$B$6)^G538)</x:f>
        <x:v>1</x:v>
      </x:c>
      <x:c r="O538" s="50" t="n">
        <x:f>J538*K538*L538*M538*N538</x:f>
        <x:v>3228177.149777626</x:v>
      </x:c>
    </x:row>
    <x:row r="539">
      <x:c r="A539" s="42" t="str">
        <x:f>Members!A539</x:f>
        <x:v>D0017</x:v>
      </x:c>
      <x:c r="B539" s="42" t="str">
        <x:f>Members!B539</x:f>
        <x:v>Deferred</x:v>
      </x:c>
      <x:c r="C539" s="42" t="n">
        <x:f>Members!C539</x:f>
        <x:v>48</x:v>
      </x:c>
      <x:c r="D539" s="44" t="n">
        <x:f>Members!D539</x:f>
        <x:v>8.3</x:v>
      </x:c>
      <x:c r="E539" s="48" t="n">
        <x:f>Members!E539</x:f>
        <x:v>860000</x:v>
      </x:c>
      <x:c r="F539" s="48" t="n">
        <x:f>Members!F539</x:f>
        <x:v>0</x:v>
      </x:c>
      <x:c r="G539" s="46" t="n">
        <x:f>MAX(0,Assumptions!$B$10-C539)</x:f>
        <x:v>12</x:v>
      </x:c>
      <x:c r="H539" s="50" t="n">
        <x:f>IF(B539="Active",E539*(1+Assumptions!$B$7)^G539,E539)</x:f>
        <x:v>860000</x:v>
      </x:c>
      <x:c r="I539" s="50" t="n">
        <x:f>IF(B539="Active",MIN(Assumptions!$B$12,D539+G539),IF(B539="Deferred",MIN(Assumptions!$B$12,D539),D539))</x:f>
        <x:v>8.3</x:v>
      </x:c>
      <x:c r="J539" s="50" t="n">
        <x:f>IF(B539="Active",H539*I539*Assumptions!$B$11,IF(B539="Deferred",E539*I539*Assumptions!$B$11*(1+Assumptions!$B$9)^G539,F539))</x:f>
        <x:v>190469.46626893524</x:v>
      </x:c>
      <x:c r="K539" s="37" t="n">
        <x:f>IF(B539="Pensioner",1,VLOOKUP(Assumptions!$B$10,Mortality!$A$2:$F$104,6,FALSE)/VLOOKUP(C539,Mortality!$A$2:$F$104,6,FALSE))</x:f>
        <x:v>0.9793037429736591</x:v>
      </x:c>
      <x:c r="L539" s="37" t="n">
        <x:f>VLOOKUP(IF(B539="Pensioner",C539,Assumptions!$B$10),Mortality!$A$2:$E$104,5,FALSE)</x:f>
        <x:v>17.296790022132885</x:v>
      </x:c>
      <x:c r="M539" s="37" t="n">
        <x:f>1+Assumptions!$B$13*Assumptions!$B$14*Assumptions!$B$15</x:f>
        <x:v>1.31875</x:v>
      </x:c>
      <x:c r="N539" s="37" t="n">
        <x:f>IF(B539="Pensioner",1,1/(1+Assumptions!$B$6)^G539)</x:f>
        <x:v>0.4696828543900276</x:v>
      </x:c>
      <x:c r="O539" s="50" t="n">
        <x:f>J539*K539*L539*M539*N539</x:f>
        <x:v>1998368.0235854615</x:v>
      </x:c>
    </x:row>
    <x:row r="540">
      <x:c r="A540" s="42" t="str">
        <x:f>Members!A540</x:f>
        <x:v>A0442</x:v>
      </x:c>
      <x:c r="B540" s="42" t="str">
        <x:f>Members!B540</x:f>
        <x:v>Active</x:v>
      </x:c>
      <x:c r="C540" s="42" t="n">
        <x:f>Members!C540</x:f>
        <x:v>24</x:v>
      </x:c>
      <x:c r="D540" s="44" t="n">
        <x:f>Members!D540</x:f>
        <x:v>1.8</x:v>
      </x:c>
      <x:c r="E540" s="48" t="n">
        <x:f>Members!E540</x:f>
        <x:v>340000</x:v>
      </x:c>
      <x:c r="F540" s="48" t="n">
        <x:f>Members!F540</x:f>
        <x:v>0</x:v>
      </x:c>
      <x:c r="G540" s="46" t="n">
        <x:f>MAX(0,Assumptions!$B$10-C540)</x:f>
        <x:v>36</x:v>
      </x:c>
      <x:c r="H540" s="50" t="n">
        <x:f>IF(B540="Active",E540*(1+Assumptions!$B$7)^G540,E540)</x:f>
        <x:v>2336509.0303067626</x:v>
      </x:c>
      <x:c r="I540" s="50" t="n">
        <x:f>IF(B540="Active",MIN(Assumptions!$B$12,D540+G540),IF(B540="Deferred",MIN(Assumptions!$B$12,D540),D540))</x:f>
        <x:v>37.8</x:v>
      </x:c>
      <x:c r="J540" s="50" t="n">
        <x:f>IF(B540="Active",H540*I540*Assumptions!$B$11,IF(B540="Deferred",E540*I540*Assumptions!$B$11*(1+Assumptions!$B$9)^G540,F540))</x:f>
        <x:v>1472000.68909326</x:v>
      </x:c>
      <x:c r="K540" s="37" t="n">
        <x:f>IF(B540="Pensioner",1,VLOOKUP(Assumptions!$B$10,Mortality!$A$2:$F$104,6,FALSE)/VLOOKUP(C540,Mortality!$A$2:$F$104,6,FALSE))</x:f>
        <x:v>0.9687108670060764</x:v>
      </x:c>
      <x:c r="L540" s="37" t="n">
        <x:f>VLOOKUP(IF(B540="Pensioner",C540,Assumptions!$B$10),Mortality!$A$2:$E$104,5,FALSE)</x:f>
        <x:v>17.296790022132885</x:v>
      </x:c>
      <x:c r="M540" s="37" t="n">
        <x:f>1+Assumptions!$B$13*Assumptions!$B$14*Assumptions!$B$15</x:f>
        <x:v>1.31875</x:v>
      </x:c>
      <x:c r="N540" s="37" t="n">
        <x:f>IF(B540="Pensioner",1,1/(1+Assumptions!$B$6)^G540)</x:f>
        <x:v>0.10361296939205883</x:v>
      </x:c>
      <x:c r="O540" s="50" t="n">
        <x:f>J540*K540*L540*M540*N540</x:f>
        <x:v>3370111.6649920363</x:v>
      </x:c>
    </x:row>
    <x:row r="541">
      <x:c r="A541" s="42" t="str">
        <x:f>Members!A541</x:f>
        <x:v>D0030</x:v>
      </x:c>
      <x:c r="B541" s="42" t="str">
        <x:f>Members!B541</x:f>
        <x:v>Deferred</x:v>
      </x:c>
      <x:c r="C541" s="42" t="n">
        <x:f>Members!C541</x:f>
        <x:v>54</x:v>
      </x:c>
      <x:c r="D541" s="44" t="n">
        <x:f>Members!D541</x:f>
        <x:v>23.6</x:v>
      </x:c>
      <x:c r="E541" s="48" t="n">
        <x:f>Members!E541</x:f>
        <x:v>1202000</x:v>
      </x:c>
      <x:c r="F541" s="48" t="n">
        <x:f>Members!F541</x:f>
        <x:v>0</x:v>
      </x:c>
      <x:c r="G541" s="46" t="n">
        <x:f>MAX(0,Assumptions!$B$10-C541)</x:f>
        <x:v>6</x:v>
      </x:c>
      <x:c r="H541" s="50" t="n">
        <x:f>IF(B541="Active",E541*(1+Assumptions!$B$7)^G541,E541)</x:f>
        <x:v>1202000</x:v>
      </x:c>
      <x:c r="I541" s="50" t="n">
        <x:f>IF(B541="Active",MIN(Assumptions!$B$12,D541+G541),IF(B541="Deferred",MIN(Assumptions!$B$12,D541),D541))</x:f>
        <x:v>23.6</x:v>
      </x:c>
      <x:c r="J541" s="50" t="n">
        <x:f>IF(B541="Active",H541*I541*Assumptions!$B$11,IF(B541="Deferred",E541*I541*Assumptions!$B$11*(1+Assumptions!$B$9)^G541,F541))</x:f>
        <x:v>598225.9610246624</x:v>
      </x:c>
      <x:c r="K541" s="37" t="n">
        <x:f>IF(B541="Pensioner",1,VLOOKUP(Assumptions!$B$10,Mortality!$A$2:$F$104,6,FALSE)/VLOOKUP(C541,Mortality!$A$2:$F$104,6,FALSE))</x:f>
        <x:v>0.9865535119056937</x:v>
      </x:c>
      <x:c r="L541" s="37" t="n">
        <x:f>VLOOKUP(IF(B541="Pensioner",C541,Assumptions!$B$10),Mortality!$A$2:$E$104,5,FALSE)</x:f>
        <x:v>17.296790022132885</x:v>
      </x:c>
      <x:c r="M541" s="37" t="n">
        <x:f>1+Assumptions!$B$13*Assumptions!$B$14*Assumptions!$B$15</x:f>
        <x:v>1.31875</x:v>
      </x:c>
      <x:c r="N541" s="37" t="n">
        <x:f>IF(B541="Pensioner",1,1/(1+Assumptions!$B$6)^G541)</x:f>
        <x:v>0.6853341187990187</x:v>
      </x:c>
      <x:c r="O541" s="50" t="n">
        <x:f>J541*K541*L541*M541*N541</x:f>
        <x:v>9226059.310696466</x:v>
      </x:c>
    </x:row>
    <x:row r="542">
      <x:c r="A542" s="42" t="str">
        <x:f>Members!A542</x:f>
        <x:v>A0430</x:v>
      </x:c>
      <x:c r="B542" s="42" t="str">
        <x:f>Members!B542</x:f>
        <x:v>Active</x:v>
      </x:c>
      <x:c r="C542" s="42" t="n">
        <x:f>Members!C542</x:f>
        <x:v>46</x:v>
      </x:c>
      <x:c r="D542" s="44" t="n">
        <x:f>Members!D542</x:f>
        <x:v>1.7</x:v>
      </x:c>
      <x:c r="E542" s="48" t="n">
        <x:f>Members!E542</x:f>
        <x:v>1343000</x:v>
      </x:c>
      <x:c r="F542" s="48" t="n">
        <x:f>Members!F542</x:f>
        <x:v>0</x:v>
      </x:c>
      <x:c r="G542" s="46" t="n">
        <x:f>MAX(0,Assumptions!$B$10-C542)</x:f>
        <x:v>14</x:v>
      </x:c>
      <x:c r="H542" s="50" t="n">
        <x:f>IF(B542="Active",E542*(1+Assumptions!$B$7)^G542,E542)</x:f>
        <x:v>2841910.8332469827</x:v>
      </x:c>
      <x:c r="I542" s="50" t="n">
        <x:f>IF(B542="Active",MIN(Assumptions!$B$12,D542+G542),IF(B542="Deferred",MIN(Assumptions!$B$12,D542),D542))</x:f>
        <x:v>15.7</x:v>
      </x:c>
      <x:c r="J542" s="50" t="n">
        <x:f>IF(B542="Active",H542*I542*Assumptions!$B$11,IF(B542="Deferred",E542*I542*Assumptions!$B$11*(1+Assumptions!$B$9)^G542,F542))</x:f>
        <x:v>743633.3346996271</x:v>
      </x:c>
      <x:c r="K542" s="37" t="n">
        <x:f>IF(B542="Pensioner",1,VLOOKUP(Assumptions!$B$10,Mortality!$A$2:$F$104,6,FALSE)/VLOOKUP(C542,Mortality!$A$2:$F$104,6,FALSE))</x:f>
        <x:v>0.9776582328304806</x:v>
      </x:c>
      <x:c r="L542" s="37" t="n">
        <x:f>VLOOKUP(IF(B542="Pensioner",C542,Assumptions!$B$10),Mortality!$A$2:$E$104,5,FALSE)</x:f>
        <x:v>17.296790022132885</x:v>
      </x:c>
      <x:c r="M542" s="37" t="n">
        <x:f>1+Assumptions!$B$13*Assumptions!$B$14*Assumptions!$B$15</x:f>
        <x:v>1.31875</x:v>
      </x:c>
      <x:c r="N542" s="37" t="n">
        <x:f>IF(B542="Pensioner",1,1/(1+Assumptions!$B$6)^G542)</x:f>
        <x:v>0.41410024853095956</x:v>
      </x:c>
      <x:c r="O542" s="50" t="n">
        <x:f>J542*K542*L542*M542*N542</x:f>
        <x:v>6867195.137088366</x:v>
      </x:c>
    </x:row>
    <x:row r="543">
      <x:c r="A543" s="42" t="str">
        <x:f>Members!A543</x:f>
        <x:v>A0263</x:v>
      </x:c>
      <x:c r="B543" s="42" t="str">
        <x:f>Members!B543</x:f>
        <x:v>Active</x:v>
      </x:c>
      <x:c r="C543" s="42" t="n">
        <x:f>Members!C543</x:f>
        <x:v>51</x:v>
      </x:c>
      <x:c r="D543" s="44" t="n">
        <x:f>Members!D543</x:f>
        <x:v>25.9</x:v>
      </x:c>
      <x:c r="E543" s="48" t="n">
        <x:f>Members!E543</x:f>
        <x:v>1479000</x:v>
      </x:c>
      <x:c r="F543" s="48" t="n">
        <x:f>Members!F543</x:f>
        <x:v>0</x:v>
      </x:c>
      <x:c r="G543" s="46" t="n">
        <x:f>MAX(0,Assumptions!$B$10-C543)</x:f>
        <x:v>9</x:v>
      </x:c>
      <x:c r="H543" s="50" t="n">
        <x:f>IF(B543="Active",E543*(1+Assumptions!$B$7)^G543,E543)</x:f>
        <x:v>2394640.4302416723</x:v>
      </x:c>
      <x:c r="I543" s="50" t="n">
        <x:f>IF(B543="Active",MIN(Assumptions!$B$12,D543+G543),IF(B543="Deferred",MIN(Assumptions!$B$12,D543),D543))</x:f>
        <x:v>34.9</x:v>
      </x:c>
      <x:c r="J543" s="50" t="n">
        <x:f>IF(B543="Active",H543*I543*Assumptions!$B$11,IF(B543="Deferred",E543*I543*Assumptions!$B$11*(1+Assumptions!$B$9)^G543,F543))</x:f>
        <x:v>1392882.5169239058</x:v>
      </x:c>
      <x:c r="K543" s="37" t="n">
        <x:f>IF(B543="Pensioner",1,VLOOKUP(Assumptions!$B$10,Mortality!$A$2:$F$104,6,FALSE)/VLOOKUP(C543,Mortality!$A$2:$F$104,6,FALSE))</x:f>
        <x:v>0.9824052797506154</x:v>
      </x:c>
      <x:c r="L543" s="37" t="n">
        <x:f>VLOOKUP(IF(B543="Pensioner",C543,Assumptions!$B$10),Mortality!$A$2:$E$104,5,FALSE)</x:f>
        <x:v>17.296790022132885</x:v>
      </x:c>
      <x:c r="M543" s="37" t="n">
        <x:f>1+Assumptions!$B$13*Assumptions!$B$14*Assumptions!$B$15</x:f>
        <x:v>1.31875</x:v>
      </x:c>
      <x:c r="N543" s="37" t="n">
        <x:f>IF(B543="Pensioner",1,1/(1+Assumptions!$B$6)^G543)</x:f>
        <x:v>0.5673532278293633</x:v>
      </x:c>
      <x:c r="O543" s="50" t="n">
        <x:f>J543*K543*L543*M543*N543</x:f>
        <x:v>17708700.42114453</x:v>
      </x:c>
    </x:row>
    <x:row r="544">
      <x:c r="A544" s="42" t="str">
        <x:f>Members!A544</x:f>
        <x:v>D0065</x:v>
      </x:c>
      <x:c r="B544" s="42" t="str">
        <x:f>Members!B544</x:f>
        <x:v>Deferred</x:v>
      </x:c>
      <x:c r="C544" s="42" t="n">
        <x:f>Members!C544</x:f>
        <x:v>36</x:v>
      </x:c>
      <x:c r="D544" s="44" t="n">
        <x:f>Members!D544</x:f>
        <x:v>7.4</x:v>
      </x:c>
      <x:c r="E544" s="48" t="n">
        <x:f>Members!E544</x:f>
        <x:v>384000</x:v>
      </x:c>
      <x:c r="F544" s="48" t="n">
        <x:f>Members!F544</x:f>
        <x:v>0</x:v>
      </x:c>
      <x:c r="G544" s="46" t="n">
        <x:f>MAX(0,Assumptions!$B$10-C544)</x:f>
        <x:v>24</x:v>
      </x:c>
      <x:c r="H544" s="50" t="n">
        <x:f>IF(B544="Active",E544*(1+Assumptions!$B$7)^G544,E544)</x:f>
        <x:v>384000</x:v>
      </x:c>
      <x:c r="I544" s="50" t="n">
        <x:f>IF(B544="Active",MIN(Assumptions!$B$12,D544+G544),IF(B544="Deferred",MIN(Assumptions!$B$12,D544),D544))</x:f>
        <x:v>7.4</x:v>
      </x:c>
      <x:c r="J544" s="50" t="n">
        <x:f>IF(B544="Active",H544*I544*Assumptions!$B$11,IF(B544="Deferred",E544*I544*Assumptions!$B$11*(1+Assumptions!$B$9)^G544,F544))</x:f>
        <x:v>121398.08524927341</x:v>
      </x:c>
      <x:c r="K544" s="37" t="n">
        <x:f>IF(B544="Pensioner",1,VLOOKUP(Assumptions!$B$10,Mortality!$A$2:$F$104,6,FALSE)/VLOOKUP(C544,Mortality!$A$2:$F$104,6,FALSE))</x:f>
        <x:v>0.9723450305541352</x:v>
      </x:c>
      <x:c r="L544" s="37" t="n">
        <x:f>VLOOKUP(IF(B544="Pensioner",C544,Assumptions!$B$10),Mortality!$A$2:$E$104,5,FALSE)</x:f>
        <x:v>17.296790022132885</x:v>
      </x:c>
      <x:c r="M544" s="37" t="n">
        <x:f>1+Assumptions!$B$13*Assumptions!$B$14*Assumptions!$B$15</x:f>
        <x:v>1.31875</x:v>
      </x:c>
      <x:c r="N544" s="37" t="n">
        <x:f>IF(B544="Pensioner",1,1/(1+Assumptions!$B$6)^G544)</x:f>
        <x:v>0.22060198370796386</x:v>
      </x:c>
      <x:c r="O544" s="50" t="n">
        <x:f>J544*K544*L544*M544*N544</x:f>
        <x:v>593977.0090168847</x:v>
      </x:c>
    </x:row>
    <x:row r="545">
      <x:c r="A545" s="42" t="str">
        <x:f>Members!A545</x:f>
        <x:v>A0225</x:v>
      </x:c>
      <x:c r="B545" s="42" t="str">
        <x:f>Members!B545</x:f>
        <x:v>Active</x:v>
      </x:c>
      <x:c r="C545" s="42" t="n">
        <x:f>Members!C545</x:f>
        <x:v>43</x:v>
      </x:c>
      <x:c r="D545" s="44" t="n">
        <x:f>Members!D545</x:f>
        <x:v>7.8</x:v>
      </x:c>
      <x:c r="E545" s="48" t="n">
        <x:f>Members!E545</x:f>
        <x:v>956000</x:v>
      </x:c>
      <x:c r="F545" s="48" t="n">
        <x:f>Members!F545</x:f>
        <x:v>0</x:v>
      </x:c>
      <x:c r="G545" s="46" t="n">
        <x:f>MAX(0,Assumptions!$B$10-C545)</x:f>
        <x:v>17</x:v>
      </x:c>
      <x:c r="H545" s="50" t="n">
        <x:f>IF(B545="Active",E545*(1+Assumptions!$B$7)^G545,E545)</x:f>
        <x:v>2375470.8532711254</x:v>
      </x:c>
      <x:c r="I545" s="50" t="n">
        <x:f>IF(B545="Active",MIN(Assumptions!$B$12,D545+G545),IF(B545="Deferred",MIN(Assumptions!$B$12,D545),D545))</x:f>
        <x:v>24.8</x:v>
      </x:c>
      <x:c r="J545" s="50" t="n">
        <x:f>IF(B545="Active",H545*I545*Assumptions!$B$11,IF(B545="Deferred",E545*I545*Assumptions!$B$11*(1+Assumptions!$B$9)^G545,F545))</x:f>
        <x:v>981861.2860187318</x:v>
      </x:c>
      <x:c r="K545" s="37" t="n">
        <x:f>IF(B545="Pensioner",1,VLOOKUP(Assumptions!$B$10,Mortality!$A$2:$F$104,6,FALSE)/VLOOKUP(C545,Mortality!$A$2:$F$104,6,FALSE))</x:f>
        <x:v>0.975651758424938</x:v>
      </x:c>
      <x:c r="L545" s="37" t="n">
        <x:f>VLOOKUP(IF(B545="Pensioner",C545,Assumptions!$B$10),Mortality!$A$2:$E$104,5,FALSE)</x:f>
        <x:v>17.296790022132885</x:v>
      </x:c>
      <x:c r="M545" s="37" t="n">
        <x:f>1+Assumptions!$B$13*Assumptions!$B$14*Assumptions!$B$15</x:f>
        <x:v>1.31875</x:v>
      </x:c>
      <x:c r="N545" s="37" t="n">
        <x:f>IF(B545="Pensioner",1,1/(1+Assumptions!$B$6)^G545)</x:f>
        <x:v>0.34281251466174323</x:v>
      </x:c>
      <x:c r="O545" s="50" t="n">
        <x:f>J545*K545*L545*M545*N545</x:f>
        <x:v>7490824.492645132</x:v>
      </x:c>
    </x:row>
    <x:row r="546">
      <x:c r="A546" s="42" t="str">
        <x:f>Members!A546</x:f>
        <x:v>A0090</x:v>
      </x:c>
      <x:c r="B546" s="42" t="str">
        <x:f>Members!B546</x:f>
        <x:v>Active</x:v>
      </x:c>
      <x:c r="C546" s="42" t="n">
        <x:f>Members!C546</x:f>
        <x:v>25</x:v>
      </x:c>
      <x:c r="D546" s="44" t="n">
        <x:f>Members!D546</x:f>
        <x:v>1</x:v>
      </x:c>
      <x:c r="E546" s="48" t="n">
        <x:f>Members!E546</x:f>
        <x:v>561000</x:v>
      </x:c>
      <x:c r="F546" s="48" t="n">
        <x:f>Members!F546</x:f>
        <x:v>0</x:v>
      </x:c>
      <x:c r="G546" s="46" t="n">
        <x:f>MAX(0,Assumptions!$B$10-C546)</x:f>
        <x:v>35</x:v>
      </x:c>
      <x:c r="H546" s="50" t="n">
        <x:f>IF(B546="Active",E546*(1+Assumptions!$B$7)^G546,E546)</x:f>
        <x:v>3654255.8293897235</x:v>
      </x:c>
      <x:c r="I546" s="50" t="n">
        <x:f>IF(B546="Active",MIN(Assumptions!$B$12,D546+G546),IF(B546="Deferred",MIN(Assumptions!$B$12,D546),D546))</x:f>
        <x:v>36</x:v>
      </x:c>
      <x:c r="J546" s="50" t="n">
        <x:f>IF(B546="Active",H546*I546*Assumptions!$B$11,IF(B546="Deferred",E546*I546*Assumptions!$B$11*(1+Assumptions!$B$9)^G546,F546))</x:f>
        <x:v>2192553.4976338344</x:v>
      </x:c>
      <x:c r="K546" s="37" t="n">
        <x:f>IF(B546="Pensioner",1,VLOOKUP(Assumptions!$B$10,Mortality!$A$2:$F$104,6,FALSE)/VLOOKUP(C546,Mortality!$A$2:$F$104,6,FALSE))</x:f>
        <x:v>0.9689672976041144</x:v>
      </x:c>
      <x:c r="L546" s="37" t="n">
        <x:f>VLOOKUP(IF(B546="Pensioner",C546,Assumptions!$B$10),Mortality!$A$2:$E$104,5,FALSE)</x:f>
        <x:v>17.296790022132885</x:v>
      </x:c>
      <x:c r="M546" s="37" t="n">
        <x:f>1+Assumptions!$B$13*Assumptions!$B$14*Assumptions!$B$15</x:f>
        <x:v>1.31875</x:v>
      </x:c>
      <x:c r="N546" s="37" t="n">
        <x:f>IF(B546="Pensioner",1,1/(1+Assumptions!$B$6)^G546)</x:f>
        <x:v>0.11034781240254267</x:v>
      </x:c>
      <x:c r="O546" s="50" t="n">
        <x:f>J546*K546*L546*M546*N546</x:f>
        <x:v>5347502.946716153</x:v>
      </x:c>
    </x:row>
    <x:row r="547">
      <x:c r="A547" s="42" t="str">
        <x:f>Members!A547</x:f>
        <x:v>A0384</x:v>
      </x:c>
      <x:c r="B547" s="42" t="str">
        <x:f>Members!B547</x:f>
        <x:v>Active</x:v>
      </x:c>
      <x:c r="C547" s="42" t="n">
        <x:f>Members!C547</x:f>
        <x:v>39</x:v>
      </x:c>
      <x:c r="D547" s="44" t="n">
        <x:f>Members!D547</x:f>
        <x:v>17</x:v>
      </x:c>
      <x:c r="E547" s="48" t="n">
        <x:f>Members!E547</x:f>
        <x:v>624000</x:v>
      </x:c>
      <x:c r="F547" s="48" t="n">
        <x:f>Members!F547</x:f>
        <x:v>0</x:v>
      </x:c>
      <x:c r="G547" s="46" t="n">
        <x:f>MAX(0,Assumptions!$B$10-C547)</x:f>
        <x:v>21</x:v>
      </x:c>
      <x:c r="H547" s="50" t="n">
        <x:f>IF(B547="Active",E547*(1+Assumptions!$B$7)^G547,E547)</x:f>
        <x:v>1920818.1112144839</x:v>
      </x:c>
      <x:c r="I547" s="50" t="n">
        <x:f>IF(B547="Active",MIN(Assumptions!$B$12,D547+G547),IF(B547="Deferred",MIN(Assumptions!$B$12,D547),D547))</x:f>
        <x:v>38</x:v>
      </x:c>
      <x:c r="J547" s="50" t="n">
        <x:f>IF(B547="Active",H547*I547*Assumptions!$B$11,IF(B547="Deferred",E547*I547*Assumptions!$B$11*(1+Assumptions!$B$9)^G547,F547))</x:f>
        <x:v>1216518.1371025066</x:v>
      </x:c>
      <x:c r="K547" s="37" t="n">
        <x:f>IF(B547="Pensioner",1,VLOOKUP(Assumptions!$B$10,Mortality!$A$2:$F$104,6,FALSE)/VLOOKUP(C547,Mortality!$A$2:$F$104,6,FALSE))</x:f>
        <x:v>0.973585741778878</x:v>
      </x:c>
      <x:c r="L547" s="37" t="n">
        <x:f>VLOOKUP(IF(B547="Pensioner",C547,Assumptions!$B$10),Mortality!$A$2:$E$104,5,FALSE)</x:f>
        <x:v>17.296790022132885</x:v>
      </x:c>
      <x:c r="M547" s="37" t="n">
        <x:f>1+Assumptions!$B$13*Assumptions!$B$14*Assumptions!$B$15</x:f>
        <x:v>1.31875</x:v>
      </x:c>
      <x:c r="N547" s="37" t="n">
        <x:f>IF(B547="Pensioner",1,1/(1+Assumptions!$B$6)^G547)</x:f>
        <x:v>0.26647608349429097</x:v>
      </x:c>
      <x:c r="O547" s="50" t="n">
        <x:f>J547*K547*L547*M547*N547</x:f>
        <x:v>7199113.420555649</x:v>
      </x:c>
    </x:row>
    <x:row r="548">
      <x:c r="A548" s="42" t="str">
        <x:f>Members!A548</x:f>
        <x:v>D0126</x:v>
      </x:c>
      <x:c r="B548" s="42" t="str">
        <x:f>Members!B548</x:f>
        <x:v>Deferred</x:v>
      </x:c>
      <x:c r="C548" s="42" t="n">
        <x:f>Members!C548</x:f>
        <x:v>36</x:v>
      </x:c>
      <x:c r="D548" s="44" t="n">
        <x:f>Members!D548</x:f>
        <x:v>4.3</x:v>
      </x:c>
      <x:c r="E548" s="48" t="n">
        <x:f>Members!E548</x:f>
        <x:v>523000</x:v>
      </x:c>
      <x:c r="F548" s="48" t="n">
        <x:f>Members!F548</x:f>
        <x:v>0</x:v>
      </x:c>
      <x:c r="G548" s="46" t="n">
        <x:f>MAX(0,Assumptions!$B$10-C548)</x:f>
        <x:v>24</x:v>
      </x:c>
      <x:c r="H548" s="50" t="n">
        <x:f>IF(B548="Active",E548*(1+Assumptions!$B$7)^G548,E548)</x:f>
        <x:v>523000</x:v>
      </x:c>
      <x:c r="I548" s="50" t="n">
        <x:f>IF(B548="Active",MIN(Assumptions!$B$12,D548+G548),IF(B548="Deferred",MIN(Assumptions!$B$12,D548),D548))</x:f>
        <x:v>4.3</x:v>
      </x:c>
      <x:c r="J548" s="50" t="n">
        <x:f>IF(B548="Active",H548*I548*Assumptions!$B$11,IF(B548="Deferred",E548*I548*Assumptions!$B$11*(1+Assumptions!$B$9)^G548,F548))</x:f>
        <x:v>96076.91227375103</x:v>
      </x:c>
      <x:c r="K548" s="37" t="n">
        <x:f>IF(B548="Pensioner",1,VLOOKUP(Assumptions!$B$10,Mortality!$A$2:$F$104,6,FALSE)/VLOOKUP(C548,Mortality!$A$2:$F$104,6,FALSE))</x:f>
        <x:v>0.9723450305541352</x:v>
      </x:c>
      <x:c r="L548" s="37" t="n">
        <x:f>VLOOKUP(IF(B548="Pensioner",C548,Assumptions!$B$10),Mortality!$A$2:$E$104,5,FALSE)</x:f>
        <x:v>17.296790022132885</x:v>
      </x:c>
      <x:c r="M548" s="37" t="n">
        <x:f>1+Assumptions!$B$13*Assumptions!$B$14*Assumptions!$B$15</x:f>
        <x:v>1.31875</x:v>
      </x:c>
      <x:c r="N548" s="37" t="n">
        <x:f>IF(B548="Pensioner",1,1/(1+Assumptions!$B$6)^G548)</x:f>
        <x:v>0.22060198370796386</x:v>
      </x:c>
      <x:c r="O548" s="50" t="n">
        <x:f>J548*K548*L548*M548*N548</x:f>
        <x:v>470085.4784551211</x:v>
      </x:c>
    </x:row>
    <x:row r="549">
      <x:c r="A549" s="42" t="str">
        <x:f>Members!A549</x:f>
        <x:v>A0117</x:v>
      </x:c>
      <x:c r="B549" s="42" t="str">
        <x:f>Members!B549</x:f>
        <x:v>Active</x:v>
      </x:c>
      <x:c r="C549" s="42" t="n">
        <x:f>Members!C549</x:f>
        <x:v>46</x:v>
      </x:c>
      <x:c r="D549" s="44" t="n">
        <x:f>Members!D549</x:f>
        <x:v>21.6</x:v>
      </x:c>
      <x:c r="E549" s="48" t="n">
        <x:f>Members!E549</x:f>
        <x:v>849000</x:v>
      </x:c>
      <x:c r="F549" s="48" t="n">
        <x:f>Members!F549</x:f>
        <x:v>0</x:v>
      </x:c>
      <x:c r="G549" s="46" t="n">
        <x:f>MAX(0,Assumptions!$B$10-C549)</x:f>
        <x:v>14</x:v>
      </x:c>
      <x:c r="H549" s="50" t="n">
        <x:f>IF(B549="Active",E549*(1+Assumptions!$B$7)^G549,E549)</x:f>
        <x:v>1796561.6510995445</x:v>
      </x:c>
      <x:c r="I549" s="50" t="n">
        <x:f>IF(B549="Active",MIN(Assumptions!$B$12,D549+G549),IF(B549="Deferred",MIN(Assumptions!$B$12,D549),D549))</x:f>
        <x:v>35.6</x:v>
      </x:c>
      <x:c r="J549" s="50" t="n">
        <x:f>IF(B549="Active",H549*I549*Assumptions!$B$11,IF(B549="Deferred",E549*I549*Assumptions!$B$11*(1+Assumptions!$B$9)^G549,F549))</x:f>
        <x:v>1065959.9129857298</x:v>
      </x:c>
      <x:c r="K549" s="37" t="n">
        <x:f>IF(B549="Pensioner",1,VLOOKUP(Assumptions!$B$10,Mortality!$A$2:$F$104,6,FALSE)/VLOOKUP(C549,Mortality!$A$2:$F$104,6,FALSE))</x:f>
        <x:v>0.9776582328304806</x:v>
      </x:c>
      <x:c r="L549" s="37" t="n">
        <x:f>VLOOKUP(IF(B549="Pensioner",C549,Assumptions!$B$10),Mortality!$A$2:$E$104,5,FALSE)</x:f>
        <x:v>17.296790022132885</x:v>
      </x:c>
      <x:c r="M549" s="37" t="n">
        <x:f>1+Assumptions!$B$13*Assumptions!$B$14*Assumptions!$B$15</x:f>
        <x:v>1.31875</x:v>
      </x:c>
      <x:c r="N549" s="37" t="n">
        <x:f>IF(B549="Pensioner",1,1/(1+Assumptions!$B$6)^G549)</x:f>
        <x:v>0.41410024853095956</x:v>
      </x:c>
      <x:c r="O549" s="50" t="n">
        <x:f>J549*K549*L549*M549*N549</x:f>
        <x:v>9843768.950653002</x:v>
      </x:c>
    </x:row>
    <x:row r="550">
      <x:c r="A550" s="42" t="str">
        <x:f>Members!A550</x:f>
        <x:v>P0004</x:v>
      </x:c>
      <x:c r="B550" s="42" t="str">
        <x:f>Members!B550</x:f>
        <x:v>Pensioner</x:v>
      </x:c>
      <x:c r="C550" s="42" t="n">
        <x:f>Members!C550</x:f>
        <x:v>69</x:v>
      </x:c>
      <x:c r="D550" s="44" t="n">
        <x:f>Members!D550</x:f>
        <x:v>38.9</x:v>
      </x:c>
      <x:c r="E550" s="48" t="n">
        <x:f>Members!E550</x:f>
        <x:v>0</x:v>
      </x:c>
      <x:c r="F550" s="48" t="n">
        <x:f>Members!F550</x:f>
        <x:v>178000</x:v>
      </x:c>
      <x:c r="G550" s="46" t="n">
        <x:f>MAX(0,Assumptions!$B$10-C550)</x:f>
        <x:v>0</x:v>
      </x:c>
      <x:c r="H550" s="50" t="n">
        <x:f>IF(B550="Active",E550*(1+Assumptions!$B$7)^G550,E550)</x:f>
        <x:v>0</x:v>
      </x:c>
      <x:c r="I550" s="50" t="n">
        <x:f>IF(B550="Active",MIN(Assumptions!$B$12,D550+G550),IF(B550="Deferred",MIN(Assumptions!$B$12,D550),D550))</x:f>
        <x:v>38.9</x:v>
      </x:c>
      <x:c r="J550" s="50" t="n">
        <x:f>IF(B550="Active",H550*I550*Assumptions!$B$11,IF(B550="Deferred",E550*I550*Assumptions!$B$11*(1+Assumptions!$B$9)^G550,F550))</x:f>
        <x:v>178000</x:v>
      </x:c>
      <x:c r="K550" s="37" t="n">
        <x:f>IF(B550="Pensioner",1,VLOOKUP(Assumptions!$B$10,Mortality!$A$2:$F$104,6,FALSE)/VLOOKUP(C550,Mortality!$A$2:$F$104,6,FALSE))</x:f>
        <x:v>1</x:v>
      </x:c>
      <x:c r="L550" s="37" t="n">
        <x:f>VLOOKUP(IF(B550="Pensioner",C550,Assumptions!$B$10),Mortality!$A$2:$E$104,5,FALSE)</x:f>
        <x:v>13.418448528291036</x:v>
      </x:c>
      <x:c r="M550" s="37" t="n">
        <x:f>1+Assumptions!$B$13*Assumptions!$B$14*Assumptions!$B$15</x:f>
        <x:v>1.31875</x:v>
      </x:c>
      <x:c r="N550" s="37" t="n">
        <x:f>IF(B550="Pensioner",1,1/(1+Assumptions!$B$6)^G550)</x:f>
        <x:v>1</x:v>
      </x:c>
      <x:c r="O550" s="50" t="n">
        <x:f>J550*K550*L550*M550*N550</x:f>
        <x:v>3149813.061409717</x:v>
      </x:c>
    </x:row>
    <x:row r="551">
      <x:c r="A551" s="42" t="str">
        <x:f>Members!A551</x:f>
        <x:v>A0230</x:v>
      </x:c>
      <x:c r="B551" s="42" t="str">
        <x:f>Members!B551</x:f>
        <x:v>Active</x:v>
      </x:c>
      <x:c r="C551" s="42" t="n">
        <x:f>Members!C551</x:f>
        <x:v>25</x:v>
      </x:c>
      <x:c r="D551" s="44" t="n">
        <x:f>Members!D551</x:f>
        <x:v>1.3</x:v>
      </x:c>
      <x:c r="E551" s="48" t="n">
        <x:f>Members!E551</x:f>
        <x:v>520000</x:v>
      </x:c>
      <x:c r="F551" s="48" t="n">
        <x:f>Members!F551</x:f>
        <x:v>0</x:v>
      </x:c>
      <x:c r="G551" s="46" t="n">
        <x:f>MAX(0,Assumptions!$B$10-C551)</x:f>
        <x:v>35</x:v>
      </x:c>
      <x:c r="H551" s="50" t="n">
        <x:f>IF(B551="Active",E551*(1+Assumptions!$B$7)^G551,E551)</x:f>
        <x:v>3387189.004068906</x:v>
      </x:c>
      <x:c r="I551" s="50" t="n">
        <x:f>IF(B551="Active",MIN(Assumptions!$B$12,D551+G551),IF(B551="Deferred",MIN(Assumptions!$B$12,D551),D551))</x:f>
        <x:v>36.3</x:v>
      </x:c>
      <x:c r="J551" s="50" t="n">
        <x:f>IF(B551="Active",H551*I551*Assumptions!$B$11,IF(B551="Deferred",E551*I551*Assumptions!$B$11*(1+Assumptions!$B$9)^G551,F551))</x:f>
        <x:v>2049249.347461688</x:v>
      </x:c>
      <x:c r="K551" s="37" t="n">
        <x:f>IF(B551="Pensioner",1,VLOOKUP(Assumptions!$B$10,Mortality!$A$2:$F$104,6,FALSE)/VLOOKUP(C551,Mortality!$A$2:$F$104,6,FALSE))</x:f>
        <x:v>0.9689672976041144</x:v>
      </x:c>
      <x:c r="L551" s="37" t="n">
        <x:f>VLOOKUP(IF(B551="Pensioner",C551,Assumptions!$B$10),Mortality!$A$2:$E$104,5,FALSE)</x:f>
        <x:v>17.296790022132885</x:v>
      </x:c>
      <x:c r="M551" s="37" t="n">
        <x:f>1+Assumptions!$B$13*Assumptions!$B$14*Assumptions!$B$15</x:f>
        <x:v>1.31875</x:v>
      </x:c>
      <x:c r="N551" s="37" t="n">
        <x:f>IF(B551="Pensioner",1,1/(1+Assumptions!$B$6)^G551)</x:f>
        <x:v>0.11034781240254267</x:v>
      </x:c>
      <x:c r="O551" s="50" t="n">
        <x:f>J551*K551*L551*M551*N551</x:f>
        <x:v>4997992.9501987565</x:v>
      </x:c>
    </x:row>
    <x:row r="552">
      <x:c r="A552" s="42" t="str">
        <x:f>Members!A552</x:f>
        <x:v>D0051</x:v>
      </x:c>
      <x:c r="B552" s="42" t="str">
        <x:f>Members!B552</x:f>
        <x:v>Deferred</x:v>
      </x:c>
      <x:c r="C552" s="42" t="n">
        <x:f>Members!C552</x:f>
        <x:v>44</x:v>
      </x:c>
      <x:c r="D552" s="44" t="n">
        <x:f>Members!D552</x:f>
        <x:v>10.9</x:v>
      </x:c>
      <x:c r="E552" s="48" t="n">
        <x:f>Members!E552</x:f>
        <x:v>710000</x:v>
      </x:c>
      <x:c r="F552" s="48" t="n">
        <x:f>Members!F552</x:f>
        <x:v>0</x:v>
      </x:c>
      <x:c r="G552" s="46" t="n">
        <x:f>MAX(0,Assumptions!$B$10-C552)</x:f>
        <x:v>16</x:v>
      </x:c>
      <x:c r="H552" s="50" t="n">
        <x:f>IF(B552="Active",E552*(1+Assumptions!$B$7)^G552,E552)</x:f>
        <x:v>710000</x:v>
      </x:c>
      <x:c r="I552" s="50" t="n">
        <x:f>IF(B552="Active",MIN(Assumptions!$B$12,D552+G552),IF(B552="Deferred",MIN(Assumptions!$B$12,D552),D552))</x:f>
        <x:v>10.9</x:v>
      </x:c>
      <x:c r="J552" s="50" t="n">
        <x:f>IF(B552="Active",H552*I552*Assumptions!$B$11,IF(B552="Deferred",E552*I552*Assumptions!$B$11*(1+Assumptions!$B$9)^G552,F552))</x:f>
        <x:v>241583.36434471252</x:v>
      </x:c>
      <x:c r="K552" s="37" t="n">
        <x:f>IF(B552="Pensioner",1,VLOOKUP(Assumptions!$B$10,Mortality!$A$2:$F$104,6,FALSE)/VLOOKUP(C552,Mortality!$A$2:$F$104,6,FALSE))</x:f>
        <x:v>0.9762682212178733</x:v>
      </x:c>
      <x:c r="L552" s="37" t="n">
        <x:f>VLOOKUP(IF(B552="Pensioner",C552,Assumptions!$B$10),Mortality!$A$2:$E$104,5,FALSE)</x:f>
        <x:v>17.296790022132885</x:v>
      </x:c>
      <x:c r="M552" s="37" t="n">
        <x:f>1+Assumptions!$B$13*Assumptions!$B$14*Assumptions!$B$15</x:f>
        <x:v>1.31875</x:v>
      </x:c>
      <x:c r="N552" s="37" t="n">
        <x:f>IF(B552="Pensioner",1,1/(1+Assumptions!$B$6)^G552)</x:f>
        <x:v>0.3650953281147565</x:v>
      </x:c>
      <x:c r="O552" s="50" t="n">
        <x:f>J552*K552*L552*M552*N552</x:f>
        <x:v>1964130.950486605</x:v>
      </x:c>
    </x:row>
    <x:row r="553">
      <x:c r="A553" s="42" t="str">
        <x:f>Members!A553</x:f>
        <x:v>A0440</x:v>
      </x:c>
      <x:c r="B553" s="42" t="str">
        <x:f>Members!B553</x:f>
        <x:v>Active</x:v>
      </x:c>
      <x:c r="C553" s="42" t="n">
        <x:f>Members!C553</x:f>
        <x:v>55</x:v>
      </x:c>
      <x:c r="D553" s="44" t="n">
        <x:f>Members!D553</x:f>
        <x:v>1.2</x:v>
      </x:c>
      <x:c r="E553" s="48" t="n">
        <x:f>Members!E553</x:f>
        <x:v>1810000</x:v>
      </x:c>
      <x:c r="F553" s="48" t="n">
        <x:f>Members!F553</x:f>
        <x:v>0</x:v>
      </x:c>
      <x:c r="G553" s="46" t="n">
        <x:f>MAX(0,Assumptions!$B$10-C553)</x:f>
        <x:v>5</x:v>
      </x:c>
      <x:c r="H553" s="50" t="n">
        <x:f>IF(B553="Active",E553*(1+Assumptions!$B$7)^G553,E553)</x:f>
        <x:v>2365597.611600968</x:v>
      </x:c>
      <x:c r="I553" s="50" t="n">
        <x:f>IF(B553="Active",MIN(Assumptions!$B$12,D553+G553),IF(B553="Deferred",MIN(Assumptions!$B$12,D553),D553))</x:f>
        <x:v>6.2</x:v>
      </x:c>
      <x:c r="J553" s="50" t="n">
        <x:f>IF(B553="Active",H553*I553*Assumptions!$B$11,IF(B553="Deferred",E553*I553*Assumptions!$B$11*(1+Assumptions!$B$9)^G553,F553))</x:f>
        <x:v>244445.08653210005</x:v>
      </x:c>
      <x:c r="K553" s="37" t="n">
        <x:f>IF(B553="Pensioner",1,VLOOKUP(Assumptions!$B$10,Mortality!$A$2:$F$104,6,FALSE)/VLOOKUP(C553,Mortality!$A$2:$F$104,6,FALSE))</x:f>
        <x:v>0.9882419087499175</x:v>
      </x:c>
      <x:c r="L553" s="37" t="n">
        <x:f>VLOOKUP(IF(B553="Pensioner",C553,Assumptions!$B$10),Mortality!$A$2:$E$104,5,FALSE)</x:f>
        <x:v>17.296790022132885</x:v>
      </x:c>
      <x:c r="M553" s="37" t="n">
        <x:f>1+Assumptions!$B$13*Assumptions!$B$14*Assumptions!$B$15</x:f>
        <x:v>1.31875</x:v>
      </x:c>
      <x:c r="N553" s="37" t="n">
        <x:f>IF(B553="Pensioner",1,1/(1+Assumptions!$B$6)^G553)</x:f>
        <x:v>0.7298808365209549</x:v>
      </x:c>
      <x:c r="O553" s="50" t="n">
        <x:f>J553*K553*L553*M553*N553</x:f>
        <x:v>4021837.566662215</x:v>
      </x:c>
    </x:row>
    <x:row r="554">
      <x:c r="A554" s="42" t="str">
        <x:f>Members!A554</x:f>
        <x:v>A0031</x:v>
      </x:c>
      <x:c r="B554" s="42" t="str">
        <x:f>Members!B554</x:f>
        <x:v>Active</x:v>
      </x:c>
      <x:c r="C554" s="42" t="n">
        <x:f>Members!C554</x:f>
        <x:v>57</x:v>
      </x:c>
      <x:c r="D554" s="44" t="n">
        <x:f>Members!D554</x:f>
        <x:v>1.4</x:v>
      </x:c>
      <x:c r="E554" s="48" t="n">
        <x:f>Members!E554</x:f>
        <x:v>2247000</x:v>
      </x:c>
      <x:c r="F554" s="48" t="n">
        <x:f>Members!F554</x:f>
        <x:v>0</x:v>
      </x:c>
      <x:c r="G554" s="46" t="n">
        <x:f>MAX(0,Assumptions!$B$10-C554)</x:f>
        <x:v>3</x:v>
      </x:c>
      <x:c r="H554" s="50" t="n">
        <x:f>IF(B554="Active",E554*(1+Assumptions!$B$7)^G554,E554)</x:f>
        <x:v>2638520.3696249994</x:v>
      </x:c>
      <x:c r="I554" s="50" t="n">
        <x:f>IF(B554="Active",MIN(Assumptions!$B$12,D554+G554),IF(B554="Deferred",MIN(Assumptions!$B$12,D554),D554))</x:f>
        <x:v>4.4</x:v>
      </x:c>
      <x:c r="J554" s="50" t="n">
        <x:f>IF(B554="Active",H554*I554*Assumptions!$B$11,IF(B554="Deferred",E554*I554*Assumptions!$B$11*(1+Assumptions!$B$9)^G554,F554))</x:f>
        <x:v>193491.49377249996</x:v>
      </x:c>
      <x:c r="K554" s="37" t="n">
        <x:f>IF(B554="Pensioner",1,VLOOKUP(Assumptions!$B$10,Mortality!$A$2:$F$104,6,FALSE)/VLOOKUP(C554,Mortality!$A$2:$F$104,6,FALSE))</x:f>
        <x:v>0.9922003892921417</x:v>
      </x:c>
      <x:c r="L554" s="37" t="n">
        <x:f>VLOOKUP(IF(B554="Pensioner",C554,Assumptions!$B$10),Mortality!$A$2:$E$104,5,FALSE)</x:f>
        <x:v>17.296790022132885</x:v>
      </x:c>
      <x:c r="M554" s="37" t="n">
        <x:f>1+Assumptions!$B$13*Assumptions!$B$14*Assumptions!$B$15</x:f>
        <x:v>1.31875</x:v>
      </x:c>
      <x:c r="N554" s="37" t="n">
        <x:f>IF(B554="Pensioner",1,1/(1+Assumptions!$B$6)^G554)</x:f>
        <x:v>0.8278490918029799</x:v>
      </x:c>
      <x:c r="O554" s="50" t="n">
        <x:f>J554*K554*L554*M554*N554</x:f>
        <x:v>3625270.63379568</x:v>
      </x:c>
    </x:row>
    <x:row r="555">
      <x:c r="A555" s="42" t="str">
        <x:f>Members!A555</x:f>
        <x:v>A0177</x:v>
      </x:c>
      <x:c r="B555" s="42" t="str">
        <x:f>Members!B555</x:f>
        <x:v>Active</x:v>
      </x:c>
      <x:c r="C555" s="42" t="n">
        <x:f>Members!C555</x:f>
        <x:v>55</x:v>
      </x:c>
      <x:c r="D555" s="44" t="n">
        <x:f>Members!D555</x:f>
        <x:v>6.1</x:v>
      </x:c>
      <x:c r="E555" s="48" t="n">
        <x:f>Members!E555</x:f>
        <x:v>2079000</x:v>
      </x:c>
      <x:c r="F555" s="48" t="n">
        <x:f>Members!F555</x:f>
        <x:v>0</x:v>
      </x:c>
      <x:c r="G555" s="46" t="n">
        <x:f>MAX(0,Assumptions!$B$10-C555)</x:f>
        <x:v>5</x:v>
      </x:c>
      <x:c r="H555" s="50" t="n">
        <x:f>IF(B555="Active",E555*(1+Assumptions!$B$7)^G555,E555)</x:f>
        <x:v>2717169.85332509</x:v>
      </x:c>
      <x:c r="I555" s="50" t="n">
        <x:f>IF(B555="Active",MIN(Assumptions!$B$12,D555+G555),IF(B555="Deferred",MIN(Assumptions!$B$12,D555),D555))</x:f>
        <x:v>11.1</x:v>
      </x:c>
      <x:c r="J555" s="50" t="n">
        <x:f>IF(B555="Active",H555*I555*Assumptions!$B$11,IF(B555="Deferred",E555*I555*Assumptions!$B$11*(1+Assumptions!$B$9)^G555,F555))</x:f>
        <x:v>502676.4228651416</x:v>
      </x:c>
      <x:c r="K555" s="37" t="n">
        <x:f>IF(B555="Pensioner",1,VLOOKUP(Assumptions!$B$10,Mortality!$A$2:$F$104,6,FALSE)/VLOOKUP(C555,Mortality!$A$2:$F$104,6,FALSE))</x:f>
        <x:v>0.9882419087499175</x:v>
      </x:c>
      <x:c r="L555" s="37" t="n">
        <x:f>VLOOKUP(IF(B555="Pensioner",C555,Assumptions!$B$10),Mortality!$A$2:$E$104,5,FALSE)</x:f>
        <x:v>17.296790022132885</x:v>
      </x:c>
      <x:c r="M555" s="37" t="n">
        <x:f>1+Assumptions!$B$13*Assumptions!$B$14*Assumptions!$B$15</x:f>
        <x:v>1.31875</x:v>
      </x:c>
      <x:c r="N555" s="37" t="n">
        <x:f>IF(B555="Pensioner",1,1/(1+Assumptions!$B$6)^G555)</x:f>
        <x:v>0.7298808365209549</x:v>
      </x:c>
      <x:c r="O555" s="50" t="n">
        <x:f>J555*K555*L555*M555*N555</x:f>
        <x:v>8270499.317600004</x:v>
      </x:c>
    </x:row>
    <x:row r="556">
      <x:c r="A556" s="42" t="str">
        <x:f>Members!A556</x:f>
        <x:v>P0134</x:v>
      </x:c>
      <x:c r="B556" s="42" t="str">
        <x:f>Members!B556</x:f>
        <x:v>Pensioner</x:v>
      </x:c>
      <x:c r="C556" s="42" t="n">
        <x:f>Members!C556</x:f>
        <x:v>88</x:v>
      </x:c>
      <x:c r="D556" s="44" t="n">
        <x:f>Members!D556</x:f>
        <x:v>21.5</x:v>
      </x:c>
      <x:c r="E556" s="48" t="n">
        <x:f>Members!E556</x:f>
        <x:v>0</x:v>
      </x:c>
      <x:c r="F556" s="48" t="n">
        <x:f>Members!F556</x:f>
        <x:v>555000</x:v>
      </x:c>
      <x:c r="G556" s="46" t="n">
        <x:f>MAX(0,Assumptions!$B$10-C556)</x:f>
        <x:v>0</x:v>
      </x:c>
      <x:c r="H556" s="50" t="n">
        <x:f>IF(B556="Active",E556*(1+Assumptions!$B$7)^G556,E556)</x:f>
        <x:v>0</x:v>
      </x:c>
      <x:c r="I556" s="50" t="n">
        <x:f>IF(B556="Active",MIN(Assumptions!$B$12,D556+G556),IF(B556="Deferred",MIN(Assumptions!$B$12,D556),D556))</x:f>
        <x:v>21.5</x:v>
      </x:c>
      <x:c r="J556" s="50" t="n">
        <x:f>IF(B556="Active",H556*I556*Assumptions!$B$11,IF(B556="Deferred",E556*I556*Assumptions!$B$11*(1+Assumptions!$B$9)^G556,F556))</x:f>
        <x:v>555000</x:v>
      </x:c>
      <x:c r="K556" s="37" t="n">
        <x:f>IF(B556="Pensioner",1,VLOOKUP(Assumptions!$B$10,Mortality!$A$2:$F$104,6,FALSE)/VLOOKUP(C556,Mortality!$A$2:$F$104,6,FALSE))</x:f>
        <x:v>1</x:v>
      </x:c>
      <x:c r="L556" s="37" t="n">
        <x:f>VLOOKUP(IF(B556="Pensioner",C556,Assumptions!$B$10),Mortality!$A$2:$E$104,5,FALSE)</x:f>
        <x:v>5.043742896221734</x:v>
      </x:c>
      <x:c r="M556" s="37" t="n">
        <x:f>1+Assumptions!$B$13*Assumptions!$B$14*Assumptions!$B$15</x:f>
        <x:v>1.31875</x:v>
      </x:c>
      <x:c r="N556" s="37" t="n">
        <x:f>IF(B556="Pensioner",1,1/(1+Assumptions!$B$6)^G556)</x:f>
        <x:v>1</x:v>
      </x:c>
      <x:c r="O556" s="50" t="n">
        <x:f>J556*K556*L556*M556*N556</x:f>
        <x:v>3691546.9491377887</x:v>
      </x:c>
    </x:row>
    <x:row r="557">
      <x:c r="A557" s="42" t="str">
        <x:f>Members!A557</x:f>
        <x:v>A0169</x:v>
      </x:c>
      <x:c r="B557" s="42" t="str">
        <x:f>Members!B557</x:f>
        <x:v>Active</x:v>
      </x:c>
      <x:c r="C557" s="42" t="n">
        <x:f>Members!C557</x:f>
        <x:v>57</x:v>
      </x:c>
      <x:c r="D557" s="44" t="n">
        <x:f>Members!D557</x:f>
        <x:v>2.5</x:v>
      </x:c>
      <x:c r="E557" s="48" t="n">
        <x:f>Members!E557</x:f>
        <x:v>1858000</x:v>
      </x:c>
      <x:c r="F557" s="48" t="n">
        <x:f>Members!F557</x:f>
        <x:v>0</x:v>
      </x:c>
      <x:c r="G557" s="46" t="n">
        <x:f>MAX(0,Assumptions!$B$10-C557)</x:f>
        <x:v>3</x:v>
      </x:c>
      <x:c r="H557" s="50" t="n">
        <x:f>IF(B557="Active",E557*(1+Assumptions!$B$7)^G557,E557)</x:f>
        <x:v>2181740.4747499996</x:v>
      </x:c>
      <x:c r="I557" s="50" t="n">
        <x:f>IF(B557="Active",MIN(Assumptions!$B$12,D557+G557),IF(B557="Deferred",MIN(Assumptions!$B$12,D557),D557))</x:f>
        <x:v>5.5</x:v>
      </x:c>
      <x:c r="J557" s="50" t="n">
        <x:f>IF(B557="Active",H557*I557*Assumptions!$B$11,IF(B557="Deferred",E557*I557*Assumptions!$B$11*(1+Assumptions!$B$9)^G557,F557))</x:f>
        <x:v>199992.8768520833</x:v>
      </x:c>
      <x:c r="K557" s="37" t="n">
        <x:f>IF(B557="Pensioner",1,VLOOKUP(Assumptions!$B$10,Mortality!$A$2:$F$104,6,FALSE)/VLOOKUP(C557,Mortality!$A$2:$F$104,6,FALSE))</x:f>
        <x:v>0.9922003892921417</x:v>
      </x:c>
      <x:c r="L557" s="37" t="n">
        <x:f>VLOOKUP(IF(B557="Pensioner",C557,Assumptions!$B$10),Mortality!$A$2:$E$104,5,FALSE)</x:f>
        <x:v>17.296790022132885</x:v>
      </x:c>
      <x:c r="M557" s="37" t="n">
        <x:f>1+Assumptions!$B$13*Assumptions!$B$14*Assumptions!$B$15</x:f>
        <x:v>1.31875</x:v>
      </x:c>
      <x:c r="N557" s="37" t="n">
        <x:f>IF(B557="Pensioner",1,1/(1+Assumptions!$B$6)^G557)</x:f>
        <x:v>0.8278490918029799</x:v>
      </x:c>
      <x:c r="O557" s="50" t="n">
        <x:f>J557*K557*L557*M557*N557</x:f>
        <x:v>3747081.017797271</x:v>
      </x:c>
    </x:row>
    <x:row r="558">
      <x:c r="A558" s="42" t="str">
        <x:f>Members!A558</x:f>
        <x:v>A0245</x:v>
      </x:c>
      <x:c r="B558" s="42" t="str">
        <x:f>Members!B558</x:f>
        <x:v>Active</x:v>
      </x:c>
      <x:c r="C558" s="42" t="n">
        <x:f>Members!C558</x:f>
        <x:v>57</x:v>
      </x:c>
      <x:c r="D558" s="44" t="n">
        <x:f>Members!D558</x:f>
        <x:v>9.2</x:v>
      </x:c>
      <x:c r="E558" s="48" t="n">
        <x:f>Members!E558</x:f>
        <x:v>2052000</x:v>
      </x:c>
      <x:c r="F558" s="48" t="n">
        <x:f>Members!F558</x:f>
        <x:v>0</x:v>
      </x:c>
      <x:c r="G558" s="46" t="n">
        <x:f>MAX(0,Assumptions!$B$10-C558)</x:f>
        <x:v>3</x:v>
      </x:c>
      <x:c r="H558" s="50" t="n">
        <x:f>IF(B558="Active",E558*(1+Assumptions!$B$7)^G558,E558)</x:f>
        <x:v>2409543.3014999996</x:v>
      </x:c>
      <x:c r="I558" s="50" t="n">
        <x:f>IF(B558="Active",MIN(Assumptions!$B$12,D558+G558),IF(B558="Deferred",MIN(Assumptions!$B$12,D558),D558))</x:f>
        <x:v>12.2</x:v>
      </x:c>
      <x:c r="J558" s="50" t="n">
        <x:f>IF(B558="Active",H558*I558*Assumptions!$B$11,IF(B558="Deferred",E558*I558*Assumptions!$B$11*(1+Assumptions!$B$9)^G558,F558))</x:f>
        <x:v>489940.4713049999</x:v>
      </x:c>
      <x:c r="K558" s="37" t="n">
        <x:f>IF(B558="Pensioner",1,VLOOKUP(Assumptions!$B$10,Mortality!$A$2:$F$104,6,FALSE)/VLOOKUP(C558,Mortality!$A$2:$F$104,6,FALSE))</x:f>
        <x:v>0.9922003892921417</x:v>
      </x:c>
      <x:c r="L558" s="37" t="n">
        <x:f>VLOOKUP(IF(B558="Pensioner",C558,Assumptions!$B$10),Mortality!$A$2:$E$104,5,FALSE)</x:f>
        <x:v>17.296790022132885</x:v>
      </x:c>
      <x:c r="M558" s="37" t="n">
        <x:f>1+Assumptions!$B$13*Assumptions!$B$14*Assumptions!$B$15</x:f>
        <x:v>1.31875</x:v>
      </x:c>
      <x:c r="N558" s="37" t="n">
        <x:f>IF(B558="Pensioner",1,1/(1+Assumptions!$B$6)^G558)</x:f>
        <x:v>0.8278490918029799</x:v>
      </x:c>
      <x:c r="O558" s="50" t="n">
        <x:f>J558*K558*L558*M558*N558</x:f>
        <x:v>9179560.136211367</x:v>
      </x:c>
    </x:row>
    <x:row r="559">
      <x:c r="A559" s="42" t="str">
        <x:f>Members!A559</x:f>
        <x:v>P0190</x:v>
      </x:c>
      <x:c r="B559" s="42" t="str">
        <x:f>Members!B559</x:f>
        <x:v>Pensioner</x:v>
      </x:c>
      <x:c r="C559" s="42" t="n">
        <x:f>Members!C559</x:f>
        <x:v>74</x:v>
      </x:c>
      <x:c r="D559" s="44" t="n">
        <x:f>Members!D559</x:f>
        <x:v>31.4</x:v>
      </x:c>
      <x:c r="E559" s="48" t="n">
        <x:f>Members!E559</x:f>
        <x:v>0</x:v>
      </x:c>
      <x:c r="F559" s="48" t="n">
        <x:f>Members!F559</x:f>
        <x:v>444000</x:v>
      </x:c>
      <x:c r="G559" s="46" t="n">
        <x:f>MAX(0,Assumptions!$B$10-C559)</x:f>
        <x:v>0</x:v>
      </x:c>
      <x:c r="H559" s="50" t="n">
        <x:f>IF(B559="Active",E559*(1+Assumptions!$B$7)^G559,E559)</x:f>
        <x:v>0</x:v>
      </x:c>
      <x:c r="I559" s="50" t="n">
        <x:f>IF(B559="Active",MIN(Assumptions!$B$12,D559+G559),IF(B559="Deferred",MIN(Assumptions!$B$12,D559),D559))</x:f>
        <x:v>31.4</x:v>
      </x:c>
      <x:c r="J559" s="50" t="n">
        <x:f>IF(B559="Active",H559*I559*Assumptions!$B$11,IF(B559="Deferred",E559*I559*Assumptions!$B$11*(1+Assumptions!$B$9)^G559,F559))</x:f>
        <x:v>444000</x:v>
      </x:c>
      <x:c r="K559" s="37" t="n">
        <x:f>IF(B559="Pensioner",1,VLOOKUP(Assumptions!$B$10,Mortality!$A$2:$F$104,6,FALSE)/VLOOKUP(C559,Mortality!$A$2:$F$104,6,FALSE))</x:f>
        <x:v>1</x:v>
      </x:c>
      <x:c r="L559" s="37" t="n">
        <x:f>VLOOKUP(IF(B559="Pensioner",C559,Assumptions!$B$10),Mortality!$A$2:$E$104,5,FALSE)</x:f>
        <x:v>11.124346929912107</x:v>
      </x:c>
      <x:c r="M559" s="37" t="n">
        <x:f>1+Assumptions!$B$13*Assumptions!$B$14*Assumptions!$B$15</x:f>
        <x:v>1.31875</x:v>
      </x:c>
      <x:c r="N559" s="37" t="n">
        <x:f>IF(B559="Pensioner",1,1/(1+Assumptions!$B$6)^G559)</x:f>
        <x:v>1</x:v>
      </x:c>
      <x:c r="O559" s="50" t="n">
        <x:f>J559*K559*L559*M559*N559</x:f>
        <x:v>6513583.236136787</x:v>
      </x:c>
    </x:row>
    <x:row r="560">
      <x:c r="A560" s="42" t="str">
        <x:f>Members!A560</x:f>
        <x:v>D0121</x:v>
      </x:c>
      <x:c r="B560" s="42" t="str">
        <x:f>Members!B560</x:f>
        <x:v>Deferred</x:v>
      </x:c>
      <x:c r="C560" s="42" t="n">
        <x:f>Members!C560</x:f>
        <x:v>50</x:v>
      </x:c>
      <x:c r="D560" s="44" t="n">
        <x:f>Members!D560</x:f>
        <x:v>9.3</x:v>
      </x:c>
      <x:c r="E560" s="48" t="n">
        <x:f>Members!E560</x:f>
        <x:v>986000</x:v>
      </x:c>
      <x:c r="F560" s="48" t="n">
        <x:f>Members!F560</x:f>
        <x:v>0</x:v>
      </x:c>
      <x:c r="G560" s="46" t="n">
        <x:f>MAX(0,Assumptions!$B$10-C560)</x:f>
        <x:v>10</x:v>
      </x:c>
      <x:c r="H560" s="50" t="n">
        <x:f>IF(B560="Active",E560*(1+Assumptions!$B$7)^G560,E560)</x:f>
        <x:v>986000</x:v>
      </x:c>
      <x:c r="I560" s="50" t="n">
        <x:f>IF(B560="Active",MIN(Assumptions!$B$12,D560+G560),IF(B560="Deferred",MIN(Assumptions!$B$12,D560),D560))</x:f>
        <x:v>9.3</x:v>
      </x:c>
      <x:c r="J560" s="50" t="n">
        <x:f>IF(B560="Active",H560*I560*Assumptions!$B$11,IF(B560="Deferred",E560*I560*Assumptions!$B$11*(1+Assumptions!$B$9)^G560,F560))</x:f>
        <x:v>226225.7340640706</x:v>
      </x:c>
      <x:c r="K560" s="37" t="n">
        <x:f>IF(B560="Pensioner",1,VLOOKUP(Assumptions!$B$10,Mortality!$A$2:$F$104,6,FALSE)/VLOOKUP(C560,Mortality!$A$2:$F$104,6,FALSE))</x:f>
        <x:v>0.9812729933582415</x:v>
      </x:c>
      <x:c r="L560" s="37" t="n">
        <x:f>VLOOKUP(IF(B560="Pensioner",C560,Assumptions!$B$10),Mortality!$A$2:$E$104,5,FALSE)</x:f>
        <x:v>17.296790022132885</x:v>
      </x:c>
      <x:c r="M560" s="37" t="n">
        <x:f>1+Assumptions!$B$13*Assumptions!$B$14*Assumptions!$B$15</x:f>
        <x:v>1.31875</x:v>
      </x:c>
      <x:c r="N560" s="37" t="n">
        <x:f>IF(B560="Pensioner",1,1/(1+Assumptions!$B$6)^G560)</x:f>
        <x:v>0.5327260355205289</x:v>
      </x:c>
      <x:c r="O560" s="50" t="n">
        <x:f>J560*K560*L560*M560*N560</x:f>
        <x:v>2697514.330680397</x:v>
      </x:c>
    </x:row>
    <x:row r="561">
      <x:c r="A561" s="42" t="str">
        <x:f>Members!A561</x:f>
        <x:v>A0515</x:v>
      </x:c>
      <x:c r="B561" s="42" t="str">
        <x:f>Members!B561</x:f>
        <x:v>Active</x:v>
      </x:c>
      <x:c r="C561" s="42" t="n">
        <x:f>Members!C561</x:f>
        <x:v>55</x:v>
      </x:c>
      <x:c r="D561" s="44" t="n">
        <x:f>Members!D561</x:f>
        <x:v>14.2</x:v>
      </x:c>
      <x:c r="E561" s="48" t="n">
        <x:f>Members!E561</x:f>
        <x:v>1475000</x:v>
      </x:c>
      <x:c r="F561" s="48" t="n">
        <x:f>Members!F561</x:f>
        <x:v>0</x:v>
      </x:c>
      <x:c r="G561" s="46" t="n">
        <x:f>MAX(0,Assumptions!$B$10-C561)</x:f>
        <x:v>5</x:v>
      </x:c>
      <x:c r="H561" s="50" t="n">
        <x:f>IF(B561="Active",E561*(1+Assumptions!$B$7)^G561,E561)</x:f>
        <x:v>1927766.0094538277</x:v>
      </x:c>
      <x:c r="I561" s="50" t="n">
        <x:f>IF(B561="Active",MIN(Assumptions!$B$12,D561+G561),IF(B561="Deferred",MIN(Assumptions!$B$12,D561),D561))</x:f>
        <x:v>19.2</x:v>
      </x:c>
      <x:c r="J561" s="50" t="n">
        <x:f>IF(B561="Active",H561*I561*Assumptions!$B$11,IF(B561="Deferred",E561*I561*Assumptions!$B$11*(1+Assumptions!$B$9)^G561,F561))</x:f>
        <x:v>616885.1230252249</x:v>
      </x:c>
      <x:c r="K561" s="37" t="n">
        <x:f>IF(B561="Pensioner",1,VLOOKUP(Assumptions!$B$10,Mortality!$A$2:$F$104,6,FALSE)/VLOOKUP(C561,Mortality!$A$2:$F$104,6,FALSE))</x:f>
        <x:v>0.9882419087499175</x:v>
      </x:c>
      <x:c r="L561" s="37" t="n">
        <x:f>VLOOKUP(IF(B561="Pensioner",C561,Assumptions!$B$10),Mortality!$A$2:$E$104,5,FALSE)</x:f>
        <x:v>17.296790022132885</x:v>
      </x:c>
      <x:c r="M561" s="37" t="n">
        <x:f>1+Assumptions!$B$13*Assumptions!$B$14*Assumptions!$B$15</x:f>
        <x:v>1.31875</x:v>
      </x:c>
      <x:c r="N561" s="37" t="n">
        <x:f>IF(B561="Pensioner",1,1/(1+Assumptions!$B$6)^G561)</x:f>
        <x:v>0.7298808365209549</x:v>
      </x:c>
      <x:c r="O561" s="50" t="n">
        <x:f>J561*K561*L561*M561*N561</x:f>
        <x:v>10149566.91212564</x:v>
      </x:c>
    </x:row>
    <x:row r="562">
      <x:c r="A562" s="42" t="str">
        <x:f>Members!A562</x:f>
        <x:v>D0004</x:v>
      </x:c>
      <x:c r="B562" s="42" t="str">
        <x:f>Members!B562</x:f>
        <x:v>Deferred</x:v>
      </x:c>
      <x:c r="C562" s="42" t="n">
        <x:f>Members!C562</x:f>
        <x:v>41</x:v>
      </x:c>
      <x:c r="D562" s="44" t="n">
        <x:f>Members!D562</x:f>
        <x:v>10.8</x:v>
      </x:c>
      <x:c r="E562" s="48" t="n">
        <x:f>Members!E562</x:f>
        <x:v>782000</x:v>
      </x:c>
      <x:c r="F562" s="48" t="n">
        <x:f>Members!F562</x:f>
        <x:v>0</x:v>
      </x:c>
      <x:c r="G562" s="46" t="n">
        <x:f>MAX(0,Assumptions!$B$10-C562)</x:f>
        <x:v>19</x:v>
      </x:c>
      <x:c r="H562" s="50" t="n">
        <x:f>IF(B562="Active",E562*(1+Assumptions!$B$7)^G562,E562)</x:f>
        <x:v>782000</x:v>
      </x:c>
      <x:c r="I562" s="50" t="n">
        <x:f>IF(B562="Active",MIN(Assumptions!$B$12,D562+G562),IF(B562="Deferred",MIN(Assumptions!$B$12,D562),D562))</x:f>
        <x:v>10.8</x:v>
      </x:c>
      <x:c r="J562" s="50" t="n">
        <x:f>IF(B562="Active",H562*I562*Assumptions!$B$11,IF(B562="Deferred",E562*I562*Assumptions!$B$11*(1+Assumptions!$B$9)^G562,F562))</x:f>
        <x:v>296560.09001286956</x:v>
      </x:c>
      <x:c r="K562" s="37" t="n">
        <x:f>IF(B562="Pensioner",1,VLOOKUP(Assumptions!$B$10,Mortality!$A$2:$F$104,6,FALSE)/VLOOKUP(C562,Mortality!$A$2:$F$104,6,FALSE))</x:f>
        <x:v>0.9745478954079534</x:v>
      </x:c>
      <x:c r="L562" s="37" t="n">
        <x:f>VLOOKUP(IF(B562="Pensioner",C562,Assumptions!$B$10),Mortality!$A$2:$E$104,5,FALSE)</x:f>
        <x:v>17.296790022132885</x:v>
      </x:c>
      <x:c r="M562" s="37" t="n">
        <x:f>1+Assumptions!$B$13*Assumptions!$B$14*Assumptions!$B$15</x:f>
        <x:v>1.31875</x:v>
      </x:c>
      <x:c r="N562" s="37" t="n">
        <x:f>IF(B562="Pensioner",1,1/(1+Assumptions!$B$6)^G562)</x:f>
        <x:v>0.30224383580131214</x:v>
      </x:c>
      <x:c r="O562" s="50" t="n">
        <x:f>J562*K562*L562*M562*N562</x:f>
        <x:v>1992513.7677617997</x:v>
      </x:c>
    </x:row>
    <x:row r="563">
      <x:c r="A563" s="42" t="str">
        <x:f>Members!A563</x:f>
        <x:v>A0353</x:v>
      </x:c>
      <x:c r="B563" s="42" t="str">
        <x:f>Members!B563</x:f>
        <x:v>Active</x:v>
      </x:c>
      <x:c r="C563" s="42" t="n">
        <x:f>Members!C563</x:f>
        <x:v>34</x:v>
      </x:c>
      <x:c r="D563" s="44" t="n">
        <x:f>Members!D563</x:f>
        <x:v>5.5</x:v>
      </x:c>
      <x:c r="E563" s="48" t="n">
        <x:f>Members!E563</x:f>
        <x:v>702000</x:v>
      </x:c>
      <x:c r="F563" s="48" t="n">
        <x:f>Members!F563</x:f>
        <x:v>0</x:v>
      </x:c>
      <x:c r="G563" s="46" t="n">
        <x:f>MAX(0,Assumptions!$B$10-C563)</x:f>
        <x:v>26</x:v>
      </x:c>
      <x:c r="H563" s="50" t="n">
        <x:f>IF(B563="Active",E563*(1+Assumptions!$B$7)^G563,E563)</x:f>
        <x:v>2824236.507312141</x:v>
      </x:c>
      <x:c r="I563" s="50" t="n">
        <x:f>IF(B563="Active",MIN(Assumptions!$B$12,D563+G563),IF(B563="Deferred",MIN(Assumptions!$B$12,D563),D563))</x:f>
        <x:v>31.5</x:v>
      </x:c>
      <x:c r="J563" s="50" t="n">
        <x:f>IF(B563="Active",H563*I563*Assumptions!$B$11,IF(B563="Deferred",E563*I563*Assumptions!$B$11*(1+Assumptions!$B$9)^G563,F563))</x:f>
        <x:v>1482724.1663388738</x:v>
      </x:c>
      <x:c r="K563" s="37" t="n">
        <x:f>IF(B563="Pensioner",1,VLOOKUP(Assumptions!$B$10,Mortality!$A$2:$F$104,6,FALSE)/VLOOKUP(C563,Mortality!$A$2:$F$104,6,FALSE))</x:f>
        <x:v>0.9716205819233391</x:v>
      </x:c>
      <x:c r="L563" s="37" t="n">
        <x:f>VLOOKUP(IF(B563="Pensioner",C563,Assumptions!$B$10),Mortality!$A$2:$E$104,5,FALSE)</x:f>
        <x:v>17.296790022132885</x:v>
      </x:c>
      <x:c r="M563" s="37" t="n">
        <x:f>1+Assumptions!$B$13*Assumptions!$B$14*Assumptions!$B$15</x:f>
        <x:v>1.31875</x:v>
      </x:c>
      <x:c r="N563" s="37" t="n">
        <x:f>IF(B563="Pensioner",1,1/(1+Assumptions!$B$6)^G563)</x:f>
        <x:v>0.19449578673364096</x:v>
      </x:c>
      <x:c r="O563" s="50" t="n">
        <x:f>J563*K563*L563*M563*N563</x:f>
        <x:v>6391389.070685707</x:v>
      </x:c>
    </x:row>
    <x:row r="564">
      <x:c r="A564" s="42" t="str">
        <x:f>Members!A564</x:f>
        <x:v>A0206</x:v>
      </x:c>
      <x:c r="B564" s="42" t="str">
        <x:f>Members!B564</x:f>
        <x:v>Active</x:v>
      </x:c>
      <x:c r="C564" s="42" t="n">
        <x:f>Members!C564</x:f>
        <x:v>25</x:v>
      </x:c>
      <x:c r="D564" s="44" t="n">
        <x:f>Members!D564</x:f>
        <x:v>1</x:v>
      </x:c>
      <x:c r="E564" s="48" t="n">
        <x:f>Members!E564</x:f>
        <x:v>538000</x:v>
      </x:c>
      <x:c r="F564" s="48" t="n">
        <x:f>Members!F564</x:f>
        <x:v>0</x:v>
      </x:c>
      <x:c r="G564" s="46" t="n">
        <x:f>MAX(0,Assumptions!$B$10-C564)</x:f>
        <x:v>35</x:v>
      </x:c>
      <x:c r="H564" s="50" t="n">
        <x:f>IF(B564="Active",E564*(1+Assumptions!$B$7)^G564,E564)</x:f>
        <x:v>3504437.8542097523</x:v>
      </x:c>
      <x:c r="I564" s="50" t="n">
        <x:f>IF(B564="Active",MIN(Assumptions!$B$12,D564+G564),IF(B564="Deferred",MIN(Assumptions!$B$12,D564),D564))</x:f>
        <x:v>36</x:v>
      </x:c>
      <x:c r="J564" s="50" t="n">
        <x:f>IF(B564="Active",H564*I564*Assumptions!$B$11,IF(B564="Deferred",E564*I564*Assumptions!$B$11*(1+Assumptions!$B$9)^G564,F564))</x:f>
        <x:v>2102662.712525851</x:v>
      </x:c>
      <x:c r="K564" s="37" t="n">
        <x:f>IF(B564="Pensioner",1,VLOOKUP(Assumptions!$B$10,Mortality!$A$2:$F$104,6,FALSE)/VLOOKUP(C564,Mortality!$A$2:$F$104,6,FALSE))</x:f>
        <x:v>0.9689672976041144</x:v>
      </x:c>
      <x:c r="L564" s="37" t="n">
        <x:f>VLOOKUP(IF(B564="Pensioner",C564,Assumptions!$B$10),Mortality!$A$2:$E$104,5,FALSE)</x:f>
        <x:v>17.296790022132885</x:v>
      </x:c>
      <x:c r="M564" s="37" t="n">
        <x:f>1+Assumptions!$B$13*Assumptions!$B$14*Assumptions!$B$15</x:f>
        <x:v>1.31875</x:v>
      </x:c>
      <x:c r="N564" s="37" t="n">
        <x:f>IF(B564="Pensioner",1,1/(1+Assumptions!$B$6)^G564)</x:f>
        <x:v>0.11034781240254267</x:v>
      </x:c>
      <x:c r="O564" s="50" t="n">
        <x:f>J564*K564*L564*M564*N564</x:f>
        <x:v>5128264.857991603</x:v>
      </x:c>
    </x:row>
    <x:row r="565">
      <x:c r="A565" s="42" t="str">
        <x:f>Members!A565</x:f>
        <x:v>A0432</x:v>
      </x:c>
      <x:c r="B565" s="42" t="str">
        <x:f>Members!B565</x:f>
        <x:v>Active</x:v>
      </x:c>
      <x:c r="C565" s="42" t="n">
        <x:f>Members!C565</x:f>
        <x:v>26</x:v>
      </x:c>
      <x:c r="D565" s="44" t="n">
        <x:f>Members!D565</x:f>
        <x:v>4.5</x:v>
      </x:c>
      <x:c r="E565" s="48" t="n">
        <x:f>Members!E565</x:f>
        <x:v>433000</x:v>
      </x:c>
      <x:c r="F565" s="48" t="n">
        <x:f>Members!F565</x:f>
        <x:v>0</x:v>
      </x:c>
      <x:c r="G565" s="46" t="n">
        <x:f>MAX(0,Assumptions!$B$10-C565)</x:f>
        <x:v>34</x:v>
      </x:c>
      <x:c r="H565" s="50" t="n">
        <x:f>IF(B565="Active",E565*(1+Assumptions!$B$7)^G565,E565)</x:f>
        <x:v>2673446.661979286</x:v>
      </x:c>
      <x:c r="I565" s="50" t="n">
        <x:f>IF(B565="Active",MIN(Assumptions!$B$12,D565+G565),IF(B565="Deferred",MIN(Assumptions!$B$12,D565),D565))</x:f>
        <x:v>38.5</x:v>
      </x:c>
      <x:c r="J565" s="50" t="n">
        <x:f>IF(B565="Active",H565*I565*Assumptions!$B$11,IF(B565="Deferred",E565*I565*Assumptions!$B$11*(1+Assumptions!$B$9)^G565,F565))</x:f>
        <x:v>1715461.6081033752</x:v>
      </x:c>
      <x:c r="K565" s="37" t="n">
        <x:f>IF(B565="Pensioner",1,VLOOKUP(Assumptions!$B$10,Mortality!$A$2:$F$104,6,FALSE)/VLOOKUP(C565,Mortality!$A$2:$F$104,6,FALSE))</x:f>
        <x:v>0.9692291629189255</x:v>
      </x:c>
      <x:c r="L565" s="37" t="n">
        <x:f>VLOOKUP(IF(B565="Pensioner",C565,Assumptions!$B$10),Mortality!$A$2:$E$104,5,FALSE)</x:f>
        <x:v>17.296790022132885</x:v>
      </x:c>
      <x:c r="M565" s="37" t="n">
        <x:f>1+Assumptions!$B$13*Assumptions!$B$14*Assumptions!$B$15</x:f>
        <x:v>1.31875</x:v>
      </x:c>
      <x:c r="N565" s="37" t="n">
        <x:f>IF(B565="Pensioner",1,1/(1+Assumptions!$B$6)^G565)</x:f>
        <x:v>0.11752042020870793</x:v>
      </x:c>
      <x:c r="O565" s="50" t="n">
        <x:f>J565*K565*L565*M565*N565</x:f>
        <x:v>4457063.254452617</x:v>
      </x:c>
    </x:row>
    <x:row r="566">
      <x:c r="A566" s="42" t="str">
        <x:f>Members!A566</x:f>
        <x:v>D0008</x:v>
      </x:c>
      <x:c r="B566" s="42" t="str">
        <x:f>Members!B566</x:f>
        <x:v>Deferred</x:v>
      </x:c>
      <x:c r="C566" s="42" t="n">
        <x:f>Members!C566</x:f>
        <x:v>35</x:v>
      </x:c>
      <x:c r="D566" s="44" t="n">
        <x:f>Members!D566</x:f>
        <x:v>4.2</x:v>
      </x:c>
      <x:c r="E566" s="48" t="n">
        <x:f>Members!E566</x:f>
        <x:v>490000</x:v>
      </x:c>
      <x:c r="F566" s="48" t="n">
        <x:f>Members!F566</x:f>
        <x:v>0</x:v>
      </x:c>
      <x:c r="G566" s="46" t="n">
        <x:f>MAX(0,Assumptions!$B$10-C566)</x:f>
        <x:v>25</x:v>
      </x:c>
      <x:c r="H566" s="50" t="n">
        <x:f>IF(B566="Active",E566*(1+Assumptions!$B$7)^G566,E566)</x:f>
        <x:v>490000</x:v>
      </x:c>
      <x:c r="I566" s="50" t="n">
        <x:f>IF(B566="Active",MIN(Assumptions!$B$12,D566+G566),IF(B566="Deferred",MIN(Assumptions!$B$12,D566),D566))</x:f>
        <x:v>4.2</x:v>
      </x:c>
      <x:c r="J566" s="50" t="n">
        <x:f>IF(B566="Active",H566*I566*Assumptions!$B$11,IF(B566="Deferred",E566*I566*Assumptions!$B$11*(1+Assumptions!$B$9)^G566,F566))</x:f>
        <x:v>91438.18617001863</x:v>
      </x:c>
      <x:c r="K566" s="37" t="n">
        <x:f>IF(B566="Pensioner",1,VLOOKUP(Assumptions!$B$10,Mortality!$A$2:$F$104,6,FALSE)/VLOOKUP(C566,Mortality!$A$2:$F$104,6,FALSE))</x:f>
        <x:v>0.9719740765386753</x:v>
      </x:c>
      <x:c r="L566" s="37" t="n">
        <x:f>VLOOKUP(IF(B566="Pensioner",C566,Assumptions!$B$10),Mortality!$A$2:$E$104,5,FALSE)</x:f>
        <x:v>17.296790022132885</x:v>
      </x:c>
      <x:c r="M566" s="37" t="n">
        <x:f>1+Assumptions!$B$13*Assumptions!$B$14*Assumptions!$B$15</x:f>
        <x:v>1.31875</x:v>
      </x:c>
      <x:c r="N566" s="37" t="n">
        <x:f>IF(B566="Pensioner",1,1/(1+Assumptions!$B$6)^G566)</x:f>
        <x:v>0.20713801287132758</x:v>
      </x:c>
      <x:c r="O566" s="50" t="n">
        <x:f>J566*K566*L566*M566*N566</x:f>
        <x:v>419923.3999365114</x:v>
      </x:c>
    </x:row>
    <x:row r="567">
      <x:c r="A567" s="42" t="str">
        <x:f>Members!A567</x:f>
        <x:v>A0548</x:v>
      </x:c>
      <x:c r="B567" s="42" t="str">
        <x:f>Members!B567</x:f>
        <x:v>Active</x:v>
      </x:c>
      <x:c r="C567" s="42" t="n">
        <x:f>Members!C567</x:f>
        <x:v>33</x:v>
      </x:c>
      <x:c r="D567" s="44" t="n">
        <x:f>Members!D567</x:f>
        <x:v>1.8</x:v>
      </x:c>
      <x:c r="E567" s="48" t="n">
        <x:f>Members!E567</x:f>
        <x:v>706000</x:v>
      </x:c>
      <x:c r="F567" s="48" t="n">
        <x:f>Members!F567</x:f>
        <x:v>0</x:v>
      </x:c>
      <x:c r="G567" s="46" t="n">
        <x:f>MAX(0,Assumptions!$B$10-C567)</x:f>
        <x:v>27</x:v>
      </x:c>
      <x:c r="H567" s="50" t="n">
        <x:f>IF(B567="Active",E567*(1+Assumptions!$B$7)^G567,E567)</x:f>
        <x:v>2996547.1192896035</x:v>
      </x:c>
      <x:c r="I567" s="50" t="n">
        <x:f>IF(B567="Active",MIN(Assumptions!$B$12,D567+G567),IF(B567="Deferred",MIN(Assumptions!$B$12,D567),D567))</x:f>
        <x:v>28.8</x:v>
      </x:c>
      <x:c r="J567" s="50" t="n">
        <x:f>IF(B567="Active",H567*I567*Assumptions!$B$11,IF(B567="Deferred",E567*I567*Assumptions!$B$11*(1+Assumptions!$B$9)^G567,F567))</x:f>
        <x:v>1438342.6172590097</x:v>
      </x:c>
      <x:c r="K567" s="37" t="n">
        <x:f>IF(B567="Pensioner",1,VLOOKUP(Assumptions!$B$10,Mortality!$A$2:$F$104,6,FALSE)/VLOOKUP(C567,Mortality!$A$2:$F$104,6,FALSE))</x:f>
        <x:v>0.9712826176321353</x:v>
      </x:c>
      <x:c r="L567" s="37" t="n">
        <x:f>VLOOKUP(IF(B567="Pensioner",C567,Assumptions!$B$10),Mortality!$A$2:$E$104,5,FALSE)</x:f>
        <x:v>17.296790022132885</x:v>
      </x:c>
      <x:c r="M567" s="37" t="n">
        <x:f>1+Assumptions!$B$13*Assumptions!$B$14*Assumptions!$B$15</x:f>
        <x:v>1.31875</x:v>
      </x:c>
      <x:c r="N567" s="37" t="n">
        <x:f>IF(B567="Pensioner",1,1/(1+Assumptions!$B$6)^G567)</x:f>
        <x:v>0.1826251518625737</x:v>
      </x:c>
      <x:c r="O567" s="50" t="n">
        <x:f>J567*K567*L567*M567*N567</x:f>
        <x:v>5819645.638825464</x:v>
      </x:c>
    </x:row>
    <x:row r="568">
      <x:c r="A568" s="42" t="str">
        <x:f>Members!A568</x:f>
        <x:v>A0429</x:v>
      </x:c>
      <x:c r="B568" s="42" t="str">
        <x:f>Members!B568</x:f>
        <x:v>Active</x:v>
      </x:c>
      <x:c r="C568" s="42" t="n">
        <x:f>Members!C568</x:f>
        <x:v>44</x:v>
      </x:c>
      <x:c r="D568" s="44" t="n">
        <x:f>Members!D568</x:f>
        <x:v>12.7</x:v>
      </x:c>
      <x:c r="E568" s="48" t="n">
        <x:f>Members!E568</x:f>
        <x:v>934000</x:v>
      </x:c>
      <x:c r="F568" s="48" t="n">
        <x:f>Members!F568</x:f>
        <x:v>0</x:v>
      </x:c>
      <x:c r="G568" s="46" t="n">
        <x:f>MAX(0,Assumptions!$B$10-C568)</x:f>
        <x:v>16</x:v>
      </x:c>
      <x:c r="H568" s="50" t="n">
        <x:f>IF(B568="Active",E568*(1+Assumptions!$B$7)^G568,E568)</x:f>
        <x:v>2199815.3611565083</x:v>
      </x:c>
      <x:c r="I568" s="50" t="n">
        <x:f>IF(B568="Active",MIN(Assumptions!$B$12,D568+G568),IF(B568="Deferred",MIN(Assumptions!$B$12,D568),D568))</x:f>
        <x:v>28.7</x:v>
      </x:c>
      <x:c r="J568" s="50" t="n">
        <x:f>IF(B568="Active",H568*I568*Assumptions!$B$11,IF(B568="Deferred",E568*I568*Assumptions!$B$11*(1+Assumptions!$B$9)^G568,F568))</x:f>
        <x:v>1052245.014419863</x:v>
      </x:c>
      <x:c r="K568" s="37" t="n">
        <x:f>IF(B568="Pensioner",1,VLOOKUP(Assumptions!$B$10,Mortality!$A$2:$F$104,6,FALSE)/VLOOKUP(C568,Mortality!$A$2:$F$104,6,FALSE))</x:f>
        <x:v>0.9762682212178733</x:v>
      </x:c>
      <x:c r="L568" s="37" t="n">
        <x:f>VLOOKUP(IF(B568="Pensioner",C568,Assumptions!$B$10),Mortality!$A$2:$E$104,5,FALSE)</x:f>
        <x:v>17.296790022132885</x:v>
      </x:c>
      <x:c r="M568" s="37" t="n">
        <x:f>1+Assumptions!$B$13*Assumptions!$B$14*Assumptions!$B$15</x:f>
        <x:v>1.31875</x:v>
      </x:c>
      <x:c r="N568" s="37" t="n">
        <x:f>IF(B568="Pensioner",1,1/(1+Assumptions!$B$6)^G568)</x:f>
        <x:v>0.3650953281147565</x:v>
      </x:c>
      <x:c r="O568" s="50" t="n">
        <x:f>J568*K568*L568*M568*N568</x:f>
        <x:v>8555005.457115248</x:v>
      </x:c>
    </x:row>
    <x:row r="569">
      <x:c r="A569" s="42" t="str">
        <x:f>Members!A569</x:f>
        <x:v>A0319</x:v>
      </x:c>
      <x:c r="B569" s="42" t="str">
        <x:f>Members!B569</x:f>
        <x:v>Active</x:v>
      </x:c>
      <x:c r="C569" s="42" t="n">
        <x:f>Members!C569</x:f>
        <x:v>53</x:v>
      </x:c>
      <x:c r="D569" s="44" t="n">
        <x:f>Members!D569</x:f>
        <x:v>19.6</x:v>
      </x:c>
      <x:c r="E569" s="48" t="n">
        <x:f>Members!E569</x:f>
        <x:v>1803000</x:v>
      </x:c>
      <x:c r="F569" s="48" t="n">
        <x:f>Members!F569</x:f>
        <x:v>0</x:v>
      </x:c>
      <x:c r="G569" s="46" t="n">
        <x:f>MAX(0,Assumptions!$B$10-C569)</x:f>
        <x:v>7</x:v>
      </x:c>
      <x:c r="H569" s="50" t="n">
        <x:f>IF(B569="Active",E569*(1+Assumptions!$B$7)^G569,E569)</x:f>
        <x:v>2622786.527524231</x:v>
      </x:c>
      <x:c r="I569" s="50" t="n">
        <x:f>IF(B569="Active",MIN(Assumptions!$B$12,D569+G569),IF(B569="Deferred",MIN(Assumptions!$B$12,D569),D569))</x:f>
        <x:v>26.6</x:v>
      </x:c>
      <x:c r="J569" s="50" t="n">
        <x:f>IF(B569="Active",H569*I569*Assumptions!$B$11,IF(B569="Deferred",E569*I569*Assumptions!$B$11*(1+Assumptions!$B$9)^G569,F569))</x:f>
        <x:v>1162768.693869076</x:v>
      </x:c>
      <x:c r="K569" s="37" t="n">
        <x:f>IF(B569="Pensioner",1,VLOOKUP(Assumptions!$B$10,Mortality!$A$2:$F$104,6,FALSE)/VLOOKUP(C569,Mortality!$A$2:$F$104,6,FALSE))</x:f>
        <x:v>0.9850300017431317</x:v>
      </x:c>
      <x:c r="L569" s="37" t="n">
        <x:f>VLOOKUP(IF(B569="Pensioner",C569,Assumptions!$B$10),Mortality!$A$2:$E$104,5,FALSE)</x:f>
        <x:v>17.296790022132885</x:v>
      </x:c>
      <x:c r="M569" s="37" t="n">
        <x:f>1+Assumptions!$B$13*Assumptions!$B$14*Assumptions!$B$15</x:f>
        <x:v>1.31875</x:v>
      </x:c>
      <x:c r="N569" s="37" t="n">
        <x:f>IF(B569="Pensioner",1,1/(1+Assumptions!$B$6)^G569)</x:f>
        <x:v>0.6435062148347594</x:v>
      </x:c>
      <x:c r="O569" s="50" t="n">
        <x:f>J569*K569*L569*M569*N569</x:f>
        <x:v>16812160.21971471</x:v>
      </x:c>
    </x:row>
    <x:row r="570">
      <x:c r="A570" s="42" t="str">
        <x:f>Members!A570</x:f>
        <x:v>A0259</x:v>
      </x:c>
      <x:c r="B570" s="42" t="str">
        <x:f>Members!B570</x:f>
        <x:v>Active</x:v>
      </x:c>
      <x:c r="C570" s="42" t="n">
        <x:f>Members!C570</x:f>
        <x:v>38</x:v>
      </x:c>
      <x:c r="D570" s="44" t="n">
        <x:f>Members!D570</x:f>
        <x:v>9.8</x:v>
      </x:c>
      <x:c r="E570" s="48" t="n">
        <x:f>Members!E570</x:f>
        <x:v>615000</x:v>
      </x:c>
      <x:c r="F570" s="48" t="n">
        <x:f>Members!F570</x:f>
        <x:v>0</x:v>
      </x:c>
      <x:c r="G570" s="46" t="n">
        <x:f>MAX(0,Assumptions!$B$10-C570)</x:f>
        <x:v>22</x:v>
      </x:c>
      <x:c r="H570" s="50" t="n">
        <x:f>IF(B570="Active",E570*(1+Assumptions!$B$7)^G570,E570)</x:f>
        <x:v>1997235.274052464</x:v>
      </x:c>
      <x:c r="I570" s="50" t="n">
        <x:f>IF(B570="Active",MIN(Assumptions!$B$12,D570+G570),IF(B570="Deferred",MIN(Assumptions!$B$12,D570),D570))</x:f>
        <x:v>31.8</x:v>
      </x:c>
      <x:c r="J570" s="50" t="n">
        <x:f>IF(B570="Active",H570*I570*Assumptions!$B$11,IF(B570="Deferred",E570*I570*Assumptions!$B$11*(1+Assumptions!$B$9)^G570,F570))</x:f>
        <x:v>1058534.695247806</x:v>
      </x:c>
      <x:c r="K570" s="37" t="n">
        <x:f>IF(B570="Pensioner",1,VLOOKUP(Assumptions!$B$10,Mortality!$A$2:$F$104,6,FALSE)/VLOOKUP(C570,Mortality!$A$2:$F$104,6,FALSE))</x:f>
        <x:v>0.9731482688168002</x:v>
      </x:c>
      <x:c r="L570" s="37" t="n">
        <x:f>VLOOKUP(IF(B570="Pensioner",C570,Assumptions!$B$10),Mortality!$A$2:$E$104,5,FALSE)</x:f>
        <x:v>17.296790022132885</x:v>
      </x:c>
      <x:c r="M570" s="37" t="n">
        <x:f>1+Assumptions!$B$13*Assumptions!$B$14*Assumptions!$B$15</x:f>
        <x:v>1.31875</x:v>
      </x:c>
      <x:c r="N570" s="37" t="n">
        <x:f>IF(B570="Pensioner",1,1/(1+Assumptions!$B$6)^G570)</x:f>
        <x:v>0.25021228497116527</x:v>
      </x:c>
      <x:c r="O570" s="50" t="n">
        <x:f>J570*K570*L570*M570*N570</x:f>
        <x:v>5879233.73762238</x:v>
      </x:c>
    </x:row>
    <x:row r="571">
      <x:c r="A571" s="42" t="str">
        <x:f>Members!A571</x:f>
        <x:v>A0126</x:v>
      </x:c>
      <x:c r="B571" s="42" t="str">
        <x:f>Members!B571</x:f>
        <x:v>Active</x:v>
      </x:c>
      <x:c r="C571" s="42" t="n">
        <x:f>Members!C571</x:f>
        <x:v>43</x:v>
      </x:c>
      <x:c r="D571" s="44" t="n">
        <x:f>Members!D571</x:f>
        <x:v>7.5</x:v>
      </x:c>
      <x:c r="E571" s="48" t="n">
        <x:f>Members!E571</x:f>
        <x:v>992000</x:v>
      </x:c>
      <x:c r="F571" s="48" t="n">
        <x:f>Members!F571</x:f>
        <x:v>0</x:v>
      </x:c>
      <x:c r="G571" s="46" t="n">
        <x:f>MAX(0,Assumptions!$B$10-C571)</x:f>
        <x:v>17</x:v>
      </x:c>
      <x:c r="H571" s="50" t="n">
        <x:f>IF(B571="Active",E571*(1+Assumptions!$B$7)^G571,E571)</x:f>
        <x:v>2464923.7305909586</x:v>
      </x:c>
      <x:c r="I571" s="50" t="n">
        <x:f>IF(B571="Active",MIN(Assumptions!$B$12,D571+G571),IF(B571="Deferred",MIN(Assumptions!$B$12,D571),D571))</x:f>
        <x:v>24.5</x:v>
      </x:c>
      <x:c r="J571" s="50" t="n">
        <x:f>IF(B571="Active",H571*I571*Assumptions!$B$11,IF(B571="Deferred",E571*I571*Assumptions!$B$11*(1+Assumptions!$B$9)^G571,F571))</x:f>
        <x:v>1006510.5233246414</x:v>
      </x:c>
      <x:c r="K571" s="37" t="n">
        <x:f>IF(B571="Pensioner",1,VLOOKUP(Assumptions!$B$10,Mortality!$A$2:$F$104,6,FALSE)/VLOOKUP(C571,Mortality!$A$2:$F$104,6,FALSE))</x:f>
        <x:v>0.975651758424938</x:v>
      </x:c>
      <x:c r="L571" s="37" t="n">
        <x:f>VLOOKUP(IF(B571="Pensioner",C571,Assumptions!$B$10),Mortality!$A$2:$E$104,5,FALSE)</x:f>
        <x:v>17.296790022132885</x:v>
      </x:c>
      <x:c r="M571" s="37" t="n">
        <x:f>1+Assumptions!$B$13*Assumptions!$B$14*Assumptions!$B$15</x:f>
        <x:v>1.31875</x:v>
      </x:c>
      <x:c r="N571" s="37" t="n">
        <x:f>IF(B571="Pensioner",1,1/(1+Assumptions!$B$6)^G571)</x:f>
        <x:v>0.34281251466174323</x:v>
      </x:c>
      <x:c r="O571" s="50" t="n">
        <x:f>J571*K571*L571*M571*N571</x:f>
        <x:v>7678878.664008609</x:v>
      </x:c>
    </x:row>
    <x:row r="572">
      <x:c r="A572" s="42" t="str">
        <x:f>Members!A572</x:f>
        <x:v>P0164</x:v>
      </x:c>
      <x:c r="B572" s="42" t="str">
        <x:f>Members!B572</x:f>
        <x:v>Pensioner</x:v>
      </x:c>
      <x:c r="C572" s="42" t="n">
        <x:f>Members!C572</x:f>
        <x:v>81</x:v>
      </x:c>
      <x:c r="D572" s="44" t="n">
        <x:f>Members!D572</x:f>
        <x:v>15.6</x:v>
      </x:c>
      <x:c r="E572" s="48" t="n">
        <x:f>Members!E572</x:f>
        <x:v>0</x:v>
      </x:c>
      <x:c r="F572" s="48" t="n">
        <x:f>Members!F572</x:f>
        <x:v>429000</x:v>
      </x:c>
      <x:c r="G572" s="46" t="n">
        <x:f>MAX(0,Assumptions!$B$10-C572)</x:f>
        <x:v>0</x:v>
      </x:c>
      <x:c r="H572" s="50" t="n">
        <x:f>IF(B572="Active",E572*(1+Assumptions!$B$7)^G572,E572)</x:f>
        <x:v>0</x:v>
      </x:c>
      <x:c r="I572" s="50" t="n">
        <x:f>IF(B572="Active",MIN(Assumptions!$B$12,D572+G572),IF(B572="Deferred",MIN(Assumptions!$B$12,D572),D572))</x:f>
        <x:v>15.6</x:v>
      </x:c>
      <x:c r="J572" s="50" t="n">
        <x:f>IF(B572="Active",H572*I572*Assumptions!$B$11,IF(B572="Deferred",E572*I572*Assumptions!$B$11*(1+Assumptions!$B$9)^G572,F572))</x:f>
        <x:v>429000</x:v>
      </x:c>
      <x:c r="K572" s="37" t="n">
        <x:f>IF(B572="Pensioner",1,VLOOKUP(Assumptions!$B$10,Mortality!$A$2:$F$104,6,FALSE)/VLOOKUP(C572,Mortality!$A$2:$F$104,6,FALSE))</x:f>
        <x:v>1</x:v>
      </x:c>
      <x:c r="L572" s="37" t="n">
        <x:f>VLOOKUP(IF(B572="Pensioner",C572,Assumptions!$B$10),Mortality!$A$2:$E$104,5,FALSE)</x:f>
        <x:v>7.936897714048503</x:v>
      </x:c>
      <x:c r="M572" s="37" t="n">
        <x:f>1+Assumptions!$B$13*Assumptions!$B$14*Assumptions!$B$15</x:f>
        <x:v>1.31875</x:v>
      </x:c>
      <x:c r="N572" s="37" t="n">
        <x:f>IF(B572="Pensioner",1,1/(1+Assumptions!$B$6)^G572)</x:f>
        <x:v>1</x:v>
      </x:c>
      <x:c r="O572" s="50" t="n">
        <x:f>J572*K572*L572*M572*N572</x:f>
        <x:v>4490250.276112229</x:v>
      </x:c>
    </x:row>
    <x:row r="573">
      <x:c r="A573" s="42" t="str">
        <x:f>Members!A573</x:f>
        <x:v>A0494</x:v>
      </x:c>
      <x:c r="B573" s="42" t="str">
        <x:f>Members!B573</x:f>
        <x:v>Active</x:v>
      </x:c>
      <x:c r="C573" s="42" t="n">
        <x:f>Members!C573</x:f>
        <x:v>23</x:v>
      </x:c>
      <x:c r="D573" s="44" t="n">
        <x:f>Members!D573</x:f>
        <x:v>2.3</x:v>
      </x:c>
      <x:c r="E573" s="48" t="n">
        <x:f>Members!E573</x:f>
        <x:v>425000</x:v>
      </x:c>
      <x:c r="F573" s="48" t="n">
        <x:f>Members!F573</x:f>
        <x:v>0</x:v>
      </x:c>
      <x:c r="G573" s="46" t="n">
        <x:f>MAX(0,Assumptions!$B$10-C573)</x:f>
        <x:v>37</x:v>
      </x:c>
      <x:c r="H573" s="50" t="n">
        <x:f>IF(B573="Active",E573*(1+Assumptions!$B$7)^G573,E573)</x:f>
        <x:v>3081271.283717043</x:v>
      </x:c>
      <x:c r="I573" s="50" t="n">
        <x:f>IF(B573="Active",MIN(Assumptions!$B$12,D573+G573),IF(B573="Deferred",MIN(Assumptions!$B$12,D573),D573))</x:f>
        <x:v>39.3</x:v>
      </x:c>
      <x:c r="J573" s="50" t="n">
        <x:f>IF(B573="Active",H573*I573*Assumptions!$B$11,IF(B573="Deferred",E573*I573*Assumptions!$B$11*(1+Assumptions!$B$9)^G573,F573))</x:f>
        <x:v>2018232.690834663</x:v>
      </x:c>
      <x:c r="K573" s="37" t="n">
        <x:f>IF(B573="Pensioner",1,VLOOKUP(Assumptions!$B$10,Mortality!$A$2:$F$104,6,FALSE)/VLOOKUP(C573,Mortality!$A$2:$F$104,6,FALSE))</x:f>
        <x:v>0.9684592752197081</x:v>
      </x:c>
      <x:c r="L573" s="37" t="n">
        <x:f>VLOOKUP(IF(B573="Pensioner",C573,Assumptions!$B$10),Mortality!$A$2:$E$104,5,FALSE)</x:f>
        <x:v>17.296790022132885</x:v>
      </x:c>
      <x:c r="M573" s="37" t="n">
        <x:f>1+Assumptions!$B$13*Assumptions!$B$14*Assumptions!$B$15</x:f>
        <x:v>1.31875</x:v>
      </x:c>
      <x:c r="N573" s="37" t="n">
        <x:f>IF(B573="Pensioner",1,1/(1+Assumptions!$B$6)^G573)</x:f>
        <x:v>0.09728917313808341</x:v>
      </x:c>
      <x:c r="O573" s="50" t="n">
        <x:f>J573*K573*L573*M573*N573</x:f>
        <x:v>4337556.027896599</x:v>
      </x:c>
    </x:row>
    <x:row r="574">
      <x:c r="A574" s="42" t="str">
        <x:f>Members!A574</x:f>
        <x:v>A0133</x:v>
      </x:c>
      <x:c r="B574" s="42" t="str">
        <x:f>Members!B574</x:f>
        <x:v>Active</x:v>
      </x:c>
      <x:c r="C574" s="42" t="n">
        <x:f>Members!C574</x:f>
        <x:v>35</x:v>
      </x:c>
      <x:c r="D574" s="44" t="n">
        <x:f>Members!D574</x:f>
        <x:v>11.4</x:v>
      </x:c>
      <x:c r="E574" s="48" t="n">
        <x:f>Members!E574</x:f>
        <x:v>679000</x:v>
      </x:c>
      <x:c r="F574" s="48" t="n">
        <x:f>Members!F574</x:f>
        <x:v>0</x:v>
      </x:c>
      <x:c r="G574" s="46" t="n">
        <x:f>MAX(0,Assumptions!$B$10-C574)</x:f>
        <x:v>25</x:v>
      </x:c>
      <x:c r="H574" s="50" t="n">
        <x:f>IF(B574="Active",E574*(1+Assumptions!$B$7)^G574,E574)</x:f>
        <x:v>2589293.404713606</x:v>
      </x:c>
      <x:c r="I574" s="50" t="n">
        <x:f>IF(B574="Active",MIN(Assumptions!$B$12,D574+G574),IF(B574="Deferred",MIN(Assumptions!$B$12,D574),D574))</x:f>
        <x:v>36.4</x:v>
      </x:c>
      <x:c r="J574" s="50" t="n">
        <x:f>IF(B574="Active",H574*I574*Assumptions!$B$11,IF(B574="Deferred",E574*I574*Assumptions!$B$11*(1+Assumptions!$B$9)^G574,F574))</x:f>
        <x:v>1570837.9988595876</x:v>
      </x:c>
      <x:c r="K574" s="37" t="n">
        <x:f>IF(B574="Pensioner",1,VLOOKUP(Assumptions!$B$10,Mortality!$A$2:$F$104,6,FALSE)/VLOOKUP(C574,Mortality!$A$2:$F$104,6,FALSE))</x:f>
        <x:v>0.9719740765386753</x:v>
      </x:c>
      <x:c r="L574" s="37" t="n">
        <x:f>VLOOKUP(IF(B574="Pensioner",C574,Assumptions!$B$10),Mortality!$A$2:$E$104,5,FALSE)</x:f>
        <x:v>17.296790022132885</x:v>
      </x:c>
      <x:c r="M574" s="37" t="n">
        <x:f>1+Assumptions!$B$13*Assumptions!$B$14*Assumptions!$B$15</x:f>
        <x:v>1.31875</x:v>
      </x:c>
      <x:c r="N574" s="37" t="n">
        <x:f>IF(B574="Pensioner",1,1/(1+Assumptions!$B$6)^G574)</x:f>
        <x:v>0.20713801287132758</x:v>
      </x:c>
      <x:c r="O574" s="50" t="n">
        <x:f>J574*K574*L574*M574*N574</x:f>
        <x:v>7213962.359271605</x:v>
      </x:c>
    </x:row>
    <x:row r="575">
      <x:c r="A575" s="42" t="str">
        <x:f>Members!A575</x:f>
        <x:v>A0189</x:v>
      </x:c>
      <x:c r="B575" s="42" t="str">
        <x:f>Members!B575</x:f>
        <x:v>Active</x:v>
      </x:c>
      <x:c r="C575" s="42" t="n">
        <x:f>Members!C575</x:f>
        <x:v>57</x:v>
      </x:c>
      <x:c r="D575" s="44" t="n">
        <x:f>Members!D575</x:f>
        <x:v>19.1</x:v>
      </x:c>
      <x:c r="E575" s="48" t="n">
        <x:f>Members!E575</x:f>
        <x:v>1378000</x:v>
      </x:c>
      <x:c r="F575" s="48" t="n">
        <x:f>Members!F575</x:f>
        <x:v>0</x:v>
      </x:c>
      <x:c r="G575" s="46" t="n">
        <x:f>MAX(0,Assumptions!$B$10-C575)</x:f>
        <x:v>3</x:v>
      </x:c>
      <x:c r="H575" s="50" t="n">
        <x:f>IF(B575="Active",E575*(1+Assumptions!$B$7)^G575,E575)</x:f>
        <x:v>1618104.6147499997</x:v>
      </x:c>
      <x:c r="I575" s="50" t="n">
        <x:f>IF(B575="Active",MIN(Assumptions!$B$12,D575+G575),IF(B575="Deferred",MIN(Assumptions!$B$12,D575),D575))</x:f>
        <x:v>22.1</x:v>
      </x:c>
      <x:c r="J575" s="50" t="n">
        <x:f>IF(B575="Active",H575*I575*Assumptions!$B$11,IF(B575="Deferred",E575*I575*Assumptions!$B$11*(1+Assumptions!$B$9)^G575,F575))</x:f>
        <x:v>596001.8664329166</x:v>
      </x:c>
      <x:c r="K575" s="37" t="n">
        <x:f>IF(B575="Pensioner",1,VLOOKUP(Assumptions!$B$10,Mortality!$A$2:$F$104,6,FALSE)/VLOOKUP(C575,Mortality!$A$2:$F$104,6,FALSE))</x:f>
        <x:v>0.9922003892921417</x:v>
      </x:c>
      <x:c r="L575" s="37" t="n">
        <x:f>VLOOKUP(IF(B575="Pensioner",C575,Assumptions!$B$10),Mortality!$A$2:$E$104,5,FALSE)</x:f>
        <x:v>17.296790022132885</x:v>
      </x:c>
      <x:c r="M575" s="37" t="n">
        <x:f>1+Assumptions!$B$13*Assumptions!$B$14*Assumptions!$B$15</x:f>
        <x:v>1.31875</x:v>
      </x:c>
      <x:c r="N575" s="37" t="n">
        <x:f>IF(B575="Pensioner",1,1/(1+Assumptions!$B$6)^G575)</x:f>
        <x:v>0.8278490918029799</x:v>
      </x:c>
      <x:c r="O575" s="50" t="n">
        <x:f>J575*K575*L575*M575*N575</x:f>
        <x:v>11166734.112906793</x:v>
      </x:c>
    </x:row>
    <x:row r="576">
      <x:c r="A576" s="42" t="str">
        <x:f>Members!A576</x:f>
        <x:v>P0056</x:v>
      </x:c>
      <x:c r="B576" s="42" t="str">
        <x:f>Members!B576</x:f>
        <x:v>Pensioner</x:v>
      </x:c>
      <x:c r="C576" s="42" t="n">
        <x:f>Members!C576</x:f>
        <x:v>81</x:v>
      </x:c>
      <x:c r="D576" s="44" t="n">
        <x:f>Members!D576</x:f>
        <x:v>35.5</x:v>
      </x:c>
      <x:c r="E576" s="48" t="n">
        <x:f>Members!E576</x:f>
        <x:v>0</x:v>
      </x:c>
      <x:c r="F576" s="48" t="n">
        <x:f>Members!F576</x:f>
        <x:v>612000</x:v>
      </x:c>
      <x:c r="G576" s="46" t="n">
        <x:f>MAX(0,Assumptions!$B$10-C576)</x:f>
        <x:v>0</x:v>
      </x:c>
      <x:c r="H576" s="50" t="n">
        <x:f>IF(B576="Active",E576*(1+Assumptions!$B$7)^G576,E576)</x:f>
        <x:v>0</x:v>
      </x:c>
      <x:c r="I576" s="50" t="n">
        <x:f>IF(B576="Active",MIN(Assumptions!$B$12,D576+G576),IF(B576="Deferred",MIN(Assumptions!$B$12,D576),D576))</x:f>
        <x:v>35.5</x:v>
      </x:c>
      <x:c r="J576" s="50" t="n">
        <x:f>IF(B576="Active",H576*I576*Assumptions!$B$11,IF(B576="Deferred",E576*I576*Assumptions!$B$11*(1+Assumptions!$B$9)^G576,F576))</x:f>
        <x:v>612000</x:v>
      </x:c>
      <x:c r="K576" s="37" t="n">
        <x:f>IF(B576="Pensioner",1,VLOOKUP(Assumptions!$B$10,Mortality!$A$2:$F$104,6,FALSE)/VLOOKUP(C576,Mortality!$A$2:$F$104,6,FALSE))</x:f>
        <x:v>1</x:v>
      </x:c>
      <x:c r="L576" s="37" t="n">
        <x:f>VLOOKUP(IF(B576="Pensioner",C576,Assumptions!$B$10),Mortality!$A$2:$E$104,5,FALSE)</x:f>
        <x:v>7.936897714048503</x:v>
      </x:c>
      <x:c r="M576" s="37" t="n">
        <x:f>1+Assumptions!$B$13*Assumptions!$B$14*Assumptions!$B$15</x:f>
        <x:v>1.31875</x:v>
      </x:c>
      <x:c r="N576" s="37" t="n">
        <x:f>IF(B576="Pensioner",1,1/(1+Assumptions!$B$6)^G576)</x:f>
        <x:v>1</x:v>
      </x:c>
      <x:c r="O576" s="50" t="n">
        <x:f>J576*K576*L576*M576*N576</x:f>
        <x:v>6405671.722565697</x:v>
      </x:c>
    </x:row>
    <x:row r="577">
      <x:c r="A577" s="42" t="str">
        <x:f>Members!A577</x:f>
        <x:v>A0170</x:v>
      </x:c>
      <x:c r="B577" s="42" t="str">
        <x:f>Members!B577</x:f>
        <x:v>Active</x:v>
      </x:c>
      <x:c r="C577" s="42" t="n">
        <x:f>Members!C577</x:f>
        <x:v>32</x:v>
      </x:c>
      <x:c r="D577" s="44" t="n">
        <x:f>Members!D577</x:f>
        <x:v>4</x:v>
      </x:c>
      <x:c r="E577" s="48" t="n">
        <x:f>Members!E577</x:f>
        <x:v>574000</x:v>
      </x:c>
      <x:c r="F577" s="48" t="n">
        <x:f>Members!F577</x:f>
        <x:v>0</x:v>
      </x:c>
      <x:c r="G577" s="46" t="n">
        <x:f>MAX(0,Assumptions!$B$10-C577)</x:f>
        <x:v>28</x:v>
      </x:c>
      <x:c r="H577" s="50" t="n">
        <x:f>IF(B577="Active",E577*(1+Assumptions!$B$7)^G577,E577)</x:f>
        <x:v>2570281.9249691293</x:v>
      </x:c>
      <x:c r="I577" s="50" t="n">
        <x:f>IF(B577="Active",MIN(Assumptions!$B$12,D577+G577),IF(B577="Deferred",MIN(Assumptions!$B$12,D577),D577))</x:f>
        <x:v>32</x:v>
      </x:c>
      <x:c r="J577" s="50" t="n">
        <x:f>IF(B577="Active",H577*I577*Assumptions!$B$11,IF(B577="Deferred",E577*I577*Assumptions!$B$11*(1+Assumptions!$B$9)^G577,F577))</x:f>
        <x:v>1370817.0266502022</x:v>
      </x:c>
      <x:c r="K577" s="37" t="n">
        <x:f>IF(B577="Pensioner",1,VLOOKUP(Assumptions!$B$10,Mortality!$A$2:$F$104,6,FALSE)/VLOOKUP(C577,Mortality!$A$2:$F$104,6,FALSE))</x:f>
        <x:v>0.9709584687664957</x:v>
      </x:c>
      <x:c r="L577" s="37" t="n">
        <x:f>VLOOKUP(IF(B577="Pensioner",C577,Assumptions!$B$10),Mortality!$A$2:$E$104,5,FALSE)</x:f>
        <x:v>17.296790022132885</x:v>
      </x:c>
      <x:c r="M577" s="37" t="n">
        <x:f>1+Assumptions!$B$13*Assumptions!$B$14*Assumptions!$B$15</x:f>
        <x:v>1.31875</x:v>
      </x:c>
      <x:c r="N577" s="37" t="n">
        <x:f>IF(B577="Pensioner",1,1/(1+Assumptions!$B$6)^G577)</x:f>
        <x:v>0.17147901583340255</x:v>
      </x:c>
      <x:c r="O577" s="50" t="n">
        <x:f>J577*K577*L577*M577*N577</x:f>
        <x:v>5206179.1950051375</x:v>
      </x:c>
    </x:row>
    <x:row r="578">
      <x:c r="A578" s="42" t="str">
        <x:f>Members!A578</x:f>
        <x:v>D0050</x:v>
      </x:c>
      <x:c r="B578" s="42" t="str">
        <x:f>Members!B578</x:f>
        <x:v>Deferred</x:v>
      </x:c>
      <x:c r="C578" s="42" t="n">
        <x:f>Members!C578</x:f>
        <x:v>35</x:v>
      </x:c>
      <x:c r="D578" s="44" t="n">
        <x:f>Members!D578</x:f>
        <x:v>9.5</x:v>
      </x:c>
      <x:c r="E578" s="48" t="n">
        <x:f>Members!E578</x:f>
        <x:v>538000</x:v>
      </x:c>
      <x:c r="F578" s="48" t="n">
        <x:f>Members!F578</x:f>
        <x:v>0</x:v>
      </x:c>
      <x:c r="G578" s="46" t="n">
        <x:f>MAX(0,Assumptions!$B$10-C578)</x:f>
        <x:v>25</x:v>
      </x:c>
      <x:c r="H578" s="50" t="n">
        <x:f>IF(B578="Active",E578*(1+Assumptions!$B$7)^G578,E578)</x:f>
        <x:v>538000</x:v>
      </x:c>
      <x:c r="I578" s="50" t="n">
        <x:f>IF(B578="Active",MIN(Assumptions!$B$12,D578+G578),IF(B578="Deferred",MIN(Assumptions!$B$12,D578),D578))</x:f>
        <x:v>9.5</x:v>
      </x:c>
      <x:c r="J578" s="50" t="n">
        <x:f>IF(B578="Active",H578*I578*Assumptions!$B$11,IF(B578="Deferred",E578*I578*Assumptions!$B$11*(1+Assumptions!$B$9)^G578,F578))</x:f>
        <x:v>227084.82483720366</x:v>
      </x:c>
      <x:c r="K578" s="37" t="n">
        <x:f>IF(B578="Pensioner",1,VLOOKUP(Assumptions!$B$10,Mortality!$A$2:$F$104,6,FALSE)/VLOOKUP(C578,Mortality!$A$2:$F$104,6,FALSE))</x:f>
        <x:v>0.9719740765386753</x:v>
      </x:c>
      <x:c r="L578" s="37" t="n">
        <x:f>VLOOKUP(IF(B578="Pensioner",C578,Assumptions!$B$10),Mortality!$A$2:$E$104,5,FALSE)</x:f>
        <x:v>17.296790022132885</x:v>
      </x:c>
      <x:c r="M578" s="37" t="n">
        <x:f>1+Assumptions!$B$13*Assumptions!$B$14*Assumptions!$B$15</x:f>
        <x:v>1.31875</x:v>
      </x:c>
      <x:c r="N578" s="37" t="n">
        <x:f>IF(B578="Pensioner",1,1/(1+Assumptions!$B$6)^G578)</x:f>
        <x:v>0.20713801287132758</x:v>
      </x:c>
      <x:c r="O578" s="50" t="n">
        <x:f>J578*K578*L578*M578*N578</x:f>
        <x:v>1042870.989832609</x:v>
      </x:c>
    </x:row>
    <x:row r="579">
      <x:c r="A579" s="42" t="str">
        <x:f>Members!A579</x:f>
        <x:v>P0236</x:v>
      </x:c>
      <x:c r="B579" s="42" t="str">
        <x:f>Members!B579</x:f>
        <x:v>Pensioner</x:v>
      </x:c>
      <x:c r="C579" s="42" t="n">
        <x:f>Members!C579</x:f>
        <x:v>62</x:v>
      </x:c>
      <x:c r="D579" s="44" t="n">
        <x:f>Members!D579</x:f>
        <x:v>29.7</x:v>
      </x:c>
      <x:c r="E579" s="48" t="n">
        <x:f>Members!E579</x:f>
        <x:v>0</x:v>
      </x:c>
      <x:c r="F579" s="48" t="n">
        <x:f>Members!F579</x:f>
        <x:v>184000</x:v>
      </x:c>
      <x:c r="G579" s="46" t="n">
        <x:f>MAX(0,Assumptions!$B$10-C579)</x:f>
        <x:v>0</x:v>
      </x:c>
      <x:c r="H579" s="50" t="n">
        <x:f>IF(B579="Active",E579*(1+Assumptions!$B$7)^G579,E579)</x:f>
        <x:v>0</x:v>
      </x:c>
      <x:c r="I579" s="50" t="n">
        <x:f>IF(B579="Active",MIN(Assumptions!$B$12,D579+G579),IF(B579="Deferred",MIN(Assumptions!$B$12,D579),D579))</x:f>
        <x:v>29.7</x:v>
      </x:c>
      <x:c r="J579" s="50" t="n">
        <x:f>IF(B579="Active",H579*I579*Assumptions!$B$11,IF(B579="Deferred",E579*I579*Assumptions!$B$11*(1+Assumptions!$B$9)^G579,F579))</x:f>
        <x:v>184000</x:v>
      </x:c>
      <x:c r="K579" s="37" t="n">
        <x:f>IF(B579="Pensioner",1,VLOOKUP(Assumptions!$B$10,Mortality!$A$2:$F$104,6,FALSE)/VLOOKUP(C579,Mortality!$A$2:$F$104,6,FALSE))</x:f>
        <x:v>1</x:v>
      </x:c>
      <x:c r="L579" s="37" t="n">
        <x:f>VLOOKUP(IF(B579="Pensioner",C579,Assumptions!$B$10),Mortality!$A$2:$E$104,5,FALSE)</x:f>
        <x:v>16.475532548255334</x:v>
      </x:c>
      <x:c r="M579" s="37" t="n">
        <x:f>1+Assumptions!$B$13*Assumptions!$B$14*Assumptions!$B$15</x:f>
        <x:v>1.31875</x:v>
      </x:c>
      <x:c r="N579" s="37" t="n">
        <x:f>IF(B579="Pensioner",1,1/(1+Assumptions!$B$6)^G579)</x:f>
        <x:v>1</x:v>
      </x:c>
      <x:c r="O579" s="50" t="n">
        <x:f>J579*K579*L579*M579*N579</x:f>
        <x:v>3997787.972834157</x:v>
      </x:c>
    </x:row>
    <x:row r="580">
      <x:c r="A580" s="42" t="str">
        <x:f>Members!A580</x:f>
        <x:v>D0002</x:v>
      </x:c>
      <x:c r="B580" s="42" t="str">
        <x:f>Members!B580</x:f>
        <x:v>Deferred</x:v>
      </x:c>
      <x:c r="C580" s="42" t="n">
        <x:f>Members!C580</x:f>
        <x:v>49</x:v>
      </x:c>
      <x:c r="D580" s="44" t="n">
        <x:f>Members!D580</x:f>
        <x:v>2.9</x:v>
      </x:c>
      <x:c r="E580" s="48" t="n">
        <x:f>Members!E580</x:f>
        <x:v>803000</x:v>
      </x:c>
      <x:c r="F580" s="48" t="n">
        <x:f>Members!F580</x:f>
        <x:v>0</x:v>
      </x:c>
      <x:c r="G580" s="46" t="n">
        <x:f>MAX(0,Assumptions!$B$10-C580)</x:f>
        <x:v>11</x:v>
      </x:c>
      <x:c r="H580" s="50" t="n">
        <x:f>IF(B580="Active",E580*(1+Assumptions!$B$7)^G580,E580)</x:f>
        <x:v>803000</x:v>
      </x:c>
      <x:c r="I580" s="50" t="n">
        <x:f>IF(B580="Active",MIN(Assumptions!$B$12,D580+G580),IF(B580="Deferred",MIN(Assumptions!$B$12,D580),D580))</x:f>
        <x:v>2.9</x:v>
      </x:c>
      <x:c r="J580" s="50" t="n">
        <x:f>IF(B580="Active",H580*I580*Assumptions!$B$11,IF(B580="Deferred",E580*I580*Assumptions!$B$11*(1+Assumptions!$B$9)^G580,F580))</x:f>
        <x:v>59748.77768234871</x:v>
      </x:c>
      <x:c r="K580" s="37" t="n">
        <x:f>IF(B580="Pensioner",1,VLOOKUP(Assumptions!$B$10,Mortality!$A$2:$F$104,6,FALSE)/VLOOKUP(C580,Mortality!$A$2:$F$104,6,FALSE))</x:f>
        <x:v>0.9802429662359576</x:v>
      </x:c>
      <x:c r="L580" s="37" t="n">
        <x:f>VLOOKUP(IF(B580="Pensioner",C580,Assumptions!$B$10),Mortality!$A$2:$E$104,5,FALSE)</x:f>
        <x:v>17.296790022132885</x:v>
      </x:c>
      <x:c r="M580" s="37" t="n">
        <x:f>1+Assumptions!$B$13*Assumptions!$B$14*Assumptions!$B$15</x:f>
        <x:v>1.31875</x:v>
      </x:c>
      <x:c r="N580" s="37" t="n">
        <x:f>IF(B580="Pensioner",1,1/(1+Assumptions!$B$6)^G580)</x:f>
        <x:v>0.5002122399253793</x:v>
      </x:c>
      <x:c r="O580" s="50" t="n">
        <x:f>J580*K580*L580*M580*N580</x:f>
        <x:v>668259.3749249129</x:v>
      </x:c>
    </x:row>
    <x:row r="581">
      <x:c r="A581" s="42" t="str">
        <x:f>Members!A581</x:f>
        <x:v>A0203</x:v>
      </x:c>
      <x:c r="B581" s="42" t="str">
        <x:f>Members!B581</x:f>
        <x:v>Active</x:v>
      </x:c>
      <x:c r="C581" s="42" t="n">
        <x:f>Members!C581</x:f>
        <x:v>56</x:v>
      </x:c>
      <x:c r="D581" s="44" t="n">
        <x:f>Members!D581</x:f>
        <x:v>24.1</x:v>
      </x:c>
      <x:c r="E581" s="48" t="n">
        <x:f>Members!E581</x:f>
        <x:v>1966000</x:v>
      </x:c>
      <x:c r="F581" s="48" t="n">
        <x:f>Members!F581</x:f>
        <x:v>0</x:v>
      </x:c>
      <x:c r="G581" s="46" t="n">
        <x:f>MAX(0,Assumptions!$B$10-C581)</x:f>
        <x:v>4</x:v>
      </x:c>
      <x:c r="H581" s="50" t="n">
        <x:f>IF(B581="Active",E581*(1+Assumptions!$B$7)^G581,E581)</x:f>
        <x:v>2435529.2631287496</x:v>
      </x:c>
      <x:c r="I581" s="50" t="n">
        <x:f>IF(B581="Active",MIN(Assumptions!$B$12,D581+G581),IF(B581="Deferred",MIN(Assumptions!$B$12,D581),D581))</x:f>
        <x:v>28.1</x:v>
      </x:c>
      <x:c r="J581" s="50" t="n">
        <x:f>IF(B581="Active",H581*I581*Assumptions!$B$11,IF(B581="Deferred",E581*I581*Assumptions!$B$11*(1+Assumptions!$B$9)^G581,F581))</x:f>
        <x:v>1140639.5382319645</x:v>
      </x:c>
      <x:c r="K581" s="37" t="n">
        <x:f>IF(B581="Pensioner",1,VLOOKUP(Assumptions!$B$10,Mortality!$A$2:$F$104,6,FALSE)/VLOOKUP(C581,Mortality!$A$2:$F$104,6,FALSE))</x:f>
        <x:v>0.990116255810422</x:v>
      </x:c>
      <x:c r="L581" s="37" t="n">
        <x:f>VLOOKUP(IF(B581="Pensioner",C581,Assumptions!$B$10),Mortality!$A$2:$E$104,5,FALSE)</x:f>
        <x:v>17.296790022132885</x:v>
      </x:c>
      <x:c r="M581" s="37" t="n">
        <x:f>1+Assumptions!$B$13*Assumptions!$B$14*Assumptions!$B$15</x:f>
        <x:v>1.31875</x:v>
      </x:c>
      <x:c r="N581" s="37" t="n">
        <x:f>IF(B581="Pensioner",1,1/(1+Assumptions!$B$6)^G581)</x:f>
        <x:v>0.777323090894817</x:v>
      </x:c>
      <x:c r="O581" s="50" t="n">
        <x:f>J581*K581*L581*M581*N581</x:f>
        <x:v>20024614.642500326</x:v>
      </x:c>
    </x:row>
    <x:row r="582">
      <x:c r="A582" s="42" t="str">
        <x:f>Members!A582</x:f>
        <x:v>D0083</x:v>
      </x:c>
      <x:c r="B582" s="42" t="str">
        <x:f>Members!B582</x:f>
        <x:v>Deferred</x:v>
      </x:c>
      <x:c r="C582" s="42" t="n">
        <x:f>Members!C582</x:f>
        <x:v>58</x:v>
      </x:c>
      <x:c r="D582" s="44" t="n">
        <x:f>Members!D582</x:f>
        <x:v>17</x:v>
      </x:c>
      <x:c r="E582" s="48" t="n">
        <x:f>Members!E582</x:f>
        <x:v>1164000</x:v>
      </x:c>
      <x:c r="F582" s="48" t="n">
        <x:f>Members!F582</x:f>
        <x:v>0</x:v>
      </x:c>
      <x:c r="G582" s="46" t="n">
        <x:f>MAX(0,Assumptions!$B$10-C582)</x:f>
        <x:v>2</x:v>
      </x:c>
      <x:c r="H582" s="50" t="n">
        <x:f>IF(B582="Active",E582*(1+Assumptions!$B$7)^G582,E582)</x:f>
        <x:v>1164000</x:v>
      </x:c>
      <x:c r="I582" s="50" t="n">
        <x:f>IF(B582="Active",MIN(Assumptions!$B$12,D582+G582),IF(B582="Deferred",MIN(Assumptions!$B$12,D582),D582))</x:f>
        <x:v>17</x:v>
      </x:c>
      <x:c r="J582" s="50" t="n">
        <x:f>IF(B582="Active",H582*I582*Assumptions!$B$11,IF(B582="Deferred",E582*I582*Assumptions!$B$11*(1+Assumptions!$B$9)^G582,F582))</x:f>
        <x:v>356711.68000000005</x:v>
      </x:c>
      <x:c r="K582" s="37" t="n">
        <x:f>IF(B582="Pensioner",1,VLOOKUP(Assumptions!$B$10,Mortality!$A$2:$F$104,6,FALSE)/VLOOKUP(C582,Mortality!$A$2:$F$104,6,FALSE))</x:f>
        <x:v>0.9945213044203837</x:v>
      </x:c>
      <x:c r="L582" s="37" t="n">
        <x:f>VLOOKUP(IF(B582="Pensioner",C582,Assumptions!$B$10),Mortality!$A$2:$E$104,5,FALSE)</x:f>
        <x:v>17.296790022132885</x:v>
      </x:c>
      <x:c r="M582" s="37" t="n">
        <x:f>1+Assumptions!$B$13*Assumptions!$B$14*Assumptions!$B$15</x:f>
        <x:v>1.31875</x:v>
      </x:c>
      <x:c r="N582" s="37" t="n">
        <x:f>IF(B582="Pensioner",1,1/(1+Assumptions!$B$6)^G582)</x:f>
        <x:v>0.8816592827701736</x:v>
      </x:c>
      <x:c r="O582" s="50" t="n">
        <x:f>J582*K582*L582*M582*N582</x:f>
        <x:v>7134444.948555853</x:v>
      </x:c>
    </x:row>
    <x:row r="583">
      <x:c r="A583" s="42" t="str">
        <x:f>Members!A583</x:f>
        <x:v>A0373</x:v>
      </x:c>
      <x:c r="B583" s="42" t="str">
        <x:f>Members!B583</x:f>
        <x:v>Active</x:v>
      </x:c>
      <x:c r="C583" s="42" t="n">
        <x:f>Members!C583</x:f>
        <x:v>45</x:v>
      </x:c>
      <x:c r="D583" s="44" t="n">
        <x:f>Members!D583</x:f>
        <x:v>4.5</x:v>
      </x:c>
      <x:c r="E583" s="48" t="n">
        <x:f>Members!E583</x:f>
        <x:v>970000</x:v>
      </x:c>
      <x:c r="F583" s="48" t="n">
        <x:f>Members!F583</x:f>
        <x:v>0</x:v>
      </x:c>
      <x:c r="G583" s="46" t="n">
        <x:f>MAX(0,Assumptions!$B$10-C583)</x:f>
        <x:v>15</x:v>
      </x:c>
      <x:c r="H583" s="50" t="n">
        <x:f>IF(B583="Active",E583*(1+Assumptions!$B$7)^G583,E583)</x:f>
        <x:v>2165502.197470811</x:v>
      </x:c>
      <x:c r="I583" s="50" t="n">
        <x:f>IF(B583="Active",MIN(Assumptions!$B$12,D583+G583),IF(B583="Deferred",MIN(Assumptions!$B$12,D583),D583))</x:f>
        <x:v>19.5</x:v>
      </x:c>
      <x:c r="J583" s="50" t="n">
        <x:f>IF(B583="Active",H583*I583*Assumptions!$B$11,IF(B583="Deferred",E583*I583*Assumptions!$B$11*(1+Assumptions!$B$9)^G583,F583))</x:f>
        <x:v>703788.2141780136</x:v>
      </x:c>
      <x:c r="K583" s="37" t="n">
        <x:f>IF(B583="Pensioner",1,VLOOKUP(Assumptions!$B$10,Mortality!$A$2:$F$104,6,FALSE)/VLOOKUP(C583,Mortality!$A$2:$F$104,6,FALSE))</x:f>
        <x:v>0.9769349478194655</x:v>
      </x:c>
      <x:c r="L583" s="37" t="n">
        <x:f>VLOOKUP(IF(B583="Pensioner",C583,Assumptions!$B$10),Mortality!$A$2:$E$104,5,FALSE)</x:f>
        <x:v>17.296790022132885</x:v>
      </x:c>
      <x:c r="M583" s="37" t="n">
        <x:f>1+Assumptions!$B$13*Assumptions!$B$14*Assumptions!$B$15</x:f>
        <x:v>1.31875</x:v>
      </x:c>
      <x:c r="N583" s="37" t="n">
        <x:f>IF(B583="Pensioner",1,1/(1+Assumptions!$B$6)^G583)</x:f>
        <x:v>0.38882652444221566</x:v>
      </x:c>
      <x:c r="O583" s="50" t="n">
        <x:f>J583*K583*L583*M583*N583</x:f>
        <x:v>6098057.356308504</x:v>
      </x:c>
    </x:row>
    <x:row r="584">
      <x:c r="A584" s="42" t="str">
        <x:f>Members!A584</x:f>
        <x:v>A0120</x:v>
      </x:c>
      <x:c r="B584" s="42" t="str">
        <x:f>Members!B584</x:f>
        <x:v>Active</x:v>
      </x:c>
      <x:c r="C584" s="42" t="n">
        <x:f>Members!C584</x:f>
        <x:v>51</x:v>
      </x:c>
      <x:c r="D584" s="44" t="n">
        <x:f>Members!D584</x:f>
        <x:v>16.6</x:v>
      </x:c>
      <x:c r="E584" s="48" t="n">
        <x:f>Members!E584</x:f>
        <x:v>1124000</x:v>
      </x:c>
      <x:c r="F584" s="48" t="n">
        <x:f>Members!F584</x:f>
        <x:v>0</x:v>
      </x:c>
      <x:c r="G584" s="46" t="n">
        <x:f>MAX(0,Assumptions!$B$10-C584)</x:f>
        <x:v>9</x:v>
      </x:c>
      <x:c r="H584" s="50" t="n">
        <x:f>IF(B584="Active",E584*(1+Assumptions!$B$7)^G584,E584)</x:f>
        <x:v>1819861.963212738</x:v>
      </x:c>
      <x:c r="I584" s="50" t="n">
        <x:f>IF(B584="Active",MIN(Assumptions!$B$12,D584+G584),IF(B584="Deferred",MIN(Assumptions!$B$12,D584),D584))</x:f>
        <x:v>25.6</x:v>
      </x:c>
      <x:c r="J584" s="50" t="n">
        <x:f>IF(B584="Active",H584*I584*Assumptions!$B$11,IF(B584="Deferred",E584*I584*Assumptions!$B$11*(1+Assumptions!$B$9)^G584,F584))</x:f>
        <x:v>776474.4376374349</x:v>
      </x:c>
      <x:c r="K584" s="37" t="n">
        <x:f>IF(B584="Pensioner",1,VLOOKUP(Assumptions!$B$10,Mortality!$A$2:$F$104,6,FALSE)/VLOOKUP(C584,Mortality!$A$2:$F$104,6,FALSE))</x:f>
        <x:v>0.9824052797506154</x:v>
      </x:c>
      <x:c r="L584" s="37" t="n">
        <x:f>VLOOKUP(IF(B584="Pensioner",C584,Assumptions!$B$10),Mortality!$A$2:$E$104,5,FALSE)</x:f>
        <x:v>17.296790022132885</x:v>
      </x:c>
      <x:c r="M584" s="37" t="n">
        <x:f>1+Assumptions!$B$13*Assumptions!$B$14*Assumptions!$B$15</x:f>
        <x:v>1.31875</x:v>
      </x:c>
      <x:c r="N584" s="37" t="n">
        <x:f>IF(B584="Pensioner",1,1/(1+Assumptions!$B$6)^G584)</x:f>
        <x:v>0.5673532278293633</x:v>
      </x:c>
      <x:c r="O584" s="50" t="n">
        <x:f>J584*K584*L584*M584*N584</x:f>
        <x:v>9871868.613273144</x:v>
      </x:c>
    </x:row>
    <x:row r="585">
      <x:c r="A585" s="42" t="str">
        <x:f>Members!A585</x:f>
        <x:v>A0470</x:v>
      </x:c>
      <x:c r="B585" s="42" t="str">
        <x:f>Members!B585</x:f>
        <x:v>Active</x:v>
      </x:c>
      <x:c r="C585" s="42" t="n">
        <x:f>Members!C585</x:f>
        <x:v>36</x:v>
      </x:c>
      <x:c r="D585" s="44" t="n">
        <x:f>Members!D585</x:f>
        <x:v>5.5</x:v>
      </x:c>
      <x:c r="E585" s="48" t="n">
        <x:f>Members!E585</x:f>
        <x:v>735000</x:v>
      </x:c>
      <x:c r="F585" s="48" t="n">
        <x:f>Members!F585</x:f>
        <x:v>0</x:v>
      </x:c>
      <x:c r="G585" s="46" t="n">
        <x:f>MAX(0,Assumptions!$B$10-C585)</x:f>
        <x:v>24</x:v>
      </x:c>
      <x:c r="H585" s="50" t="n">
        <x:f>IF(B585="Active",E585*(1+Assumptions!$B$7)^G585,E585)</x:f>
        <x:v>2656723.579370974</x:v>
      </x:c>
      <x:c r="I585" s="50" t="n">
        <x:f>IF(B585="Active",MIN(Assumptions!$B$12,D585+G585),IF(B585="Deferred",MIN(Assumptions!$B$12,D585),D585))</x:f>
        <x:v>29.5</x:v>
      </x:c>
      <x:c r="J585" s="50" t="n">
        <x:f>IF(B585="Active",H585*I585*Assumptions!$B$11,IF(B585="Deferred",E585*I585*Assumptions!$B$11*(1+Assumptions!$B$9)^G585,F585))</x:f>
        <x:v>1306222.4265240622</x:v>
      </x:c>
      <x:c r="K585" s="37" t="n">
        <x:f>IF(B585="Pensioner",1,VLOOKUP(Assumptions!$B$10,Mortality!$A$2:$F$104,6,FALSE)/VLOOKUP(C585,Mortality!$A$2:$F$104,6,FALSE))</x:f>
        <x:v>0.9723450305541352</x:v>
      </x:c>
      <x:c r="L585" s="37" t="n">
        <x:f>VLOOKUP(IF(B585="Pensioner",C585,Assumptions!$B$10),Mortality!$A$2:$E$104,5,FALSE)</x:f>
        <x:v>17.296790022132885</x:v>
      </x:c>
      <x:c r="M585" s="37" t="n">
        <x:f>1+Assumptions!$B$13*Assumptions!$B$14*Assumptions!$B$15</x:f>
        <x:v>1.31875</x:v>
      </x:c>
      <x:c r="N585" s="37" t="n">
        <x:f>IF(B585="Pensioner",1,1/(1+Assumptions!$B$6)^G585)</x:f>
        <x:v>0.22060198370796386</x:v>
      </x:c>
      <x:c r="O585" s="50" t="n">
        <x:f>J585*K585*L585*M585*N585</x:f>
        <x:v>6391090.011217321</x:v>
      </x:c>
    </x:row>
    <x:row r="586">
      <x:c r="A586" s="42" t="str">
        <x:f>Members!A586</x:f>
        <x:v>D0038</x:v>
      </x:c>
      <x:c r="B586" s="42" t="str">
        <x:f>Members!B586</x:f>
        <x:v>Deferred</x:v>
      </x:c>
      <x:c r="C586" s="42" t="n">
        <x:f>Members!C586</x:f>
        <x:v>46</x:v>
      </x:c>
      <x:c r="D586" s="44" t="n">
        <x:f>Members!D586</x:f>
        <x:v>13.5</x:v>
      </x:c>
      <x:c r="E586" s="48" t="n">
        <x:f>Members!E586</x:f>
        <x:v>813000</x:v>
      </x:c>
      <x:c r="F586" s="48" t="n">
        <x:f>Members!F586</x:f>
        <x:v>0</x:v>
      </x:c>
      <x:c r="G586" s="46" t="n">
        <x:f>MAX(0,Assumptions!$B$10-C586)</x:f>
        <x:v>14</x:v>
      </x:c>
      <x:c r="H586" s="50" t="n">
        <x:f>IF(B586="Active",E586*(1+Assumptions!$B$7)^G586,E586)</x:f>
        <x:v>813000</x:v>
      </x:c>
      <x:c r="I586" s="50" t="n">
        <x:f>IF(B586="Active",MIN(Assumptions!$B$12,D586+G586),IF(B586="Deferred",MIN(Assumptions!$B$12,D586),D586))</x:f>
        <x:v>13.5</x:v>
      </x:c>
      <x:c r="J586" s="50" t="n">
        <x:f>IF(B586="Active",H586*I586*Assumptions!$B$11,IF(B586="Deferred",E586*I586*Assumptions!$B$11*(1+Assumptions!$B$9)^G586,F586))</x:f>
        <x:v>316766.914177743</x:v>
      </x:c>
      <x:c r="K586" s="37" t="n">
        <x:f>IF(B586="Pensioner",1,VLOOKUP(Assumptions!$B$10,Mortality!$A$2:$F$104,6,FALSE)/VLOOKUP(C586,Mortality!$A$2:$F$104,6,FALSE))</x:f>
        <x:v>0.9776582328304806</x:v>
      </x:c>
      <x:c r="L586" s="37" t="n">
        <x:f>VLOOKUP(IF(B586="Pensioner",C586,Assumptions!$B$10),Mortality!$A$2:$E$104,5,FALSE)</x:f>
        <x:v>17.296790022132885</x:v>
      </x:c>
      <x:c r="M586" s="37" t="n">
        <x:f>1+Assumptions!$B$13*Assumptions!$B$14*Assumptions!$B$15</x:f>
        <x:v>1.31875</x:v>
      </x:c>
      <x:c r="N586" s="37" t="n">
        <x:f>IF(B586="Pensioner",1,1/(1+Assumptions!$B$6)^G586)</x:f>
        <x:v>0.41410024853095956</x:v>
      </x:c>
      <x:c r="O586" s="50" t="n">
        <x:f>J586*K586*L586*M586*N586</x:f>
        <x:v>2925232.2497222973</x:v>
      </x:c>
    </x:row>
    <x:row r="587">
      <x:c r="A587" s="42" t="str">
        <x:f>Members!A587</x:f>
        <x:v>D0093</x:v>
      </x:c>
      <x:c r="B587" s="42" t="str">
        <x:f>Members!B587</x:f>
        <x:v>Deferred</x:v>
      </x:c>
      <x:c r="C587" s="42" t="n">
        <x:f>Members!C587</x:f>
        <x:v>37</x:v>
      </x:c>
      <x:c r="D587" s="44" t="n">
        <x:f>Members!D587</x:f>
        <x:v>11</x:v>
      </x:c>
      <x:c r="E587" s="48" t="n">
        <x:f>Members!E587</x:f>
        <x:v>481000</x:v>
      </x:c>
      <x:c r="F587" s="48" t="n">
        <x:f>Members!F587</x:f>
        <x:v>0</x:v>
      </x:c>
      <x:c r="G587" s="46" t="n">
        <x:f>MAX(0,Assumptions!$B$10-C587)</x:f>
        <x:v>23</x:v>
      </x:c>
      <x:c r="H587" s="50" t="n">
        <x:f>IF(B587="Active",E587*(1+Assumptions!$B$7)^G587,E587)</x:f>
        <x:v>481000</x:v>
      </x:c>
      <x:c r="I587" s="50" t="n">
        <x:f>IF(B587="Active",MIN(Assumptions!$B$12,D587+G587),IF(B587="Deferred",MIN(Assumptions!$B$12,D587),D587))</x:f>
        <x:v>11</x:v>
      </x:c>
      <x:c r="J587" s="50" t="n">
        <x:f>IF(B587="Active",H587*I587*Assumptions!$B$11,IF(B587="Deferred",E587*I587*Assumptions!$B$11*(1+Assumptions!$B$9)^G587,F587))</x:f>
        <x:v>217346.83231477984</x:v>
      </x:c>
      <x:c r="K587" s="37" t="n">
        <x:f>IF(B587="Pensioner",1,VLOOKUP(Assumptions!$B$10,Mortality!$A$2:$F$104,6,FALSE)/VLOOKUP(C587,Mortality!$A$2:$F$104,6,FALSE))</x:f>
        <x:v>0.9727356141265188</x:v>
      </x:c>
      <x:c r="L587" s="37" t="n">
        <x:f>VLOOKUP(IF(B587="Pensioner",C587,Assumptions!$B$10),Mortality!$A$2:$E$104,5,FALSE)</x:f>
        <x:v>17.296790022132885</x:v>
      </x:c>
      <x:c r="M587" s="37" t="n">
        <x:f>1+Assumptions!$B$13*Assumptions!$B$14*Assumptions!$B$15</x:f>
        <x:v>1.31875</x:v>
      </x:c>
      <x:c r="N587" s="37" t="n">
        <x:f>IF(B587="Pensioner",1,1/(1+Assumptions!$B$6)^G587)</x:f>
        <x:v>0.23494111264898151</x:v>
      </x:c>
      <x:c r="O587" s="50" t="n">
        <x:f>J587*K587*L587*M587*N587</x:f>
        <x:v>1133013.6414551332</x:v>
      </x:c>
    </x:row>
    <x:row r="588">
      <x:c r="A588" s="42" t="str">
        <x:f>Members!A588</x:f>
        <x:v>A0526</x:v>
      </x:c>
      <x:c r="B588" s="42" t="str">
        <x:f>Members!B588</x:f>
        <x:v>Active</x:v>
      </x:c>
      <x:c r="C588" s="42" t="n">
        <x:f>Members!C588</x:f>
        <x:v>58</x:v>
      </x:c>
      <x:c r="D588" s="44" t="n">
        <x:f>Members!D588</x:f>
        <x:v>7.9</x:v>
      </x:c>
      <x:c r="E588" s="48" t="n">
        <x:f>Members!E588</x:f>
        <x:v>1977000</x:v>
      </x:c>
      <x:c r="F588" s="48" t="n">
        <x:f>Members!F588</x:f>
        <x:v>0</x:v>
      </x:c>
      <x:c r="G588" s="46" t="n">
        <x:f>MAX(0,Assumptions!$B$10-C588)</x:f>
        <x:v>2</x:v>
      </x:c>
      <x:c r="H588" s="50" t="n">
        <x:f>IF(B588="Active",E588*(1+Assumptions!$B$7)^G588,E588)</x:f>
        <x:v>2200450.425</x:v>
      </x:c>
      <x:c r="I588" s="50" t="n">
        <x:f>IF(B588="Active",MIN(Assumptions!$B$12,D588+G588),IF(B588="Deferred",MIN(Assumptions!$B$12,D588),D588))</x:f>
        <x:v>9.9</x:v>
      </x:c>
      <x:c r="J588" s="50" t="n">
        <x:f>IF(B588="Active",H588*I588*Assumptions!$B$11,IF(B588="Deferred",E588*I588*Assumptions!$B$11*(1+Assumptions!$B$9)^G588,F588))</x:f>
        <x:v>363074.32012499997</x:v>
      </x:c>
      <x:c r="K588" s="37" t="n">
        <x:f>IF(B588="Pensioner",1,VLOOKUP(Assumptions!$B$10,Mortality!$A$2:$F$104,6,FALSE)/VLOOKUP(C588,Mortality!$A$2:$F$104,6,FALSE))</x:f>
        <x:v>0.9945213044203837</x:v>
      </x:c>
      <x:c r="L588" s="37" t="n">
        <x:f>VLOOKUP(IF(B588="Pensioner",C588,Assumptions!$B$10),Mortality!$A$2:$E$104,5,FALSE)</x:f>
        <x:v>17.296790022132885</x:v>
      </x:c>
      <x:c r="M588" s="37" t="n">
        <x:f>1+Assumptions!$B$13*Assumptions!$B$14*Assumptions!$B$15</x:f>
        <x:v>1.31875</x:v>
      </x:c>
      <x:c r="N588" s="37" t="n">
        <x:f>IF(B588="Pensioner",1,1/(1+Assumptions!$B$6)^G588)</x:f>
        <x:v>0.8816592827701736</x:v>
      </x:c>
      <x:c r="O588" s="50" t="n">
        <x:f>J588*K588*L588*M588*N588</x:f>
        <x:v>7261701.520864572</x:v>
      </x:c>
    </x:row>
    <x:row r="589">
      <x:c r="A589" s="42" t="str">
        <x:f>Members!A589</x:f>
        <x:v>A0458</x:v>
      </x:c>
      <x:c r="B589" s="42" t="str">
        <x:f>Members!B589</x:f>
        <x:v>Active</x:v>
      </x:c>
      <x:c r="C589" s="42" t="n">
        <x:f>Members!C589</x:f>
        <x:v>55</x:v>
      </x:c>
      <x:c r="D589" s="44" t="n">
        <x:f>Members!D589</x:f>
        <x:v>2.5</x:v>
      </x:c>
      <x:c r="E589" s="48" t="n">
        <x:f>Members!E589</x:f>
        <x:v>2194000</x:v>
      </x:c>
      <x:c r="F589" s="48" t="n">
        <x:f>Members!F589</x:f>
        <x:v>0</x:v>
      </x:c>
      <x:c r="G589" s="46" t="n">
        <x:f>MAX(0,Assumptions!$B$10-C589)</x:f>
        <x:v>5</x:v>
      </x:c>
      <x:c r="H589" s="50" t="n">
        <x:f>IF(B589="Active",E589*(1+Assumptions!$B$7)^G589,E589)</x:f>
        <x:v>2867470.2540621683</x:v>
      </x:c>
      <x:c r="I589" s="50" t="n">
        <x:f>IF(B589="Active",MIN(Assumptions!$B$12,D589+G589),IF(B589="Deferred",MIN(Assumptions!$B$12,D589),D589))</x:f>
        <x:v>7.5</x:v>
      </x:c>
      <x:c r="J589" s="50" t="n">
        <x:f>IF(B589="Active",H589*I589*Assumptions!$B$11,IF(B589="Deferred",E589*I589*Assumptions!$B$11*(1+Assumptions!$B$9)^G589,F589))</x:f>
        <x:v>358433.78175777104</x:v>
      </x:c>
      <x:c r="K589" s="37" t="n">
        <x:f>IF(B589="Pensioner",1,VLOOKUP(Assumptions!$B$10,Mortality!$A$2:$F$104,6,FALSE)/VLOOKUP(C589,Mortality!$A$2:$F$104,6,FALSE))</x:f>
        <x:v>0.9882419087499175</x:v>
      </x:c>
      <x:c r="L589" s="37" t="n">
        <x:f>VLOOKUP(IF(B589="Pensioner",C589,Assumptions!$B$10),Mortality!$A$2:$E$104,5,FALSE)</x:f>
        <x:v>17.296790022132885</x:v>
      </x:c>
      <x:c r="M589" s="37" t="n">
        <x:f>1+Assumptions!$B$13*Assumptions!$B$14*Assumptions!$B$15</x:f>
        <x:v>1.31875</x:v>
      </x:c>
      <x:c r="N589" s="37" t="n">
        <x:f>IF(B589="Pensioner",1,1/(1+Assumptions!$B$6)^G589)</x:f>
        <x:v>0.7298808365209549</x:v>
      </x:c>
      <x:c r="O589" s="50" t="n">
        <x:f>J589*K589*L589*M589*N589</x:f>
        <x:v>5897285.435700121</x:v>
      </x:c>
    </x:row>
    <x:row r="590">
      <x:c r="A590" s="42" t="str">
        <x:f>Members!A590</x:f>
        <x:v>A0527</x:v>
      </x:c>
      <x:c r="B590" s="42" t="str">
        <x:f>Members!B590</x:f>
        <x:v>Active</x:v>
      </x:c>
      <x:c r="C590" s="42" t="n">
        <x:f>Members!C590</x:f>
        <x:v>50</x:v>
      </x:c>
      <x:c r="D590" s="44" t="n">
        <x:f>Members!D590</x:f>
        <x:v>8.6</x:v>
      </x:c>
      <x:c r="E590" s="48" t="n">
        <x:f>Members!E590</x:f>
        <x:v>1388000</x:v>
      </x:c>
      <x:c r="F590" s="48" t="n">
        <x:f>Members!F590</x:f>
        <x:v>0</x:v>
      </x:c>
      <x:c r="G590" s="46" t="n">
        <x:f>MAX(0,Assumptions!$B$10-C590)</x:f>
        <x:v>10</x:v>
      </x:c>
      <x:c r="H590" s="50" t="n">
        <x:f>IF(B590="Active",E590*(1+Assumptions!$B$7)^G590,E590)</x:f>
        <x:v>2370904.508194787</x:v>
      </x:c>
      <x:c r="I590" s="50" t="n">
        <x:f>IF(B590="Active",MIN(Assumptions!$B$12,D590+G590),IF(B590="Deferred",MIN(Assumptions!$B$12,D590),D590))</x:f>
        <x:v>18.6</x:v>
      </x:c>
      <x:c r="J590" s="50" t="n">
        <x:f>IF(B590="Active",H590*I590*Assumptions!$B$11,IF(B590="Deferred",E590*I590*Assumptions!$B$11*(1+Assumptions!$B$9)^G590,F590))</x:f>
        <x:v>734980.397540384</x:v>
      </x:c>
      <x:c r="K590" s="37" t="n">
        <x:f>IF(B590="Pensioner",1,VLOOKUP(Assumptions!$B$10,Mortality!$A$2:$F$104,6,FALSE)/VLOOKUP(C590,Mortality!$A$2:$F$104,6,FALSE))</x:f>
        <x:v>0.9812729933582415</x:v>
      </x:c>
      <x:c r="L590" s="37" t="n">
        <x:f>VLOOKUP(IF(B590="Pensioner",C590,Assumptions!$B$10),Mortality!$A$2:$E$104,5,FALSE)</x:f>
        <x:v>17.296790022132885</x:v>
      </x:c>
      <x:c r="M590" s="37" t="n">
        <x:f>1+Assumptions!$B$13*Assumptions!$B$14*Assumptions!$B$15</x:f>
        <x:v>1.31875</x:v>
      </x:c>
      <x:c r="N590" s="37" t="n">
        <x:f>IF(B590="Pensioner",1,1/(1+Assumptions!$B$6)^G590)</x:f>
        <x:v>0.5327260355205289</x:v>
      </x:c>
      <x:c r="O590" s="50" t="n">
        <x:f>J590*K590*L590*M590*N590</x:f>
        <x:v>8763901.96427809</x:v>
      </x:c>
    </x:row>
    <x:row r="591">
      <x:c r="A591" s="42" t="str">
        <x:f>Members!A591</x:f>
        <x:v>A0163</x:v>
      </x:c>
      <x:c r="B591" s="42" t="str">
        <x:f>Members!B591</x:f>
        <x:v>Active</x:v>
      </x:c>
      <x:c r="C591" s="42" t="n">
        <x:f>Members!C591</x:f>
        <x:v>26</x:v>
      </x:c>
      <x:c r="D591" s="44" t="n">
        <x:f>Members!D591</x:f>
        <x:v>3.9</x:v>
      </x:c>
      <x:c r="E591" s="48" t="n">
        <x:f>Members!E591</x:f>
        <x:v>381000</x:v>
      </x:c>
      <x:c r="F591" s="48" t="n">
        <x:f>Members!F591</x:f>
        <x:v>0</x:v>
      </x:c>
      <x:c r="G591" s="46" t="n">
        <x:f>MAX(0,Assumptions!$B$10-C591)</x:f>
        <x:v>34</x:v>
      </x:c>
      <x:c r="H591" s="50" t="n">
        <x:f>IF(B591="Active",E591*(1+Assumptions!$B$7)^G591,E591)</x:f>
        <x:v>2352386.0928732287</x:v>
      </x:c>
      <x:c r="I591" s="50" t="n">
        <x:f>IF(B591="Active",MIN(Assumptions!$B$12,D591+G591),IF(B591="Deferred",MIN(Assumptions!$B$12,D591),D591))</x:f>
        <x:v>37.9</x:v>
      </x:c>
      <x:c r="J591" s="50" t="n">
        <x:f>IF(B591="Active",H591*I591*Assumptions!$B$11,IF(B591="Deferred",E591*I591*Assumptions!$B$11*(1+Assumptions!$B$9)^G591,F591))</x:f>
        <x:v>1485923.881998256</x:v>
      </x:c>
      <x:c r="K591" s="37" t="n">
        <x:f>IF(B591="Pensioner",1,VLOOKUP(Assumptions!$B$10,Mortality!$A$2:$F$104,6,FALSE)/VLOOKUP(C591,Mortality!$A$2:$F$104,6,FALSE))</x:f>
        <x:v>0.9692291629189255</x:v>
      </x:c>
      <x:c r="L591" s="37" t="n">
        <x:f>VLOOKUP(IF(B591="Pensioner",C591,Assumptions!$B$10),Mortality!$A$2:$E$104,5,FALSE)</x:f>
        <x:v>17.296790022132885</x:v>
      </x:c>
      <x:c r="M591" s="37" t="n">
        <x:f>1+Assumptions!$B$13*Assumptions!$B$14*Assumptions!$B$15</x:f>
        <x:v>1.31875</x:v>
      </x:c>
      <x:c r="N591" s="37" t="n">
        <x:f>IF(B591="Pensioner",1,1/(1+Assumptions!$B$6)^G591)</x:f>
        <x:v>0.11752042020870793</x:v>
      </x:c>
      <x:c r="O591" s="50" t="n">
        <x:f>J591*K591*L591*M591*N591</x:f>
        <x:v>3860684.9037503586</x:v>
      </x:c>
    </x:row>
    <x:row r="592">
      <x:c r="A592" s="42" t="str">
        <x:f>Members!A592</x:f>
        <x:v>P0108</x:v>
      </x:c>
      <x:c r="B592" s="42" t="str">
        <x:f>Members!B592</x:f>
        <x:v>Pensioner</x:v>
      </x:c>
      <x:c r="C592" s="42" t="n">
        <x:f>Members!C592</x:f>
        <x:v>83</x:v>
      </x:c>
      <x:c r="D592" s="44" t="n">
        <x:f>Members!D592</x:f>
        <x:v>12.7</x:v>
      </x:c>
      <x:c r="E592" s="48" t="n">
        <x:f>Members!E592</x:f>
        <x:v>0</x:v>
      </x:c>
      <x:c r="F592" s="48" t="n">
        <x:f>Members!F592</x:f>
        <x:v>684000</x:v>
      </x:c>
      <x:c r="G592" s="46" t="n">
        <x:f>MAX(0,Assumptions!$B$10-C592)</x:f>
        <x:v>0</x:v>
      </x:c>
      <x:c r="H592" s="50" t="n">
        <x:f>IF(B592="Active",E592*(1+Assumptions!$B$7)^G592,E592)</x:f>
        <x:v>0</x:v>
      </x:c>
      <x:c r="I592" s="50" t="n">
        <x:f>IF(B592="Active",MIN(Assumptions!$B$12,D592+G592),IF(B592="Deferred",MIN(Assumptions!$B$12,D592),D592))</x:f>
        <x:v>12.7</x:v>
      </x:c>
      <x:c r="J592" s="50" t="n">
        <x:f>IF(B592="Active",H592*I592*Assumptions!$B$11,IF(B592="Deferred",E592*I592*Assumptions!$B$11*(1+Assumptions!$B$9)^G592,F592))</x:f>
        <x:v>684000</x:v>
      </x:c>
      <x:c r="K592" s="37" t="n">
        <x:f>IF(B592="Pensioner",1,VLOOKUP(Assumptions!$B$10,Mortality!$A$2:$F$104,6,FALSE)/VLOOKUP(C592,Mortality!$A$2:$F$104,6,FALSE))</x:f>
        <x:v>1</x:v>
      </x:c>
      <x:c r="L592" s="37" t="n">
        <x:f>VLOOKUP(IF(B592="Pensioner",C592,Assumptions!$B$10),Mortality!$A$2:$E$104,5,FALSE)</x:f>
        <x:v>7.066956273830788</x:v>
      </x:c>
      <x:c r="M592" s="37" t="n">
        <x:f>1+Assumptions!$B$13*Assumptions!$B$14*Assumptions!$B$15</x:f>
        <x:v>1.31875</x:v>
      </x:c>
      <x:c r="N592" s="37" t="n">
        <x:f>IF(B592="Pensioner",1,1/(1+Assumptions!$B$6)^G592)</x:f>
        <x:v>1</x:v>
      </x:c>
      <x:c r="O592" s="50" t="n">
        <x:f>J592*K592*L592*M592*N592</x:f>
        <x:v>6374571.232902216</x:v>
      </x:c>
    </x:row>
    <x:row r="593">
      <x:c r="A593" s="42" t="str">
        <x:f>Members!A593</x:f>
        <x:v>P0156</x:v>
      </x:c>
      <x:c r="B593" s="42" t="str">
        <x:f>Members!B593</x:f>
        <x:v>Pensioner</x:v>
      </x:c>
      <x:c r="C593" s="42" t="n">
        <x:f>Members!C593</x:f>
        <x:v>61</x:v>
      </x:c>
      <x:c r="D593" s="44" t="n">
        <x:f>Members!D593</x:f>
        <x:v>32.8</x:v>
      </x:c>
      <x:c r="E593" s="48" t="n">
        <x:f>Members!E593</x:f>
        <x:v>0</x:v>
      </x:c>
      <x:c r="F593" s="48" t="n">
        <x:f>Members!F593</x:f>
        <x:v>267000</x:v>
      </x:c>
      <x:c r="G593" s="46" t="n">
        <x:f>MAX(0,Assumptions!$B$10-C593)</x:f>
        <x:v>0</x:v>
      </x:c>
      <x:c r="H593" s="50" t="n">
        <x:f>IF(B593="Active",E593*(1+Assumptions!$B$7)^G593,E593)</x:f>
        <x:v>0</x:v>
      </x:c>
      <x:c r="I593" s="50" t="n">
        <x:f>IF(B593="Active",MIN(Assumptions!$B$12,D593+G593),IF(B593="Deferred",MIN(Assumptions!$B$12,D593),D593))</x:f>
        <x:v>32.8</x:v>
      </x:c>
      <x:c r="J593" s="50" t="n">
        <x:f>IF(B593="Active",H593*I593*Assumptions!$B$11,IF(B593="Deferred",E593*I593*Assumptions!$B$11*(1+Assumptions!$B$9)^G593,F593))</x:f>
        <x:v>267000</x:v>
      </x:c>
      <x:c r="K593" s="37" t="n">
        <x:f>IF(B593="Pensioner",1,VLOOKUP(Assumptions!$B$10,Mortality!$A$2:$F$104,6,FALSE)/VLOOKUP(C593,Mortality!$A$2:$F$104,6,FALSE))</x:f>
        <x:v>1</x:v>
      </x:c>
      <x:c r="L593" s="37" t="n">
        <x:f>VLOOKUP(IF(B593="Pensioner",C593,Assumptions!$B$10),Mortality!$A$2:$E$104,5,FALSE)</x:f>
        <x:v>16.889485221588366</x:v>
      </x:c>
      <x:c r="M593" s="37" t="n">
        <x:f>1+Assumptions!$B$13*Assumptions!$B$14*Assumptions!$B$15</x:f>
        <x:v>1.31875</x:v>
      </x:c>
      <x:c r="N593" s="37" t="n">
        <x:f>IF(B593="Pensioner",1,1/(1+Assumptions!$B$6)^G593)</x:f>
        <x:v>1</x:v>
      </x:c>
      <x:c r="O593" s="50" t="n">
        <x:f>J593*K593*L593*M593*N593</x:f>
        <x:v>5946893.3058039</x:v>
      </x:c>
    </x:row>
    <x:row r="594">
      <x:c r="A594" s="42" t="str">
        <x:f>Members!A594</x:f>
        <x:v>A0087</x:v>
      </x:c>
      <x:c r="B594" s="42" t="str">
        <x:f>Members!B594</x:f>
        <x:v>Active</x:v>
      </x:c>
      <x:c r="C594" s="42" t="n">
        <x:f>Members!C594</x:f>
        <x:v>27</x:v>
      </x:c>
      <x:c r="D594" s="44" t="n">
        <x:f>Members!D594</x:f>
        <x:v>1.1</x:v>
      </x:c>
      <x:c r="E594" s="48" t="n">
        <x:f>Members!E594</x:f>
        <x:v>489000</x:v>
      </x:c>
      <x:c r="F594" s="48" t="n">
        <x:f>Members!F594</x:f>
        <x:v>0</x:v>
      </x:c>
      <x:c r="G594" s="46" t="n">
        <x:f>MAX(0,Assumptions!$B$10-C594)</x:f>
        <x:v>33</x:v>
      </x:c>
      <x:c r="H594" s="50" t="n">
        <x:f>IF(B594="Active",E594*(1+Assumptions!$B$7)^G594,E594)</x:f>
        <x:v>2861804.9269570196</x:v>
      </x:c>
      <x:c r="I594" s="50" t="n">
        <x:f>IF(B594="Active",MIN(Assumptions!$B$12,D594+G594),IF(B594="Deferred",MIN(Assumptions!$B$12,D594),D594))</x:f>
        <x:v>34.1</x:v>
      </x:c>
      <x:c r="J594" s="50" t="n">
        <x:f>IF(B594="Active",H594*I594*Assumptions!$B$11,IF(B594="Deferred",E594*I594*Assumptions!$B$11*(1+Assumptions!$B$9)^G594,F594))</x:f>
        <x:v>1626459.1334872395</x:v>
      </x:c>
      <x:c r="K594" s="37" t="n">
        <x:f>IF(B594="Pensioner",1,VLOOKUP(Assumptions!$B$10,Mortality!$A$2:$F$104,6,FALSE)/VLOOKUP(C594,Mortality!$A$2:$F$104,6,FALSE))</x:f>
        <x:v>0.9694971330284515</x:v>
      </x:c>
      <x:c r="L594" s="37" t="n">
        <x:f>VLOOKUP(IF(B594="Pensioner",C594,Assumptions!$B$10),Mortality!$A$2:$E$104,5,FALSE)</x:f>
        <x:v>17.296790022132885</x:v>
      </x:c>
      <x:c r="M594" s="37" t="n">
        <x:f>1+Assumptions!$B$13*Assumptions!$B$14*Assumptions!$B$15</x:f>
        <x:v>1.31875</x:v>
      </x:c>
      <x:c r="N594" s="37" t="n">
        <x:f>IF(B594="Pensioner",1,1/(1+Assumptions!$B$6)^G594)</x:f>
        <x:v>0.12515924752227392</x:v>
      </x:c>
      <x:c r="O594" s="50" t="n">
        <x:f>J594*K594*L594*M594*N594</x:f>
        <x:v>4501742.130944087</x:v>
      </x:c>
    </x:row>
    <x:row r="595">
      <x:c r="A595" s="42" t="str">
        <x:f>Members!A595</x:f>
        <x:v>P0084</x:v>
      </x:c>
      <x:c r="B595" s="42" t="str">
        <x:f>Members!B595</x:f>
        <x:v>Pensioner</x:v>
      </x:c>
      <x:c r="C595" s="42" t="n">
        <x:f>Members!C595</x:f>
        <x:v>74</x:v>
      </x:c>
      <x:c r="D595" s="44" t="n">
        <x:f>Members!D595</x:f>
        <x:v>26.2</x:v>
      </x:c>
      <x:c r="E595" s="48" t="n">
        <x:f>Members!E595</x:f>
        <x:v>0</x:v>
      </x:c>
      <x:c r="F595" s="48" t="n">
        <x:f>Members!F595</x:f>
        <x:v>555000</x:v>
      </x:c>
      <x:c r="G595" s="46" t="n">
        <x:f>MAX(0,Assumptions!$B$10-C595)</x:f>
        <x:v>0</x:v>
      </x:c>
      <x:c r="H595" s="50" t="n">
        <x:f>IF(B595="Active",E595*(1+Assumptions!$B$7)^G595,E595)</x:f>
        <x:v>0</x:v>
      </x:c>
      <x:c r="I595" s="50" t="n">
        <x:f>IF(B595="Active",MIN(Assumptions!$B$12,D595+G595),IF(B595="Deferred",MIN(Assumptions!$B$12,D595),D595))</x:f>
        <x:v>26.2</x:v>
      </x:c>
      <x:c r="J595" s="50" t="n">
        <x:f>IF(B595="Active",H595*I595*Assumptions!$B$11,IF(B595="Deferred",E595*I595*Assumptions!$B$11*(1+Assumptions!$B$9)^G595,F595))</x:f>
        <x:v>555000</x:v>
      </x:c>
      <x:c r="K595" s="37" t="n">
        <x:f>IF(B595="Pensioner",1,VLOOKUP(Assumptions!$B$10,Mortality!$A$2:$F$104,6,FALSE)/VLOOKUP(C595,Mortality!$A$2:$F$104,6,FALSE))</x:f>
        <x:v>1</x:v>
      </x:c>
      <x:c r="L595" s="37" t="n">
        <x:f>VLOOKUP(IF(B595="Pensioner",C595,Assumptions!$B$10),Mortality!$A$2:$E$104,5,FALSE)</x:f>
        <x:v>11.124346929912107</x:v>
      </x:c>
      <x:c r="M595" s="37" t="n">
        <x:f>1+Assumptions!$B$13*Assumptions!$B$14*Assumptions!$B$15</x:f>
        <x:v>1.31875</x:v>
      </x:c>
      <x:c r="N595" s="37" t="n">
        <x:f>IF(B595="Pensioner",1,1/(1+Assumptions!$B$6)^G595)</x:f>
        <x:v>1</x:v>
      </x:c>
      <x:c r="O595" s="50" t="n">
        <x:f>J595*K595*L595*M595*N595</x:f>
        <x:v>8141979.045170984</x:v>
      </x:c>
    </x:row>
    <x:row r="596">
      <x:c r="A596" s="42" t="str">
        <x:f>Members!A596</x:f>
        <x:v>P0172</x:v>
      </x:c>
      <x:c r="B596" s="42" t="str">
        <x:f>Members!B596</x:f>
        <x:v>Pensioner</x:v>
      </x:c>
      <x:c r="C596" s="42" t="n">
        <x:f>Members!C596</x:f>
        <x:v>82</x:v>
      </x:c>
      <x:c r="D596" s="44" t="n">
        <x:f>Members!D596</x:f>
        <x:v>14.4</x:v>
      </x:c>
      <x:c r="E596" s="48" t="n">
        <x:f>Members!E596</x:f>
        <x:v>0</x:v>
      </x:c>
      <x:c r="F596" s="48" t="n">
        <x:f>Members!F596</x:f>
        <x:v>277000</x:v>
      </x:c>
      <x:c r="G596" s="46" t="n">
        <x:f>MAX(0,Assumptions!$B$10-C596)</x:f>
        <x:v>0</x:v>
      </x:c>
      <x:c r="H596" s="50" t="n">
        <x:f>IF(B596="Active",E596*(1+Assumptions!$B$7)^G596,E596)</x:f>
        <x:v>0</x:v>
      </x:c>
      <x:c r="I596" s="50" t="n">
        <x:f>IF(B596="Active",MIN(Assumptions!$B$12,D596+G596),IF(B596="Deferred",MIN(Assumptions!$B$12,D596),D596))</x:f>
        <x:v>14.4</x:v>
      </x:c>
      <x:c r="J596" s="50" t="n">
        <x:f>IF(B596="Active",H596*I596*Assumptions!$B$11,IF(B596="Deferred",E596*I596*Assumptions!$B$11*(1+Assumptions!$B$9)^G596,F596))</x:f>
        <x:v>277000</x:v>
      </x:c>
      <x:c r="K596" s="37" t="n">
        <x:f>IF(B596="Pensioner",1,VLOOKUP(Assumptions!$B$10,Mortality!$A$2:$F$104,6,FALSE)/VLOOKUP(C596,Mortality!$A$2:$F$104,6,FALSE))</x:f>
        <x:v>1</x:v>
      </x:c>
      <x:c r="L596" s="37" t="n">
        <x:f>VLOOKUP(IF(B596="Pensioner",C596,Assumptions!$B$10),Mortality!$A$2:$E$104,5,FALSE)</x:f>
        <x:v>7.498462430808598</x:v>
      </x:c>
      <x:c r="M596" s="37" t="n">
        <x:f>1+Assumptions!$B$13*Assumptions!$B$14*Assumptions!$B$15</x:f>
        <x:v>1.31875</x:v>
      </x:c>
      <x:c r="N596" s="37" t="n">
        <x:f>IF(B596="Pensioner",1,1/(1+Assumptions!$B$6)^G596)</x:f>
        <x:v>1</x:v>
      </x:c>
      <x:c r="O596" s="50" t="n">
        <x:f>J596*K596*L596*M596*N596</x:f>
        <x:v>2739141.4605841883</x:v>
      </x:c>
    </x:row>
    <x:row r="597">
      <x:c r="A597" s="42" t="str">
        <x:f>Members!A597</x:f>
        <x:v>A0505</x:v>
      </x:c>
      <x:c r="B597" s="42" t="str">
        <x:f>Members!B597</x:f>
        <x:v>Active</x:v>
      </x:c>
      <x:c r="C597" s="42" t="n">
        <x:f>Members!C597</x:f>
        <x:v>48</x:v>
      </x:c>
      <x:c r="D597" s="44" t="n">
        <x:f>Members!D597</x:f>
        <x:v>4</x:v>
      </x:c>
      <x:c r="E597" s="48" t="n">
        <x:f>Members!E597</x:f>
        <x:v>978000</x:v>
      </x:c>
      <x:c r="F597" s="48" t="n">
        <x:f>Members!F597</x:f>
        <x:v>0</x:v>
      </x:c>
      <x:c r="G597" s="46" t="n">
        <x:f>MAX(0,Assumptions!$B$10-C597)</x:f>
        <x:v>12</x:v>
      </x:c>
      <x:c r="H597" s="50" t="n">
        <x:f>IF(B597="Active",E597*(1+Assumptions!$B$7)^G597,E597)</x:f>
        <x:v>1859380.9210723094</x:v>
      </x:c>
      <x:c r="I597" s="50" t="n">
        <x:f>IF(B597="Active",MIN(Assumptions!$B$12,D597+G597),IF(B597="Deferred",MIN(Assumptions!$B$12,D597),D597))</x:f>
        <x:v>16</x:v>
      </x:c>
      <x:c r="J597" s="50" t="n">
        <x:f>IF(B597="Active",H597*I597*Assumptions!$B$11,IF(B597="Deferred",E597*I597*Assumptions!$B$11*(1+Assumptions!$B$9)^G597,F597))</x:f>
        <x:v>495834.91228594916</x:v>
      </x:c>
      <x:c r="K597" s="37" t="n">
        <x:f>IF(B597="Pensioner",1,VLOOKUP(Assumptions!$B$10,Mortality!$A$2:$F$104,6,FALSE)/VLOOKUP(C597,Mortality!$A$2:$F$104,6,FALSE))</x:f>
        <x:v>0.9793037429736591</x:v>
      </x:c>
      <x:c r="L597" s="37" t="n">
        <x:f>VLOOKUP(IF(B597="Pensioner",C597,Assumptions!$B$10),Mortality!$A$2:$E$104,5,FALSE)</x:f>
        <x:v>17.296790022132885</x:v>
      </x:c>
      <x:c r="M597" s="37" t="n">
        <x:f>1+Assumptions!$B$13*Assumptions!$B$14*Assumptions!$B$15</x:f>
        <x:v>1.31875</x:v>
      </x:c>
      <x:c r="N597" s="37" t="n">
        <x:f>IF(B597="Pensioner",1,1/(1+Assumptions!$B$6)^G597)</x:f>
        <x:v>0.4696828543900276</x:v>
      </x:c>
      <x:c r="O597" s="50" t="n">
        <x:f>J597*K597*L597*M597*N597</x:f>
        <x:v>5202201.975462499</x:v>
      </x:c>
    </x:row>
    <x:row r="598">
      <x:c r="A598" s="42" t="str">
        <x:f>Members!A598</x:f>
        <x:v>P0059</x:v>
      </x:c>
      <x:c r="B598" s="42" t="str">
        <x:f>Members!B598</x:f>
        <x:v>Pensioner</x:v>
      </x:c>
      <x:c r="C598" s="42" t="n">
        <x:f>Members!C598</x:f>
        <x:v>78</x:v>
      </x:c>
      <x:c r="D598" s="44" t="n">
        <x:f>Members!D598</x:f>
        <x:v>16.3</x:v>
      </x:c>
      <x:c r="E598" s="48" t="n">
        <x:f>Members!E598</x:f>
        <x:v>0</x:v>
      </x:c>
      <x:c r="F598" s="48" t="n">
        <x:f>Members!F598</x:f>
        <x:v>556000</x:v>
      </x:c>
      <x:c r="G598" s="46" t="n">
        <x:f>MAX(0,Assumptions!$B$10-C598)</x:f>
        <x:v>0</x:v>
      </x:c>
      <x:c r="H598" s="50" t="n">
        <x:f>IF(B598="Active",E598*(1+Assumptions!$B$7)^G598,E598)</x:f>
        <x:v>0</x:v>
      </x:c>
      <x:c r="I598" s="50" t="n">
        <x:f>IF(B598="Active",MIN(Assumptions!$B$12,D598+G598),IF(B598="Deferred",MIN(Assumptions!$B$12,D598),D598))</x:f>
        <x:v>16.3</x:v>
      </x:c>
      <x:c r="J598" s="50" t="n">
        <x:f>IF(B598="Active",H598*I598*Assumptions!$B$11,IF(B598="Deferred",E598*I598*Assumptions!$B$11*(1+Assumptions!$B$9)^G598,F598))</x:f>
        <x:v>556000</x:v>
      </x:c>
      <x:c r="K598" s="37" t="n">
        <x:f>IF(B598="Pensioner",1,VLOOKUP(Assumptions!$B$10,Mortality!$A$2:$F$104,6,FALSE)/VLOOKUP(C598,Mortality!$A$2:$F$104,6,FALSE))</x:f>
        <x:v>1</x:v>
      </x:c>
      <x:c r="L598" s="37" t="n">
        <x:f>VLOOKUP(IF(B598="Pensioner",C598,Assumptions!$B$10),Mortality!$A$2:$E$104,5,FALSE)</x:f>
        <x:v>9.284717924120388</x:v>
      </x:c>
      <x:c r="M598" s="37" t="n">
        <x:f>1+Assumptions!$B$13*Assumptions!$B$14*Assumptions!$B$15</x:f>
        <x:v>1.31875</x:v>
      </x:c>
      <x:c r="N598" s="37" t="n">
        <x:f>IF(B598="Pensioner",1,1/(1+Assumptions!$B$6)^G598)</x:f>
        <x:v>1</x:v>
      </x:c>
      <x:c r="O598" s="50" t="n">
        <x:f>J598*K598*L598*M598*N598</x:f>
        <x:v>6807787.299913172</x:v>
      </x:c>
    </x:row>
    <x:row r="599">
      <x:c r="A599" s="42" t="str">
        <x:f>Members!A599</x:f>
        <x:v>A0274</x:v>
      </x:c>
      <x:c r="B599" s="42" t="str">
        <x:f>Members!B599</x:f>
        <x:v>Active</x:v>
      </x:c>
      <x:c r="C599" s="42" t="n">
        <x:f>Members!C599</x:f>
        <x:v>26</x:v>
      </x:c>
      <x:c r="D599" s="44" t="n">
        <x:f>Members!D599</x:f>
        <x:v>4.7</x:v>
      </x:c>
      <x:c r="E599" s="48" t="n">
        <x:f>Members!E599</x:f>
        <x:v>502000</x:v>
      </x:c>
      <x:c r="F599" s="48" t="n">
        <x:f>Members!F599</x:f>
        <x:v>0</x:v>
      </x:c>
      <x:c r="G599" s="46" t="n">
        <x:f>MAX(0,Assumptions!$B$10-C599)</x:f>
        <x:v>34</x:v>
      </x:c>
      <x:c r="H599" s="50" t="n">
        <x:f>IF(B599="Active",E599*(1+Assumptions!$B$7)^G599,E599)</x:f>
        <x:v>3099469.34021617</x:v>
      </x:c>
      <x:c r="I599" s="50" t="n">
        <x:f>IF(B599="Active",MIN(Assumptions!$B$12,D599+G599),IF(B599="Deferred",MIN(Assumptions!$B$12,D599),D599))</x:f>
        <x:v>38.7</x:v>
      </x:c>
      <x:c r="J599" s="50" t="n">
        <x:f>IF(B599="Active",H599*I599*Assumptions!$B$11,IF(B599="Deferred",E599*I599*Assumptions!$B$11*(1+Assumptions!$B$9)^G599,F599))</x:f>
        <x:v>1999157.7244394298</x:v>
      </x:c>
      <x:c r="K599" s="37" t="n">
        <x:f>IF(B599="Pensioner",1,VLOOKUP(Assumptions!$B$10,Mortality!$A$2:$F$104,6,FALSE)/VLOOKUP(C599,Mortality!$A$2:$F$104,6,FALSE))</x:f>
        <x:v>0.9692291629189255</x:v>
      </x:c>
      <x:c r="L599" s="37" t="n">
        <x:f>VLOOKUP(IF(B599="Pensioner",C599,Assumptions!$B$10),Mortality!$A$2:$E$104,5,FALSE)</x:f>
        <x:v>17.296790022132885</x:v>
      </x:c>
      <x:c r="M599" s="37" t="n">
        <x:f>1+Assumptions!$B$13*Assumptions!$B$14*Assumptions!$B$15</x:f>
        <x:v>1.31875</x:v>
      </x:c>
      <x:c r="N599" s="37" t="n">
        <x:f>IF(B599="Pensioner",1,1/(1+Assumptions!$B$6)^G599)</x:f>
        <x:v>0.11752042020870793</x:v>
      </x:c>
      <x:c r="O599" s="50" t="n">
        <x:f>J599*K599*L599*M599*N599</x:f>
        <x:v>5194154.384664694</x:v>
      </x:c>
    </x:row>
    <x:row r="600">
      <x:c r="A600" s="42" t="str">
        <x:f>Members!A600</x:f>
        <x:v>A0255</x:v>
      </x:c>
      <x:c r="B600" s="42" t="str">
        <x:f>Members!B600</x:f>
        <x:v>Active</x:v>
      </x:c>
      <x:c r="C600" s="42" t="n">
        <x:f>Members!C600</x:f>
        <x:v>38</x:v>
      </x:c>
      <x:c r="D600" s="44" t="n">
        <x:f>Members!D600</x:f>
        <x:v>7.3</x:v>
      </x:c>
      <x:c r="E600" s="48" t="n">
        <x:f>Members!E600</x:f>
        <x:v>768000</x:v>
      </x:c>
      <x:c r="F600" s="48" t="n">
        <x:f>Members!F600</x:f>
        <x:v>0</x:v>
      </x:c>
      <x:c r="G600" s="46" t="n">
        <x:f>MAX(0,Assumptions!$B$10-C600)</x:f>
        <x:v>22</x:v>
      </x:c>
      <x:c r="H600" s="50" t="n">
        <x:f>IF(B600="Active",E600*(1+Assumptions!$B$7)^G600,E600)</x:f>
        <x:v>2494108.4397923453</x:v>
      </x:c>
      <x:c r="I600" s="50" t="n">
        <x:f>IF(B600="Active",MIN(Assumptions!$B$12,D600+G600),IF(B600="Deferred",MIN(Assumptions!$B$12,D600),D600))</x:f>
        <x:v>29.3</x:v>
      </x:c>
      <x:c r="J600" s="50" t="n">
        <x:f>IF(B600="Active",H600*I600*Assumptions!$B$11,IF(B600="Deferred",E600*I600*Assumptions!$B$11*(1+Assumptions!$B$9)^G600,F600))</x:f>
        <x:v>1217956.2880985953</x:v>
      </x:c>
      <x:c r="K600" s="37" t="n">
        <x:f>IF(B600="Pensioner",1,VLOOKUP(Assumptions!$B$10,Mortality!$A$2:$F$104,6,FALSE)/VLOOKUP(C600,Mortality!$A$2:$F$104,6,FALSE))</x:f>
        <x:v>0.9731482688168002</x:v>
      </x:c>
      <x:c r="L600" s="37" t="n">
        <x:f>VLOOKUP(IF(B600="Pensioner",C600,Assumptions!$B$10),Mortality!$A$2:$E$104,5,FALSE)</x:f>
        <x:v>17.296790022132885</x:v>
      </x:c>
      <x:c r="M600" s="37" t="n">
        <x:f>1+Assumptions!$B$13*Assumptions!$B$14*Assumptions!$B$15</x:f>
        <x:v>1.31875</x:v>
      </x:c>
      <x:c r="N600" s="37" t="n">
        <x:f>IF(B600="Pensioner",1,1/(1+Assumptions!$B$6)^G600)</x:f>
        <x:v>0.25021228497116527</x:v>
      </x:c>
      <x:c r="O600" s="50" t="n">
        <x:f>J600*K600*L600*M600*N600</x:f>
        <x:v>6764681.150354034</x:v>
      </x:c>
    </x:row>
    <x:row r="601">
      <x:c r="A601" s="42" t="str">
        <x:f>Members!A601</x:f>
        <x:v>P0235</x:v>
      </x:c>
      <x:c r="B601" s="42" t="str">
        <x:f>Members!B601</x:f>
        <x:v>Pensioner</x:v>
      </x:c>
      <x:c r="C601" s="42" t="n">
        <x:f>Members!C601</x:f>
        <x:v>89</x:v>
      </x:c>
      <x:c r="D601" s="44" t="n">
        <x:f>Members!D601</x:f>
        <x:v>20.5</x:v>
      </x:c>
      <x:c r="E601" s="48" t="n">
        <x:f>Members!E601</x:f>
        <x:v>0</x:v>
      </x:c>
      <x:c r="F601" s="48" t="n">
        <x:f>Members!F601</x:f>
        <x:v>538000</x:v>
      </x:c>
      <x:c r="G601" s="46" t="n">
        <x:f>MAX(0,Assumptions!$B$10-C601)</x:f>
        <x:v>0</x:v>
      </x:c>
      <x:c r="H601" s="50" t="n">
        <x:f>IF(B601="Active",E601*(1+Assumptions!$B$7)^G601,E601)</x:f>
        <x:v>0</x:v>
      </x:c>
      <x:c r="I601" s="50" t="n">
        <x:f>IF(B601="Active",MIN(Assumptions!$B$12,D601+G601),IF(B601="Deferred",MIN(Assumptions!$B$12,D601),D601))</x:f>
        <x:v>20.5</x:v>
      </x:c>
      <x:c r="J601" s="50" t="n">
        <x:f>IF(B601="Active",H601*I601*Assumptions!$B$11,IF(B601="Deferred",E601*I601*Assumptions!$B$11*(1+Assumptions!$B$9)^G601,F601))</x:f>
        <x:v>538000</x:v>
      </x:c>
      <x:c r="K601" s="37" t="n">
        <x:f>IF(B601="Pensioner",1,VLOOKUP(Assumptions!$B$10,Mortality!$A$2:$F$104,6,FALSE)/VLOOKUP(C601,Mortality!$A$2:$F$104,6,FALSE))</x:f>
        <x:v>1</x:v>
      </x:c>
      <x:c r="L601" s="37" t="n">
        <x:f>VLOOKUP(IF(B601="Pensioner",C601,Assumptions!$B$10),Mortality!$A$2:$E$104,5,FALSE)</x:f>
        <x:v>4.671582182389365</x:v>
      </x:c>
      <x:c r="M601" s="37" t="n">
        <x:f>1+Assumptions!$B$13*Assumptions!$B$14*Assumptions!$B$15</x:f>
        <x:v>1.31875</x:v>
      </x:c>
      <x:c r="N601" s="37" t="n">
        <x:f>IF(B601="Pensioner",1,1/(1+Assumptions!$B$6)^G601)</x:f>
        <x:v>1</x:v>
      </x:c>
      <x:c r="O601" s="50" t="n">
        <x:f>J601*K601*L601*M601*N601</x:f>
        <x:v>3314429.1636279747</x:v>
      </x:c>
    </x:row>
    <x:row r="602">
      <x:c r="A602" s="42" t="str">
        <x:f>Members!A602</x:f>
        <x:v>D0110</x:v>
      </x:c>
      <x:c r="B602" s="42" t="str">
        <x:f>Members!B602</x:f>
        <x:v>Deferred</x:v>
      </x:c>
      <x:c r="C602" s="42" t="n">
        <x:f>Members!C602</x:f>
        <x:v>56</x:v>
      </x:c>
      <x:c r="D602" s="44" t="n">
        <x:f>Members!D602</x:f>
        <x:v>7.9</x:v>
      </x:c>
      <x:c r="E602" s="48" t="n">
        <x:f>Members!E602</x:f>
        <x:v>1472000</x:v>
      </x:c>
      <x:c r="F602" s="48" t="n">
        <x:f>Members!F602</x:f>
        <x:v>0</x:v>
      </x:c>
      <x:c r="G602" s="46" t="n">
        <x:f>MAX(0,Assumptions!$B$10-C602)</x:f>
        <x:v>4</x:v>
      </x:c>
      <x:c r="H602" s="50" t="n">
        <x:f>IF(B602="Active",E602*(1+Assumptions!$B$7)^G602,E602)</x:f>
        <x:v>1472000</x:v>
      </x:c>
      <x:c r="I602" s="50" t="n">
        <x:f>IF(B602="Active",MIN(Assumptions!$B$12,D602+G602),IF(B602="Deferred",MIN(Assumptions!$B$12,D602),D602))</x:f>
        <x:v>7.9</x:v>
      </x:c>
      <x:c r="J602" s="50" t="n">
        <x:f>IF(B602="Active",H602*I602*Assumptions!$B$11,IF(B602="Deferred",E602*I602*Assumptions!$B$11*(1+Assumptions!$B$9)^G602,F602))</x:f>
        <x:v>226734.1870421334</x:v>
      </x:c>
      <x:c r="K602" s="37" t="n">
        <x:f>IF(B602="Pensioner",1,VLOOKUP(Assumptions!$B$10,Mortality!$A$2:$F$104,6,FALSE)/VLOOKUP(C602,Mortality!$A$2:$F$104,6,FALSE))</x:f>
        <x:v>0.990116255810422</x:v>
      </x:c>
      <x:c r="L602" s="37" t="n">
        <x:f>VLOOKUP(IF(B602="Pensioner",C602,Assumptions!$B$10),Mortality!$A$2:$E$104,5,FALSE)</x:f>
        <x:v>17.296790022132885</x:v>
      </x:c>
      <x:c r="M602" s="37" t="n">
        <x:f>1+Assumptions!$B$13*Assumptions!$B$14*Assumptions!$B$15</x:f>
        <x:v>1.31875</x:v>
      </x:c>
      <x:c r="N602" s="37" t="n">
        <x:f>IF(B602="Pensioner",1,1/(1+Assumptions!$B$6)^G602)</x:f>
        <x:v>0.777323090894817</x:v>
      </x:c>
      <x:c r="O602" s="50" t="n">
        <x:f>J602*K602*L602*M602*N602</x:f>
        <x:v>3980455.3231925475</x:v>
      </x:c>
    </x:row>
    <x:row r="603">
      <x:c r="A603" s="42" t="str">
        <x:f>Members!A603</x:f>
        <x:v>P0064</x:v>
      </x:c>
      <x:c r="B603" s="42" t="str">
        <x:f>Members!B603</x:f>
        <x:v>Pensioner</x:v>
      </x:c>
      <x:c r="C603" s="42" t="n">
        <x:f>Members!C603</x:f>
        <x:v>85</x:v>
      </x:c>
      <x:c r="D603" s="44" t="n">
        <x:f>Members!D603</x:f>
        <x:v>39.8</x:v>
      </x:c>
      <x:c r="E603" s="48" t="n">
        <x:f>Members!E603</x:f>
        <x:v>0</x:v>
      </x:c>
      <x:c r="F603" s="48" t="n">
        <x:f>Members!F603</x:f>
        <x:v>395000</x:v>
      </x:c>
      <x:c r="G603" s="46" t="n">
        <x:f>MAX(0,Assumptions!$B$10-C603)</x:f>
        <x:v>0</x:v>
      </x:c>
      <x:c r="H603" s="50" t="n">
        <x:f>IF(B603="Active",E603*(1+Assumptions!$B$7)^G603,E603)</x:f>
        <x:v>0</x:v>
      </x:c>
      <x:c r="I603" s="50" t="n">
        <x:f>IF(B603="Active",MIN(Assumptions!$B$12,D603+G603),IF(B603="Deferred",MIN(Assumptions!$B$12,D603),D603))</x:f>
        <x:v>39.8</x:v>
      </x:c>
      <x:c r="J603" s="50" t="n">
        <x:f>IF(B603="Active",H603*I603*Assumptions!$B$11,IF(B603="Deferred",E603*I603*Assumptions!$B$11*(1+Assumptions!$B$9)^G603,F603))</x:f>
        <x:v>395000</x:v>
      </x:c>
      <x:c r="K603" s="37" t="n">
        <x:f>IF(B603="Pensioner",1,VLOOKUP(Assumptions!$B$10,Mortality!$A$2:$F$104,6,FALSE)/VLOOKUP(C603,Mortality!$A$2:$F$104,6,FALSE))</x:f>
        <x:v>1</x:v>
      </x:c>
      <x:c r="L603" s="37" t="n">
        <x:f>VLOOKUP(IF(B603="Pensioner",C603,Assumptions!$B$10),Mortality!$A$2:$E$104,5,FALSE)</x:f>
        <x:v>6.2282827560748935</x:v>
      </x:c>
      <x:c r="M603" s="37" t="n">
        <x:f>1+Assumptions!$B$13*Assumptions!$B$14*Assumptions!$B$15</x:f>
        <x:v>1.31875</x:v>
      </x:c>
      <x:c r="N603" s="37" t="n">
        <x:f>IF(B603="Pensioner",1,1/(1+Assumptions!$B$6)^G603)</x:f>
        <x:v>1</x:v>
      </x:c>
      <x:c r="O603" s="50" t="n">
        <x:f>J603*K603*L603*M603*N603</x:f>
        <x:v>3244351.414406638</x:v>
      </x:c>
    </x:row>
    <x:row r="604">
      <x:c r="A604" s="42" t="str">
        <x:f>Members!A604</x:f>
        <x:v>P0226</x:v>
      </x:c>
      <x:c r="B604" s="42" t="str">
        <x:f>Members!B604</x:f>
        <x:v>Pensioner</x:v>
      </x:c>
      <x:c r="C604" s="42" t="n">
        <x:f>Members!C604</x:f>
        <x:v>62</x:v>
      </x:c>
      <x:c r="D604" s="44" t="n">
        <x:f>Members!D604</x:f>
        <x:v>34.1</x:v>
      </x:c>
      <x:c r="E604" s="48" t="n">
        <x:f>Members!E604</x:f>
        <x:v>0</x:v>
      </x:c>
      <x:c r="F604" s="48" t="n">
        <x:f>Members!F604</x:f>
        <x:v>372000</x:v>
      </x:c>
      <x:c r="G604" s="46" t="n">
        <x:f>MAX(0,Assumptions!$B$10-C604)</x:f>
        <x:v>0</x:v>
      </x:c>
      <x:c r="H604" s="50" t="n">
        <x:f>IF(B604="Active",E604*(1+Assumptions!$B$7)^G604,E604)</x:f>
        <x:v>0</x:v>
      </x:c>
      <x:c r="I604" s="50" t="n">
        <x:f>IF(B604="Active",MIN(Assumptions!$B$12,D604+G604),IF(B604="Deferred",MIN(Assumptions!$B$12,D604),D604))</x:f>
        <x:v>34.1</x:v>
      </x:c>
      <x:c r="J604" s="50" t="n">
        <x:f>IF(B604="Active",H604*I604*Assumptions!$B$11,IF(B604="Deferred",E604*I604*Assumptions!$B$11*(1+Assumptions!$B$9)^G604,F604))</x:f>
        <x:v>372000</x:v>
      </x:c>
      <x:c r="K604" s="37" t="n">
        <x:f>IF(B604="Pensioner",1,VLOOKUP(Assumptions!$B$10,Mortality!$A$2:$F$104,6,FALSE)/VLOOKUP(C604,Mortality!$A$2:$F$104,6,FALSE))</x:f>
        <x:v>1</x:v>
      </x:c>
      <x:c r="L604" s="37" t="n">
        <x:f>VLOOKUP(IF(B604="Pensioner",C604,Assumptions!$B$10),Mortality!$A$2:$E$104,5,FALSE)</x:f>
        <x:v>16.475532548255334</x:v>
      </x:c>
      <x:c r="M604" s="37" t="n">
        <x:f>1+Assumptions!$B$13*Assumptions!$B$14*Assumptions!$B$15</x:f>
        <x:v>1.31875</x:v>
      </x:c>
      <x:c r="N604" s="37" t="n">
        <x:f>IF(B604="Pensioner",1,1/(1+Assumptions!$B$6)^G604)</x:f>
        <x:v>1</x:v>
      </x:c>
      <x:c r="O604" s="50" t="n">
        <x:f>J604*K604*L604*M604*N604</x:f>
        <x:v>8082484.379860361</x:v>
      </x:c>
    </x:row>
    <x:row r="605">
      <x:c r="A605" s="42" t="str">
        <x:f>Members!A605</x:f>
        <x:v>A0085</x:v>
      </x:c>
      <x:c r="B605" s="42" t="str">
        <x:f>Members!B605</x:f>
        <x:v>Active</x:v>
      </x:c>
      <x:c r="C605" s="42" t="n">
        <x:f>Members!C605</x:f>
        <x:v>58</x:v>
      </x:c>
      <x:c r="D605" s="44" t="n">
        <x:f>Members!D605</x:f>
        <x:v>29.9</x:v>
      </x:c>
      <x:c r="E605" s="48" t="n">
        <x:f>Members!E605</x:f>
        <x:v>1740000</x:v>
      </x:c>
      <x:c r="F605" s="48" t="n">
        <x:f>Members!F605</x:f>
        <x:v>0</x:v>
      </x:c>
      <x:c r="G605" s="46" t="n">
        <x:f>MAX(0,Assumptions!$B$10-C605)</x:f>
        <x:v>2</x:v>
      </x:c>
      <x:c r="H605" s="50" t="n">
        <x:f>IF(B605="Active",E605*(1+Assumptions!$B$7)^G605,E605)</x:f>
        <x:v>1936663.4999999998</x:v>
      </x:c>
      <x:c r="I605" s="50" t="n">
        <x:f>IF(B605="Active",MIN(Assumptions!$B$12,D605+G605),IF(B605="Deferred",MIN(Assumptions!$B$12,D605),D605))</x:f>
        <x:v>31.9</x:v>
      </x:c>
      <x:c r="J605" s="50" t="n">
        <x:f>IF(B605="Active",H605*I605*Assumptions!$B$11,IF(B605="Deferred",E605*I605*Assumptions!$B$11*(1+Assumptions!$B$9)^G605,F605))</x:f>
        <x:v>1029659.4274999999</x:v>
      </x:c>
      <x:c r="K605" s="37" t="n">
        <x:f>IF(B605="Pensioner",1,VLOOKUP(Assumptions!$B$10,Mortality!$A$2:$F$104,6,FALSE)/VLOOKUP(C605,Mortality!$A$2:$F$104,6,FALSE))</x:f>
        <x:v>0.9945213044203837</x:v>
      </x:c>
      <x:c r="L605" s="37" t="n">
        <x:f>VLOOKUP(IF(B605="Pensioner",C605,Assumptions!$B$10),Mortality!$A$2:$E$104,5,FALSE)</x:f>
        <x:v>17.296790022132885</x:v>
      </x:c>
      <x:c r="M605" s="37" t="n">
        <x:f>1+Assumptions!$B$13*Assumptions!$B$14*Assumptions!$B$15</x:f>
        <x:v>1.31875</x:v>
      </x:c>
      <x:c r="N605" s="37" t="n">
        <x:f>IF(B605="Pensioner",1,1/(1+Assumptions!$B$6)^G605)</x:f>
        <x:v>0.8816592827701736</x:v>
      </x:c>
      <x:c r="O605" s="50" t="n">
        <x:f>J605*K605*L605*M605*N605</x:f>
        <x:v>20593798.614220552</x:v>
      </x:c>
    </x:row>
    <x:row r="606">
      <x:c r="A606" s="42" t="str">
        <x:f>Members!A606</x:f>
        <x:v>A0107</x:v>
      </x:c>
      <x:c r="B606" s="42" t="str">
        <x:f>Members!B606</x:f>
        <x:v>Active</x:v>
      </x:c>
      <x:c r="C606" s="42" t="n">
        <x:f>Members!C606</x:f>
        <x:v>29</x:v>
      </x:c>
      <x:c r="D606" s="44" t="n">
        <x:f>Members!D606</x:f>
        <x:v>5.7</x:v>
      </x:c>
      <x:c r="E606" s="48" t="n">
        <x:f>Members!E606</x:f>
        <x:v>588000</x:v>
      </x:c>
      <x:c r="F606" s="48" t="n">
        <x:f>Members!F606</x:f>
        <x:v>0</x:v>
      </x:c>
      <x:c r="G606" s="46" t="n">
        <x:f>MAX(0,Assumptions!$B$10-C606)</x:f>
        <x:v>31</x:v>
      </x:c>
      <x:c r="H606" s="50" t="n">
        <x:f>IF(B606="Active",E606*(1+Assumptions!$B$7)^G606,E606)</x:f>
        <x:v>3091744.342242991</x:v>
      </x:c>
      <x:c r="I606" s="50" t="n">
        <x:f>IF(B606="Active",MIN(Assumptions!$B$12,D606+G606),IF(B606="Deferred",MIN(Assumptions!$B$12,D606),D606))</x:f>
        <x:v>36.7</x:v>
      </x:c>
      <x:c r="J606" s="50" t="n">
        <x:f>IF(B606="Active",H606*I606*Assumptions!$B$11,IF(B606="Deferred",E606*I606*Assumptions!$B$11*(1+Assumptions!$B$9)^G606,F606))</x:f>
        <x:v>1891116.9560052964</x:v>
      </x:c>
      <x:c r="K606" s="37" t="n">
        <x:f>IF(B606="Pensioner",1,VLOOKUP(Assumptions!$B$10,Mortality!$A$2:$F$104,6,FALSE)/VLOOKUP(C606,Mortality!$A$2:$F$104,6,FALSE))</x:f>
        <x:v>0.9700544954739736</x:v>
      </x:c>
      <x:c r="L606" s="37" t="n">
        <x:f>VLOOKUP(IF(B606="Pensioner",C606,Assumptions!$B$10),Mortality!$A$2:$E$104,5,FALSE)</x:f>
        <x:v>17.296790022132885</x:v>
      </x:c>
      <x:c r="M606" s="37" t="n">
        <x:f>1+Assumptions!$B$13*Assumptions!$B$14*Assumptions!$B$15</x:f>
        <x:v>1.31875</x:v>
      </x:c>
      <x:c r="N606" s="37" t="n">
        <x:f>IF(B606="Pensioner",1,1/(1+Assumptions!$B$6)^G606)</x:f>
        <x:v>0.1419587475209511</x:v>
      </x:c>
      <x:c r="O606" s="50" t="n">
        <x:f>J606*K606*L606*M606*N606</x:f>
        <x:v>5940249.221852667</x:v>
      </x:c>
    </x:row>
    <x:row r="607">
      <x:c r="A607" s="42" t="str">
        <x:f>Members!A607</x:f>
        <x:v>P0144</x:v>
      </x:c>
      <x:c r="B607" s="42" t="str">
        <x:f>Members!B607</x:f>
        <x:v>Pensioner</x:v>
      </x:c>
      <x:c r="C607" s="42" t="n">
        <x:f>Members!C607</x:f>
        <x:v>61</x:v>
      </x:c>
      <x:c r="D607" s="44" t="n">
        <x:f>Members!D607</x:f>
        <x:v>17.3</x:v>
      </x:c>
      <x:c r="E607" s="48" t="n">
        <x:f>Members!E607</x:f>
        <x:v>0</x:v>
      </x:c>
      <x:c r="F607" s="48" t="n">
        <x:f>Members!F607</x:f>
        <x:v>368000</x:v>
      </x:c>
      <x:c r="G607" s="46" t="n">
        <x:f>MAX(0,Assumptions!$B$10-C607)</x:f>
        <x:v>0</x:v>
      </x:c>
      <x:c r="H607" s="50" t="n">
        <x:f>IF(B607="Active",E607*(1+Assumptions!$B$7)^G607,E607)</x:f>
        <x:v>0</x:v>
      </x:c>
      <x:c r="I607" s="50" t="n">
        <x:f>IF(B607="Active",MIN(Assumptions!$B$12,D607+G607),IF(B607="Deferred",MIN(Assumptions!$B$12,D607),D607))</x:f>
        <x:v>17.3</x:v>
      </x:c>
      <x:c r="J607" s="50" t="n">
        <x:f>IF(B607="Active",H607*I607*Assumptions!$B$11,IF(B607="Deferred",E607*I607*Assumptions!$B$11*(1+Assumptions!$B$9)^G607,F607))</x:f>
        <x:v>368000</x:v>
      </x:c>
      <x:c r="K607" s="37" t="n">
        <x:f>IF(B607="Pensioner",1,VLOOKUP(Assumptions!$B$10,Mortality!$A$2:$F$104,6,FALSE)/VLOOKUP(C607,Mortality!$A$2:$F$104,6,FALSE))</x:f>
        <x:v>1</x:v>
      </x:c>
      <x:c r="L607" s="37" t="n">
        <x:f>VLOOKUP(IF(B607="Pensioner",C607,Assumptions!$B$10),Mortality!$A$2:$E$104,5,FALSE)</x:f>
        <x:v>16.889485221588366</x:v>
      </x:c>
      <x:c r="M607" s="37" t="n">
        <x:f>1+Assumptions!$B$13*Assumptions!$B$14*Assumptions!$B$15</x:f>
        <x:v>1.31875</x:v>
      </x:c>
      <x:c r="N607" s="37" t="n">
        <x:f>IF(B607="Pensioner",1,1/(1+Assumptions!$B$6)^G607)</x:f>
        <x:v>1</x:v>
      </x:c>
      <x:c r="O607" s="50" t="n">
        <x:f>J607*K607*L607*M607*N607</x:f>
        <x:v>8196467.178036835</x:v>
      </x:c>
    </x:row>
    <x:row r="608">
      <x:c r="A608" s="42" t="str">
        <x:f>Members!A608</x:f>
        <x:v>A0295</x:v>
      </x:c>
      <x:c r="B608" s="42" t="str">
        <x:f>Members!B608</x:f>
        <x:v>Active</x:v>
      </x:c>
      <x:c r="C608" s="42" t="n">
        <x:f>Members!C608</x:f>
        <x:v>39</x:v>
      </x:c>
      <x:c r="D608" s="44" t="n">
        <x:f>Members!D608</x:f>
        <x:v>8</x:v>
      </x:c>
      <x:c r="E608" s="48" t="n">
        <x:f>Members!E608</x:f>
        <x:v>977000</x:v>
      </x:c>
      <x:c r="F608" s="48" t="n">
        <x:f>Members!F608</x:f>
        <x:v>0</x:v>
      </x:c>
      <x:c r="G608" s="46" t="n">
        <x:f>MAX(0,Assumptions!$B$10-C608)</x:f>
        <x:v>21</x:v>
      </x:c>
      <x:c r="H608" s="50" t="n">
        <x:f>IF(B608="Active",E608*(1+Assumptions!$B$7)^G608,E608)</x:f>
        <x:v>3007434.767077806</x:v>
      </x:c>
      <x:c r="I608" s="50" t="n">
        <x:f>IF(B608="Active",MIN(Assumptions!$B$12,D608+G608),IF(B608="Deferred",MIN(Assumptions!$B$12,D608),D608))</x:f>
        <x:v>29</x:v>
      </x:c>
      <x:c r="J608" s="50" t="n">
        <x:f>IF(B608="Active",H608*I608*Assumptions!$B$11,IF(B608="Deferred",E608*I608*Assumptions!$B$11*(1+Assumptions!$B$9)^G608,F608))</x:f>
        <x:v>1453593.470754273</x:v>
      </x:c>
      <x:c r="K608" s="37" t="n">
        <x:f>IF(B608="Pensioner",1,VLOOKUP(Assumptions!$B$10,Mortality!$A$2:$F$104,6,FALSE)/VLOOKUP(C608,Mortality!$A$2:$F$104,6,FALSE))</x:f>
        <x:v>0.973585741778878</x:v>
      </x:c>
      <x:c r="L608" s="37" t="n">
        <x:f>VLOOKUP(IF(B608="Pensioner",C608,Assumptions!$B$10),Mortality!$A$2:$E$104,5,FALSE)</x:f>
        <x:v>17.296790022132885</x:v>
      </x:c>
      <x:c r="M608" s="37" t="n">
        <x:f>1+Assumptions!$B$13*Assumptions!$B$14*Assumptions!$B$15</x:f>
        <x:v>1.31875</x:v>
      </x:c>
      <x:c r="N608" s="37" t="n">
        <x:f>IF(B608="Pensioner",1,1/(1+Assumptions!$B$6)^G608)</x:f>
        <x:v>0.26647608349429097</x:v>
      </x:c>
      <x:c r="O608" s="50" t="n">
        <x:f>J608*K608*L608*M608*N608</x:f>
        <x:v>8602078.295572</x:v>
      </x:c>
    </x:row>
    <x:row r="609">
      <x:c r="A609" s="42" t="str">
        <x:f>Members!A609</x:f>
        <x:v>A0524</x:v>
      </x:c>
      <x:c r="B609" s="42" t="str">
        <x:f>Members!B609</x:f>
        <x:v>Active</x:v>
      </x:c>
      <x:c r="C609" s="42" t="n">
        <x:f>Members!C609</x:f>
        <x:v>57</x:v>
      </x:c>
      <x:c r="D609" s="44" t="n">
        <x:f>Members!D609</x:f>
        <x:v>25.2</x:v>
      </x:c>
      <x:c r="E609" s="48" t="n">
        <x:f>Members!E609</x:f>
        <x:v>1831000</x:v>
      </x:c>
      <x:c r="F609" s="48" t="n">
        <x:f>Members!F609</x:f>
        <x:v>0</x:v>
      </x:c>
      <x:c r="G609" s="46" t="n">
        <x:f>MAX(0,Assumptions!$B$10-C609)</x:f>
        <x:v>3</x:v>
      </x:c>
      <x:c r="H609" s="50" t="n">
        <x:f>IF(B609="Active",E609*(1+Assumptions!$B$7)^G609,E609)</x:f>
        <x:v>2150035.957625</x:v>
      </x:c>
      <x:c r="I609" s="50" t="n">
        <x:f>IF(B609="Active",MIN(Assumptions!$B$12,D609+G609),IF(B609="Deferred",MIN(Assumptions!$B$12,D609),D609))</x:f>
        <x:v>28.2</x:v>
      </x:c>
      <x:c r="J609" s="50" t="n">
        <x:f>IF(B609="Active",H609*I609*Assumptions!$B$11,IF(B609="Deferred",E609*I609*Assumptions!$B$11*(1+Assumptions!$B$9)^G609,F609))</x:f>
        <x:v>1010516.9000837499</x:v>
      </x:c>
      <x:c r="K609" s="37" t="n">
        <x:f>IF(B609="Pensioner",1,VLOOKUP(Assumptions!$B$10,Mortality!$A$2:$F$104,6,FALSE)/VLOOKUP(C609,Mortality!$A$2:$F$104,6,FALSE))</x:f>
        <x:v>0.9922003892921417</x:v>
      </x:c>
      <x:c r="L609" s="37" t="n">
        <x:f>VLOOKUP(IF(B609="Pensioner",C609,Assumptions!$B$10),Mortality!$A$2:$E$104,5,FALSE)</x:f>
        <x:v>17.296790022132885</x:v>
      </x:c>
      <x:c r="M609" s="37" t="n">
        <x:f>1+Assumptions!$B$13*Assumptions!$B$14*Assumptions!$B$15</x:f>
        <x:v>1.31875</x:v>
      </x:c>
      <x:c r="N609" s="37" t="n">
        <x:f>IF(B609="Pensioner",1,1/(1+Assumptions!$B$6)^G609)</x:f>
        <x:v>0.8278490918029799</x:v>
      </x:c>
      <x:c r="O609" s="50" t="n">
        <x:f>J609*K609*L609*M609*N609</x:f>
        <x:v>18933117.78932849</x:v>
      </x:c>
    </x:row>
    <x:row r="610">
      <x:c r="A610" s="42" t="str">
        <x:f>Members!A610</x:f>
        <x:v>A0369</x:v>
      </x:c>
      <x:c r="B610" s="42" t="str">
        <x:f>Members!B610</x:f>
        <x:v>Active</x:v>
      </x:c>
      <x:c r="C610" s="42" t="n">
        <x:f>Members!C610</x:f>
        <x:v>43</x:v>
      </x:c>
      <x:c r="D610" s="44" t="n">
        <x:f>Members!D610</x:f>
        <x:v>13.3</x:v>
      </x:c>
      <x:c r="E610" s="48" t="n">
        <x:f>Members!E610</x:f>
        <x:v>1236000</x:v>
      </x:c>
      <x:c r="F610" s="48" t="n">
        <x:f>Members!F610</x:f>
        <x:v>0</x:v>
      </x:c>
      <x:c r="G610" s="46" t="n">
        <x:f>MAX(0,Assumptions!$B$10-C610)</x:f>
        <x:v>17</x:v>
      </x:c>
      <x:c r="H610" s="50" t="n">
        <x:f>IF(B610="Active",E610*(1+Assumptions!$B$7)^G610,E610)</x:f>
        <x:v>3071215.454647606</x:v>
      </x:c>
      <x:c r="I610" s="50" t="n">
        <x:f>IF(B610="Active",MIN(Assumptions!$B$12,D610+G610),IF(B610="Deferred",MIN(Assumptions!$B$12,D610),D610))</x:f>
        <x:v>30.3</x:v>
      </x:c>
      <x:c r="J610" s="50" t="n">
        <x:f>IF(B610="Active",H610*I610*Assumptions!$B$11,IF(B610="Deferred",E610*I610*Assumptions!$B$11*(1+Assumptions!$B$9)^G610,F610))</x:f>
        <x:v>1550963.804597041</x:v>
      </x:c>
      <x:c r="K610" s="37" t="n">
        <x:f>IF(B610="Pensioner",1,VLOOKUP(Assumptions!$B$10,Mortality!$A$2:$F$104,6,FALSE)/VLOOKUP(C610,Mortality!$A$2:$F$104,6,FALSE))</x:f>
        <x:v>0.975651758424938</x:v>
      </x:c>
      <x:c r="L610" s="37" t="n">
        <x:f>VLOOKUP(IF(B610="Pensioner",C610,Assumptions!$B$10),Mortality!$A$2:$E$104,5,FALSE)</x:f>
        <x:v>17.296790022132885</x:v>
      </x:c>
      <x:c r="M610" s="37" t="n">
        <x:f>1+Assumptions!$B$13*Assumptions!$B$14*Assumptions!$B$15</x:f>
        <x:v>1.31875</x:v>
      </x:c>
      <x:c r="N610" s="37" t="n">
        <x:f>IF(B610="Pensioner",1,1/(1+Assumptions!$B$6)^G610)</x:f>
        <x:v>0.34281251466174323</x:v>
      </x:c>
      <x:c r="O610" s="50" t="n">
        <x:f>J610*K610*L610*M610*N610</x:f>
        <x:v>11832626.278392598</x:v>
      </x:c>
    </x:row>
    <x:row r="611">
      <x:c r="A611" s="42" t="str">
        <x:f>Members!A611</x:f>
        <x:v>P0206</x:v>
      </x:c>
      <x:c r="B611" s="42" t="str">
        <x:f>Members!B611</x:f>
        <x:v>Pensioner</x:v>
      </x:c>
      <x:c r="C611" s="42" t="n">
        <x:f>Members!C611</x:f>
        <x:v>88</x:v>
      </x:c>
      <x:c r="D611" s="44" t="n">
        <x:f>Members!D611</x:f>
        <x:v>20.5</x:v>
      </x:c>
      <x:c r="E611" s="48" t="n">
        <x:f>Members!E611</x:f>
        <x:v>0</x:v>
      </x:c>
      <x:c r="F611" s="48" t="n">
        <x:f>Members!F611</x:f>
        <x:v>917000</x:v>
      </x:c>
      <x:c r="G611" s="46" t="n">
        <x:f>MAX(0,Assumptions!$B$10-C611)</x:f>
        <x:v>0</x:v>
      </x:c>
      <x:c r="H611" s="50" t="n">
        <x:f>IF(B611="Active",E611*(1+Assumptions!$B$7)^G611,E611)</x:f>
        <x:v>0</x:v>
      </x:c>
      <x:c r="I611" s="50" t="n">
        <x:f>IF(B611="Active",MIN(Assumptions!$B$12,D611+G611),IF(B611="Deferred",MIN(Assumptions!$B$12,D611),D611))</x:f>
        <x:v>20.5</x:v>
      </x:c>
      <x:c r="J611" s="50" t="n">
        <x:f>IF(B611="Active",H611*I611*Assumptions!$B$11,IF(B611="Deferred",E611*I611*Assumptions!$B$11*(1+Assumptions!$B$9)^G611,F611))</x:f>
        <x:v>917000</x:v>
      </x:c>
      <x:c r="K611" s="37" t="n">
        <x:f>IF(B611="Pensioner",1,VLOOKUP(Assumptions!$B$10,Mortality!$A$2:$F$104,6,FALSE)/VLOOKUP(C611,Mortality!$A$2:$F$104,6,FALSE))</x:f>
        <x:v>1</x:v>
      </x:c>
      <x:c r="L611" s="37" t="n">
        <x:f>VLOOKUP(IF(B611="Pensioner",C611,Assumptions!$B$10),Mortality!$A$2:$E$104,5,FALSE)</x:f>
        <x:v>5.043742896221734</x:v>
      </x:c>
      <x:c r="M611" s="37" t="n">
        <x:f>1+Assumptions!$B$13*Assumptions!$B$14*Assumptions!$B$15</x:f>
        <x:v>1.31875</x:v>
      </x:c>
      <x:c r="N611" s="37" t="n">
        <x:f>IF(B611="Pensioner",1,1/(1+Assumptions!$B$6)^G611)</x:f>
        <x:v>1</x:v>
      </x:c>
      <x:c r="O611" s="50" t="n">
        <x:f>J611*K611*L611*M611*N611</x:f>
        <x:v>6099366.761007843</x:v>
      </x:c>
    </x:row>
    <x:row r="612">
      <x:c r="A612" s="42" t="str">
        <x:f>Members!A612</x:f>
        <x:v>P0207</x:v>
      </x:c>
      <x:c r="B612" s="42" t="str">
        <x:f>Members!B612</x:f>
        <x:v>Pensioner</x:v>
      </x:c>
      <x:c r="C612" s="42" t="n">
        <x:f>Members!C612</x:f>
        <x:v>73</x:v>
      </x:c>
      <x:c r="D612" s="44" t="n">
        <x:f>Members!D612</x:f>
        <x:v>16.6</x:v>
      </x:c>
      <x:c r="E612" s="48" t="n">
        <x:f>Members!E612</x:f>
        <x:v>0</x:v>
      </x:c>
      <x:c r="F612" s="48" t="n">
        <x:f>Members!F612</x:f>
        <x:v>241000</x:v>
      </x:c>
      <x:c r="G612" s="46" t="n">
        <x:f>MAX(0,Assumptions!$B$10-C612)</x:f>
        <x:v>0</x:v>
      </x:c>
      <x:c r="H612" s="50" t="n">
        <x:f>IF(B612="Active",E612*(1+Assumptions!$B$7)^G612,E612)</x:f>
        <x:v>0</x:v>
      </x:c>
      <x:c r="I612" s="50" t="n">
        <x:f>IF(B612="Active",MIN(Assumptions!$B$12,D612+G612),IF(B612="Deferred",MIN(Assumptions!$B$12,D612),D612))</x:f>
        <x:v>16.6</x:v>
      </x:c>
      <x:c r="J612" s="50" t="n">
        <x:f>IF(B612="Active",H612*I612*Assumptions!$B$11,IF(B612="Deferred",E612*I612*Assumptions!$B$11*(1+Assumptions!$B$9)^G612,F612))</x:f>
        <x:v>241000</x:v>
      </x:c>
      <x:c r="K612" s="37" t="n">
        <x:f>IF(B612="Pensioner",1,VLOOKUP(Assumptions!$B$10,Mortality!$A$2:$F$104,6,FALSE)/VLOOKUP(C612,Mortality!$A$2:$F$104,6,FALSE))</x:f>
        <x:v>1</x:v>
      </x:c>
      <x:c r="L612" s="37" t="n">
        <x:f>VLOOKUP(IF(B612="Pensioner",C612,Assumptions!$B$10),Mortality!$A$2:$E$104,5,FALSE)</x:f>
        <x:v>11.586176267789867</x:v>
      </x:c>
      <x:c r="M612" s="37" t="n">
        <x:f>1+Assumptions!$B$13*Assumptions!$B$14*Assumptions!$B$15</x:f>
        <x:v>1.31875</x:v>
      </x:c>
      <x:c r="N612" s="37" t="n">
        <x:f>IF(B612="Pensioner",1,1/(1+Assumptions!$B$6)^G612)</x:f>
        <x:v>1</x:v>
      </x:c>
      <x:c r="O612" s="50" t="n">
        <x:f>J612*K612*L612*M612*N612</x:f>
        <x:v>3682304.0587086407</x:v>
      </x:c>
    </x:row>
    <x:row r="613">
      <x:c r="A613" s="42" t="str">
        <x:f>Members!A613</x:f>
        <x:v>A0605</x:v>
      </x:c>
      <x:c r="B613" s="42" t="str">
        <x:f>Members!B613</x:f>
        <x:v>Active</x:v>
      </x:c>
      <x:c r="C613" s="42" t="n">
        <x:f>Members!C613</x:f>
        <x:v>50</x:v>
      </x:c>
      <x:c r="D613" s="44" t="n">
        <x:f>Members!D613</x:f>
        <x:v>1.8</x:v>
      </x:c>
      <x:c r="E613" s="48" t="n">
        <x:f>Members!E613</x:f>
        <x:v>1704000</x:v>
      </x:c>
      <x:c r="F613" s="48" t="n">
        <x:f>Members!F613</x:f>
        <x:v>0</x:v>
      </x:c>
      <x:c r="G613" s="46" t="n">
        <x:f>MAX(0,Assumptions!$B$10-C613)</x:f>
        <x:v>10</x:v>
      </x:c>
      <x:c r="H613" s="50" t="n">
        <x:f>IF(B613="Active",E613*(1+Assumptions!$B$7)^G613,E613)</x:f>
        <x:v>2910678.1570345224</x:v>
      </x:c>
      <x:c r="I613" s="50" t="n">
        <x:f>IF(B613="Active",MIN(Assumptions!$B$12,D613+G613),IF(B613="Deferred",MIN(Assumptions!$B$12,D613),D613))</x:f>
        <x:v>11.8</x:v>
      </x:c>
      <x:c r="J613" s="50" t="n">
        <x:f>IF(B613="Active",H613*I613*Assumptions!$B$11,IF(B613="Deferred",E613*I613*Assumptions!$B$11*(1+Assumptions!$B$9)^G613,F613))</x:f>
        <x:v>572433.3708834561</x:v>
      </x:c>
      <x:c r="K613" s="37" t="n">
        <x:f>IF(B613="Pensioner",1,VLOOKUP(Assumptions!$B$10,Mortality!$A$2:$F$104,6,FALSE)/VLOOKUP(C613,Mortality!$A$2:$F$104,6,FALSE))</x:f>
        <x:v>0.9812729933582415</x:v>
      </x:c>
      <x:c r="L613" s="37" t="n">
        <x:f>VLOOKUP(IF(B613="Pensioner",C613,Assumptions!$B$10),Mortality!$A$2:$E$104,5,FALSE)</x:f>
        <x:v>17.296790022132885</x:v>
      </x:c>
      <x:c r="M613" s="37" t="n">
        <x:f>1+Assumptions!$B$13*Assumptions!$B$14*Assumptions!$B$15</x:f>
        <x:v>1.31875</x:v>
      </x:c>
      <x:c r="N613" s="37" t="n">
        <x:f>IF(B613="Pensioner",1,1/(1+Assumptions!$B$6)^G613)</x:f>
        <x:v>0.5327260355205289</x:v>
      </x:c>
      <x:c r="O613" s="50" t="n">
        <x:f>J613*K613*L613*M613*N613</x:f>
        <x:v>6825692.1685155565</x:v>
      </x:c>
    </x:row>
    <x:row r="614">
      <x:c r="A614" s="42" t="str">
        <x:f>Members!A614</x:f>
        <x:v>A0413</x:v>
      </x:c>
      <x:c r="B614" s="42" t="str">
        <x:f>Members!B614</x:f>
        <x:v>Active</x:v>
      </x:c>
      <x:c r="C614" s="42" t="n">
        <x:f>Members!C614</x:f>
        <x:v>42</x:v>
      </x:c>
      <x:c r="D614" s="44" t="n">
        <x:f>Members!D614</x:f>
        <x:v>11.3</x:v>
      </x:c>
      <x:c r="E614" s="48" t="n">
        <x:f>Members!E614</x:f>
        <x:v>1163000</x:v>
      </x:c>
      <x:c r="F614" s="48" t="n">
        <x:f>Members!F614</x:f>
        <x:v>0</x:v>
      </x:c>
      <x:c r="G614" s="46" t="n">
        <x:f>MAX(0,Assumptions!$B$10-C614)</x:f>
        <x:v>18</x:v>
      </x:c>
      <x:c r="H614" s="50" t="n">
        <x:f>IF(B614="Active",E614*(1+Assumptions!$B$7)^G614,E614)</x:f>
        <x:v>3048765.2672424754</x:v>
      </x:c>
      <x:c r="I614" s="50" t="n">
        <x:f>IF(B614="Active",MIN(Assumptions!$B$12,D614+G614),IF(B614="Deferred",MIN(Assumptions!$B$12,D614),D614))</x:f>
        <x:v>29.3</x:v>
      </x:c>
      <x:c r="J614" s="50" t="n">
        <x:f>IF(B614="Active",H614*I614*Assumptions!$B$11,IF(B614="Deferred",E614*I614*Assumptions!$B$11*(1+Assumptions!$B$9)^G614,F614))</x:f>
        <x:v>1488813.7055034088</x:v>
      </x:c>
      <x:c r="K614" s="37" t="n">
        <x:f>IF(B614="Pensioner",1,VLOOKUP(Assumptions!$B$10,Mortality!$A$2:$F$104,6,FALSE)/VLOOKUP(C614,Mortality!$A$2:$F$104,6,FALSE))</x:f>
        <x:v>0.9750799707838386</x:v>
      </x:c>
      <x:c r="L614" s="37" t="n">
        <x:f>VLOOKUP(IF(B614="Pensioner",C614,Assumptions!$B$10),Mortality!$A$2:$E$104,5,FALSE)</x:f>
        <x:v>17.296790022132885</x:v>
      </x:c>
      <x:c r="M614" s="37" t="n">
        <x:f>1+Assumptions!$B$13*Assumptions!$B$14*Assumptions!$B$15</x:f>
        <x:v>1.31875</x:v>
      </x:c>
      <x:c r="N614" s="37" t="n">
        <x:f>IF(B614="Pensioner",1,1/(1+Assumptions!$B$6)^G614)</x:f>
        <x:v>0.3218896851283974</x:v>
      </x:c>
      <x:c r="O614" s="50" t="n">
        <x:f>J614*K614*L614*M614*N614</x:f>
        <x:v>10658979.812674113</x:v>
      </x:c>
    </x:row>
    <x:row r="615">
      <x:c r="A615" s="42" t="str">
        <x:f>Members!A615</x:f>
        <x:v>A0542</x:v>
      </x:c>
      <x:c r="B615" s="42" t="str">
        <x:f>Members!B615</x:f>
        <x:v>Active</x:v>
      </x:c>
      <x:c r="C615" s="42" t="n">
        <x:f>Members!C615</x:f>
        <x:v>49</x:v>
      </x:c>
      <x:c r="D615" s="44" t="n">
        <x:f>Members!D615</x:f>
        <x:v>21.9</x:v>
      </x:c>
      <x:c r="E615" s="48" t="n">
        <x:f>Members!E615</x:f>
        <x:v>1148000</x:v>
      </x:c>
      <x:c r="F615" s="48" t="n">
        <x:f>Members!F615</x:f>
        <x:v>0</x:v>
      </x:c>
      <x:c r="G615" s="46" t="n">
        <x:f>MAX(0,Assumptions!$B$10-C615)</x:f>
        <x:v>11</x:v>
      </x:c>
      <x:c r="H615" s="50" t="n">
        <x:f>IF(B615="Active",E615*(1+Assumptions!$B$7)^G615,E615)</x:f>
        <x:v>2068802.0792903702</x:v>
      </x:c>
      <x:c r="I615" s="50" t="n">
        <x:f>IF(B615="Active",MIN(Assumptions!$B$12,D615+G615),IF(B615="Deferred",MIN(Assumptions!$B$12,D615),D615))</x:f>
        <x:v>32.9</x:v>
      </x:c>
      <x:c r="J615" s="50" t="n">
        <x:f>IF(B615="Active",H615*I615*Assumptions!$B$11,IF(B615="Deferred",E615*I615*Assumptions!$B$11*(1+Assumptions!$B$9)^G615,F615))</x:f>
        <x:v>1134393.1401442196</x:v>
      </x:c>
      <x:c r="K615" s="37" t="n">
        <x:f>IF(B615="Pensioner",1,VLOOKUP(Assumptions!$B$10,Mortality!$A$2:$F$104,6,FALSE)/VLOOKUP(C615,Mortality!$A$2:$F$104,6,FALSE))</x:f>
        <x:v>0.9802429662359576</x:v>
      </x:c>
      <x:c r="L615" s="37" t="n">
        <x:f>VLOOKUP(IF(B615="Pensioner",C615,Assumptions!$B$10),Mortality!$A$2:$E$104,5,FALSE)</x:f>
        <x:v>17.296790022132885</x:v>
      </x:c>
      <x:c r="M615" s="37" t="n">
        <x:f>1+Assumptions!$B$13*Assumptions!$B$14*Assumptions!$B$15</x:f>
        <x:v>1.31875</x:v>
      </x:c>
      <x:c r="N615" s="37" t="n">
        <x:f>IF(B615="Pensioner",1,1/(1+Assumptions!$B$6)^G615)</x:f>
        <x:v>0.5002122399253793</x:v>
      </x:c>
      <x:c r="O615" s="50" t="n">
        <x:f>J615*K615*L615*M615*N615</x:f>
        <x:v>12687604.3353074</x:v>
      </x:c>
    </x:row>
    <x:row r="616">
      <x:c r="A616" s="42" t="str">
        <x:f>Members!A616</x:f>
        <x:v>P0090</x:v>
      </x:c>
      <x:c r="B616" s="42" t="str">
        <x:f>Members!B616</x:f>
        <x:v>Pensioner</x:v>
      </x:c>
      <x:c r="C616" s="42" t="n">
        <x:f>Members!C616</x:f>
        <x:v>63</x:v>
      </x:c>
      <x:c r="D616" s="44" t="n">
        <x:f>Members!D616</x:f>
        <x:v>25</x:v>
      </x:c>
      <x:c r="E616" s="48" t="n">
        <x:f>Members!E616</x:f>
        <x:v>0</x:v>
      </x:c>
      <x:c r="F616" s="48" t="n">
        <x:f>Members!F616</x:f>
        <x:v>164000</x:v>
      </x:c>
      <x:c r="G616" s="46" t="n">
        <x:f>MAX(0,Assumptions!$B$10-C616)</x:f>
        <x:v>0</x:v>
      </x:c>
      <x:c r="H616" s="50" t="n">
        <x:f>IF(B616="Active",E616*(1+Assumptions!$B$7)^G616,E616)</x:f>
        <x:v>0</x:v>
      </x:c>
      <x:c r="I616" s="50" t="n">
        <x:f>IF(B616="Active",MIN(Assumptions!$B$12,D616+G616),IF(B616="Deferred",MIN(Assumptions!$B$12,D616),D616))</x:f>
        <x:v>25</x:v>
      </x:c>
      <x:c r="J616" s="50" t="n">
        <x:f>IF(B616="Active",H616*I616*Assumptions!$B$11,IF(B616="Deferred",E616*I616*Assumptions!$B$11*(1+Assumptions!$B$9)^G616,F616))</x:f>
        <x:v>164000</x:v>
      </x:c>
      <x:c r="K616" s="37" t="n">
        <x:f>IF(B616="Pensioner",1,VLOOKUP(Assumptions!$B$10,Mortality!$A$2:$F$104,6,FALSE)/VLOOKUP(C616,Mortality!$A$2:$F$104,6,FALSE))</x:f>
        <x:v>1</x:v>
      </x:c>
      <x:c r="L616" s="37" t="n">
        <x:f>VLOOKUP(IF(B616="Pensioner",C616,Assumptions!$B$10),Mortality!$A$2:$E$104,5,FALSE)</x:f>
        <x:v>16.055191398346196</x:v>
      </x:c>
      <x:c r="M616" s="37" t="n">
        <x:f>1+Assumptions!$B$13*Assumptions!$B$14*Assumptions!$B$15</x:f>
        <x:v>1.31875</x:v>
      </x:c>
      <x:c r="N616" s="37" t="n">
        <x:f>IF(B616="Pensioner",1,1/(1+Assumptions!$B$6)^G616)</x:f>
        <x:v>1</x:v>
      </x:c>
      <x:c r="O616" s="50" t="n">
        <x:f>J616*K616*L616*M616*N616</x:f>
        <x:v>3472336.5196773233</x:v>
      </x:c>
    </x:row>
    <x:row r="617">
      <x:c r="A617" s="42" t="str">
        <x:f>Members!A617</x:f>
        <x:v>A0473</x:v>
      </x:c>
      <x:c r="B617" s="42" t="str">
        <x:f>Members!B617</x:f>
        <x:v>Active</x:v>
      </x:c>
      <x:c r="C617" s="42" t="n">
        <x:f>Members!C617</x:f>
        <x:v>58</x:v>
      </x:c>
      <x:c r="D617" s="44" t="n">
        <x:f>Members!D617</x:f>
        <x:v>12.3</x:v>
      </x:c>
      <x:c r="E617" s="48" t="n">
        <x:f>Members!E617</x:f>
        <x:v>1676000</x:v>
      </x:c>
      <x:c r="F617" s="48" t="n">
        <x:f>Members!F617</x:f>
        <x:v>0</x:v>
      </x:c>
      <x:c r="G617" s="46" t="n">
        <x:f>MAX(0,Assumptions!$B$10-C617)</x:f>
        <x:v>2</x:v>
      </x:c>
      <x:c r="H617" s="50" t="n">
        <x:f>IF(B617="Active",E617*(1+Assumptions!$B$7)^G617,E617)</x:f>
        <x:v>1865429.9</x:v>
      </x:c>
      <x:c r="I617" s="50" t="n">
        <x:f>IF(B617="Active",MIN(Assumptions!$B$12,D617+G617),IF(B617="Deferred",MIN(Assumptions!$B$12,D617),D617))</x:f>
        <x:v>14.3</x:v>
      </x:c>
      <x:c r="J617" s="50" t="n">
        <x:f>IF(B617="Active",H617*I617*Assumptions!$B$11,IF(B617="Deferred",E617*I617*Assumptions!$B$11*(1+Assumptions!$B$9)^G617,F617))</x:f>
        <x:v>444594.1261666667</x:v>
      </x:c>
      <x:c r="K617" s="37" t="n">
        <x:f>IF(B617="Pensioner",1,VLOOKUP(Assumptions!$B$10,Mortality!$A$2:$F$104,6,FALSE)/VLOOKUP(C617,Mortality!$A$2:$F$104,6,FALSE))</x:f>
        <x:v>0.9945213044203837</x:v>
      </x:c>
      <x:c r="L617" s="37" t="n">
        <x:f>VLOOKUP(IF(B617="Pensioner",C617,Assumptions!$B$10),Mortality!$A$2:$E$104,5,FALSE)</x:f>
        <x:v>17.296790022132885</x:v>
      </x:c>
      <x:c r="M617" s="37" t="n">
        <x:f>1+Assumptions!$B$13*Assumptions!$B$14*Assumptions!$B$15</x:f>
        <x:v>1.31875</x:v>
      </x:c>
      <x:c r="N617" s="37" t="n">
        <x:f>IF(B617="Pensioner",1,1/(1+Assumptions!$B$6)^G617)</x:f>
        <x:v>0.8816592827701736</x:v>
      </x:c>
      <x:c r="O617" s="50" t="n">
        <x:f>J617*K617*L617*M617*N617</x:f>
        <x:v>8892145.941471213</x:v>
      </x:c>
    </x:row>
    <x:row r="618">
      <x:c r="A618" s="42" t="str">
        <x:f>Members!A618</x:f>
        <x:v>A0125</x:v>
      </x:c>
      <x:c r="B618" s="42" t="str">
        <x:f>Members!B618</x:f>
        <x:v>Active</x:v>
      </x:c>
      <x:c r="C618" s="42" t="n">
        <x:f>Members!C618</x:f>
        <x:v>25</x:v>
      </x:c>
      <x:c r="D618" s="44" t="n">
        <x:f>Members!D618</x:f>
        <x:v>1</x:v>
      </x:c>
      <x:c r="E618" s="48" t="n">
        <x:f>Members!E618</x:f>
        <x:v>368000</x:v>
      </x:c>
      <x:c r="F618" s="48" t="n">
        <x:f>Members!F618</x:f>
        <x:v>0</x:v>
      </x:c>
      <x:c r="G618" s="46" t="n">
        <x:f>MAX(0,Assumptions!$B$10-C618)</x:f>
        <x:v>35</x:v>
      </x:c>
      <x:c r="H618" s="50" t="n">
        <x:f>IF(B618="Active",E618*(1+Assumptions!$B$7)^G618,E618)</x:f>
        <x:v>2397087.602879533</x:v>
      </x:c>
      <x:c r="I618" s="50" t="n">
        <x:f>IF(B618="Active",MIN(Assumptions!$B$12,D618+G618),IF(B618="Deferred",MIN(Assumptions!$B$12,D618),D618))</x:f>
        <x:v>36</x:v>
      </x:c>
      <x:c r="J618" s="50" t="n">
        <x:f>IF(B618="Active",H618*I618*Assumptions!$B$11,IF(B618="Deferred",E618*I618*Assumptions!$B$11*(1+Assumptions!$B$9)^G618,F618))</x:f>
        <x:v>1438252.5617277198</x:v>
      </x:c>
      <x:c r="K618" s="37" t="n">
        <x:f>IF(B618="Pensioner",1,VLOOKUP(Assumptions!$B$10,Mortality!$A$2:$F$104,6,FALSE)/VLOOKUP(C618,Mortality!$A$2:$F$104,6,FALSE))</x:f>
        <x:v>0.9689672976041144</x:v>
      </x:c>
      <x:c r="L618" s="37" t="n">
        <x:f>VLOOKUP(IF(B618="Pensioner",C618,Assumptions!$B$10),Mortality!$A$2:$E$104,5,FALSE)</x:f>
        <x:v>17.296790022132885</x:v>
      </x:c>
      <x:c r="M618" s="37" t="n">
        <x:f>1+Assumptions!$B$13*Assumptions!$B$14*Assumptions!$B$15</x:f>
        <x:v>1.31875</x:v>
      </x:c>
      <x:c r="N618" s="37" t="n">
        <x:f>IF(B618="Pensioner",1,1/(1+Assumptions!$B$6)^G618)</x:f>
        <x:v>0.11034781240254267</x:v>
      </x:c>
      <x:c r="O618" s="50" t="n">
        <x:f>J618*K618*L618*M618*N618</x:f>
        <x:v>3507809.4195927694</x:v>
      </x:c>
    </x:row>
    <x:row r="619">
      <x:c r="A619" s="42" t="str">
        <x:f>Members!A619</x:f>
        <x:v>D0114</x:v>
      </x:c>
      <x:c r="B619" s="42" t="str">
        <x:f>Members!B619</x:f>
        <x:v>Deferred</x:v>
      </x:c>
      <x:c r="C619" s="42" t="n">
        <x:f>Members!C619</x:f>
        <x:v>42</x:v>
      </x:c>
      <x:c r="D619" s="44" t="n">
        <x:f>Members!D619</x:f>
        <x:v>13.4</x:v>
      </x:c>
      <x:c r="E619" s="48" t="n">
        <x:f>Members!E619</x:f>
        <x:v>607000</x:v>
      </x:c>
      <x:c r="F619" s="48" t="n">
        <x:f>Members!F619</x:f>
        <x:v>0</x:v>
      </x:c>
      <x:c r="G619" s="46" t="n">
        <x:f>MAX(0,Assumptions!$B$10-C619)</x:f>
        <x:v>18</x:v>
      </x:c>
      <x:c r="H619" s="50" t="n">
        <x:f>IF(B619="Active",E619*(1+Assumptions!$B$7)^G619,E619)</x:f>
        <x:v>607000</x:v>
      </x:c>
      <x:c r="I619" s="50" t="n">
        <x:f>IF(B619="Active",MIN(Assumptions!$B$12,D619+G619),IF(B619="Deferred",MIN(Assumptions!$B$12,D619),D619))</x:f>
        <x:v>13.4</x:v>
      </x:c>
      <x:c r="J619" s="50" t="n">
        <x:f>IF(B619="Active",H619*I619*Assumptions!$B$11,IF(B619="Deferred",E619*I619*Assumptions!$B$11*(1+Assumptions!$B$9)^G619,F619))</x:f>
        <x:v>274626.4395464319</x:v>
      </x:c>
      <x:c r="K619" s="37" t="n">
        <x:f>IF(B619="Pensioner",1,VLOOKUP(Assumptions!$B$10,Mortality!$A$2:$F$104,6,FALSE)/VLOOKUP(C619,Mortality!$A$2:$F$104,6,FALSE))</x:f>
        <x:v>0.9750799707838386</x:v>
      </x:c>
      <x:c r="L619" s="37" t="n">
        <x:f>VLOOKUP(IF(B619="Pensioner",C619,Assumptions!$B$10),Mortality!$A$2:$E$104,5,FALSE)</x:f>
        <x:v>17.296790022132885</x:v>
      </x:c>
      <x:c r="M619" s="37" t="n">
        <x:f>1+Assumptions!$B$13*Assumptions!$B$14*Assumptions!$B$15</x:f>
        <x:v>1.31875</x:v>
      </x:c>
      <x:c r="N619" s="37" t="n">
        <x:f>IF(B619="Pensioner",1,1/(1+Assumptions!$B$6)^G619)</x:f>
        <x:v>0.3218896851283974</x:v>
      </x:c>
      <x:c r="O619" s="50" t="n">
        <x:f>J619*K619*L619*M619*N619</x:f>
        <x:v>1966154.4384844347</x:v>
      </x:c>
    </x:row>
    <x:row r="620">
      <x:c r="A620" s="42" t="str">
        <x:f>Members!A620</x:f>
        <x:v>A0123</x:v>
      </x:c>
      <x:c r="B620" s="42" t="str">
        <x:f>Members!B620</x:f>
        <x:v>Active</x:v>
      </x:c>
      <x:c r="C620" s="42" t="n">
        <x:f>Members!C620</x:f>
        <x:v>42</x:v>
      </x:c>
      <x:c r="D620" s="44" t="n">
        <x:f>Members!D620</x:f>
        <x:v>13.1</x:v>
      </x:c>
      <x:c r="E620" s="48" t="n">
        <x:f>Members!E620</x:f>
        <x:v>787000</x:v>
      </x:c>
      <x:c r="F620" s="48" t="n">
        <x:f>Members!F620</x:f>
        <x:v>0</x:v>
      </x:c>
      <x:c r="G620" s="46" t="n">
        <x:f>MAX(0,Assumptions!$B$10-C620)</x:f>
        <x:v>18</x:v>
      </x:c>
      <x:c r="H620" s="50" t="n">
        <x:f>IF(B620="Active",E620*(1+Assumptions!$B$7)^G620,E620)</x:f>
        <x:v>2063093.9512638247</x:v>
      </x:c>
      <x:c r="I620" s="50" t="n">
        <x:f>IF(B620="Active",MIN(Assumptions!$B$12,D620+G620),IF(B620="Deferred",MIN(Assumptions!$B$12,D620),D620))</x:f>
        <x:v>31.1</x:v>
      </x:c>
      <x:c r="J620" s="50" t="n">
        <x:f>IF(B620="Active",H620*I620*Assumptions!$B$11,IF(B620="Deferred",E620*I620*Assumptions!$B$11*(1+Assumptions!$B$9)^G620,F620))</x:f>
        <x:v>1069370.3647384157</x:v>
      </x:c>
      <x:c r="K620" s="37" t="n">
        <x:f>IF(B620="Pensioner",1,VLOOKUP(Assumptions!$B$10,Mortality!$A$2:$F$104,6,FALSE)/VLOOKUP(C620,Mortality!$A$2:$F$104,6,FALSE))</x:f>
        <x:v>0.9750799707838386</x:v>
      </x:c>
      <x:c r="L620" s="37" t="n">
        <x:f>VLOOKUP(IF(B620="Pensioner",C620,Assumptions!$B$10),Mortality!$A$2:$E$104,5,FALSE)</x:f>
        <x:v>17.296790022132885</x:v>
      </x:c>
      <x:c r="M620" s="37" t="n">
        <x:f>1+Assumptions!$B$13*Assumptions!$B$14*Assumptions!$B$15</x:f>
        <x:v>1.31875</x:v>
      </x:c>
      <x:c r="N620" s="37" t="n">
        <x:f>IF(B620="Pensioner",1,1/(1+Assumptions!$B$6)^G620)</x:f>
        <x:v>0.3218896851283974</x:v>
      </x:c>
      <x:c r="O620" s="50" t="n">
        <x:f>J620*K620*L620*M620*N620</x:f>
        <x:v>7656026.46448275</x:v>
      </x:c>
    </x:row>
    <x:row r="621">
      <x:c r="A621" s="42" t="str">
        <x:f>Members!A621</x:f>
        <x:v>A0379</x:v>
      </x:c>
      <x:c r="B621" s="42" t="str">
        <x:f>Members!B621</x:f>
        <x:v>Active</x:v>
      </x:c>
      <x:c r="C621" s="42" t="n">
        <x:f>Members!C621</x:f>
        <x:v>44</x:v>
      </x:c>
      <x:c r="D621" s="44" t="n">
        <x:f>Members!D621</x:f>
        <x:v>3.9</x:v>
      </x:c>
      <x:c r="E621" s="48" t="n">
        <x:f>Members!E621</x:f>
        <x:v>1365000</x:v>
      </x:c>
      <x:c r="F621" s="48" t="n">
        <x:f>Members!F621</x:f>
        <x:v>0</x:v>
      </x:c>
      <x:c r="G621" s="46" t="n">
        <x:f>MAX(0,Assumptions!$B$10-C621)</x:f>
        <x:v>16</x:v>
      </x:c>
      <x:c r="H621" s="50" t="n">
        <x:f>IF(B621="Active",E621*(1+Assumptions!$B$7)^G621,E621)</x:f>
        <x:v>3214933.5845595654</x:v>
      </x:c>
      <x:c r="I621" s="50" t="n">
        <x:f>IF(B621="Active",MIN(Assumptions!$B$12,D621+G621),IF(B621="Deferred",MIN(Assumptions!$B$12,D621),D621))</x:f>
        <x:v>19.9</x:v>
      </x:c>
      <x:c r="J621" s="50" t="n">
        <x:f>IF(B621="Active",H621*I621*Assumptions!$B$11,IF(B621="Deferred",E621*I621*Assumptions!$B$11*(1+Assumptions!$B$9)^G621,F621))</x:f>
        <x:v>1066286.305545589</x:v>
      </x:c>
      <x:c r="K621" s="37" t="n">
        <x:f>IF(B621="Pensioner",1,VLOOKUP(Assumptions!$B$10,Mortality!$A$2:$F$104,6,FALSE)/VLOOKUP(C621,Mortality!$A$2:$F$104,6,FALSE))</x:f>
        <x:v>0.9762682212178733</x:v>
      </x:c>
      <x:c r="L621" s="37" t="n">
        <x:f>VLOOKUP(IF(B621="Pensioner",C621,Assumptions!$B$10),Mortality!$A$2:$E$104,5,FALSE)</x:f>
        <x:v>17.296790022132885</x:v>
      </x:c>
      <x:c r="M621" s="37" t="n">
        <x:f>1+Assumptions!$B$13*Assumptions!$B$14*Assumptions!$B$15</x:f>
        <x:v>1.31875</x:v>
      </x:c>
      <x:c r="N621" s="37" t="n">
        <x:f>IF(B621="Pensioner",1,1/(1+Assumptions!$B$6)^G621)</x:f>
        <x:v>0.3650953281147565</x:v>
      </x:c>
      <x:c r="O621" s="50" t="n">
        <x:f>J621*K621*L621*M621*N621</x:f>
        <x:v>8669164.53656858</x:v>
      </x:c>
    </x:row>
    <x:row r="622">
      <x:c r="A622" s="42" t="str">
        <x:f>Members!A622</x:f>
        <x:v>A0272</x:v>
      </x:c>
      <x:c r="B622" s="42" t="str">
        <x:f>Members!B622</x:f>
        <x:v>Active</x:v>
      </x:c>
      <x:c r="C622" s="42" t="n">
        <x:f>Members!C622</x:f>
        <x:v>22</x:v>
      </x:c>
      <x:c r="D622" s="44" t="n">
        <x:f>Members!D622</x:f>
        <x:v>1</x:v>
      </x:c>
      <x:c r="E622" s="48" t="n">
        <x:f>Members!E622</x:f>
        <x:v>445000</x:v>
      </x:c>
      <x:c r="F622" s="48" t="n">
        <x:f>Members!F622</x:f>
        <x:v>0</x:v>
      </x:c>
      <x:c r="G622" s="46" t="n">
        <x:f>MAX(0,Assumptions!$B$10-C622)</x:f>
        <x:v>38</x:v>
      </x:c>
      <x:c r="H622" s="50" t="n">
        <x:f>IF(B622="Active",E622*(1+Assumptions!$B$7)^G622,E622)</x:f>
        <x:v>3403717.2609954323</x:v>
      </x:c>
      <x:c r="I622" s="50" t="n">
        <x:f>IF(B622="Active",MIN(Assumptions!$B$12,D622+G622),IF(B622="Deferred",MIN(Assumptions!$B$12,D622),D622))</x:f>
        <x:v>39</x:v>
      </x:c>
      <x:c r="J622" s="50" t="n">
        <x:f>IF(B622="Active",H622*I622*Assumptions!$B$11,IF(B622="Deferred",E622*I622*Assumptions!$B$11*(1+Assumptions!$B$9)^G622,F622))</x:f>
        <x:v>2212416.219647031</x:v>
      </x:c>
      <x:c r="K622" s="37" t="n">
        <x:f>IF(B622="Pensioner",1,VLOOKUP(Assumptions!$B$10,Mortality!$A$2:$F$104,6,FALSE)/VLOOKUP(C622,Mortality!$A$2:$F$104,6,FALSE))</x:f>
        <x:v>0.9682119922904866</x:v>
      </x:c>
      <x:c r="L622" s="37" t="n">
        <x:f>VLOOKUP(IF(B622="Pensioner",C622,Assumptions!$B$10),Mortality!$A$2:$E$104,5,FALSE)</x:f>
        <x:v>17.296790022132885</x:v>
      </x:c>
      <x:c r="M622" s="37" t="n">
        <x:f>1+Assumptions!$B$13*Assumptions!$B$14*Assumptions!$B$15</x:f>
        <x:v>1.31875</x:v>
      </x:c>
      <x:c r="N622" s="37" t="n">
        <x:f>IF(B622="Pensioner",1,1/(1+Assumptions!$B$6)^G622)</x:f>
        <x:v>0.09135133627989055</x:v>
      </x:c>
      <x:c r="O622" s="50" t="n">
        <x:f>J622*K622*L622*M622*N622</x:f>
        <x:v>4463547.714536453</x:v>
      </x:c>
    </x:row>
    <x:row r="623">
      <x:c r="A623" s="42" t="str">
        <x:f>Members!A623</x:f>
        <x:v>A0146</x:v>
      </x:c>
      <x:c r="B623" s="42" t="str">
        <x:f>Members!B623</x:f>
        <x:v>Active</x:v>
      </x:c>
      <x:c r="C623" s="42" t="n">
        <x:f>Members!C623</x:f>
        <x:v>30</x:v>
      </x:c>
      <x:c r="D623" s="44" t="n">
        <x:f>Members!D623</x:f>
        <x:v>4.8</x:v>
      </x:c>
      <x:c r="E623" s="48" t="n">
        <x:f>Members!E623</x:f>
        <x:v>682000</x:v>
      </x:c>
      <x:c r="F623" s="48" t="n">
        <x:f>Members!F623</x:f>
        <x:v>0</x:v>
      </x:c>
      <x:c r="G623" s="46" t="n">
        <x:f>MAX(0,Assumptions!$B$10-C623)</x:f>
        <x:v>30</x:v>
      </x:c>
      <x:c r="H623" s="50" t="n">
        <x:f>IF(B623="Active",E623*(1+Assumptions!$B$7)^G623,E623)</x:f>
        <x:v>3399054.778685431</x:v>
      </x:c>
      <x:c r="I623" s="50" t="n">
        <x:f>IF(B623="Active",MIN(Assumptions!$B$12,D623+G623),IF(B623="Deferred",MIN(Assumptions!$B$12,D623),D623))</x:f>
        <x:v>34.8</x:v>
      </x:c>
      <x:c r="J623" s="50" t="n">
        <x:f>IF(B623="Active",H623*I623*Assumptions!$B$11,IF(B623="Deferred",E623*I623*Assumptions!$B$11*(1+Assumptions!$B$9)^G623,F623))</x:f>
        <x:v>1971451.7716375496</x:v>
      </x:c>
      <x:c r="K623" s="37" t="n">
        <x:f>IF(B623="Pensioner",1,VLOOKUP(Assumptions!$B$10,Mortality!$A$2:$F$104,6,FALSE)/VLOOKUP(C623,Mortality!$A$2:$F$104,6,FALSE))</x:f>
        <x:v>0.9703456880318753</x:v>
      </x:c>
      <x:c r="L623" s="37" t="n">
        <x:f>VLOOKUP(IF(B623="Pensioner",C623,Assumptions!$B$10),Mortality!$A$2:$E$104,5,FALSE)</x:f>
        <x:v>17.296790022132885</x:v>
      </x:c>
      <x:c r="M623" s="37" t="n">
        <x:f>1+Assumptions!$B$13*Assumptions!$B$14*Assumptions!$B$15</x:f>
        <x:v>1.31875</x:v>
      </x:c>
      <x:c r="N623" s="37" t="n">
        <x:f>IF(B623="Pensioner",1,1/(1+Assumptions!$B$6)^G623)</x:f>
        <x:v>0.1511860661098129</x:v>
      </x:c>
      <x:c r="O623" s="50" t="n">
        <x:f>J623*K623*L623*M623*N623</x:f>
        <x:v>6597089.715165395</x:v>
      </x:c>
    </x:row>
    <x:row r="624">
      <x:c r="A624" s="42" t="str">
        <x:f>Members!A624</x:f>
        <x:v>D0024</x:v>
      </x:c>
      <x:c r="B624" s="42" t="str">
        <x:f>Members!B624</x:f>
        <x:v>Deferred</x:v>
      </x:c>
      <x:c r="C624" s="42" t="n">
        <x:f>Members!C624</x:f>
        <x:v>30</x:v>
      </x:c>
      <x:c r="D624" s="44" t="n">
        <x:f>Members!D624</x:f>
        <x:v>2.6</x:v>
      </x:c>
      <x:c r="E624" s="48" t="n">
        <x:f>Members!E624</x:f>
        <x:v>333000</x:v>
      </x:c>
      <x:c r="F624" s="48" t="n">
        <x:f>Members!F624</x:f>
        <x:v>0</x:v>
      </x:c>
      <x:c r="G624" s="46" t="n">
        <x:f>MAX(0,Assumptions!$B$10-C624)</x:f>
        <x:v>30</x:v>
      </x:c>
      <x:c r="H624" s="50" t="n">
        <x:f>IF(B624="Active",E624*(1+Assumptions!$B$7)^G624,E624)</x:f>
        <x:v>333000</x:v>
      </x:c>
      <x:c r="I624" s="50" t="n">
        <x:f>IF(B624="Active",MIN(Assumptions!$B$12,D624+G624),IF(B624="Deferred",MIN(Assumptions!$B$12,D624),D624))</x:f>
        <x:v>2.6</x:v>
      </x:c>
      <x:c r="J624" s="50" t="n">
        <x:f>IF(B624="Active",H624*I624*Assumptions!$B$11,IF(B624="Deferred",E624*I624*Assumptions!$B$11*(1+Assumptions!$B$9)^G624,F624))</x:f>
        <x:v>46802.22606969743</x:v>
      </x:c>
      <x:c r="K624" s="37" t="n">
        <x:f>IF(B624="Pensioner",1,VLOOKUP(Assumptions!$B$10,Mortality!$A$2:$F$104,6,FALSE)/VLOOKUP(C624,Mortality!$A$2:$F$104,6,FALSE))</x:f>
        <x:v>0.9703456880318753</x:v>
      </x:c>
      <x:c r="L624" s="37" t="n">
        <x:f>VLOOKUP(IF(B624="Pensioner",C624,Assumptions!$B$10),Mortality!$A$2:$E$104,5,FALSE)</x:f>
        <x:v>17.296790022132885</x:v>
      </x:c>
      <x:c r="M624" s="37" t="n">
        <x:f>1+Assumptions!$B$13*Assumptions!$B$14*Assumptions!$B$15</x:f>
        <x:v>1.31875</x:v>
      </x:c>
      <x:c r="N624" s="37" t="n">
        <x:f>IF(B624="Pensioner",1,1/(1+Assumptions!$B$6)^G624)</x:f>
        <x:v>0.1511860661098129</x:v>
      </x:c>
      <x:c r="O624" s="50" t="n">
        <x:f>J624*K624*L624*M624*N624</x:f>
        <x:v>156614.77936880098</x:v>
      </x:c>
    </x:row>
    <x:row r="625">
      <x:c r="A625" s="42" t="str">
        <x:f>Members!A625</x:f>
        <x:v>P0069</x:v>
      </x:c>
      <x:c r="B625" s="42" t="str">
        <x:f>Members!B625</x:f>
        <x:v>Pensioner</x:v>
      </x:c>
      <x:c r="C625" s="42" t="n">
        <x:f>Members!C625</x:f>
        <x:v>61</x:v>
      </x:c>
      <x:c r="D625" s="44" t="n">
        <x:f>Members!D625</x:f>
        <x:v>20.5</x:v>
      </x:c>
      <x:c r="E625" s="48" t="n">
        <x:f>Members!E625</x:f>
        <x:v>0</x:v>
      </x:c>
      <x:c r="F625" s="48" t="n">
        <x:f>Members!F625</x:f>
        <x:v>240000</x:v>
      </x:c>
      <x:c r="G625" s="46" t="n">
        <x:f>MAX(0,Assumptions!$B$10-C625)</x:f>
        <x:v>0</x:v>
      </x:c>
      <x:c r="H625" s="50" t="n">
        <x:f>IF(B625="Active",E625*(1+Assumptions!$B$7)^G625,E625)</x:f>
        <x:v>0</x:v>
      </x:c>
      <x:c r="I625" s="50" t="n">
        <x:f>IF(B625="Active",MIN(Assumptions!$B$12,D625+G625),IF(B625="Deferred",MIN(Assumptions!$B$12,D625),D625))</x:f>
        <x:v>20.5</x:v>
      </x:c>
      <x:c r="J625" s="50" t="n">
        <x:f>IF(B625="Active",H625*I625*Assumptions!$B$11,IF(B625="Deferred",E625*I625*Assumptions!$B$11*(1+Assumptions!$B$9)^G625,F625))</x:f>
        <x:v>240000</x:v>
      </x:c>
      <x:c r="K625" s="37" t="n">
        <x:f>IF(B625="Pensioner",1,VLOOKUP(Assumptions!$B$10,Mortality!$A$2:$F$104,6,FALSE)/VLOOKUP(C625,Mortality!$A$2:$F$104,6,FALSE))</x:f>
        <x:v>1</x:v>
      </x:c>
      <x:c r="L625" s="37" t="n">
        <x:f>VLOOKUP(IF(B625="Pensioner",C625,Assumptions!$B$10),Mortality!$A$2:$E$104,5,FALSE)</x:f>
        <x:v>16.889485221588366</x:v>
      </x:c>
      <x:c r="M625" s="37" t="n">
        <x:f>1+Assumptions!$B$13*Assumptions!$B$14*Assumptions!$B$15</x:f>
        <x:v>1.31875</x:v>
      </x:c>
      <x:c r="N625" s="37" t="n">
        <x:f>IF(B625="Pensioner",1,1/(1+Assumptions!$B$6)^G625)</x:f>
        <x:v>1</x:v>
      </x:c>
      <x:c r="O625" s="50" t="n">
        <x:f>J625*K625*L625*M625*N625</x:f>
        <x:v>5345522.072632718</x:v>
      </x:c>
    </x:row>
    <x:row r="626">
      <x:c r="A626" s="42" t="str">
        <x:f>Members!A626</x:f>
        <x:v>A0142</x:v>
      </x:c>
      <x:c r="B626" s="42" t="str">
        <x:f>Members!B626</x:f>
        <x:v>Active</x:v>
      </x:c>
      <x:c r="C626" s="42" t="n">
        <x:f>Members!C626</x:f>
        <x:v>39</x:v>
      </x:c>
      <x:c r="D626" s="44" t="n">
        <x:f>Members!D626</x:f>
        <x:v>14.9</x:v>
      </x:c>
      <x:c r="E626" s="48" t="n">
        <x:f>Members!E626</x:f>
        <x:v>857000</x:v>
      </x:c>
      <x:c r="F626" s="48" t="n">
        <x:f>Members!F626</x:f>
        <x:v>0</x:v>
      </x:c>
      <x:c r="G626" s="46" t="n">
        <x:f>MAX(0,Assumptions!$B$10-C626)</x:f>
        <x:v>21</x:v>
      </x:c>
      <x:c r="H626" s="50" t="n">
        <x:f>IF(B626="Active",E626*(1+Assumptions!$B$7)^G626,E626)</x:f>
        <x:v>2638046.668767328</x:v>
      </x:c>
      <x:c r="I626" s="50" t="n">
        <x:f>IF(B626="Active",MIN(Assumptions!$B$12,D626+G626),IF(B626="Deferred",MIN(Assumptions!$B$12,D626),D626))</x:f>
        <x:v>35.9</x:v>
      </x:c>
      <x:c r="J626" s="50" t="n">
        <x:f>IF(B626="Active",H626*I626*Assumptions!$B$11,IF(B626="Deferred",E626*I626*Assumptions!$B$11*(1+Assumptions!$B$9)^G626,F626))</x:f>
        <x:v>1578431.256812451</x:v>
      </x:c>
      <x:c r="K626" s="37" t="n">
        <x:f>IF(B626="Pensioner",1,VLOOKUP(Assumptions!$B$10,Mortality!$A$2:$F$104,6,FALSE)/VLOOKUP(C626,Mortality!$A$2:$F$104,6,FALSE))</x:f>
        <x:v>0.973585741778878</x:v>
      </x:c>
      <x:c r="L626" s="37" t="n">
        <x:f>VLOOKUP(IF(B626="Pensioner",C626,Assumptions!$B$10),Mortality!$A$2:$E$104,5,FALSE)</x:f>
        <x:v>17.296790022132885</x:v>
      </x:c>
      <x:c r="M626" s="37" t="n">
        <x:f>1+Assumptions!$B$13*Assumptions!$B$14*Assumptions!$B$15</x:f>
        <x:v>1.31875</x:v>
      </x:c>
      <x:c r="N626" s="37" t="n">
        <x:f>IF(B626="Pensioner",1,1/(1+Assumptions!$B$6)^G626)</x:f>
        <x:v>0.26647608349429097</x:v>
      </x:c>
      <x:c r="O626" s="50" t="n">
        <x:f>J626*K626*L626*M626*N626</x:f>
        <x:v>9340843.591044249</x:v>
      </x:c>
    </x:row>
    <x:row r="627">
      <x:c r="A627" s="42" t="str">
        <x:f>Members!A627</x:f>
        <x:v>A0468</x:v>
      </x:c>
      <x:c r="B627" s="42" t="str">
        <x:f>Members!B627</x:f>
        <x:v>Active</x:v>
      </x:c>
      <x:c r="C627" s="42" t="n">
        <x:f>Members!C627</x:f>
        <x:v>24</x:v>
      </x:c>
      <x:c r="D627" s="44" t="n">
        <x:f>Members!D627</x:f>
        <x:v>1</x:v>
      </x:c>
      <x:c r="E627" s="48" t="n">
        <x:f>Members!E627</x:f>
        <x:v>488000</x:v>
      </x:c>
      <x:c r="F627" s="48" t="n">
        <x:f>Members!F627</x:f>
        <x:v>0</x:v>
      </x:c>
      <x:c r="G627" s="46" t="n">
        <x:f>MAX(0,Assumptions!$B$10-C627)</x:f>
        <x:v>36</x:v>
      </x:c>
      <x:c r="H627" s="50" t="n">
        <x:f>IF(B627="Active",E627*(1+Assumptions!$B$7)^G627,E627)</x:f>
        <x:v>3353577.66702853</x:v>
      </x:c>
      <x:c r="I627" s="50" t="n">
        <x:f>IF(B627="Active",MIN(Assumptions!$B$12,D627+G627),IF(B627="Deferred",MIN(Assumptions!$B$12,D627),D627))</x:f>
        <x:v>37</x:v>
      </x:c>
      <x:c r="J627" s="50" t="n">
        <x:f>IF(B627="Active",H627*I627*Assumptions!$B$11,IF(B627="Deferred",E627*I627*Assumptions!$B$11*(1+Assumptions!$B$9)^G627,F627))</x:f>
        <x:v>2068039.5613342603</x:v>
      </x:c>
      <x:c r="K627" s="37" t="n">
        <x:f>IF(B627="Pensioner",1,VLOOKUP(Assumptions!$B$10,Mortality!$A$2:$F$104,6,FALSE)/VLOOKUP(C627,Mortality!$A$2:$F$104,6,FALSE))</x:f>
        <x:v>0.9687108670060764</x:v>
      </x:c>
      <x:c r="L627" s="37" t="n">
        <x:f>VLOOKUP(IF(B627="Pensioner",C627,Assumptions!$B$10),Mortality!$A$2:$E$104,5,FALSE)</x:f>
        <x:v>17.296790022132885</x:v>
      </x:c>
      <x:c r="M627" s="37" t="n">
        <x:f>1+Assumptions!$B$13*Assumptions!$B$14*Assumptions!$B$15</x:f>
        <x:v>1.31875</x:v>
      </x:c>
      <x:c r="N627" s="37" t="n">
        <x:f>IF(B627="Pensioner",1,1/(1+Assumptions!$B$6)^G627)</x:f>
        <x:v>0.10361296939205883</x:v>
      </x:c>
      <x:c r="O627" s="50" t="n">
        <x:f>J627*K627*L627*M627*N627</x:f>
        <x:v>4734728.931146609</x:v>
      </x:c>
    </x:row>
    <x:row r="628">
      <x:c r="A628" s="42" t="str">
        <x:f>Members!A628</x:f>
        <x:v>A0422</x:v>
      </x:c>
      <x:c r="B628" s="42" t="str">
        <x:f>Members!B628</x:f>
        <x:v>Active</x:v>
      </x:c>
      <x:c r="C628" s="42" t="n">
        <x:f>Members!C628</x:f>
        <x:v>48</x:v>
      </x:c>
      <x:c r="D628" s="44" t="n">
        <x:f>Members!D628</x:f>
        <x:v>9.2</x:v>
      </x:c>
      <x:c r="E628" s="48" t="n">
        <x:f>Members!E628</x:f>
        <x:v>1402000</x:v>
      </x:c>
      <x:c r="F628" s="48" t="n">
        <x:f>Members!F628</x:f>
        <x:v>0</x:v>
      </x:c>
      <x:c r="G628" s="46" t="n">
        <x:f>MAX(0,Assumptions!$B$10-C628)</x:f>
        <x:v>12</x:v>
      </x:c>
      <x:c r="H628" s="50" t="n">
        <x:f>IF(B628="Active",E628*(1+Assumptions!$B$7)^G628,E628)</x:f>
        <x:v>2665492.895034129</x:v>
      </x:c>
      <x:c r="I628" s="50" t="n">
        <x:f>IF(B628="Active",MIN(Assumptions!$B$12,D628+G628),IF(B628="Deferred",MIN(Assumptions!$B$12,D628),D628))</x:f>
        <x:v>21.2</x:v>
      </x:c>
      <x:c r="J628" s="50" t="n">
        <x:f>IF(B628="Active",H628*I628*Assumptions!$B$11,IF(B628="Deferred",E628*I628*Assumptions!$B$11*(1+Assumptions!$B$9)^G628,F628))</x:f>
        <x:v>941807.4895787255</x:v>
      </x:c>
      <x:c r="K628" s="37" t="n">
        <x:f>IF(B628="Pensioner",1,VLOOKUP(Assumptions!$B$10,Mortality!$A$2:$F$104,6,FALSE)/VLOOKUP(C628,Mortality!$A$2:$F$104,6,FALSE))</x:f>
        <x:v>0.9793037429736591</x:v>
      </x:c>
      <x:c r="L628" s="37" t="n">
        <x:f>VLOOKUP(IF(B628="Pensioner",C628,Assumptions!$B$10),Mortality!$A$2:$E$104,5,FALSE)</x:f>
        <x:v>17.296790022132885</x:v>
      </x:c>
      <x:c r="M628" s="37" t="n">
        <x:f>1+Assumptions!$B$13*Assumptions!$B$14*Assumptions!$B$15</x:f>
        <x:v>1.31875</x:v>
      </x:c>
      <x:c r="N628" s="37" t="n">
        <x:f>IF(B628="Pensioner",1,1/(1+Assumptions!$B$6)^G628)</x:f>
        <x:v>0.4696828543900276</x:v>
      </x:c>
      <x:c r="O628" s="50" t="n">
        <x:f>J628*K628*L628*M628*N628</x:f>
        <x:v>9881258.17967067</x:v>
      </x:c>
    </x:row>
    <x:row r="629">
      <x:c r="A629" s="42" t="str">
        <x:f>Members!A629</x:f>
        <x:v>A0613</x:v>
      </x:c>
      <x:c r="B629" s="42" t="str">
        <x:f>Members!B629</x:f>
        <x:v>Active</x:v>
      </x:c>
      <x:c r="C629" s="42" t="n">
        <x:f>Members!C629</x:f>
        <x:v>58</x:v>
      </x:c>
      <x:c r="D629" s="44" t="n">
        <x:f>Members!D629</x:f>
        <x:v>24.7</x:v>
      </x:c>
      <x:c r="E629" s="48" t="n">
        <x:f>Members!E629</x:f>
        <x:v>1439000</x:v>
      </x:c>
      <x:c r="F629" s="48" t="n">
        <x:f>Members!F629</x:f>
        <x:v>0</x:v>
      </x:c>
      <x:c r="G629" s="46" t="n">
        <x:f>MAX(0,Assumptions!$B$10-C629)</x:f>
        <x:v>2</x:v>
      </x:c>
      <x:c r="H629" s="50" t="n">
        <x:f>IF(B629="Active",E629*(1+Assumptions!$B$7)^G629,E629)</x:f>
        <x:v>1601642.9749999999</x:v>
      </x:c>
      <x:c r="I629" s="50" t="n">
        <x:f>IF(B629="Active",MIN(Assumptions!$B$12,D629+G629),IF(B629="Deferred",MIN(Assumptions!$B$12,D629),D629))</x:f>
        <x:v>26.7</x:v>
      </x:c>
      <x:c r="J629" s="50" t="n">
        <x:f>IF(B629="Active",H629*I629*Assumptions!$B$11,IF(B629="Deferred",E629*I629*Assumptions!$B$11*(1+Assumptions!$B$9)^G629,F629))</x:f>
        <x:v>712731.1238749999</x:v>
      </x:c>
      <x:c r="K629" s="37" t="n">
        <x:f>IF(B629="Pensioner",1,VLOOKUP(Assumptions!$B$10,Mortality!$A$2:$F$104,6,FALSE)/VLOOKUP(C629,Mortality!$A$2:$F$104,6,FALSE))</x:f>
        <x:v>0.9945213044203837</x:v>
      </x:c>
      <x:c r="L629" s="37" t="n">
        <x:f>VLOOKUP(IF(B629="Pensioner",C629,Assumptions!$B$10),Mortality!$A$2:$E$104,5,FALSE)</x:f>
        <x:v>17.296790022132885</x:v>
      </x:c>
      <x:c r="M629" s="37" t="n">
        <x:f>1+Assumptions!$B$13*Assumptions!$B$14*Assumptions!$B$15</x:f>
        <x:v>1.31875</x:v>
      </x:c>
      <x:c r="N629" s="37" t="n">
        <x:f>IF(B629="Pensioner",1,1/(1+Assumptions!$B$6)^G629)</x:f>
        <x:v>0.8816592827701736</x:v>
      </x:c>
      <x:c r="O629" s="50" t="n">
        <x:f>J629*K629*L629*M629*N629</x:f>
        <x:v>14255044.764467845</x:v>
      </x:c>
    </x:row>
    <x:row r="630">
      <x:c r="A630" s="42" t="str">
        <x:f>Members!A630</x:f>
        <x:v>A0540</x:v>
      </x:c>
      <x:c r="B630" s="42" t="str">
        <x:f>Members!B630</x:f>
        <x:v>Active</x:v>
      </x:c>
      <x:c r="C630" s="42" t="n">
        <x:f>Members!C630</x:f>
        <x:v>27</x:v>
      </x:c>
      <x:c r="D630" s="44" t="n">
        <x:f>Members!D630</x:f>
        <x:v>2.7</x:v>
      </x:c>
      <x:c r="E630" s="48" t="n">
        <x:f>Members!E630</x:f>
        <x:v>391000</x:v>
      </x:c>
      <x:c r="F630" s="48" t="n">
        <x:f>Members!F630</x:f>
        <x:v>0</x:v>
      </x:c>
      <x:c r="G630" s="46" t="n">
        <x:f>MAX(0,Assumptions!$B$10-C630)</x:f>
        <x:v>33</x:v>
      </x:c>
      <x:c r="H630" s="50" t="n">
        <x:f>IF(B630="Active",E630*(1+Assumptions!$B$7)^G630,E630)</x:f>
        <x:v>2288273.4692028523</x:v>
      </x:c>
      <x:c r="I630" s="50" t="n">
        <x:f>IF(B630="Active",MIN(Assumptions!$B$12,D630+G630),IF(B630="Deferred",MIN(Assumptions!$B$12,D630),D630))</x:f>
        <x:v>35.7</x:v>
      </x:c>
      <x:c r="J630" s="50" t="n">
        <x:f>IF(B630="Active",H630*I630*Assumptions!$B$11,IF(B630="Deferred",E630*I630*Assumptions!$B$11*(1+Assumptions!$B$9)^G630,F630))</x:f>
        <x:v>1361522.7141756972</x:v>
      </x:c>
      <x:c r="K630" s="37" t="n">
        <x:f>IF(B630="Pensioner",1,VLOOKUP(Assumptions!$B$10,Mortality!$A$2:$F$104,6,FALSE)/VLOOKUP(C630,Mortality!$A$2:$F$104,6,FALSE))</x:f>
        <x:v>0.9694971330284515</x:v>
      </x:c>
      <x:c r="L630" s="37" t="n">
        <x:f>VLOOKUP(IF(B630="Pensioner",C630,Assumptions!$B$10),Mortality!$A$2:$E$104,5,FALSE)</x:f>
        <x:v>17.296790022132885</x:v>
      </x:c>
      <x:c r="M630" s="37" t="n">
        <x:f>1+Assumptions!$B$13*Assumptions!$B$14*Assumptions!$B$15</x:f>
        <x:v>1.31875</x:v>
      </x:c>
      <x:c r="N630" s="37" t="n">
        <x:f>IF(B630="Pensioner",1,1/(1+Assumptions!$B$6)^G630)</x:f>
        <x:v>0.12515924752227392</x:v>
      </x:c>
      <x:c r="O630" s="50" t="n">
        <x:f>J630*K630*L630*M630*N630</x:f>
        <x:v>3768446.460441096</x:v>
      </x:c>
    </x:row>
    <x:row r="631">
      <x:c r="A631" s="42" t="str">
        <x:f>Members!A631</x:f>
        <x:v>A0198</x:v>
      </x:c>
      <x:c r="B631" s="42" t="str">
        <x:f>Members!B631</x:f>
        <x:v>Active</x:v>
      </x:c>
      <x:c r="C631" s="42" t="n">
        <x:f>Members!C631</x:f>
        <x:v>33</x:v>
      </x:c>
      <x:c r="D631" s="44" t="n">
        <x:f>Members!D631</x:f>
        <x:v>2.6</x:v>
      </x:c>
      <x:c r="E631" s="48" t="n">
        <x:f>Members!E631</x:f>
        <x:v>681000</x:v>
      </x:c>
      <x:c r="F631" s="48" t="n">
        <x:f>Members!F631</x:f>
        <x:v>0</x:v>
      </x:c>
      <x:c r="G631" s="46" t="n">
        <x:f>MAX(0,Assumptions!$B$10-C631)</x:f>
        <x:v>27</x:v>
      </x:c>
      <x:c r="H631" s="50" t="n">
        <x:f>IF(B631="Active",E631*(1+Assumptions!$B$7)^G631,E631)</x:f>
        <x:v>2890437.0938190087</x:v>
      </x:c>
      <x:c r="I631" s="50" t="n">
        <x:f>IF(B631="Active",MIN(Assumptions!$B$12,D631+G631),IF(B631="Deferred",MIN(Assumptions!$B$12,D631),D631))</x:f>
        <x:v>29.6</x:v>
      </x:c>
      <x:c r="J631" s="50" t="n">
        <x:f>IF(B631="Active",H631*I631*Assumptions!$B$11,IF(B631="Deferred",E631*I631*Assumptions!$B$11*(1+Assumptions!$B$9)^G631,F631))</x:f>
        <x:v>1425948.9662840443</x:v>
      </x:c>
      <x:c r="K631" s="37" t="n">
        <x:f>IF(B631="Pensioner",1,VLOOKUP(Assumptions!$B$10,Mortality!$A$2:$F$104,6,FALSE)/VLOOKUP(C631,Mortality!$A$2:$F$104,6,FALSE))</x:f>
        <x:v>0.9712826176321353</x:v>
      </x:c>
      <x:c r="L631" s="37" t="n">
        <x:f>VLOOKUP(IF(B631="Pensioner",C631,Assumptions!$B$10),Mortality!$A$2:$E$104,5,FALSE)</x:f>
        <x:v>17.296790022132885</x:v>
      </x:c>
      <x:c r="M631" s="37" t="n">
        <x:f>1+Assumptions!$B$13*Assumptions!$B$14*Assumptions!$B$15</x:f>
        <x:v>1.31875</x:v>
      </x:c>
      <x:c r="N631" s="37" t="n">
        <x:f>IF(B631="Pensioner",1,1/(1+Assumptions!$B$6)^G631)</x:f>
        <x:v>0.1826251518625737</x:v>
      </x:c>
      <x:c r="O631" s="50" t="n">
        <x:f>J631*K631*L631*M631*N631</x:f>
        <x:v>5769499.96700839</x:v>
      </x:c>
    </x:row>
    <x:row r="632">
      <x:c r="A632" s="42" t="str">
        <x:f>Members!A632</x:f>
        <x:v>A0450</x:v>
      </x:c>
      <x:c r="B632" s="42" t="str">
        <x:f>Members!B632</x:f>
        <x:v>Active</x:v>
      </x:c>
      <x:c r="C632" s="42" t="n">
        <x:f>Members!C632</x:f>
        <x:v>22</x:v>
      </x:c>
      <x:c r="D632" s="44" t="n">
        <x:f>Members!D632</x:f>
        <x:v>1.4</x:v>
      </x:c>
      <x:c r="E632" s="48" t="n">
        <x:f>Members!E632</x:f>
        <x:v>562000</x:v>
      </x:c>
      <x:c r="F632" s="48" t="n">
        <x:f>Members!F632</x:f>
        <x:v>0</x:v>
      </x:c>
      <x:c r="G632" s="46" t="n">
        <x:f>MAX(0,Assumptions!$B$10-C632)</x:f>
        <x:v>38</x:v>
      </x:c>
      <x:c r="H632" s="50" t="n">
        <x:f>IF(B632="Active",E632*(1+Assumptions!$B$7)^G632,E632)</x:f>
        <x:v>4298627.192538052</x:v>
      </x:c>
      <x:c r="I632" s="50" t="n">
        <x:f>IF(B632="Active",MIN(Assumptions!$B$12,D632+G632),IF(B632="Deferred",MIN(Assumptions!$B$12,D632),D632))</x:f>
        <x:v>39.4</x:v>
      </x:c>
      <x:c r="J632" s="50" t="n">
        <x:f>IF(B632="Active",H632*I632*Assumptions!$B$11,IF(B632="Deferred",E632*I632*Assumptions!$B$11*(1+Assumptions!$B$9)^G632,F632))</x:f>
        <x:v>2822765.189766654</x:v>
      </x:c>
      <x:c r="K632" s="37" t="n">
        <x:f>IF(B632="Pensioner",1,VLOOKUP(Assumptions!$B$10,Mortality!$A$2:$F$104,6,FALSE)/VLOOKUP(C632,Mortality!$A$2:$F$104,6,FALSE))</x:f>
        <x:v>0.9682119922904866</x:v>
      </x:c>
      <x:c r="L632" s="37" t="n">
        <x:f>VLOOKUP(IF(B632="Pensioner",C632,Assumptions!$B$10),Mortality!$A$2:$E$104,5,FALSE)</x:f>
        <x:v>17.296790022132885</x:v>
      </x:c>
      <x:c r="M632" s="37" t="n">
        <x:f>1+Assumptions!$B$13*Assumptions!$B$14*Assumptions!$B$15</x:f>
        <x:v>1.31875</x:v>
      </x:c>
      <x:c r="N632" s="37" t="n">
        <x:f>IF(B632="Pensioner",1,1/(1+Assumptions!$B$6)^G632)</x:f>
        <x:v>0.09135133627989055</x:v>
      </x:c>
      <x:c r="O632" s="50" t="n">
        <x:f>J632*K632*L632*M632*N632</x:f>
        <x:v>5694926.207631102</x:v>
      </x:c>
    </x:row>
    <x:row r="633">
      <x:c r="A633" s="42" t="str">
        <x:f>Members!A633</x:f>
        <x:v>P0171</x:v>
      </x:c>
      <x:c r="B633" s="42" t="str">
        <x:f>Members!B633</x:f>
        <x:v>Pensioner</x:v>
      </x:c>
      <x:c r="C633" s="42" t="n">
        <x:f>Members!C633</x:f>
        <x:v>87</x:v>
      </x:c>
      <x:c r="D633" s="44" t="n">
        <x:f>Members!D633</x:f>
        <x:v>26.2</x:v>
      </x:c>
      <x:c r="E633" s="48" t="n">
        <x:f>Members!E633</x:f>
        <x:v>0</x:v>
      </x:c>
      <x:c r="F633" s="48" t="n">
        <x:f>Members!F633</x:f>
        <x:v>423000</x:v>
      </x:c>
      <x:c r="G633" s="46" t="n">
        <x:f>MAX(0,Assumptions!$B$10-C633)</x:f>
        <x:v>0</x:v>
      </x:c>
      <x:c r="H633" s="50" t="n">
        <x:f>IF(B633="Active",E633*(1+Assumptions!$B$7)^G633,E633)</x:f>
        <x:v>0</x:v>
      </x:c>
      <x:c r="I633" s="50" t="n">
        <x:f>IF(B633="Active",MIN(Assumptions!$B$12,D633+G633),IF(B633="Deferred",MIN(Assumptions!$B$12,D633),D633))</x:f>
        <x:v>26.2</x:v>
      </x:c>
      <x:c r="J633" s="50" t="n">
        <x:f>IF(B633="Active",H633*I633*Assumptions!$B$11,IF(B633="Deferred",E633*I633*Assumptions!$B$11*(1+Assumptions!$B$9)^G633,F633))</x:f>
        <x:v>423000</x:v>
      </x:c>
      <x:c r="K633" s="37" t="n">
        <x:f>IF(B633="Pensioner",1,VLOOKUP(Assumptions!$B$10,Mortality!$A$2:$F$104,6,FALSE)/VLOOKUP(C633,Mortality!$A$2:$F$104,6,FALSE))</x:f>
        <x:v>1</x:v>
      </x:c>
      <x:c r="L633" s="37" t="n">
        <x:f>VLOOKUP(IF(B633="Pensioner",C633,Assumptions!$B$10),Mortality!$A$2:$E$104,5,FALSE)</x:f>
        <x:v>5.427731360162463</x:v>
      </x:c>
      <x:c r="M633" s="37" t="n">
        <x:f>1+Assumptions!$B$13*Assumptions!$B$14*Assumptions!$B$15</x:f>
        <x:v>1.31875</x:v>
      </x:c>
      <x:c r="N633" s="37" t="n">
        <x:f>IF(B633="Pensioner",1,1/(1+Assumptions!$B$6)^G633)</x:f>
        <x:v>1</x:v>
      </x:c>
      <x:c r="O633" s="50" t="n">
        <x:f>J633*K633*L633*M633*N633</x:f>
        <x:v>3027758.169303627</x:v>
      </x:c>
    </x:row>
    <x:row r="634">
      <x:c r="A634" s="42" t="str">
        <x:f>Members!A634</x:f>
        <x:v>A0446</x:v>
      </x:c>
      <x:c r="B634" s="42" t="str">
        <x:f>Members!B634</x:f>
        <x:v>Active</x:v>
      </x:c>
      <x:c r="C634" s="42" t="n">
        <x:f>Members!C634</x:f>
        <x:v>40</x:v>
      </x:c>
      <x:c r="D634" s="44" t="n">
        <x:f>Members!D634</x:f>
        <x:v>18.5</x:v>
      </x:c>
      <x:c r="E634" s="48" t="n">
        <x:f>Members!E634</x:f>
        <x:v>678000</x:v>
      </x:c>
      <x:c r="F634" s="48" t="n">
        <x:f>Members!F634</x:f>
        <x:v>0</x:v>
      </x:c>
      <x:c r="G634" s="46" t="n">
        <x:f>MAX(0,Assumptions!$B$10-C634)</x:f>
        <x:v>20</x:v>
      </x:c>
      <x:c r="H634" s="50" t="n">
        <x:f>IF(B634="Active",E634*(1+Assumptions!$B$7)^G634,E634)</x:f>
        <x:v>1978239.5786295726</x:v>
      </x:c>
      <x:c r="I634" s="50" t="n">
        <x:f>IF(B634="Active",MIN(Assumptions!$B$12,D634+G634),IF(B634="Deferred",MIN(Assumptions!$B$12,D634),D634))</x:f>
        <x:v>38.5</x:v>
      </x:c>
      <x:c r="J634" s="50" t="n">
        <x:f>IF(B634="Active",H634*I634*Assumptions!$B$11,IF(B634="Deferred",E634*I634*Assumptions!$B$11*(1+Assumptions!$B$9)^G634,F634))</x:f>
        <x:v>1269370.396287309</x:v>
      </x:c>
      <x:c r="K634" s="37" t="n">
        <x:f>IF(B634="Pensioner",1,VLOOKUP(Assumptions!$B$10,Mortality!$A$2:$F$104,6,FALSE)/VLOOKUP(C634,Mortality!$A$2:$F$104,6,FALSE))</x:f>
        <x:v>0.9740511243198767</x:v>
      </x:c>
      <x:c r="L634" s="37" t="n">
        <x:f>VLOOKUP(IF(B634="Pensioner",C634,Assumptions!$B$10),Mortality!$A$2:$E$104,5,FALSE)</x:f>
        <x:v>17.296790022132885</x:v>
      </x:c>
      <x:c r="M634" s="37" t="n">
        <x:f>1+Assumptions!$B$13*Assumptions!$B$14*Assumptions!$B$15</x:f>
        <x:v>1.31875</x:v>
      </x:c>
      <x:c r="N634" s="37" t="n">
        <x:f>IF(B634="Pensioner",1,1/(1+Assumptions!$B$6)^G634)</x:f>
        <x:v>0.2837970289214199</x:v>
      </x:c>
      <x:c r="O634" s="50" t="n">
        <x:f>J634*K634*L634*M634*N634</x:f>
        <x:v>8003979.138683053</x:v>
      </x:c>
    </x:row>
    <x:row r="635">
      <x:c r="A635" s="42" t="str">
        <x:f>Members!A635</x:f>
        <x:v>A0038</x:v>
      </x:c>
      <x:c r="B635" s="42" t="str">
        <x:f>Members!B635</x:f>
        <x:v>Active</x:v>
      </x:c>
      <x:c r="C635" s="42" t="n">
        <x:f>Members!C635</x:f>
        <x:v>39</x:v>
      </x:c>
      <x:c r="D635" s="44" t="n">
        <x:f>Members!D635</x:f>
        <x:v>8.3</x:v>
      </x:c>
      <x:c r="E635" s="48" t="n">
        <x:f>Members!E635</x:f>
        <x:v>698000</x:v>
      </x:c>
      <x:c r="F635" s="48" t="n">
        <x:f>Members!F635</x:f>
        <x:v>0</x:v>
      </x:c>
      <x:c r="G635" s="46" t="n">
        <x:f>MAX(0,Assumptions!$B$10-C635)</x:f>
        <x:v>21</x:v>
      </x:c>
      <x:c r="H635" s="50" t="n">
        <x:f>IF(B635="Active",E635*(1+Assumptions!$B$7)^G635,E635)</x:f>
        <x:v>2148607.4385059453</x:v>
      </x:c>
      <x:c r="I635" s="50" t="n">
        <x:f>IF(B635="Active",MIN(Assumptions!$B$12,D635+G635),IF(B635="Deferred",MIN(Assumptions!$B$12,D635),D635))</x:f>
        <x:v>29.3</x:v>
      </x:c>
      <x:c r="J635" s="50" t="n">
        <x:f>IF(B635="Active",H635*I635*Assumptions!$B$11,IF(B635="Deferred",E635*I635*Assumptions!$B$11*(1+Assumptions!$B$9)^G635,F635))</x:f>
        <x:v>1049236.6324704033</x:v>
      </x:c>
      <x:c r="K635" s="37" t="n">
        <x:f>IF(B635="Pensioner",1,VLOOKUP(Assumptions!$B$10,Mortality!$A$2:$F$104,6,FALSE)/VLOOKUP(C635,Mortality!$A$2:$F$104,6,FALSE))</x:f>
        <x:v>0.973585741778878</x:v>
      </x:c>
      <x:c r="L635" s="37" t="n">
        <x:f>VLOOKUP(IF(B635="Pensioner",C635,Assumptions!$B$10),Mortality!$A$2:$E$104,5,FALSE)</x:f>
        <x:v>17.296790022132885</x:v>
      </x:c>
      <x:c r="M635" s="37" t="n">
        <x:f>1+Assumptions!$B$13*Assumptions!$B$14*Assumptions!$B$15</x:f>
        <x:v>1.31875</x:v>
      </x:c>
      <x:c r="N635" s="37" t="n">
        <x:f>IF(B635="Pensioner",1,1/(1+Assumptions!$B$6)^G635)</x:f>
        <x:v>0.26647608349429097</x:v>
      </x:c>
      <x:c r="O635" s="50" t="n">
        <x:f>J635*K635*L635*M635*N635</x:f>
        <x:v>6209174.603962205</x:v>
      </x:c>
    </x:row>
    <x:row r="636">
      <x:c r="A636" s="42" t="str">
        <x:f>Members!A636</x:f>
        <x:v>D0122</x:v>
      </x:c>
      <x:c r="B636" s="42" t="str">
        <x:f>Members!B636</x:f>
        <x:v>Deferred</x:v>
      </x:c>
      <x:c r="C636" s="42" t="n">
        <x:f>Members!C636</x:f>
        <x:v>40</x:v>
      </x:c>
      <x:c r="D636" s="44" t="n">
        <x:f>Members!D636</x:f>
        <x:v>13.9</x:v>
      </x:c>
      <x:c r="E636" s="48" t="n">
        <x:f>Members!E636</x:f>
        <x:v>526000</x:v>
      </x:c>
      <x:c r="F636" s="48" t="n">
        <x:f>Members!F636</x:f>
        <x:v>0</x:v>
      </x:c>
      <x:c r="G636" s="46" t="n">
        <x:f>MAX(0,Assumptions!$B$10-C636)</x:f>
        <x:v>20</x:v>
      </x:c>
      <x:c r="H636" s="50" t="n">
        <x:f>IF(B636="Active",E636*(1+Assumptions!$B$7)^G636,E636)</x:f>
        <x:v>526000</x:v>
      </x:c>
      <x:c r="I636" s="50" t="n">
        <x:f>IF(B636="Active",MIN(Assumptions!$B$12,D636+G636),IF(B636="Deferred",MIN(Assumptions!$B$12,D636),D636))</x:f>
        <x:v>13.9</x:v>
      </x:c>
      <x:c r="J636" s="50" t="n">
        <x:f>IF(B636="Active",H636*I636*Assumptions!$B$11,IF(B636="Deferred",E636*I636*Assumptions!$B$11*(1+Assumptions!$B$9)^G636,F636))</x:f>
        <x:v>267002.9624662426</x:v>
      </x:c>
      <x:c r="K636" s="37" t="n">
        <x:f>IF(B636="Pensioner",1,VLOOKUP(Assumptions!$B$10,Mortality!$A$2:$F$104,6,FALSE)/VLOOKUP(C636,Mortality!$A$2:$F$104,6,FALSE))</x:f>
        <x:v>0.9740511243198767</x:v>
      </x:c>
      <x:c r="L636" s="37" t="n">
        <x:f>VLOOKUP(IF(B636="Pensioner",C636,Assumptions!$B$10),Mortality!$A$2:$E$104,5,FALSE)</x:f>
        <x:v>17.296790022132885</x:v>
      </x:c>
      <x:c r="M636" s="37" t="n">
        <x:f>1+Assumptions!$B$13*Assumptions!$B$14*Assumptions!$B$15</x:f>
        <x:v>1.31875</x:v>
      </x:c>
      <x:c r="N636" s="37" t="n">
        <x:f>IF(B636="Pensioner",1,1/(1+Assumptions!$B$6)^G636)</x:f>
        <x:v>0.2837970289214199</x:v>
      </x:c>
      <x:c r="O636" s="50" t="n">
        <x:f>J636*K636*L636*M636*N636</x:f>
        <x:v>1683579.6295525646</x:v>
      </x:c>
    </x:row>
    <x:row r="637">
      <x:c r="A637" s="42" t="str">
        <x:f>Members!A637</x:f>
        <x:v>A0160</x:v>
      </x:c>
      <x:c r="B637" s="42" t="str">
        <x:f>Members!B637</x:f>
        <x:v>Active</x:v>
      </x:c>
      <x:c r="C637" s="42" t="n">
        <x:f>Members!C637</x:f>
        <x:v>50</x:v>
      </x:c>
      <x:c r="D637" s="44" t="n">
        <x:f>Members!D637</x:f>
        <x:v>29.3</x:v>
      </x:c>
      <x:c r="E637" s="48" t="n">
        <x:f>Members!E637</x:f>
        <x:v>1633000</x:v>
      </x:c>
      <x:c r="F637" s="48" t="n">
        <x:f>Members!F637</x:f>
        <x:v>0</x:v>
      </x:c>
      <x:c r="G637" s="46" t="n">
        <x:f>MAX(0,Assumptions!$B$10-C637)</x:f>
        <x:v>10</x:v>
      </x:c>
      <x:c r="H637" s="50" t="n">
        <x:f>IF(B637="Active",E637*(1+Assumptions!$B$7)^G637,E637)</x:f>
        <x:v>2789399.9004914174</x:v>
      </x:c>
      <x:c r="I637" s="50" t="n">
        <x:f>IF(B637="Active",MIN(Assumptions!$B$12,D637+G637),IF(B637="Deferred",MIN(Assumptions!$B$12,D637),D637))</x:f>
        <x:v>39.3</x:v>
      </x:c>
      <x:c r="J637" s="50" t="n">
        <x:f>IF(B637="Active",H637*I637*Assumptions!$B$11,IF(B637="Deferred",E637*I637*Assumptions!$B$11*(1+Assumptions!$B$9)^G637,F637))</x:f>
        <x:v>1827056.9348218783</x:v>
      </x:c>
      <x:c r="K637" s="37" t="n">
        <x:f>IF(B637="Pensioner",1,VLOOKUP(Assumptions!$B$10,Mortality!$A$2:$F$104,6,FALSE)/VLOOKUP(C637,Mortality!$A$2:$F$104,6,FALSE))</x:f>
        <x:v>0.9812729933582415</x:v>
      </x:c>
      <x:c r="L637" s="37" t="n">
        <x:f>VLOOKUP(IF(B637="Pensioner",C637,Assumptions!$B$10),Mortality!$A$2:$E$104,5,FALSE)</x:f>
        <x:v>17.296790022132885</x:v>
      </x:c>
      <x:c r="M637" s="37" t="n">
        <x:f>1+Assumptions!$B$13*Assumptions!$B$14*Assumptions!$B$15</x:f>
        <x:v>1.31875</x:v>
      </x:c>
      <x:c r="N637" s="37" t="n">
        <x:f>IF(B637="Pensioner",1,1/(1+Assumptions!$B$6)^G637)</x:f>
        <x:v>0.5327260355205289</x:v>
      </x:c>
      <x:c r="O637" s="50" t="n">
        <x:f>J637*K637*L637*M637*N637</x:f>
        <x:v>21785816.211586196</x:v>
      </x:c>
    </x:row>
    <x:row r="638">
      <x:c r="A638" s="42" t="str">
        <x:f>Members!A638</x:f>
        <x:v>A0486</x:v>
      </x:c>
      <x:c r="B638" s="42" t="str">
        <x:f>Members!B638</x:f>
        <x:v>Active</x:v>
      </x:c>
      <x:c r="C638" s="42" t="n">
        <x:f>Members!C638</x:f>
        <x:v>23</x:v>
      </x:c>
      <x:c r="D638" s="44" t="n">
        <x:f>Members!D638</x:f>
        <x:v>1.8</x:v>
      </x:c>
      <x:c r="E638" s="48" t="n">
        <x:f>Members!E638</x:f>
        <x:v>507000</x:v>
      </x:c>
      <x:c r="F638" s="48" t="n">
        <x:f>Members!F638</x:f>
        <x:v>0</x:v>
      </x:c>
      <x:c r="G638" s="46" t="n">
        <x:f>MAX(0,Assumptions!$B$10-C638)</x:f>
        <x:v>37</x:v>
      </x:c>
      <x:c r="H638" s="50" t="n">
        <x:f>IF(B638="Active",E638*(1+Assumptions!$B$7)^G638,E638)</x:f>
        <x:v>3675775.390222449</x:v>
      </x:c>
      <x:c r="I638" s="50" t="n">
        <x:f>IF(B638="Active",MIN(Assumptions!$B$12,D638+G638),IF(B638="Deferred",MIN(Assumptions!$B$12,D638),D638))</x:f>
        <x:v>38.8</x:v>
      </x:c>
      <x:c r="J638" s="50" t="n">
        <x:f>IF(B638="Active",H638*I638*Assumptions!$B$11,IF(B638="Deferred",E638*I638*Assumptions!$B$11*(1+Assumptions!$B$9)^G638,F638))</x:f>
        <x:v>2377001.4190105163</x:v>
      </x:c>
      <x:c r="K638" s="37" t="n">
        <x:f>IF(B638="Pensioner",1,VLOOKUP(Assumptions!$B$10,Mortality!$A$2:$F$104,6,FALSE)/VLOOKUP(C638,Mortality!$A$2:$F$104,6,FALSE))</x:f>
        <x:v>0.9684592752197081</x:v>
      </x:c>
      <x:c r="L638" s="37" t="n">
        <x:f>VLOOKUP(IF(B638="Pensioner",C638,Assumptions!$B$10),Mortality!$A$2:$E$104,5,FALSE)</x:f>
        <x:v>17.296790022132885</x:v>
      </x:c>
      <x:c r="M638" s="37" t="n">
        <x:f>1+Assumptions!$B$13*Assumptions!$B$14*Assumptions!$B$15</x:f>
        <x:v>1.31875</x:v>
      </x:c>
      <x:c r="N638" s="37" t="n">
        <x:f>IF(B638="Pensioner",1,1/(1+Assumptions!$B$6)^G638)</x:f>
        <x:v>0.09728917313808341</x:v>
      </x:c>
      <x:c r="O638" s="50" t="n">
        <x:f>J638*K638*L638*M638*N638</x:f>
        <x:v>5108616.504018604</x:v>
      </x:c>
    </x:row>
    <x:row r="639">
      <x:c r="A639" s="42" t="str">
        <x:f>Members!A639</x:f>
        <x:v>A0019</x:v>
      </x:c>
      <x:c r="B639" s="42" t="str">
        <x:f>Members!B639</x:f>
        <x:v>Active</x:v>
      </x:c>
      <x:c r="C639" s="42" t="n">
        <x:f>Members!C639</x:f>
        <x:v>56</x:v>
      </x:c>
      <x:c r="D639" s="44" t="n">
        <x:f>Members!D639</x:f>
        <x:v>2.8</x:v>
      </x:c>
      <x:c r="E639" s="48" t="n">
        <x:f>Members!E639</x:f>
        <x:v>1546000</x:v>
      </x:c>
      <x:c r="F639" s="48" t="n">
        <x:f>Members!F639</x:f>
        <x:v>0</x:v>
      </x:c>
      <x:c r="G639" s="46" t="n">
        <x:f>MAX(0,Assumptions!$B$10-C639)</x:f>
        <x:v>4</x:v>
      </x:c>
      <x:c r="H639" s="50" t="n">
        <x:f>IF(B639="Active",E639*(1+Assumptions!$B$7)^G639,E639)</x:f>
        <x:v>1915222.9098662497</x:v>
      </x:c>
      <x:c r="I639" s="50" t="n">
        <x:f>IF(B639="Active",MIN(Assumptions!$B$12,D639+G639),IF(B639="Deferred",MIN(Assumptions!$B$12,D639),D639))</x:f>
        <x:v>6.8</x:v>
      </x:c>
      <x:c r="J639" s="50" t="n">
        <x:f>IF(B639="Active",H639*I639*Assumptions!$B$11,IF(B639="Deferred",E639*I639*Assumptions!$B$11*(1+Assumptions!$B$9)^G639,F639))</x:f>
        <x:v>217058.5964515083</x:v>
      </x:c>
      <x:c r="K639" s="37" t="n">
        <x:f>IF(B639="Pensioner",1,VLOOKUP(Assumptions!$B$10,Mortality!$A$2:$F$104,6,FALSE)/VLOOKUP(C639,Mortality!$A$2:$F$104,6,FALSE))</x:f>
        <x:v>0.990116255810422</x:v>
      </x:c>
      <x:c r="L639" s="37" t="n">
        <x:f>VLOOKUP(IF(B639="Pensioner",C639,Assumptions!$B$10),Mortality!$A$2:$E$104,5,FALSE)</x:f>
        <x:v>17.296790022132885</x:v>
      </x:c>
      <x:c r="M639" s="37" t="n">
        <x:f>1+Assumptions!$B$13*Assumptions!$B$14*Assumptions!$B$15</x:f>
        <x:v>1.31875</x:v>
      </x:c>
      <x:c r="N639" s="37" t="n">
        <x:f>IF(B639="Pensioner",1,1/(1+Assumptions!$B$6)^G639)</x:f>
        <x:v>0.777323090894817</x:v>
      </x:c>
      <x:c r="O639" s="50" t="n">
        <x:f>J639*K639*L639*M639*N639</x:f>
        <x:v>3810594.4981713584</x:v>
      </x:c>
    </x:row>
    <x:row r="640">
      <x:c r="A640" s="42" t="str">
        <x:f>Members!A640</x:f>
        <x:v>A0099</x:v>
      </x:c>
      <x:c r="B640" s="42" t="str">
        <x:f>Members!B640</x:f>
        <x:v>Active</x:v>
      </x:c>
      <x:c r="C640" s="42" t="n">
        <x:f>Members!C640</x:f>
        <x:v>47</x:v>
      </x:c>
      <x:c r="D640" s="44" t="n">
        <x:f>Members!D640</x:f>
        <x:v>12.8</x:v>
      </x:c>
      <x:c r="E640" s="48" t="n">
        <x:f>Members!E640</x:f>
        <x:v>1327000</x:v>
      </x:c>
      <x:c r="F640" s="48" t="n">
        <x:f>Members!F640</x:f>
        <x:v>0</x:v>
      </x:c>
      <x:c r="G640" s="46" t="n">
        <x:f>MAX(0,Assumptions!$B$10-C640)</x:f>
        <x:v>13</x:v>
      </x:c>
      <x:c r="H640" s="50" t="n">
        <x:f>IF(B640="Active",E640*(1+Assumptions!$B$7)^G640,E640)</x:f>
        <x:v>2661661.961950324</x:v>
      </x:c>
      <x:c r="I640" s="50" t="n">
        <x:f>IF(B640="Active",MIN(Assumptions!$B$12,D640+G640),IF(B640="Deferred",MIN(Assumptions!$B$12,D640),D640))</x:f>
        <x:v>25.8</x:v>
      </x:c>
      <x:c r="J640" s="50" t="n">
        <x:f>IF(B640="Active",H640*I640*Assumptions!$B$11,IF(B640="Deferred",E640*I640*Assumptions!$B$11*(1+Assumptions!$B$9)^G640,F640))</x:f>
        <x:v>1144514.6436386395</x:v>
      </x:c>
      <x:c r="K640" s="37" t="n">
        <x:f>IF(B640="Pensioner",1,VLOOKUP(Assumptions!$B$10,Mortality!$A$2:$F$104,6,FALSE)/VLOOKUP(C640,Mortality!$A$2:$F$104,6,FALSE))</x:f>
        <x:v>0.9784451675747989</x:v>
      </x:c>
      <x:c r="L640" s="37" t="n">
        <x:f>VLOOKUP(IF(B640="Pensioner",C640,Assumptions!$B$10),Mortality!$A$2:$E$104,5,FALSE)</x:f>
        <x:v>17.296790022132885</x:v>
      </x:c>
      <x:c r="M640" s="37" t="n">
        <x:f>1+Assumptions!$B$13*Assumptions!$B$14*Assumptions!$B$15</x:f>
        <x:v>1.31875</x:v>
      </x:c>
      <x:c r="N640" s="37" t="n">
        <x:f>IF(B640="Pensioner",1,1/(1+Assumptions!$B$6)^G640)</x:f>
        <x:v>0.4410167646854719</x:v>
      </x:c>
      <x:c r="O640" s="50" t="n">
        <x:f>J640*K640*L640*M640*N640</x:f>
        <x:v>11265252.517630767</x:v>
      </x:c>
    </x:row>
    <x:row r="641">
      <x:c r="A641" s="42" t="str">
        <x:f>Members!A641</x:f>
        <x:v>P0159</x:v>
      </x:c>
      <x:c r="B641" s="42" t="str">
        <x:f>Members!B641</x:f>
        <x:v>Pensioner</x:v>
      </x:c>
      <x:c r="C641" s="42" t="n">
        <x:f>Members!C641</x:f>
        <x:v>90</x:v>
      </x:c>
      <x:c r="D641" s="44" t="n">
        <x:f>Members!D641</x:f>
        <x:v>31.5</x:v>
      </x:c>
      <x:c r="E641" s="48" t="n">
        <x:f>Members!E641</x:f>
        <x:v>0</x:v>
      </x:c>
      <x:c r="F641" s="48" t="n">
        <x:f>Members!F641</x:f>
        <x:v>754000</x:v>
      </x:c>
      <x:c r="G641" s="46" t="n">
        <x:f>MAX(0,Assumptions!$B$10-C641)</x:f>
        <x:v>0</x:v>
      </x:c>
      <x:c r="H641" s="50" t="n">
        <x:f>IF(B641="Active",E641*(1+Assumptions!$B$7)^G641,E641)</x:f>
        <x:v>0</x:v>
      </x:c>
      <x:c r="I641" s="50" t="n">
        <x:f>IF(B641="Active",MIN(Assumptions!$B$12,D641+G641),IF(B641="Deferred",MIN(Assumptions!$B$12,D641),D641))</x:f>
        <x:v>31.5</x:v>
      </x:c>
      <x:c r="J641" s="50" t="n">
        <x:f>IF(B641="Active",H641*I641*Assumptions!$B$11,IF(B641="Deferred",E641*I641*Assumptions!$B$11*(1+Assumptions!$B$9)^G641,F641))</x:f>
        <x:v>754000</x:v>
      </x:c>
      <x:c r="K641" s="37" t="n">
        <x:f>IF(B641="Pensioner",1,VLOOKUP(Assumptions!$B$10,Mortality!$A$2:$F$104,6,FALSE)/VLOOKUP(C641,Mortality!$A$2:$F$104,6,FALSE))</x:f>
        <x:v>1</x:v>
      </x:c>
      <x:c r="L641" s="37" t="n">
        <x:f>VLOOKUP(IF(B641="Pensioner",C641,Assumptions!$B$10),Mortality!$A$2:$E$104,5,FALSE)</x:f>
        <x:v>4.311907930708722</x:v>
      </x:c>
      <x:c r="M641" s="37" t="n">
        <x:f>1+Assumptions!$B$13*Assumptions!$B$14*Assumptions!$B$15</x:f>
        <x:v>1.31875</x:v>
      </x:c>
      <x:c r="N641" s="37" t="n">
        <x:f>IF(B641="Pensioner",1,1/(1+Assumptions!$B$6)^G641)</x:f>
        <x:v>1</x:v>
      </x:c>
      <x:c r="O641" s="50" t="n">
        <x:f>J641*K641*L641*M641*N641</x:f>
        <x:v>4287491.752051084</x:v>
      </x:c>
    </x:row>
    <x:row r="642">
      <x:c r="A642" s="42" t="str">
        <x:f>Members!A642</x:f>
        <x:v>A0084</x:v>
      </x:c>
      <x:c r="B642" s="42" t="str">
        <x:f>Members!B642</x:f>
        <x:v>Active</x:v>
      </x:c>
      <x:c r="C642" s="42" t="n">
        <x:f>Members!C642</x:f>
        <x:v>28</x:v>
      </x:c>
      <x:c r="D642" s="44" t="n">
        <x:f>Members!D642</x:f>
        <x:v>1.4</x:v>
      </x:c>
      <x:c r="E642" s="48" t="n">
        <x:f>Members!E642</x:f>
        <x:v>423000</x:v>
      </x:c>
      <x:c r="F642" s="48" t="n">
        <x:f>Members!F642</x:f>
        <x:v>0</x:v>
      </x:c>
      <x:c r="G642" s="46" t="n">
        <x:f>MAX(0,Assumptions!$B$10-C642)</x:f>
        <x:v>32</x:v>
      </x:c>
      <x:c r="H642" s="50" t="n">
        <x:f>IF(B642="Active",E642*(1+Assumptions!$B$7)^G642,E642)</x:f>
        <x:v>2346491.9879099806</x:v>
      </x:c>
      <x:c r="I642" s="50" t="n">
        <x:f>IF(B642="Active",MIN(Assumptions!$B$12,D642+G642),IF(B642="Deferred",MIN(Assumptions!$B$12,D642),D642))</x:f>
        <x:v>33.4</x:v>
      </x:c>
      <x:c r="J642" s="50" t="n">
        <x:f>IF(B642="Active",H642*I642*Assumptions!$B$11,IF(B642="Deferred",E642*I642*Assumptions!$B$11*(1+Assumptions!$B$9)^G642,F642))</x:f>
        <x:v>1306213.8732698893</x:v>
      </x:c>
      <x:c r="K642" s="37" t="n">
        <x:f>IF(B642="Pensioner",1,VLOOKUP(Assumptions!$B$10,Mortality!$A$2:$F$104,6,FALSE)/VLOOKUP(C642,Mortality!$A$2:$F$104,6,FALSE))</x:f>
        <x:v>0.9697719614347323</x:v>
      </x:c>
      <x:c r="L642" s="37" t="n">
        <x:f>VLOOKUP(IF(B642="Pensioner",C642,Assumptions!$B$10),Mortality!$A$2:$E$104,5,FALSE)</x:f>
        <x:v>17.296790022132885</x:v>
      </x:c>
      <x:c r="M642" s="37" t="n">
        <x:f>1+Assumptions!$B$13*Assumptions!$B$14*Assumptions!$B$15</x:f>
        <x:v>1.31875</x:v>
      </x:c>
      <x:c r="N642" s="37" t="n">
        <x:f>IF(B642="Pensioner",1,1/(1+Assumptions!$B$6)^G642)</x:f>
        <x:v>0.13329459861122173</x:v>
      </x:c>
      <x:c r="O642" s="50" t="n">
        <x:f>J642*K642*L642*M642*N642</x:f>
        <x:v>3851451.6708923834</x:v>
      </x:c>
    </x:row>
    <x:row r="643">
      <x:c r="A643" s="42" t="str">
        <x:f>Members!A643</x:f>
        <x:v>A0620</x:v>
      </x:c>
      <x:c r="B643" s="42" t="str">
        <x:f>Members!B643</x:f>
        <x:v>Active</x:v>
      </x:c>
      <x:c r="C643" s="42" t="n">
        <x:f>Members!C643</x:f>
        <x:v>31</x:v>
      </x:c>
      <x:c r="D643" s="44" t="n">
        <x:f>Members!D643</x:f>
        <x:v>6.8</x:v>
      </x:c>
      <x:c r="E643" s="48" t="n">
        <x:f>Members!E643</x:f>
        <x:v>656000</x:v>
      </x:c>
      <x:c r="F643" s="48" t="n">
        <x:f>Members!F643</x:f>
        <x:v>0</x:v>
      </x:c>
      <x:c r="G643" s="46" t="n">
        <x:f>MAX(0,Assumptions!$B$10-C643)</x:f>
        <x:v>29</x:v>
      </x:c>
      <x:c r="H643" s="50" t="n">
        <x:f>IF(B643="Active",E643*(1+Assumptions!$B$7)^G643,E643)</x:f>
        <x:v>3099025.6352484925</x:v>
      </x:c>
      <x:c r="I643" s="50" t="n">
        <x:f>IF(B643="Active",MIN(Assumptions!$B$12,D643+G643),IF(B643="Deferred",MIN(Assumptions!$B$12,D643),D643))</x:f>
        <x:v>35.8</x:v>
      </x:c>
      <x:c r="J643" s="50" t="n">
        <x:f>IF(B643="Active",H643*I643*Assumptions!$B$11,IF(B643="Deferred",E643*I643*Assumptions!$B$11*(1+Assumptions!$B$9)^G643,F643))</x:f>
        <x:v>1849085.295698267</x:v>
      </x:c>
      <x:c r="K643" s="37" t="n">
        <x:f>IF(B643="Pensioner",1,VLOOKUP(Assumptions!$B$10,Mortality!$A$2:$F$104,6,FALSE)/VLOOKUP(C643,Mortality!$A$2:$F$104,6,FALSE))</x:f>
        <x:v>0.9706466107295209</x:v>
      </x:c>
      <x:c r="L643" s="37" t="n">
        <x:f>VLOOKUP(IF(B643="Pensioner",C643,Assumptions!$B$10),Mortality!$A$2:$E$104,5,FALSE)</x:f>
        <x:v>17.296790022132885</x:v>
      </x:c>
      <x:c r="M643" s="37" t="n">
        <x:f>1+Assumptions!$B$13*Assumptions!$B$14*Assumptions!$B$15</x:f>
        <x:v>1.31875</x:v>
      </x:c>
      <x:c r="N643" s="37" t="n">
        <x:f>IF(B643="Pensioner",1,1/(1+Assumptions!$B$6)^G643)</x:f>
        <x:v>0.16101316040695074</x:v>
      </x:c>
      <x:c r="O643" s="50" t="n">
        <x:f>J643*K643*L643*M643*N643</x:f>
        <x:v>6591851.99727258</x:v>
      </x:c>
    </x:row>
    <x:row r="644">
      <x:c r="A644" s="42" t="str">
        <x:f>Members!A644</x:f>
        <x:v>D0105</x:v>
      </x:c>
      <x:c r="B644" s="42" t="str">
        <x:f>Members!B644</x:f>
        <x:v>Deferred</x:v>
      </x:c>
      <x:c r="C644" s="42" t="n">
        <x:f>Members!C644</x:f>
        <x:v>45</x:v>
      </x:c>
      <x:c r="D644" s="44" t="n">
        <x:f>Members!D644</x:f>
        <x:v>17.8</x:v>
      </x:c>
      <x:c r="E644" s="48" t="n">
        <x:f>Members!E644</x:f>
        <x:v>537000</x:v>
      </x:c>
      <x:c r="F644" s="48" t="n">
        <x:f>Members!F644</x:f>
        <x:v>0</x:v>
      </x:c>
      <x:c r="G644" s="46" t="n">
        <x:f>MAX(0,Assumptions!$B$10-C644)</x:f>
        <x:v>15</x:v>
      </x:c>
      <x:c r="H644" s="50" t="n">
        <x:f>IF(B644="Active",E644*(1+Assumptions!$B$7)^G644,E644)</x:f>
        <x:v>537000</x:v>
      </x:c>
      <x:c r="I644" s="50" t="n">
        <x:f>IF(B644="Active",MIN(Assumptions!$B$12,D644+G644),IF(B644="Deferred",MIN(Assumptions!$B$12,D644),D644))</x:f>
        <x:v>17.8</x:v>
      </x:c>
      <x:c r="J644" s="50" t="n">
        <x:f>IF(B644="Active",H644*I644*Assumptions!$B$11,IF(B644="Deferred",E644*I644*Assumptions!$B$11*(1+Assumptions!$B$9)^G644,F644))</x:f>
        <x:v>286908.3098623069</x:v>
      </x:c>
      <x:c r="K644" s="37" t="n">
        <x:f>IF(B644="Pensioner",1,VLOOKUP(Assumptions!$B$10,Mortality!$A$2:$F$104,6,FALSE)/VLOOKUP(C644,Mortality!$A$2:$F$104,6,FALSE))</x:f>
        <x:v>0.9769349478194655</x:v>
      </x:c>
      <x:c r="L644" s="37" t="n">
        <x:f>VLOOKUP(IF(B644="Pensioner",C644,Assumptions!$B$10),Mortality!$A$2:$E$104,5,FALSE)</x:f>
        <x:v>17.296790022132885</x:v>
      </x:c>
      <x:c r="M644" s="37" t="n">
        <x:f>1+Assumptions!$B$13*Assumptions!$B$14*Assumptions!$B$15</x:f>
        <x:v>1.31875</x:v>
      </x:c>
      <x:c r="N644" s="37" t="n">
        <x:f>IF(B644="Pensioner",1,1/(1+Assumptions!$B$6)^G644)</x:f>
        <x:v>0.38882652444221566</x:v>
      </x:c>
      <x:c r="O644" s="50" t="n">
        <x:f>J644*K644*L644*M644*N644</x:f>
        <x:v>2485951.447176902</x:v>
      </x:c>
    </x:row>
    <x:row r="645">
      <x:c r="A645" s="42" t="str">
        <x:f>Members!A645</x:f>
        <x:v>A0387</x:v>
      </x:c>
      <x:c r="B645" s="42" t="str">
        <x:f>Members!B645</x:f>
        <x:v>Active</x:v>
      </x:c>
      <x:c r="C645" s="42" t="n">
        <x:f>Members!C645</x:f>
        <x:v>37</x:v>
      </x:c>
      <x:c r="D645" s="44" t="n">
        <x:f>Members!D645</x:f>
        <x:v>2.1</x:v>
      </x:c>
      <x:c r="E645" s="48" t="n">
        <x:f>Members!E645</x:f>
        <x:v>765000</x:v>
      </x:c>
      <x:c r="F645" s="48" t="n">
        <x:f>Members!F645</x:f>
        <x:v>0</x:v>
      </x:c>
      <x:c r="G645" s="46" t="n">
        <x:f>MAX(0,Assumptions!$B$10-C645)</x:f>
        <x:v>23</x:v>
      </x:c>
      <x:c r="H645" s="50" t="n">
        <x:f>IF(B645="Active",E645*(1+Assumptions!$B$7)^G645,E645)</x:f>
        <x:v>2621005.9492778736</x:v>
      </x:c>
      <x:c r="I645" s="50" t="n">
        <x:f>IF(B645="Active",MIN(Assumptions!$B$12,D645+G645),IF(B645="Deferred",MIN(Assumptions!$B$12,D645),D645))</x:f>
        <x:v>25.1</x:v>
      </x:c>
      <x:c r="J645" s="50" t="n">
        <x:f>IF(B645="Active",H645*I645*Assumptions!$B$11,IF(B645="Deferred",E645*I645*Assumptions!$B$11*(1+Assumptions!$B$9)^G645,F645))</x:f>
        <x:v>1096454.1554479105</x:v>
      </x:c>
      <x:c r="K645" s="37" t="n">
        <x:f>IF(B645="Pensioner",1,VLOOKUP(Assumptions!$B$10,Mortality!$A$2:$F$104,6,FALSE)/VLOOKUP(C645,Mortality!$A$2:$F$104,6,FALSE))</x:f>
        <x:v>0.9727356141265188</x:v>
      </x:c>
      <x:c r="L645" s="37" t="n">
        <x:f>VLOOKUP(IF(B645="Pensioner",C645,Assumptions!$B$10),Mortality!$A$2:$E$104,5,FALSE)</x:f>
        <x:v>17.296790022132885</x:v>
      </x:c>
      <x:c r="M645" s="37" t="n">
        <x:f>1+Assumptions!$B$13*Assumptions!$B$14*Assumptions!$B$15</x:f>
        <x:v>1.31875</x:v>
      </x:c>
      <x:c r="N645" s="37" t="n">
        <x:f>IF(B645="Pensioner",1,1/(1+Assumptions!$B$6)^G645)</x:f>
        <x:v>0.23494111264898151</x:v>
      </x:c>
      <x:c r="O645" s="50" t="n">
        <x:f>J645*K645*L645*M645*N645</x:f>
        <x:v>5715737.846841268</x:v>
      </x:c>
    </x:row>
    <x:row r="646">
      <x:c r="A646" s="42" t="str">
        <x:f>Members!A646</x:f>
        <x:v>D0095</x:v>
      </x:c>
      <x:c r="B646" s="42" t="str">
        <x:f>Members!B646</x:f>
        <x:v>Deferred</x:v>
      </x:c>
      <x:c r="C646" s="42" t="n">
        <x:f>Members!C646</x:f>
        <x:v>53</x:v>
      </x:c>
      <x:c r="D646" s="44" t="n">
        <x:f>Members!D646</x:f>
        <x:v>15.1</x:v>
      </x:c>
      <x:c r="E646" s="48" t="n">
        <x:f>Members!E646</x:f>
        <x:v>1129000</x:v>
      </x:c>
      <x:c r="F646" s="48" t="n">
        <x:f>Members!F646</x:f>
        <x:v>0</x:v>
      </x:c>
      <x:c r="G646" s="46" t="n">
        <x:f>MAX(0,Assumptions!$B$10-C646)</x:f>
        <x:v>7</x:v>
      </x:c>
      <x:c r="H646" s="50" t="n">
        <x:f>IF(B646="Active",E646*(1+Assumptions!$B$7)^G646,E646)</x:f>
        <x:v>1129000</x:v>
      </x:c>
      <x:c r="I646" s="50" t="n">
        <x:f>IF(B646="Active",MIN(Assumptions!$B$12,D646+G646),IF(B646="Deferred",MIN(Assumptions!$B$12,D646),D646))</x:f>
        <x:v>15.1</x:v>
      </x:c>
      <x:c r="J646" s="50" t="n">
        <x:f>IF(B646="Active",H646*I646*Assumptions!$B$11,IF(B646="Deferred",E646*I646*Assumptions!$B$11*(1+Assumptions!$B$9)^G646,F646))</x:f>
        <x:v>373897.8896539114</x:v>
      </x:c>
      <x:c r="K646" s="37" t="n">
        <x:f>IF(B646="Pensioner",1,VLOOKUP(Assumptions!$B$10,Mortality!$A$2:$F$104,6,FALSE)/VLOOKUP(C646,Mortality!$A$2:$F$104,6,FALSE))</x:f>
        <x:v>0.9850300017431317</x:v>
      </x:c>
      <x:c r="L646" s="37" t="n">
        <x:f>VLOOKUP(IF(B646="Pensioner",C646,Assumptions!$B$10),Mortality!$A$2:$E$104,5,FALSE)</x:f>
        <x:v>17.296790022132885</x:v>
      </x:c>
      <x:c r="M646" s="37" t="n">
        <x:f>1+Assumptions!$B$13*Assumptions!$B$14*Assumptions!$B$15</x:f>
        <x:v>1.31875</x:v>
      </x:c>
      <x:c r="N646" s="37" t="n">
        <x:f>IF(B646="Pensioner",1,1/(1+Assumptions!$B$6)^G646)</x:f>
        <x:v>0.6435062148347594</x:v>
      </x:c>
      <x:c r="O646" s="50" t="n">
        <x:f>J646*K646*L646*M646*N646</x:f>
        <x:v>5406089.155839068</x:v>
      </x:c>
    </x:row>
    <x:row r="647">
      <x:c r="A647" s="42" t="str">
        <x:f>Members!A647</x:f>
        <x:v>A0408</x:v>
      </x:c>
      <x:c r="B647" s="42" t="str">
        <x:f>Members!B647</x:f>
        <x:v>Active</x:v>
      </x:c>
      <x:c r="C647" s="42" t="n">
        <x:f>Members!C647</x:f>
        <x:v>50</x:v>
      </x:c>
      <x:c r="D647" s="44" t="n">
        <x:f>Members!D647</x:f>
        <x:v>4.7</x:v>
      </x:c>
      <x:c r="E647" s="48" t="n">
        <x:f>Members!E647</x:f>
        <x:v>1023000</x:v>
      </x:c>
      <x:c r="F647" s="48" t="n">
        <x:f>Members!F647</x:f>
        <x:v>0</x:v>
      </x:c>
      <x:c r="G647" s="46" t="n">
        <x:f>MAX(0,Assumptions!$B$10-C647)</x:f>
        <x:v>10</x:v>
      </x:c>
      <x:c r="H647" s="50" t="n">
        <x:f>IF(B647="Active",E647*(1+Assumptions!$B$7)^G647,E647)</x:f>
        <x:v>1747431.7808957256</x:v>
      </x:c>
      <x:c r="I647" s="50" t="n">
        <x:f>IF(B647="Active",MIN(Assumptions!$B$12,D647+G647),IF(B647="Deferred",MIN(Assumptions!$B$12,D647),D647))</x:f>
        <x:v>14.7</x:v>
      </x:c>
      <x:c r="J647" s="50" t="n">
        <x:f>IF(B647="Active",H647*I647*Assumptions!$B$11,IF(B647="Deferred",E647*I647*Assumptions!$B$11*(1+Assumptions!$B$9)^G647,F647))</x:f>
        <x:v>428120.78631945275</x:v>
      </x:c>
      <x:c r="K647" s="37" t="n">
        <x:f>IF(B647="Pensioner",1,VLOOKUP(Assumptions!$B$10,Mortality!$A$2:$F$104,6,FALSE)/VLOOKUP(C647,Mortality!$A$2:$F$104,6,FALSE))</x:f>
        <x:v>0.9812729933582415</x:v>
      </x:c>
      <x:c r="L647" s="37" t="n">
        <x:f>VLOOKUP(IF(B647="Pensioner",C647,Assumptions!$B$10),Mortality!$A$2:$E$104,5,FALSE)</x:f>
        <x:v>17.296790022132885</x:v>
      </x:c>
      <x:c r="M647" s="37" t="n">
        <x:f>1+Assumptions!$B$13*Assumptions!$B$14*Assumptions!$B$15</x:f>
        <x:v>1.31875</x:v>
      </x:c>
      <x:c r="N647" s="37" t="n">
        <x:f>IF(B647="Pensioner",1,1/(1+Assumptions!$B$6)^G647)</x:f>
        <x:v>0.5327260355205289</x:v>
      </x:c>
      <x:c r="O647" s="50" t="n">
        <x:f>J647*K647*L647*M647*N647</x:f>
        <x:v>5104909.753687922</x:v>
      </x:c>
    </x:row>
    <x:row r="648">
      <x:c r="A648" s="42" t="str">
        <x:f>Members!A648</x:f>
        <x:v>A0238</x:v>
      </x:c>
      <x:c r="B648" s="42" t="str">
        <x:f>Members!B648</x:f>
        <x:v>Active</x:v>
      </x:c>
      <x:c r="C648" s="42" t="n">
        <x:f>Members!C648</x:f>
        <x:v>55</x:v>
      </x:c>
      <x:c r="D648" s="44" t="n">
        <x:f>Members!D648</x:f>
        <x:v>13.8</x:v>
      </x:c>
      <x:c r="E648" s="48" t="n">
        <x:f>Members!E648</x:f>
        <x:v>1815000</x:v>
      </x:c>
      <x:c r="F648" s="48" t="n">
        <x:f>Members!F648</x:f>
        <x:v>0</x:v>
      </x:c>
      <x:c r="G648" s="46" t="n">
        <x:f>MAX(0,Assumptions!$B$10-C648)</x:f>
        <x:v>5</x:v>
      </x:c>
      <x:c r="H648" s="50" t="n">
        <x:f>IF(B648="Active",E648*(1+Assumptions!$B$7)^G648,E648)</x:f>
        <x:v>2372132.411633015</x:v>
      </x:c>
      <x:c r="I648" s="50" t="n">
        <x:f>IF(B648="Active",MIN(Assumptions!$B$12,D648+G648),IF(B648="Deferred",MIN(Assumptions!$B$12,D648),D648))</x:f>
        <x:v>18.8</x:v>
      </x:c>
      <x:c r="J648" s="50" t="n">
        <x:f>IF(B648="Active",H648*I648*Assumptions!$B$11,IF(B648="Deferred",E648*I648*Assumptions!$B$11*(1+Assumptions!$B$9)^G648,F648))</x:f>
        <x:v>743268.1556450115</x:v>
      </x:c>
      <x:c r="K648" s="37" t="n">
        <x:f>IF(B648="Pensioner",1,VLOOKUP(Assumptions!$B$10,Mortality!$A$2:$F$104,6,FALSE)/VLOOKUP(C648,Mortality!$A$2:$F$104,6,FALSE))</x:f>
        <x:v>0.9882419087499175</x:v>
      </x:c>
      <x:c r="L648" s="37" t="n">
        <x:f>VLOOKUP(IF(B648="Pensioner",C648,Assumptions!$B$10),Mortality!$A$2:$E$104,5,FALSE)</x:f>
        <x:v>17.296790022132885</x:v>
      </x:c>
      <x:c r="M648" s="37" t="n">
        <x:f>1+Assumptions!$B$13*Assumptions!$B$14*Assumptions!$B$15</x:f>
        <x:v>1.31875</x:v>
      </x:c>
      <x:c r="N648" s="37" t="n">
        <x:f>IF(B648="Pensioner",1,1/(1+Assumptions!$B$6)^G648)</x:f>
        <x:v>0.7298808365209549</x:v>
      </x:c>
      <x:c r="O648" s="50" t="n">
        <x:f>J648*K648*L648*M648*N648</x:f>
        <x:v>12228937.929927653</x:v>
      </x:c>
    </x:row>
    <x:row r="649">
      <x:c r="A649" s="42" t="str">
        <x:f>Members!A649</x:f>
        <x:v>A0194</x:v>
      </x:c>
      <x:c r="B649" s="42" t="str">
        <x:f>Members!B649</x:f>
        <x:v>Active</x:v>
      </x:c>
      <x:c r="C649" s="42" t="n">
        <x:f>Members!C649</x:f>
        <x:v>30</x:v>
      </x:c>
      <x:c r="D649" s="44" t="n">
        <x:f>Members!D649</x:f>
        <x:v>5</x:v>
      </x:c>
      <x:c r="E649" s="48" t="n">
        <x:f>Members!E649</x:f>
        <x:v>505000</x:v>
      </x:c>
      <x:c r="F649" s="48" t="n">
        <x:f>Members!F649</x:f>
        <x:v>0</x:v>
      </x:c>
      <x:c r="G649" s="46" t="n">
        <x:f>MAX(0,Assumptions!$B$10-C649)</x:f>
        <x:v>30</x:v>
      </x:c>
      <x:c r="H649" s="50" t="n">
        <x:f>IF(B649="Active",E649*(1+Assumptions!$B$7)^G649,E649)</x:f>
        <x:v>2516895.400639505</x:v>
      </x:c>
      <x:c r="I649" s="50" t="n">
        <x:f>IF(B649="Active",MIN(Assumptions!$B$12,D649+G649),IF(B649="Deferred",MIN(Assumptions!$B$12,D649),D649))</x:f>
        <x:v>35</x:v>
      </x:c>
      <x:c r="J649" s="50" t="n">
        <x:f>IF(B649="Active",H649*I649*Assumptions!$B$11,IF(B649="Deferred",E649*I649*Assumptions!$B$11*(1+Assumptions!$B$9)^G649,F649))</x:f>
        <x:v>1468188.983706378</x:v>
      </x:c>
      <x:c r="K649" s="37" t="n">
        <x:f>IF(B649="Pensioner",1,VLOOKUP(Assumptions!$B$10,Mortality!$A$2:$F$104,6,FALSE)/VLOOKUP(C649,Mortality!$A$2:$F$104,6,FALSE))</x:f>
        <x:v>0.9703456880318753</x:v>
      </x:c>
      <x:c r="L649" s="37" t="n">
        <x:f>VLOOKUP(IF(B649="Pensioner",C649,Assumptions!$B$10),Mortality!$A$2:$E$104,5,FALSE)</x:f>
        <x:v>17.296790022132885</x:v>
      </x:c>
      <x:c r="M649" s="37" t="n">
        <x:f>1+Assumptions!$B$13*Assumptions!$B$14*Assumptions!$B$15</x:f>
        <x:v>1.31875</x:v>
      </x:c>
      <x:c r="N649" s="37" t="n">
        <x:f>IF(B649="Pensioner",1,1/(1+Assumptions!$B$6)^G649)</x:f>
        <x:v>0.1511860661098129</x:v>
      </x:c>
      <x:c r="O649" s="50" t="n">
        <x:f>J649*K649*L649*M649*N649</x:f>
        <x:v>4913016.176035172</x:v>
      </x:c>
    </x:row>
    <x:row r="650">
      <x:c r="A650" s="42" t="str">
        <x:f>Members!A650</x:f>
        <x:v>A0015</x:v>
      </x:c>
      <x:c r="B650" s="42" t="str">
        <x:f>Members!B650</x:f>
        <x:v>Active</x:v>
      </x:c>
      <x:c r="C650" s="42" t="n">
        <x:f>Members!C650</x:f>
        <x:v>39</x:v>
      </x:c>
      <x:c r="D650" s="44" t="n">
        <x:f>Members!D650</x:f>
        <x:v>9.9</x:v>
      </x:c>
      <x:c r="E650" s="48" t="n">
        <x:f>Members!E650</x:f>
        <x:v>991000</x:v>
      </x:c>
      <x:c r="F650" s="48" t="n">
        <x:f>Members!F650</x:f>
        <x:v>0</x:v>
      </x:c>
      <x:c r="G650" s="46" t="n">
        <x:f>MAX(0,Assumptions!$B$10-C650)</x:f>
        <x:v>21</x:v>
      </x:c>
      <x:c r="H650" s="50" t="n">
        <x:f>IF(B650="Active",E650*(1+Assumptions!$B$7)^G650,E650)</x:f>
        <x:v>3050530.045214028</x:v>
      </x:c>
      <x:c r="I650" s="50" t="n">
        <x:f>IF(B650="Active",MIN(Assumptions!$B$12,D650+G650),IF(B650="Deferred",MIN(Assumptions!$B$12,D650),D650))</x:f>
        <x:v>30.9</x:v>
      </x:c>
      <x:c r="J650" s="50" t="n">
        <x:f>IF(B650="Active",H650*I650*Assumptions!$B$11,IF(B650="Deferred",E650*I650*Assumptions!$B$11*(1+Assumptions!$B$9)^G650,F650))</x:f>
        <x:v>1571022.9732852243</x:v>
      </x:c>
      <x:c r="K650" s="37" t="n">
        <x:f>IF(B650="Pensioner",1,VLOOKUP(Assumptions!$B$10,Mortality!$A$2:$F$104,6,FALSE)/VLOOKUP(C650,Mortality!$A$2:$F$104,6,FALSE))</x:f>
        <x:v>0.973585741778878</x:v>
      </x:c>
      <x:c r="L650" s="37" t="n">
        <x:f>VLOOKUP(IF(B650="Pensioner",C650,Assumptions!$B$10),Mortality!$A$2:$E$104,5,FALSE)</x:f>
        <x:v>17.296790022132885</x:v>
      </x:c>
      <x:c r="M650" s="37" t="n">
        <x:f>1+Assumptions!$B$13*Assumptions!$B$14*Assumptions!$B$15</x:f>
        <x:v>1.31875</x:v>
      </x:c>
      <x:c r="N650" s="37" t="n">
        <x:f>IF(B650="Pensioner",1,1/(1+Assumptions!$B$6)^G650)</x:f>
        <x:v>0.26647608349429097</x:v>
      </x:c>
      <x:c r="O650" s="50" t="n">
        <x:f>J650*K650*L650*M650*N650</x:f>
        <x:v>9297002.836239584</x:v>
      </x:c>
    </x:row>
    <x:row r="651">
      <x:c r="A651" s="42" t="str">
        <x:f>Members!A651</x:f>
        <x:v>A0477</x:v>
      </x:c>
      <x:c r="B651" s="42" t="str">
        <x:f>Members!B651</x:f>
        <x:v>Active</x:v>
      </x:c>
      <x:c r="C651" s="42" t="n">
        <x:f>Members!C651</x:f>
        <x:v>41</x:v>
      </x:c>
      <x:c r="D651" s="44" t="n">
        <x:f>Members!D651</x:f>
        <x:v>3.6</x:v>
      </x:c>
      <x:c r="E651" s="48" t="n">
        <x:f>Members!E651</x:f>
        <x:v>722000</x:v>
      </x:c>
      <x:c r="F651" s="48" t="n">
        <x:f>Members!F651</x:f>
        <x:v>0</x:v>
      </x:c>
      <x:c r="G651" s="46" t="n">
        <x:f>MAX(0,Assumptions!$B$10-C651)</x:f>
        <x:v>19</x:v>
      </x:c>
      <x:c r="H651" s="50" t="n">
        <x:f>IF(B651="Active",E651*(1+Assumptions!$B$7)^G651,E651)</x:f>
        <x:v>1996797.0693991967</x:v>
      </x:c>
      <x:c r="I651" s="50" t="n">
        <x:f>IF(B651="Active",MIN(Assumptions!$B$12,D651+G651),IF(B651="Deferred",MIN(Assumptions!$B$12,D651),D651))</x:f>
        <x:v>22.6</x:v>
      </x:c>
      <x:c r="J651" s="50" t="n">
        <x:f>IF(B651="Active",H651*I651*Assumptions!$B$11,IF(B651="Deferred",E651*I651*Assumptions!$B$11*(1+Assumptions!$B$9)^G651,F651))</x:f>
        <x:v>752126.896140364</x:v>
      </x:c>
      <x:c r="K651" s="37" t="n">
        <x:f>IF(B651="Pensioner",1,VLOOKUP(Assumptions!$B$10,Mortality!$A$2:$F$104,6,FALSE)/VLOOKUP(C651,Mortality!$A$2:$F$104,6,FALSE))</x:f>
        <x:v>0.9745478954079534</x:v>
      </x:c>
      <x:c r="L651" s="37" t="n">
        <x:f>VLOOKUP(IF(B651="Pensioner",C651,Assumptions!$B$10),Mortality!$A$2:$E$104,5,FALSE)</x:f>
        <x:v>17.296790022132885</x:v>
      </x:c>
      <x:c r="M651" s="37" t="n">
        <x:f>1+Assumptions!$B$13*Assumptions!$B$14*Assumptions!$B$15</x:f>
        <x:v>1.31875</x:v>
      </x:c>
      <x:c r="N651" s="37" t="n">
        <x:f>IF(B651="Pensioner",1,1/(1+Assumptions!$B$6)^G651)</x:f>
        <x:v>0.30224383580131214</x:v>
      </x:c>
      <x:c r="O651" s="50" t="n">
        <x:f>J651*K651*L651*M651*N651</x:f>
        <x:v>5053354.264893129</x:v>
      </x:c>
    </x:row>
    <x:row r="652">
      <x:c r="A652" s="42" t="str">
        <x:f>Members!A652</x:f>
        <x:v>A0500</x:v>
      </x:c>
      <x:c r="B652" s="42" t="str">
        <x:f>Members!B652</x:f>
        <x:v>Active</x:v>
      </x:c>
      <x:c r="C652" s="42" t="n">
        <x:f>Members!C652</x:f>
        <x:v>33</x:v>
      </x:c>
      <x:c r="D652" s="44" t="n">
        <x:f>Members!D652</x:f>
        <x:v>7.7</x:v>
      </x:c>
      <x:c r="E652" s="48" t="n">
        <x:f>Members!E652</x:f>
        <x:v>713000</x:v>
      </x:c>
      <x:c r="F652" s="48" t="n">
        <x:f>Members!F652</x:f>
        <x:v>0</x:v>
      </x:c>
      <x:c r="G652" s="46" t="n">
        <x:f>MAX(0,Assumptions!$B$10-C652)</x:f>
        <x:v>27</x:v>
      </x:c>
      <x:c r="H652" s="50" t="n">
        <x:f>IF(B652="Active",E652*(1+Assumptions!$B$7)^G652,E652)</x:f>
        <x:v>3026257.9264213704</x:v>
      </x:c>
      <x:c r="I652" s="50" t="n">
        <x:f>IF(B652="Active",MIN(Assumptions!$B$12,D652+G652),IF(B652="Deferred",MIN(Assumptions!$B$12,D652),D652))</x:f>
        <x:v>34.7</x:v>
      </x:c>
      <x:c r="J652" s="50" t="n">
        <x:f>IF(B652="Active",H652*I652*Assumptions!$B$11,IF(B652="Deferred",E652*I652*Assumptions!$B$11*(1+Assumptions!$B$9)^G652,F652))</x:f>
        <x:v>1750185.8341136926</x:v>
      </x:c>
      <x:c r="K652" s="37" t="n">
        <x:f>IF(B652="Pensioner",1,VLOOKUP(Assumptions!$B$10,Mortality!$A$2:$F$104,6,FALSE)/VLOOKUP(C652,Mortality!$A$2:$F$104,6,FALSE))</x:f>
        <x:v>0.9712826176321353</x:v>
      </x:c>
      <x:c r="L652" s="37" t="n">
        <x:f>VLOOKUP(IF(B652="Pensioner",C652,Assumptions!$B$10),Mortality!$A$2:$E$104,5,FALSE)</x:f>
        <x:v>17.296790022132885</x:v>
      </x:c>
      <x:c r="M652" s="37" t="n">
        <x:f>1+Assumptions!$B$13*Assumptions!$B$14*Assumptions!$B$15</x:f>
        <x:v>1.31875</x:v>
      </x:c>
      <x:c r="N652" s="37" t="n">
        <x:f>IF(B652="Pensioner",1,1/(1+Assumptions!$B$6)^G652)</x:f>
        <x:v>0.1826251518625737</x:v>
      </x:c>
      <x:c r="O652" s="50" t="n">
        <x:f>J652*K652*L652*M652*N652</x:f>
        <x:v>7081387.448592654</x:v>
      </x:c>
    </x:row>
    <x:row r="653">
      <x:c r="A653" s="42" t="str">
        <x:f>Members!A653</x:f>
        <x:v>P0169</x:v>
      </x:c>
      <x:c r="B653" s="42" t="str">
        <x:f>Members!B653</x:f>
        <x:v>Pensioner</x:v>
      </x:c>
      <x:c r="C653" s="42" t="n">
        <x:f>Members!C653</x:f>
        <x:v>83</x:v>
      </x:c>
      <x:c r="D653" s="44" t="n">
        <x:f>Members!D653</x:f>
        <x:v>37.3</x:v>
      </x:c>
      <x:c r="E653" s="48" t="n">
        <x:f>Members!E653</x:f>
        <x:v>0</x:v>
      </x:c>
      <x:c r="F653" s="48" t="n">
        <x:f>Members!F653</x:f>
        <x:v>355000</x:v>
      </x:c>
      <x:c r="G653" s="46" t="n">
        <x:f>MAX(0,Assumptions!$B$10-C653)</x:f>
        <x:v>0</x:v>
      </x:c>
      <x:c r="H653" s="50" t="n">
        <x:f>IF(B653="Active",E653*(1+Assumptions!$B$7)^G653,E653)</x:f>
        <x:v>0</x:v>
      </x:c>
      <x:c r="I653" s="50" t="n">
        <x:f>IF(B653="Active",MIN(Assumptions!$B$12,D653+G653),IF(B653="Deferred",MIN(Assumptions!$B$12,D653),D653))</x:f>
        <x:v>37.3</x:v>
      </x:c>
      <x:c r="J653" s="50" t="n">
        <x:f>IF(B653="Active",H653*I653*Assumptions!$B$11,IF(B653="Deferred",E653*I653*Assumptions!$B$11*(1+Assumptions!$B$9)^G653,F653))</x:f>
        <x:v>355000</x:v>
      </x:c>
      <x:c r="K653" s="37" t="n">
        <x:f>IF(B653="Pensioner",1,VLOOKUP(Assumptions!$B$10,Mortality!$A$2:$F$104,6,FALSE)/VLOOKUP(C653,Mortality!$A$2:$F$104,6,FALSE))</x:f>
        <x:v>1</x:v>
      </x:c>
      <x:c r="L653" s="37" t="n">
        <x:f>VLOOKUP(IF(B653="Pensioner",C653,Assumptions!$B$10),Mortality!$A$2:$E$104,5,FALSE)</x:f>
        <x:v>7.066956273830788</x:v>
      </x:c>
      <x:c r="M653" s="37" t="n">
        <x:f>1+Assumptions!$B$13*Assumptions!$B$14*Assumptions!$B$15</x:f>
        <x:v>1.31875</x:v>
      </x:c>
      <x:c r="N653" s="37" t="n">
        <x:f>IF(B653="Pensioner",1,1/(1+Assumptions!$B$6)^G653)</x:f>
        <x:v>1</x:v>
      </x:c>
      <x:c r="O653" s="50" t="n">
        <x:f>J653*K653*L653*M653*N653</x:f>
        <x:v>3308439.7480705944</x:v>
      </x:c>
    </x:row>
    <x:row r="654">
      <x:c r="A654" s="42" t="str">
        <x:f>Members!A654</x:f>
        <x:v>A0154</x:v>
      </x:c>
      <x:c r="B654" s="42" t="str">
        <x:f>Members!B654</x:f>
        <x:v>Active</x:v>
      </x:c>
      <x:c r="C654" s="42" t="n">
        <x:f>Members!C654</x:f>
        <x:v>28</x:v>
      </x:c>
      <x:c r="D654" s="44" t="n">
        <x:f>Members!D654</x:f>
        <x:v>3.4</x:v>
      </x:c>
      <x:c r="E654" s="48" t="n">
        <x:f>Members!E654</x:f>
        <x:v>532000</x:v>
      </x:c>
      <x:c r="F654" s="48" t="n">
        <x:f>Members!F654</x:f>
        <x:v>0</x:v>
      </x:c>
      <x:c r="G654" s="46" t="n">
        <x:f>MAX(0,Assumptions!$B$10-C654)</x:f>
        <x:v>32</x:v>
      </x:c>
      <x:c r="H654" s="50" t="n">
        <x:f>IF(B654="Active",E654*(1+Assumptions!$B$7)^G654,E654)</x:f>
        <x:v>2951143.587631465</x:v>
      </x:c>
      <x:c r="I654" s="50" t="n">
        <x:f>IF(B654="Active",MIN(Assumptions!$B$12,D654+G654),IF(B654="Deferred",MIN(Assumptions!$B$12,D654),D654))</x:f>
        <x:v>35.4</x:v>
      </x:c>
      <x:c r="J654" s="50" t="n">
        <x:f>IF(B654="Active",H654*I654*Assumptions!$B$11,IF(B654="Deferred",E654*I654*Assumptions!$B$11*(1+Assumptions!$B$9)^G654,F654))</x:f>
        <x:v>1741174.7167025644</x:v>
      </x:c>
      <x:c r="K654" s="37" t="n">
        <x:f>IF(B654="Pensioner",1,VLOOKUP(Assumptions!$B$10,Mortality!$A$2:$F$104,6,FALSE)/VLOOKUP(C654,Mortality!$A$2:$F$104,6,FALSE))</x:f>
        <x:v>0.9697719614347323</x:v>
      </x:c>
      <x:c r="L654" s="37" t="n">
        <x:f>VLOOKUP(IF(B654="Pensioner",C654,Assumptions!$B$10),Mortality!$A$2:$E$104,5,FALSE)</x:f>
        <x:v>17.296790022132885</x:v>
      </x:c>
      <x:c r="M654" s="37" t="n">
        <x:f>1+Assumptions!$B$13*Assumptions!$B$14*Assumptions!$B$15</x:f>
        <x:v>1.31875</x:v>
      </x:c>
      <x:c r="N654" s="37" t="n">
        <x:f>IF(B654="Pensioner",1,1/(1+Assumptions!$B$6)^G654)</x:f>
        <x:v>0.13329459861122173</x:v>
      </x:c>
      <x:c r="O654" s="50" t="n">
        <x:f>J654*K654*L654*M654*N654</x:f>
        <x:v>5133960.379070375</x:v>
      </x:c>
    </x:row>
    <x:row r="655">
      <x:c r="A655" s="42" t="str">
        <x:f>Members!A655</x:f>
        <x:v>A0381</x:v>
      </x:c>
      <x:c r="B655" s="42" t="str">
        <x:f>Members!B655</x:f>
        <x:v>Active</x:v>
      </x:c>
      <x:c r="C655" s="42" t="n">
        <x:f>Members!C655</x:f>
        <x:v>34</x:v>
      </x:c>
      <x:c r="D655" s="44" t="n">
        <x:f>Members!D655</x:f>
        <x:v>9.7</x:v>
      </x:c>
      <x:c r="E655" s="48" t="n">
        <x:f>Members!E655</x:f>
        <x:v>725000</x:v>
      </x:c>
      <x:c r="F655" s="48" t="n">
        <x:f>Members!F655</x:f>
        <x:v>0</x:v>
      </x:c>
      <x:c r="G655" s="46" t="n">
        <x:f>MAX(0,Assumptions!$B$10-C655)</x:f>
        <x:v>26</x:v>
      </x:c>
      <x:c r="H655" s="50" t="n">
        <x:f>IF(B655="Active",E655*(1+Assumptions!$B$7)^G655,E655)</x:f>
        <x:v>2916768.4726514276</x:v>
      </x:c>
      <x:c r="I655" s="50" t="n">
        <x:f>IF(B655="Active",MIN(Assumptions!$B$12,D655+G655),IF(B655="Deferred",MIN(Assumptions!$B$12,D655),D655))</x:f>
        <x:v>35.7</x:v>
      </x:c>
      <x:c r="J655" s="50" t="n">
        <x:f>IF(B655="Active",H655*I655*Assumptions!$B$11,IF(B655="Deferred",E655*I655*Assumptions!$B$11*(1+Assumptions!$B$9)^G655,F655))</x:f>
        <x:v>1735477.2412275996</x:v>
      </x:c>
      <x:c r="K655" s="37" t="n">
        <x:f>IF(B655="Pensioner",1,VLOOKUP(Assumptions!$B$10,Mortality!$A$2:$F$104,6,FALSE)/VLOOKUP(C655,Mortality!$A$2:$F$104,6,FALSE))</x:f>
        <x:v>0.9716205819233391</x:v>
      </x:c>
      <x:c r="L655" s="37" t="n">
        <x:f>VLOOKUP(IF(B655="Pensioner",C655,Assumptions!$B$10),Mortality!$A$2:$E$104,5,FALSE)</x:f>
        <x:v>17.296790022132885</x:v>
      </x:c>
      <x:c r="M655" s="37" t="n">
        <x:f>1+Assumptions!$B$13*Assumptions!$B$14*Assumptions!$B$15</x:f>
        <x:v>1.31875</x:v>
      </x:c>
      <x:c r="N655" s="37" t="n">
        <x:f>IF(B655="Pensioner",1,1/(1+Assumptions!$B$6)^G655)</x:f>
        <x:v>0.19449578673364096</x:v>
      </x:c>
      <x:c r="O655" s="50" t="n">
        <x:f>J655*K655*L655*M655*N655</x:f>
        <x:v>7480899.36336195</x:v>
      </x:c>
    </x:row>
    <x:row r="656">
      <x:c r="A656" s="42" t="str">
        <x:f>Members!A656</x:f>
        <x:v>A0134</x:v>
      </x:c>
      <x:c r="B656" s="42" t="str">
        <x:f>Members!B656</x:f>
        <x:v>Active</x:v>
      </x:c>
      <x:c r="C656" s="42" t="n">
        <x:f>Members!C656</x:f>
        <x:v>26</x:v>
      </x:c>
      <x:c r="D656" s="44" t="n">
        <x:f>Members!D656</x:f>
        <x:v>1.1</x:v>
      </x:c>
      <x:c r="E656" s="48" t="n">
        <x:f>Members!E656</x:f>
        <x:v>425000</x:v>
      </x:c>
      <x:c r="F656" s="48" t="n">
        <x:f>Members!F656</x:f>
        <x:v>0</x:v>
      </x:c>
      <x:c r="G656" s="46" t="n">
        <x:f>MAX(0,Assumptions!$B$10-C656)</x:f>
        <x:v>34</x:v>
      </x:c>
      <x:c r="H656" s="50" t="n">
        <x:f>IF(B656="Active",E656*(1+Assumptions!$B$7)^G656,E656)</x:f>
        <x:v>2624052.728270662</x:v>
      </x:c>
      <x:c r="I656" s="50" t="n">
        <x:f>IF(B656="Active",MIN(Assumptions!$B$12,D656+G656),IF(B656="Deferred",MIN(Assumptions!$B$12,D656),D656))</x:f>
        <x:v>35.1</x:v>
      </x:c>
      <x:c r="J656" s="50" t="n">
        <x:f>IF(B656="Active",H656*I656*Assumptions!$B$11,IF(B656="Deferred",E656*I656*Assumptions!$B$11*(1+Assumptions!$B$9)^G656,F656))</x:f>
        <x:v>1535070.8460383373</x:v>
      </x:c>
      <x:c r="K656" s="37" t="n">
        <x:f>IF(B656="Pensioner",1,VLOOKUP(Assumptions!$B$10,Mortality!$A$2:$F$104,6,FALSE)/VLOOKUP(C656,Mortality!$A$2:$F$104,6,FALSE))</x:f>
        <x:v>0.9692291629189255</x:v>
      </x:c>
      <x:c r="L656" s="37" t="n">
        <x:f>VLOOKUP(IF(B656="Pensioner",C656,Assumptions!$B$10),Mortality!$A$2:$E$104,5,FALSE)</x:f>
        <x:v>17.296790022132885</x:v>
      </x:c>
      <x:c r="M656" s="37" t="n">
        <x:f>1+Assumptions!$B$13*Assumptions!$B$14*Assumptions!$B$15</x:f>
        <x:v>1.31875</x:v>
      </x:c>
      <x:c r="N656" s="37" t="n">
        <x:f>IF(B656="Pensioner",1,1/(1+Assumptions!$B$6)^G656)</x:f>
        <x:v>0.11752042020870793</x:v>
      </x:c>
      <x:c r="O656" s="50" t="n">
        <x:f>J656*K656*L656*M656*N656</x:f>
        <x:v>3988377.139155809</x:v>
      </x:c>
    </x:row>
    <x:row r="657">
      <x:c r="A657" s="42" t="str">
        <x:f>Members!A657</x:f>
        <x:v>A0498</x:v>
      </x:c>
      <x:c r="B657" s="42" t="str">
        <x:f>Members!B657</x:f>
        <x:v>Active</x:v>
      </x:c>
      <x:c r="C657" s="42" t="n">
        <x:f>Members!C657</x:f>
        <x:v>41</x:v>
      </x:c>
      <x:c r="D657" s="44" t="n">
        <x:f>Members!D657</x:f>
        <x:v>5.9</x:v>
      </x:c>
      <x:c r="E657" s="48" t="n">
        <x:f>Members!E657</x:f>
        <x:v>855000</x:v>
      </x:c>
      <x:c r="F657" s="48" t="n">
        <x:f>Members!F657</x:f>
        <x:v>0</x:v>
      </x:c>
      <x:c r="G657" s="46" t="n">
        <x:f>MAX(0,Assumptions!$B$10-C657)</x:f>
        <x:v>19</x:v>
      </x:c>
      <x:c r="H657" s="50" t="n">
        <x:f>IF(B657="Active",E657*(1+Assumptions!$B$7)^G657,E657)</x:f>
        <x:v>2364628.1084990487</x:v>
      </x:c>
      <x:c r="I657" s="50" t="n">
        <x:f>IF(B657="Active",MIN(Assumptions!$B$12,D657+G657),IF(B657="Deferred",MIN(Assumptions!$B$12,D657),D657))</x:f>
        <x:v>24.9</x:v>
      </x:c>
      <x:c r="J657" s="50" t="n">
        <x:f>IF(B657="Active",H657*I657*Assumptions!$B$11,IF(B657="Deferred",E657*I657*Assumptions!$B$11*(1+Assumptions!$B$9)^G657,F657))</x:f>
        <x:v>981320.6650271051</x:v>
      </x:c>
      <x:c r="K657" s="37" t="n">
        <x:f>IF(B657="Pensioner",1,VLOOKUP(Assumptions!$B$10,Mortality!$A$2:$F$104,6,FALSE)/VLOOKUP(C657,Mortality!$A$2:$F$104,6,FALSE))</x:f>
        <x:v>0.9745478954079534</x:v>
      </x:c>
      <x:c r="L657" s="37" t="n">
        <x:f>VLOOKUP(IF(B657="Pensioner",C657,Assumptions!$B$10),Mortality!$A$2:$E$104,5,FALSE)</x:f>
        <x:v>17.296790022132885</x:v>
      </x:c>
      <x:c r="M657" s="37" t="n">
        <x:f>1+Assumptions!$B$13*Assumptions!$B$14*Assumptions!$B$15</x:f>
        <x:v>1.31875</x:v>
      </x:c>
      <x:c r="N657" s="37" t="n">
        <x:f>IF(B657="Pensioner",1,1/(1+Assumptions!$B$6)^G657)</x:f>
        <x:v>0.30224383580131214</x:v>
      </x:c>
      <x:c r="O657" s="50" t="n">
        <x:f>J657*K657*L657*M657*N657</x:f>
        <x:v>6593250.411985038</x:v>
      </x:c>
    </x:row>
    <x:row r="658">
      <x:c r="A658" s="42" t="str">
        <x:f>Members!A658</x:f>
        <x:v>A0523</x:v>
      </x:c>
      <x:c r="B658" s="42" t="str">
        <x:f>Members!B658</x:f>
        <x:v>Active</x:v>
      </x:c>
      <x:c r="C658" s="42" t="n">
        <x:f>Members!C658</x:f>
        <x:v>53</x:v>
      </x:c>
      <x:c r="D658" s="44" t="n">
        <x:f>Members!D658</x:f>
        <x:v>1.6</x:v>
      </x:c>
      <x:c r="E658" s="48" t="n">
        <x:f>Members!E658</x:f>
        <x:v>1533000</x:v>
      </x:c>
      <x:c r="F658" s="48" t="n">
        <x:f>Members!F658</x:f>
        <x:v>0</x:v>
      </x:c>
      <x:c r="G658" s="46" t="n">
        <x:f>MAX(0,Assumptions!$B$10-C658)</x:f>
        <x:v>7</x:v>
      </x:c>
      <x:c r="H658" s="50" t="n">
        <x:f>IF(B658="Active",E658*(1+Assumptions!$B$7)^G658,E658)</x:f>
        <x:v>2230023.1540181064</x:v>
      </x:c>
      <x:c r="I658" s="50" t="n">
        <x:f>IF(B658="Active",MIN(Assumptions!$B$12,D658+G658),IF(B658="Deferred",MIN(Assumptions!$B$12,D658),D658))</x:f>
        <x:v>8.6</x:v>
      </x:c>
      <x:c r="J658" s="50" t="n">
        <x:f>IF(B658="Active",H658*I658*Assumptions!$B$11,IF(B658="Deferred",E658*I658*Assumptions!$B$11*(1+Assumptions!$B$9)^G658,F658))</x:f>
        <x:v>319636.6520759286</x:v>
      </x:c>
      <x:c r="K658" s="37" t="n">
        <x:f>IF(B658="Pensioner",1,VLOOKUP(Assumptions!$B$10,Mortality!$A$2:$F$104,6,FALSE)/VLOOKUP(C658,Mortality!$A$2:$F$104,6,FALSE))</x:f>
        <x:v>0.9850300017431317</x:v>
      </x:c>
      <x:c r="L658" s="37" t="n">
        <x:f>VLOOKUP(IF(B658="Pensioner",C658,Assumptions!$B$10),Mortality!$A$2:$E$104,5,FALSE)</x:f>
        <x:v>17.296790022132885</x:v>
      </x:c>
      <x:c r="M658" s="37" t="n">
        <x:f>1+Assumptions!$B$13*Assumptions!$B$14*Assumptions!$B$15</x:f>
        <x:v>1.31875</x:v>
      </x:c>
      <x:c r="N658" s="37" t="n">
        <x:f>IF(B658="Pensioner",1,1/(1+Assumptions!$B$6)^G658)</x:f>
        <x:v>0.6435062148347594</x:v>
      </x:c>
      <x:c r="O658" s="50" t="n">
        <x:f>J658*K658*L658*M658*N658</x:f>
        <x:v>4621540.496513219</x:v>
      </x:c>
    </x:row>
    <x:row r="659">
      <x:c r="A659" s="42" t="str">
        <x:f>Members!A659</x:f>
        <x:v>P0018</x:v>
      </x:c>
      <x:c r="B659" s="42" t="str">
        <x:f>Members!B659</x:f>
        <x:v>Pensioner</x:v>
      </x:c>
      <x:c r="C659" s="42" t="n">
        <x:f>Members!C659</x:f>
        <x:v>69</x:v>
      </x:c>
      <x:c r="D659" s="44" t="n">
        <x:f>Members!D659</x:f>
        <x:v>27.7</x:v>
      </x:c>
      <x:c r="E659" s="48" t="n">
        <x:f>Members!E659</x:f>
        <x:v>0</x:v>
      </x:c>
      <x:c r="F659" s="48" t="n">
        <x:f>Members!F659</x:f>
        <x:v>472000</x:v>
      </x:c>
      <x:c r="G659" s="46" t="n">
        <x:f>MAX(0,Assumptions!$B$10-C659)</x:f>
        <x:v>0</x:v>
      </x:c>
      <x:c r="H659" s="50" t="n">
        <x:f>IF(B659="Active",E659*(1+Assumptions!$B$7)^G659,E659)</x:f>
        <x:v>0</x:v>
      </x:c>
      <x:c r="I659" s="50" t="n">
        <x:f>IF(B659="Active",MIN(Assumptions!$B$12,D659+G659),IF(B659="Deferred",MIN(Assumptions!$B$12,D659),D659))</x:f>
        <x:v>27.7</x:v>
      </x:c>
      <x:c r="J659" s="50" t="n">
        <x:f>IF(B659="Active",H659*I659*Assumptions!$B$11,IF(B659="Deferred",E659*I659*Assumptions!$B$11*(1+Assumptions!$B$9)^G659,F659))</x:f>
        <x:v>472000</x:v>
      </x:c>
      <x:c r="K659" s="37" t="n">
        <x:f>IF(B659="Pensioner",1,VLOOKUP(Assumptions!$B$10,Mortality!$A$2:$F$104,6,FALSE)/VLOOKUP(C659,Mortality!$A$2:$F$104,6,FALSE))</x:f>
        <x:v>1</x:v>
      </x:c>
      <x:c r="L659" s="37" t="n">
        <x:f>VLOOKUP(IF(B659="Pensioner",C659,Assumptions!$B$10),Mortality!$A$2:$E$104,5,FALSE)</x:f>
        <x:v>13.418448528291036</x:v>
      </x:c>
      <x:c r="M659" s="37" t="n">
        <x:f>1+Assumptions!$B$13*Assumptions!$B$14*Assumptions!$B$15</x:f>
        <x:v>1.31875</x:v>
      </x:c>
      <x:c r="N659" s="37" t="n">
        <x:f>IF(B659="Pensioner",1,1/(1+Assumptions!$B$6)^G659)</x:f>
        <x:v>1</x:v>
      </x:c>
      <x:c r="O659" s="50" t="n">
        <x:f>J659*K659*L659*M659*N659</x:f>
        <x:v>8352313.286434756</x:v>
      </x:c>
    </x:row>
    <x:row r="660">
      <x:c r="A660" s="42" t="str">
        <x:f>Members!A660</x:f>
        <x:v>A0399</x:v>
      </x:c>
      <x:c r="B660" s="42" t="str">
        <x:f>Members!B660</x:f>
        <x:v>Active</x:v>
      </x:c>
      <x:c r="C660" s="42" t="n">
        <x:f>Members!C660</x:f>
        <x:v>27</x:v>
      </x:c>
      <x:c r="D660" s="44" t="n">
        <x:f>Members!D660</x:f>
        <x:v>5.1</x:v>
      </x:c>
      <x:c r="E660" s="48" t="n">
        <x:f>Members!E660</x:f>
        <x:v>645000</x:v>
      </x:c>
      <x:c r="F660" s="48" t="n">
        <x:f>Members!F660</x:f>
        <x:v>0</x:v>
      </x:c>
      <x:c r="G660" s="46" t="n">
        <x:f>MAX(0,Assumptions!$B$10-C660)</x:f>
        <x:v>33</x:v>
      </x:c>
      <x:c r="H660" s="50" t="n">
        <x:f>IF(B660="Active",E660*(1+Assumptions!$B$7)^G660,E660)</x:f>
        <x:v>3774773.369912633</x:v>
      </x:c>
      <x:c r="I660" s="50" t="n">
        <x:f>IF(B660="Active",MIN(Assumptions!$B$12,D660+G660),IF(B660="Deferred",MIN(Assumptions!$B$12,D660),D660))</x:f>
        <x:v>38.1</x:v>
      </x:c>
      <x:c r="J660" s="50" t="n">
        <x:f>IF(B660="Active",H660*I660*Assumptions!$B$11,IF(B660="Deferred",E660*I660*Assumptions!$B$11*(1+Assumptions!$B$9)^G660,F660))</x:f>
        <x:v>2396981.089894522</x:v>
      </x:c>
      <x:c r="K660" s="37" t="n">
        <x:f>IF(B660="Pensioner",1,VLOOKUP(Assumptions!$B$10,Mortality!$A$2:$F$104,6,FALSE)/VLOOKUP(C660,Mortality!$A$2:$F$104,6,FALSE))</x:f>
        <x:v>0.9694971330284515</x:v>
      </x:c>
      <x:c r="L660" s="37" t="n">
        <x:f>VLOOKUP(IF(B660="Pensioner",C660,Assumptions!$B$10),Mortality!$A$2:$E$104,5,FALSE)</x:f>
        <x:v>17.296790022132885</x:v>
      </x:c>
      <x:c r="M660" s="37" t="n">
        <x:f>1+Assumptions!$B$13*Assumptions!$B$14*Assumptions!$B$15</x:f>
        <x:v>1.31875</x:v>
      </x:c>
      <x:c r="N660" s="37" t="n">
        <x:f>IF(B660="Pensioner",1,1/(1+Assumptions!$B$6)^G660)</x:f>
        <x:v>0.12515924752227392</x:v>
      </x:c>
      <x:c r="O660" s="50" t="n">
        <x:f>J660*K660*L660*M660*N660</x:f>
        <x:v>6634406.323089522</x:v>
      </x:c>
    </x:row>
    <x:row r="661">
      <x:c r="A661" s="42" t="str">
        <x:f>Members!A661</x:f>
        <x:v>D0022</x:v>
      </x:c>
      <x:c r="B661" s="42" t="str">
        <x:f>Members!B661</x:f>
        <x:v>Deferred</x:v>
      </x:c>
      <x:c r="C661" s="42" t="n">
        <x:f>Members!C661</x:f>
        <x:v>58</x:v>
      </x:c>
      <x:c r="D661" s="44" t="n">
        <x:f>Members!D661</x:f>
        <x:v>3</x:v>
      </x:c>
      <x:c r="E661" s="48" t="n">
        <x:f>Members!E661</x:f>
        <x:v>1364000</x:v>
      </x:c>
      <x:c r="F661" s="48" t="n">
        <x:f>Members!F661</x:f>
        <x:v>0</x:v>
      </x:c>
      <x:c r="G661" s="46" t="n">
        <x:f>MAX(0,Assumptions!$B$10-C661)</x:f>
        <x:v>2</x:v>
      </x:c>
      <x:c r="H661" s="50" t="n">
        <x:f>IF(B661="Active",E661*(1+Assumptions!$B$7)^G661,E661)</x:f>
        <x:v>1364000</x:v>
      </x:c>
      <x:c r="I661" s="50" t="n">
        <x:f>IF(B661="Active",MIN(Assumptions!$B$12,D661+G661),IF(B661="Deferred",MIN(Assumptions!$B$12,D661),D661))</x:f>
        <x:v>3</x:v>
      </x:c>
      <x:c r="J661" s="50" t="n">
        <x:f>IF(B661="Active",H661*I661*Assumptions!$B$11,IF(B661="Deferred",E661*I661*Assumptions!$B$11*(1+Assumptions!$B$9)^G661,F661))</x:f>
        <x:v>73765.12000000001</x:v>
      </x:c>
      <x:c r="K661" s="37" t="n">
        <x:f>IF(B661="Pensioner",1,VLOOKUP(Assumptions!$B$10,Mortality!$A$2:$F$104,6,FALSE)/VLOOKUP(C661,Mortality!$A$2:$F$104,6,FALSE))</x:f>
        <x:v>0.9945213044203837</x:v>
      </x:c>
      <x:c r="L661" s="37" t="n">
        <x:f>VLOOKUP(IF(B661="Pensioner",C661,Assumptions!$B$10),Mortality!$A$2:$E$104,5,FALSE)</x:f>
        <x:v>17.296790022132885</x:v>
      </x:c>
      <x:c r="M661" s="37" t="n">
        <x:f>1+Assumptions!$B$13*Assumptions!$B$14*Assumptions!$B$15</x:f>
        <x:v>1.31875</x:v>
      </x:c>
      <x:c r="N661" s="37" t="n">
        <x:f>IF(B661="Pensioner",1,1/(1+Assumptions!$B$6)^G661)</x:f>
        <x:v>0.8816592827701736</x:v>
      </x:c>
      <x:c r="O661" s="50" t="n">
        <x:f>J661*K661*L661*M661*N661</x:f>
        <x:v>1475346.1051895365</x:v>
      </x:c>
    </x:row>
    <x:row r="662">
      <x:c r="A662" s="42" t="str">
        <x:f>Members!A662</x:f>
        <x:v>D0005</x:v>
      </x:c>
      <x:c r="B662" s="42" t="str">
        <x:f>Members!B662</x:f>
        <x:v>Deferred</x:v>
      </x:c>
      <x:c r="C662" s="42" t="n">
        <x:f>Members!C662</x:f>
        <x:v>58</x:v>
      </x:c>
      <x:c r="D662" s="44" t="n">
        <x:f>Members!D662</x:f>
        <x:v>13.6</x:v>
      </x:c>
      <x:c r="E662" s="48" t="n">
        <x:f>Members!E662</x:f>
        <x:v>1111000</x:v>
      </x:c>
      <x:c r="F662" s="48" t="n">
        <x:f>Members!F662</x:f>
        <x:v>0</x:v>
      </x:c>
      <x:c r="G662" s="46" t="n">
        <x:f>MAX(0,Assumptions!$B$10-C662)</x:f>
        <x:v>2</x:v>
      </x:c>
      <x:c r="H662" s="50" t="n">
        <x:f>IF(B662="Active",E662*(1+Assumptions!$B$7)^G662,E662)</x:f>
        <x:v>1111000</x:v>
      </x:c>
      <x:c r="I662" s="50" t="n">
        <x:f>IF(B662="Active",MIN(Assumptions!$B$12,D662+G662),IF(B662="Deferred",MIN(Assumptions!$B$12,D662),D662))</x:f>
        <x:v>13.6</x:v>
      </x:c>
      <x:c r="J662" s="50" t="n">
        <x:f>IF(B662="Active",H662*I662*Assumptions!$B$11,IF(B662="Deferred",E662*I662*Assumptions!$B$11*(1+Assumptions!$B$9)^G662,F662))</x:f>
        <x:v>272375.72266666667</x:v>
      </x:c>
      <x:c r="K662" s="37" t="n">
        <x:f>IF(B662="Pensioner",1,VLOOKUP(Assumptions!$B$10,Mortality!$A$2:$F$104,6,FALSE)/VLOOKUP(C662,Mortality!$A$2:$F$104,6,FALSE))</x:f>
        <x:v>0.9945213044203837</x:v>
      </x:c>
      <x:c r="L662" s="37" t="n">
        <x:f>VLOOKUP(IF(B662="Pensioner",C662,Assumptions!$B$10),Mortality!$A$2:$E$104,5,FALSE)</x:f>
        <x:v>17.296790022132885</x:v>
      </x:c>
      <x:c r="M662" s="37" t="n">
        <x:f>1+Assumptions!$B$13*Assumptions!$B$14*Assumptions!$B$15</x:f>
        <x:v>1.31875</x:v>
      </x:c>
      <x:c r="N662" s="37" t="n">
        <x:f>IF(B662="Pensioner",1,1/(1+Assumptions!$B$6)^G662)</x:f>
        <x:v>0.8816592827701736</x:v>
      </x:c>
      <x:c r="O662" s="50" t="n">
        <x:f>J662*K662*L662*M662*N662</x:f>
        <x:v>5447675.833570827</x:v>
      </x:c>
    </x:row>
    <x:row r="663">
      <x:c r="A663" s="42" t="str">
        <x:f>Members!A663</x:f>
        <x:v>A0298</x:v>
      </x:c>
      <x:c r="B663" s="42" t="str">
        <x:f>Members!B663</x:f>
        <x:v>Active</x:v>
      </x:c>
      <x:c r="C663" s="42" t="n">
        <x:f>Members!C663</x:f>
        <x:v>25</x:v>
      </x:c>
      <x:c r="D663" s="44" t="n">
        <x:f>Members!D663</x:f>
        <x:v>1</x:v>
      </x:c>
      <x:c r="E663" s="48" t="n">
        <x:f>Members!E663</x:f>
        <x:v>343000</x:v>
      </x:c>
      <x:c r="F663" s="48" t="n">
        <x:f>Members!F663</x:f>
        <x:v>0</x:v>
      </x:c>
      <x:c r="G663" s="46" t="n">
        <x:f>MAX(0,Assumptions!$B$10-C663)</x:f>
        <x:v>35</x:v>
      </x:c>
      <x:c r="H663" s="50" t="n">
        <x:f>IF(B663="Active",E663*(1+Assumptions!$B$7)^G663,E663)</x:f>
        <x:v>2234241.977683913</x:v>
      </x:c>
      <x:c r="I663" s="50" t="n">
        <x:f>IF(B663="Active",MIN(Assumptions!$B$12,D663+G663),IF(B663="Deferred",MIN(Assumptions!$B$12,D663),D663))</x:f>
        <x:v>36</x:v>
      </x:c>
      <x:c r="J663" s="50" t="n">
        <x:f>IF(B663="Active",H663*I663*Assumptions!$B$11,IF(B663="Deferred",E663*I663*Assumptions!$B$11*(1+Assumptions!$B$9)^G663,F663))</x:f>
        <x:v>1340545.1866103478</x:v>
      </x:c>
      <x:c r="K663" s="37" t="n">
        <x:f>IF(B663="Pensioner",1,VLOOKUP(Assumptions!$B$10,Mortality!$A$2:$F$104,6,FALSE)/VLOOKUP(C663,Mortality!$A$2:$F$104,6,FALSE))</x:f>
        <x:v>0.9689672976041144</x:v>
      </x:c>
      <x:c r="L663" s="37" t="n">
        <x:f>VLOOKUP(IF(B663="Pensioner",C663,Assumptions!$B$10),Mortality!$A$2:$E$104,5,FALSE)</x:f>
        <x:v>17.296790022132885</x:v>
      </x:c>
      <x:c r="M663" s="37" t="n">
        <x:f>1+Assumptions!$B$13*Assumptions!$B$14*Assumptions!$B$15</x:f>
        <x:v>1.31875</x:v>
      </x:c>
      <x:c r="N663" s="37" t="n">
        <x:f>IF(B663="Pensioner",1,1/(1+Assumptions!$B$6)^G663)</x:f>
        <x:v>0.11034781240254267</x:v>
      </x:c>
      <x:c r="O663" s="50" t="n">
        <x:f>J663*K663*L663*M663*N663</x:f>
        <x:v>3269507.1492400006</x:v>
      </x:c>
    </x:row>
    <x:row r="664">
      <x:c r="A664" s="42" t="str">
        <x:f>Members!A664</x:f>
        <x:v>P0205</x:v>
      </x:c>
      <x:c r="B664" s="42" t="str">
        <x:f>Members!B664</x:f>
        <x:v>Pensioner</x:v>
      </x:c>
      <x:c r="C664" s="42" t="n">
        <x:f>Members!C664</x:f>
        <x:v>75</x:v>
      </x:c>
      <x:c r="D664" s="44" t="n">
        <x:f>Members!D664</x:f>
        <x:v>18.4</x:v>
      </x:c>
      <x:c r="E664" s="48" t="n">
        <x:f>Members!E664</x:f>
        <x:v>0</x:v>
      </x:c>
      <x:c r="F664" s="48" t="n">
        <x:f>Members!F664</x:f>
        <x:v>500000</x:v>
      </x:c>
      <x:c r="G664" s="46" t="n">
        <x:f>MAX(0,Assumptions!$B$10-C664)</x:f>
        <x:v>0</x:v>
      </x:c>
      <x:c r="H664" s="50" t="n">
        <x:f>IF(B664="Active",E664*(1+Assumptions!$B$7)^G664,E664)</x:f>
        <x:v>0</x:v>
      </x:c>
      <x:c r="I664" s="50" t="n">
        <x:f>IF(B664="Active",MIN(Assumptions!$B$12,D664+G664),IF(B664="Deferred",MIN(Assumptions!$B$12,D664),D664))</x:f>
        <x:v>18.4</x:v>
      </x:c>
      <x:c r="J664" s="50" t="n">
        <x:f>IF(B664="Active",H664*I664*Assumptions!$B$11,IF(B664="Deferred",E664*I664*Assumptions!$B$11*(1+Assumptions!$B$9)^G664,F664))</x:f>
        <x:v>500000</x:v>
      </x:c>
      <x:c r="K664" s="37" t="n">
        <x:f>IF(B664="Pensioner",1,VLOOKUP(Assumptions!$B$10,Mortality!$A$2:$F$104,6,FALSE)/VLOOKUP(C664,Mortality!$A$2:$F$104,6,FALSE))</x:f>
        <x:v>1</x:v>
      </x:c>
      <x:c r="L664" s="37" t="n">
        <x:f>VLOOKUP(IF(B664="Pensioner",C664,Assumptions!$B$10),Mortality!$A$2:$E$104,5,FALSE)</x:f>
        <x:v>10.662474804432929</x:v>
      </x:c>
      <x:c r="M664" s="37" t="n">
        <x:f>1+Assumptions!$B$13*Assumptions!$B$14*Assumptions!$B$15</x:f>
        <x:v>1.31875</x:v>
      </x:c>
      <x:c r="N664" s="37" t="n">
        <x:f>IF(B664="Pensioner",1,1/(1+Assumptions!$B$6)^G664)</x:f>
        <x:v>1</x:v>
      </x:c>
      <x:c r="O664" s="50" t="n">
        <x:f>J664*K664*L664*M664*N664</x:f>
        <x:v>7030569.324172962</x:v>
      </x:c>
    </x:row>
    <x:row r="665">
      <x:c r="A665" s="42" t="str">
        <x:f>Members!A665</x:f>
        <x:v>A0147</x:v>
      </x:c>
      <x:c r="B665" s="42" t="str">
        <x:f>Members!B665</x:f>
        <x:v>Active</x:v>
      </x:c>
      <x:c r="C665" s="42" t="n">
        <x:f>Members!C665</x:f>
        <x:v>44</x:v>
      </x:c>
      <x:c r="D665" s="44" t="n">
        <x:f>Members!D665</x:f>
        <x:v>1.3</x:v>
      </x:c>
      <x:c r="E665" s="48" t="n">
        <x:f>Members!E665</x:f>
        <x:v>1282000</x:v>
      </x:c>
      <x:c r="F665" s="48" t="n">
        <x:f>Members!F665</x:f>
        <x:v>0</x:v>
      </x:c>
      <x:c r="G665" s="46" t="n">
        <x:f>MAX(0,Assumptions!$B$10-C665)</x:f>
        <x:v>16</x:v>
      </x:c>
      <x:c r="H665" s="50" t="n">
        <x:f>IF(B665="Active",E665*(1+Assumptions!$B$7)^G665,E665)</x:f>
        <x:v>3019446.7805167492</x:v>
      </x:c>
      <x:c r="I665" s="50" t="n">
        <x:f>IF(B665="Active",MIN(Assumptions!$B$12,D665+G665),IF(B665="Deferred",MIN(Assumptions!$B$12,D665),D665))</x:f>
        <x:v>17.3</x:v>
      </x:c>
      <x:c r="J665" s="50" t="n">
        <x:f>IF(B665="Active",H665*I665*Assumptions!$B$11,IF(B665="Deferred",E665*I665*Assumptions!$B$11*(1+Assumptions!$B$9)^G665,F665))</x:f>
        <x:v>870607.1550489961</x:v>
      </x:c>
      <x:c r="K665" s="37" t="n">
        <x:f>IF(B665="Pensioner",1,VLOOKUP(Assumptions!$B$10,Mortality!$A$2:$F$104,6,FALSE)/VLOOKUP(C665,Mortality!$A$2:$F$104,6,FALSE))</x:f>
        <x:v>0.9762682212178733</x:v>
      </x:c>
      <x:c r="L665" s="37" t="n">
        <x:f>VLOOKUP(IF(B665="Pensioner",C665,Assumptions!$B$10),Mortality!$A$2:$E$104,5,FALSE)</x:f>
        <x:v>17.296790022132885</x:v>
      </x:c>
      <x:c r="M665" s="37" t="n">
        <x:f>1+Assumptions!$B$13*Assumptions!$B$14*Assumptions!$B$15</x:f>
        <x:v>1.31875</x:v>
      </x:c>
      <x:c r="N665" s="37" t="n">
        <x:f>IF(B665="Pensioner",1,1/(1+Assumptions!$B$6)^G665)</x:f>
        <x:v>0.3650953281147565</x:v>
      </x:c>
      <x:c r="O665" s="50" t="n">
        <x:f>J665*K665*L665*M665*N665</x:f>
        <x:v>7078245.903169326</x:v>
      </x:c>
    </x:row>
    <x:row r="666">
      <x:c r="A666" s="42" t="str">
        <x:f>Members!A666</x:f>
        <x:v>A0323</x:v>
      </x:c>
      <x:c r="B666" s="42" t="str">
        <x:f>Members!B666</x:f>
        <x:v>Active</x:v>
      </x:c>
      <x:c r="C666" s="42" t="n">
        <x:f>Members!C666</x:f>
        <x:v>26</x:v>
      </x:c>
      <x:c r="D666" s="44" t="n">
        <x:f>Members!D666</x:f>
        <x:v>1</x:v>
      </x:c>
      <x:c r="E666" s="48" t="n">
        <x:f>Members!E666</x:f>
        <x:v>411000</x:v>
      </x:c>
      <x:c r="F666" s="48" t="n">
        <x:f>Members!F666</x:f>
        <x:v>0</x:v>
      </x:c>
      <x:c r="G666" s="46" t="n">
        <x:f>MAX(0,Assumptions!$B$10-C666)</x:f>
        <x:v>34</x:v>
      </x:c>
      <x:c r="H666" s="50" t="n">
        <x:f>IF(B666="Active",E666*(1+Assumptions!$B$7)^G666,E666)</x:f>
        <x:v>2537613.3442805693</x:v>
      </x:c>
      <x:c r="I666" s="50" t="n">
        <x:f>IF(B666="Active",MIN(Assumptions!$B$12,D666+G666),IF(B666="Deferred",MIN(Assumptions!$B$12,D666),D666))</x:f>
        <x:v>35</x:v>
      </x:c>
      <x:c r="J666" s="50" t="n">
        <x:f>IF(B666="Active",H666*I666*Assumptions!$B$11,IF(B666="Deferred",E666*I666*Assumptions!$B$11*(1+Assumptions!$B$9)^G666,F666))</x:f>
        <x:v>1480274.4508303322</x:v>
      </x:c>
      <x:c r="K666" s="37" t="n">
        <x:f>IF(B666="Pensioner",1,VLOOKUP(Assumptions!$B$10,Mortality!$A$2:$F$104,6,FALSE)/VLOOKUP(C666,Mortality!$A$2:$F$104,6,FALSE))</x:f>
        <x:v>0.9692291629189255</x:v>
      </x:c>
      <x:c r="L666" s="37" t="n">
        <x:f>VLOOKUP(IF(B666="Pensioner",C666,Assumptions!$B$10),Mortality!$A$2:$E$104,5,FALSE)</x:f>
        <x:v>17.296790022132885</x:v>
      </x:c>
      <x:c r="M666" s="37" t="n">
        <x:f>1+Assumptions!$B$13*Assumptions!$B$14*Assumptions!$B$15</x:f>
        <x:v>1.31875</x:v>
      </x:c>
      <x:c r="N666" s="37" t="n">
        <x:f>IF(B666="Pensioner",1,1/(1+Assumptions!$B$6)^G666)</x:f>
        <x:v>0.11752042020870793</x:v>
      </x:c>
      <x:c r="O666" s="50" t="n">
        <x:f>J666*K666*L666*M666*N666</x:f>
        <x:v>3846006.713373979</x:v>
      </x:c>
    </x:row>
    <x:row r="667">
      <x:c r="A667" s="42" t="str">
        <x:f>Members!A667</x:f>
        <x:v>A0417</x:v>
      </x:c>
      <x:c r="B667" s="42" t="str">
        <x:f>Members!B667</x:f>
        <x:v>Active</x:v>
      </x:c>
      <x:c r="C667" s="42" t="n">
        <x:f>Members!C667</x:f>
        <x:v>35</x:v>
      </x:c>
      <x:c r="D667" s="44" t="n">
        <x:f>Members!D667</x:f>
        <x:v>5.6</x:v>
      </x:c>
      <x:c r="E667" s="48" t="n">
        <x:f>Members!E667</x:f>
        <x:v>827000</x:v>
      </x:c>
      <x:c r="F667" s="48" t="n">
        <x:f>Members!F667</x:f>
        <x:v>0</x:v>
      </x:c>
      <x:c r="G667" s="46" t="n">
        <x:f>MAX(0,Assumptions!$B$10-C667)</x:f>
        <x:v>25</x:v>
      </x:c>
      <x:c r="H667" s="50" t="n">
        <x:f>IF(B667="Active",E667*(1+Assumptions!$B$7)^G667,E667)</x:f>
        <x:v>3153675.4723095023</x:v>
      </x:c>
      <x:c r="I667" s="50" t="n">
        <x:f>IF(B667="Active",MIN(Assumptions!$B$12,D667+G667),IF(B667="Deferred",MIN(Assumptions!$B$12,D667),D667))</x:f>
        <x:v>30.6</x:v>
      </x:c>
      <x:c r="J667" s="50" t="n">
        <x:f>IF(B667="Active",H667*I667*Assumptions!$B$11,IF(B667="Deferred",E667*I667*Assumptions!$B$11*(1+Assumptions!$B$9)^G667,F667))</x:f>
        <x:v>1608374.490877846</x:v>
      </x:c>
      <x:c r="K667" s="37" t="n">
        <x:f>IF(B667="Pensioner",1,VLOOKUP(Assumptions!$B$10,Mortality!$A$2:$F$104,6,FALSE)/VLOOKUP(C667,Mortality!$A$2:$F$104,6,FALSE))</x:f>
        <x:v>0.9719740765386753</x:v>
      </x:c>
      <x:c r="L667" s="37" t="n">
        <x:f>VLOOKUP(IF(B667="Pensioner",C667,Assumptions!$B$10),Mortality!$A$2:$E$104,5,FALSE)</x:f>
        <x:v>17.296790022132885</x:v>
      </x:c>
      <x:c r="M667" s="37" t="n">
        <x:f>1+Assumptions!$B$13*Assumptions!$B$14*Assumptions!$B$15</x:f>
        <x:v>1.31875</x:v>
      </x:c>
      <x:c r="N667" s="37" t="n">
        <x:f>IF(B667="Pensioner",1,1/(1+Assumptions!$B$6)^G667)</x:f>
        <x:v>0.20713801287132758</x:v>
      </x:c>
      <x:c r="O667" s="50" t="n">
        <x:f>J667*K667*L667*M667*N667</x:f>
        <x:v>7386346.042831211</x:v>
      </x:c>
    </x:row>
    <x:row r="668">
      <x:c r="A668" s="42" t="str">
        <x:f>Members!A668</x:f>
        <x:v>A0072</x:v>
      </x:c>
      <x:c r="B668" s="42" t="str">
        <x:f>Members!B668</x:f>
        <x:v>Active</x:v>
      </x:c>
      <x:c r="C668" s="42" t="n">
        <x:f>Members!C668</x:f>
        <x:v>34</x:v>
      </x:c>
      <x:c r="D668" s="44" t="n">
        <x:f>Members!D668</x:f>
        <x:v>8</x:v>
      </x:c>
      <x:c r="E668" s="48" t="n">
        <x:f>Members!E668</x:f>
        <x:v>677000</x:v>
      </x:c>
      <x:c r="F668" s="48" t="n">
        <x:f>Members!F668</x:f>
        <x:v>0</x:v>
      </x:c>
      <x:c r="G668" s="46" t="n">
        <x:f>MAX(0,Assumptions!$B$10-C668)</x:f>
        <x:v>26</x:v>
      </x:c>
      <x:c r="H668" s="50" t="n">
        <x:f>IF(B668="Active",E668*(1+Assumptions!$B$7)^G668,E668)</x:f>
        <x:v>2723658.284117264</x:v>
      </x:c>
      <x:c r="I668" s="50" t="n">
        <x:f>IF(B668="Active",MIN(Assumptions!$B$12,D668+G668),IF(B668="Deferred",MIN(Assumptions!$B$12,D668),D668))</x:f>
        <x:v>34</x:v>
      </x:c>
      <x:c r="J668" s="50" t="n">
        <x:f>IF(B668="Active",H668*I668*Assumptions!$B$11,IF(B668="Deferred",E668*I668*Assumptions!$B$11*(1+Assumptions!$B$9)^G668,F668))</x:f>
        <x:v>1543406.360999783</x:v>
      </x:c>
      <x:c r="K668" s="37" t="n">
        <x:f>IF(B668="Pensioner",1,VLOOKUP(Assumptions!$B$10,Mortality!$A$2:$F$104,6,FALSE)/VLOOKUP(C668,Mortality!$A$2:$F$104,6,FALSE))</x:f>
        <x:v>0.9716205819233391</x:v>
      </x:c>
      <x:c r="L668" s="37" t="n">
        <x:f>VLOOKUP(IF(B668="Pensioner",C668,Assumptions!$B$10),Mortality!$A$2:$E$104,5,FALSE)</x:f>
        <x:v>17.296790022132885</x:v>
      </x:c>
      <x:c r="M668" s="37" t="n">
        <x:f>1+Assumptions!$B$13*Assumptions!$B$14*Assumptions!$B$15</x:f>
        <x:v>1.31875</x:v>
      </x:c>
      <x:c r="N668" s="37" t="n">
        <x:f>IF(B668="Pensioner",1,1/(1+Assumptions!$B$6)^G668)</x:f>
        <x:v>0.19449578673364096</x:v>
      </x:c>
      <x:c r="O668" s="50" t="n">
        <x:f>J668*K668*L668*M668*N668</x:f>
        <x:v>6652964.031521892</x:v>
      </x:c>
    </x:row>
    <x:row r="669">
      <x:c r="A669" s="42" t="str">
        <x:f>Members!A669</x:f>
        <x:v>A0003</x:v>
      </x:c>
      <x:c r="B669" s="42" t="str">
        <x:f>Members!B669</x:f>
        <x:v>Active</x:v>
      </x:c>
      <x:c r="C669" s="42" t="n">
        <x:f>Members!C669</x:f>
        <x:v>53</x:v>
      </x:c>
      <x:c r="D669" s="44" t="n">
        <x:f>Members!D669</x:f>
        <x:v>9.2</x:v>
      </x:c>
      <x:c r="E669" s="48" t="n">
        <x:f>Members!E669</x:f>
        <x:v>1679000</x:v>
      </x:c>
      <x:c r="F669" s="48" t="n">
        <x:f>Members!F669</x:f>
        <x:v>0</x:v>
      </x:c>
      <x:c r="G669" s="46" t="n">
        <x:f>MAX(0,Assumptions!$B$10-C669)</x:f>
        <x:v>7</x:v>
      </x:c>
      <x:c r="H669" s="50" t="n">
        <x:f>IF(B669="Active",E669*(1+Assumptions!$B$7)^G669,E669)</x:f>
        <x:v>2442406.31154364</x:v>
      </x:c>
      <x:c r="I669" s="50" t="n">
        <x:f>IF(B669="Active",MIN(Assumptions!$B$12,D669+G669),IF(B669="Deferred",MIN(Assumptions!$B$12,D669),D669))</x:f>
        <x:v>16.2</x:v>
      </x:c>
      <x:c r="J669" s="50" t="n">
        <x:f>IF(B669="Active",H669*I669*Assumptions!$B$11,IF(B669="Deferred",E669*I669*Assumptions!$B$11*(1+Assumptions!$B$9)^G669,F669))</x:f>
        <x:v>659449.7041167828</x:v>
      </x:c>
      <x:c r="K669" s="37" t="n">
        <x:f>IF(B669="Pensioner",1,VLOOKUP(Assumptions!$B$10,Mortality!$A$2:$F$104,6,FALSE)/VLOOKUP(C669,Mortality!$A$2:$F$104,6,FALSE))</x:f>
        <x:v>0.9850300017431317</x:v>
      </x:c>
      <x:c r="L669" s="37" t="n">
        <x:f>VLOOKUP(IF(B669="Pensioner",C669,Assumptions!$B$10),Mortality!$A$2:$E$104,5,FALSE)</x:f>
        <x:v>17.296790022132885</x:v>
      </x:c>
      <x:c r="M669" s="37" t="n">
        <x:f>1+Assumptions!$B$13*Assumptions!$B$14*Assumptions!$B$15</x:f>
        <x:v>1.31875</x:v>
      </x:c>
      <x:c r="N669" s="37" t="n">
        <x:f>IF(B669="Pensioner",1,1/(1+Assumptions!$B$6)^G669)</x:f>
        <x:v>0.6435062148347594</x:v>
      </x:c>
      <x:c r="O669" s="50" t="n">
        <x:f>J669*K669*L669*M669*N669</x:f>
        <x:v>9534806.140646871</x:v>
      </x:c>
    </x:row>
    <x:row r="670">
      <x:c r="A670" s="42" t="str">
        <x:f>Members!A670</x:f>
        <x:v>A0233</x:v>
      </x:c>
      <x:c r="B670" s="42" t="str">
        <x:f>Members!B670</x:f>
        <x:v>Active</x:v>
      </x:c>
      <x:c r="C670" s="42" t="n">
        <x:f>Members!C670</x:f>
        <x:v>32</x:v>
      </x:c>
      <x:c r="D670" s="44" t="n">
        <x:f>Members!D670</x:f>
        <x:v>2.7</x:v>
      </x:c>
      <x:c r="E670" s="48" t="n">
        <x:f>Members!E670</x:f>
        <x:v>557000</x:v>
      </x:c>
      <x:c r="F670" s="48" t="n">
        <x:f>Members!F670</x:f>
        <x:v>0</x:v>
      </x:c>
      <x:c r="G670" s="46" t="n">
        <x:f>MAX(0,Assumptions!$B$10-C670)</x:f>
        <x:v>28</x:v>
      </x:c>
      <x:c r="H670" s="50" t="n">
        <x:f>IF(B670="Active",E670*(1+Assumptions!$B$7)^G670,E670)</x:f>
        <x:v>2494158.592696524</x:v>
      </x:c>
      <x:c r="I670" s="50" t="n">
        <x:f>IF(B670="Active",MIN(Assumptions!$B$12,D670+G670),IF(B670="Deferred",MIN(Assumptions!$B$12,D670),D670))</x:f>
        <x:v>30.7</x:v>
      </x:c>
      <x:c r="J670" s="50" t="n">
        <x:f>IF(B670="Active",H670*I670*Assumptions!$B$11,IF(B670="Deferred",E670*I670*Assumptions!$B$11*(1+Assumptions!$B$9)^G670,F670))</x:f>
        <x:v>1276177.813263055</x:v>
      </x:c>
      <x:c r="K670" s="37" t="n">
        <x:f>IF(B670="Pensioner",1,VLOOKUP(Assumptions!$B$10,Mortality!$A$2:$F$104,6,FALSE)/VLOOKUP(C670,Mortality!$A$2:$F$104,6,FALSE))</x:f>
        <x:v>0.9709584687664957</x:v>
      </x:c>
      <x:c r="L670" s="37" t="n">
        <x:f>VLOOKUP(IF(B670="Pensioner",C670,Assumptions!$B$10),Mortality!$A$2:$E$104,5,FALSE)</x:f>
        <x:v>17.296790022132885</x:v>
      </x:c>
      <x:c r="M670" s="37" t="n">
        <x:f>1+Assumptions!$B$13*Assumptions!$B$14*Assumptions!$B$15</x:f>
        <x:v>1.31875</x:v>
      </x:c>
      <x:c r="N670" s="37" t="n">
        <x:f>IF(B670="Pensioner",1,1/(1+Assumptions!$B$6)^G670)</x:f>
        <x:v>0.17147901583340255</x:v>
      </x:c>
      <x:c r="O670" s="50" t="n">
        <x:f>J670*K670*L670*M670*N670</x:f>
        <x:v>4846752.156830811</x:v>
      </x:c>
    </x:row>
    <x:row r="671">
      <x:c r="A671" s="42" t="str">
        <x:f>Members!A671</x:f>
        <x:v>A0595</x:v>
      </x:c>
      <x:c r="B671" s="42" t="str">
        <x:f>Members!B671</x:f>
        <x:v>Active</x:v>
      </x:c>
      <x:c r="C671" s="42" t="n">
        <x:f>Members!C671</x:f>
        <x:v>51</x:v>
      </x:c>
      <x:c r="D671" s="44" t="n">
        <x:f>Members!D671</x:f>
        <x:v>23.4</x:v>
      </x:c>
      <x:c r="E671" s="48" t="n">
        <x:f>Members!E671</x:f>
        <x:v>1585000</x:v>
      </x:c>
      <x:c r="F671" s="48" t="n">
        <x:f>Members!F671</x:f>
        <x:v>0</x:v>
      </x:c>
      <x:c r="G671" s="46" t="n">
        <x:f>MAX(0,Assumptions!$B$10-C671)</x:f>
        <x:v>9</x:v>
      </x:c>
      <x:c r="H671" s="50" t="n">
        <x:f>IF(B671="Active",E671*(1+Assumptions!$B$7)^G671,E671)</x:f>
        <x:v>2566264.423213692</x:v>
      </x:c>
      <x:c r="I671" s="50" t="n">
        <x:f>IF(B671="Active",MIN(Assumptions!$B$12,D671+G671),IF(B671="Deferred",MIN(Assumptions!$B$12,D671),D671))</x:f>
        <x:v>32.4</x:v>
      </x:c>
      <x:c r="J671" s="50" t="n">
        <x:f>IF(B671="Active",H671*I671*Assumptions!$B$11,IF(B671="Deferred",E671*I671*Assumptions!$B$11*(1+Assumptions!$B$9)^G671,F671))</x:f>
        <x:v>1385782.7885353935</x:v>
      </x:c>
      <x:c r="K671" s="37" t="n">
        <x:f>IF(B671="Pensioner",1,VLOOKUP(Assumptions!$B$10,Mortality!$A$2:$F$104,6,FALSE)/VLOOKUP(C671,Mortality!$A$2:$F$104,6,FALSE))</x:f>
        <x:v>0.9824052797506154</x:v>
      </x:c>
      <x:c r="L671" s="37" t="n">
        <x:f>VLOOKUP(IF(B671="Pensioner",C671,Assumptions!$B$10),Mortality!$A$2:$E$104,5,FALSE)</x:f>
        <x:v>17.296790022132885</x:v>
      </x:c>
      <x:c r="M671" s="37" t="n">
        <x:f>1+Assumptions!$B$13*Assumptions!$B$14*Assumptions!$B$15</x:f>
        <x:v>1.31875</x:v>
      </x:c>
      <x:c r="N671" s="37" t="n">
        <x:f>IF(B671="Pensioner",1,1/(1+Assumptions!$B$6)^G671)</x:f>
        <x:v>0.5673532278293633</x:v>
      </x:c>
      <x:c r="O671" s="50" t="n">
        <x:f>J671*K671*L671*M671*N671</x:f>
        <x:v>17618436.5535347</x:v>
      </x:c>
    </x:row>
    <x:row r="672">
      <x:c r="A672" s="42" t="str">
        <x:f>Members!A672</x:f>
        <x:v>A0113</x:v>
      </x:c>
      <x:c r="B672" s="42" t="str">
        <x:f>Members!B672</x:f>
        <x:v>Active</x:v>
      </x:c>
      <x:c r="C672" s="42" t="n">
        <x:f>Members!C672</x:f>
        <x:v>58</x:v>
      </x:c>
      <x:c r="D672" s="44" t="n">
        <x:f>Members!D672</x:f>
        <x:v>26.8</x:v>
      </x:c>
      <x:c r="E672" s="48" t="n">
        <x:f>Members!E672</x:f>
        <x:v>1508000</x:v>
      </x:c>
      <x:c r="F672" s="48" t="n">
        <x:f>Members!F672</x:f>
        <x:v>0</x:v>
      </x:c>
      <x:c r="G672" s="46" t="n">
        <x:f>MAX(0,Assumptions!$B$10-C672)</x:f>
        <x:v>2</x:v>
      </x:c>
      <x:c r="H672" s="50" t="n">
        <x:f>IF(B672="Active",E672*(1+Assumptions!$B$7)^G672,E672)</x:f>
        <x:v>1678441.7</x:v>
      </x:c>
      <x:c r="I672" s="50" t="n">
        <x:f>IF(B672="Active",MIN(Assumptions!$B$12,D672+G672),IF(B672="Deferred",MIN(Assumptions!$B$12,D672),D672))</x:f>
        <x:v>28.8</x:v>
      </x:c>
      <x:c r="J672" s="50" t="n">
        <x:f>IF(B672="Active",H672*I672*Assumptions!$B$11,IF(B672="Deferred",E672*I672*Assumptions!$B$11*(1+Assumptions!$B$9)^G672,F672))</x:f>
        <x:v>805652.0160000001</x:v>
      </x:c>
      <x:c r="K672" s="37" t="n">
        <x:f>IF(B672="Pensioner",1,VLOOKUP(Assumptions!$B$10,Mortality!$A$2:$F$104,6,FALSE)/VLOOKUP(C672,Mortality!$A$2:$F$104,6,FALSE))</x:f>
        <x:v>0.9945213044203837</x:v>
      </x:c>
      <x:c r="L672" s="37" t="n">
        <x:f>VLOOKUP(IF(B672="Pensioner",C672,Assumptions!$B$10),Mortality!$A$2:$E$104,5,FALSE)</x:f>
        <x:v>17.296790022132885</x:v>
      </x:c>
      <x:c r="M672" s="37" t="n">
        <x:f>1+Assumptions!$B$13*Assumptions!$B$14*Assumptions!$B$15</x:f>
        <x:v>1.31875</x:v>
      </x:c>
      <x:c r="N672" s="37" t="n">
        <x:f>IF(B672="Pensioner",1,1/(1+Assumptions!$B$6)^G672)</x:f>
        <x:v>0.8816592827701736</x:v>
      </x:c>
      <x:c r="O672" s="50" t="n">
        <x:f>J672*K672*L672*M672*N672</x:f>
        <x:v>16113517.661785115</x:v>
      </x:c>
    </x:row>
    <x:row r="673">
      <x:c r="A673" s="42" t="str">
        <x:f>Members!A673</x:f>
        <x:v>A0140</x:v>
      </x:c>
      <x:c r="B673" s="42" t="str">
        <x:f>Members!B673</x:f>
        <x:v>Active</x:v>
      </x:c>
      <x:c r="C673" s="42" t="n">
        <x:f>Members!C673</x:f>
        <x:v>56</x:v>
      </x:c>
      <x:c r="D673" s="44" t="n">
        <x:f>Members!D673</x:f>
        <x:v>2.3</x:v>
      </x:c>
      <x:c r="E673" s="48" t="n">
        <x:f>Members!E673</x:f>
        <x:v>2030000</x:v>
      </x:c>
      <x:c r="F673" s="48" t="n">
        <x:f>Members!F673</x:f>
        <x:v>0</x:v>
      </x:c>
      <x:c r="G673" s="46" t="n">
        <x:f>MAX(0,Assumptions!$B$10-C673)</x:f>
        <x:v>4</x:v>
      </x:c>
      <x:c r="H673" s="50" t="n">
        <x:f>IF(B673="Active",E673*(1+Assumptions!$B$7)^G673,E673)</x:f>
        <x:v>2514814.0407687495</x:v>
      </x:c>
      <x:c r="I673" s="50" t="n">
        <x:f>IF(B673="Active",MIN(Assumptions!$B$12,D673+G673),IF(B673="Deferred",MIN(Assumptions!$B$12,D673),D673))</x:f>
        <x:v>6.3</x:v>
      </x:c>
      <x:c r="J673" s="50" t="n">
        <x:f>IF(B673="Active",H673*I673*Assumptions!$B$11,IF(B673="Deferred",E673*I673*Assumptions!$B$11*(1+Assumptions!$B$9)^G673,F673))</x:f>
        <x:v>264055.47428071866</x:v>
      </x:c>
      <x:c r="K673" s="37" t="n">
        <x:f>IF(B673="Pensioner",1,VLOOKUP(Assumptions!$B$10,Mortality!$A$2:$F$104,6,FALSE)/VLOOKUP(C673,Mortality!$A$2:$F$104,6,FALSE))</x:f>
        <x:v>0.990116255810422</x:v>
      </x:c>
      <x:c r="L673" s="37" t="n">
        <x:f>VLOOKUP(IF(B673="Pensioner",C673,Assumptions!$B$10),Mortality!$A$2:$E$104,5,FALSE)</x:f>
        <x:v>17.296790022132885</x:v>
      </x:c>
      <x:c r="M673" s="37" t="n">
        <x:f>1+Assumptions!$B$13*Assumptions!$B$14*Assumptions!$B$15</x:f>
        <x:v>1.31875</x:v>
      </x:c>
      <x:c r="N673" s="37" t="n">
        <x:f>IF(B673="Pensioner",1,1/(1+Assumptions!$B$6)^G673)</x:f>
        <x:v>0.777323090894817</x:v>
      </x:c>
      <x:c r="O673" s="50" t="n">
        <x:f>J673*K673*L673*M673*N673</x:f>
        <x:v>4635653.01699961</x:v>
      </x:c>
    </x:row>
    <x:row r="674">
      <x:c r="A674" s="42" t="str">
        <x:f>Members!A674</x:f>
        <x:v>A0322</x:v>
      </x:c>
      <x:c r="B674" s="42" t="str">
        <x:f>Members!B674</x:f>
        <x:v>Active</x:v>
      </x:c>
      <x:c r="C674" s="42" t="n">
        <x:f>Members!C674</x:f>
        <x:v>46</x:v>
      </x:c>
      <x:c r="D674" s="44" t="n">
        <x:f>Members!D674</x:f>
        <x:v>17.7</x:v>
      </x:c>
      <x:c r="E674" s="48" t="n">
        <x:f>Members!E674</x:f>
        <x:v>849000</x:v>
      </x:c>
      <x:c r="F674" s="48" t="n">
        <x:f>Members!F674</x:f>
        <x:v>0</x:v>
      </x:c>
      <x:c r="G674" s="46" t="n">
        <x:f>MAX(0,Assumptions!$B$10-C674)</x:f>
        <x:v>14</x:v>
      </x:c>
      <x:c r="H674" s="50" t="n">
        <x:f>IF(B674="Active",E674*(1+Assumptions!$B$7)^G674,E674)</x:f>
        <x:v>1796561.6510995445</x:v>
      </x:c>
      <x:c r="I674" s="50" t="n">
        <x:f>IF(B674="Active",MIN(Assumptions!$B$12,D674+G674),IF(B674="Deferred",MIN(Assumptions!$B$12,D674),D674))</x:f>
        <x:v>31.7</x:v>
      </x:c>
      <x:c r="J674" s="50" t="n">
        <x:f>IF(B674="Active",H674*I674*Assumptions!$B$11,IF(B674="Deferred",E674*I674*Assumptions!$B$11*(1+Assumptions!$B$9)^G674,F674))</x:f>
        <x:v>949183.4056642593</x:v>
      </x:c>
      <x:c r="K674" s="37" t="n">
        <x:f>IF(B674="Pensioner",1,VLOOKUP(Assumptions!$B$10,Mortality!$A$2:$F$104,6,FALSE)/VLOOKUP(C674,Mortality!$A$2:$F$104,6,FALSE))</x:f>
        <x:v>0.9776582328304806</x:v>
      </x:c>
      <x:c r="L674" s="37" t="n">
        <x:f>VLOOKUP(IF(B674="Pensioner",C674,Assumptions!$B$10),Mortality!$A$2:$E$104,5,FALSE)</x:f>
        <x:v>17.296790022132885</x:v>
      </x:c>
      <x:c r="M674" s="37" t="n">
        <x:f>1+Assumptions!$B$13*Assumptions!$B$14*Assumptions!$B$15</x:f>
        <x:v>1.31875</x:v>
      </x:c>
      <x:c r="N674" s="37" t="n">
        <x:f>IF(B674="Pensioner",1,1/(1+Assumptions!$B$6)^G674)</x:f>
        <x:v>0.41410024853095956</x:v>
      </x:c>
      <x:c r="O674" s="50" t="n">
        <x:f>J674*K674*L674*M674*N674</x:f>
        <x:v>8765378.53190169</x:v>
      </x:c>
    </x:row>
    <x:row r="675">
      <x:c r="A675" s="42" t="str">
        <x:f>Members!A675</x:f>
        <x:v>A0092</x:v>
      </x:c>
      <x:c r="B675" s="42" t="str">
        <x:f>Members!B675</x:f>
        <x:v>Active</x:v>
      </x:c>
      <x:c r="C675" s="42" t="n">
        <x:f>Members!C675</x:f>
        <x:v>45</x:v>
      </x:c>
      <x:c r="D675" s="44" t="n">
        <x:f>Members!D675</x:f>
        <x:v>17.7</x:v>
      </x:c>
      <x:c r="E675" s="48" t="n">
        <x:f>Members!E675</x:f>
        <x:v>1154000</x:v>
      </x:c>
      <x:c r="F675" s="48" t="n">
        <x:f>Members!F675</x:f>
        <x:v>0</x:v>
      </x:c>
      <x:c r="G675" s="46" t="n">
        <x:f>MAX(0,Assumptions!$B$10-C675)</x:f>
        <x:v>15</x:v>
      </x:c>
      <x:c r="H675" s="50" t="n">
        <x:f>IF(B675="Active",E675*(1+Assumptions!$B$7)^G675,E675)</x:f>
        <x:v>2576277.872042594</x:v>
      </x:c>
      <x:c r="I675" s="50" t="n">
        <x:f>IF(B675="Active",MIN(Assumptions!$B$12,D675+G675),IF(B675="Deferred",MIN(Assumptions!$B$12,D675),D675))</x:f>
        <x:v>32.7</x:v>
      </x:c>
      <x:c r="J675" s="50" t="n">
        <x:f>IF(B675="Active",H675*I675*Assumptions!$B$11,IF(B675="Deferred",E675*I675*Assumptions!$B$11*(1+Assumptions!$B$9)^G675,F675))</x:f>
        <x:v>1404071.440263214</x:v>
      </x:c>
      <x:c r="K675" s="37" t="n">
        <x:f>IF(B675="Pensioner",1,VLOOKUP(Assumptions!$B$10,Mortality!$A$2:$F$104,6,FALSE)/VLOOKUP(C675,Mortality!$A$2:$F$104,6,FALSE))</x:f>
        <x:v>0.9769349478194655</x:v>
      </x:c>
      <x:c r="L675" s="37" t="n">
        <x:f>VLOOKUP(IF(B675="Pensioner",C675,Assumptions!$B$10),Mortality!$A$2:$E$104,5,FALSE)</x:f>
        <x:v>17.296790022132885</x:v>
      </x:c>
      <x:c r="M675" s="37" t="n">
        <x:f>1+Assumptions!$B$13*Assumptions!$B$14*Assumptions!$B$15</x:f>
        <x:v>1.31875</x:v>
      </x:c>
      <x:c r="N675" s="37" t="n">
        <x:f>IF(B675="Pensioner",1,1/(1+Assumptions!$B$6)^G675)</x:f>
        <x:v>0.38882652444221566</x:v>
      </x:c>
      <x:c r="O675" s="50" t="n">
        <x:f>J675*K675*L675*M675*N675</x:f>
        <x:v>12165745.323086785</x:v>
      </x:c>
    </x:row>
    <x:row r="676">
      <x:c r="A676" s="42" t="str">
        <x:f>Members!A676</x:f>
        <x:v>P0166</x:v>
      </x:c>
      <x:c r="B676" s="42" t="str">
        <x:f>Members!B676</x:f>
        <x:v>Pensioner</x:v>
      </x:c>
      <x:c r="C676" s="42" t="n">
        <x:f>Members!C676</x:f>
        <x:v>84</x:v>
      </x:c>
      <x:c r="D676" s="44" t="n">
        <x:f>Members!D676</x:f>
        <x:v>28.8</x:v>
      </x:c>
      <x:c r="E676" s="48" t="n">
        <x:f>Members!E676</x:f>
        <x:v>0</x:v>
      </x:c>
      <x:c r="F676" s="48" t="n">
        <x:f>Members!F676</x:f>
        <x:v>536000</x:v>
      </x:c>
      <x:c r="G676" s="46" t="n">
        <x:f>MAX(0,Assumptions!$B$10-C676)</x:f>
        <x:v>0</x:v>
      </x:c>
      <x:c r="H676" s="50" t="n">
        <x:f>IF(B676="Active",E676*(1+Assumptions!$B$7)^G676,E676)</x:f>
        <x:v>0</x:v>
      </x:c>
      <x:c r="I676" s="50" t="n">
        <x:f>IF(B676="Active",MIN(Assumptions!$B$12,D676+G676),IF(B676="Deferred",MIN(Assumptions!$B$12,D676),D676))</x:f>
        <x:v>28.8</x:v>
      </x:c>
      <x:c r="J676" s="50" t="n">
        <x:f>IF(B676="Active",H676*I676*Assumptions!$B$11,IF(B676="Deferred",E676*I676*Assumptions!$B$11*(1+Assumptions!$B$9)^G676,F676))</x:f>
        <x:v>536000</x:v>
      </x:c>
      <x:c r="K676" s="37" t="n">
        <x:f>IF(B676="Pensioner",1,VLOOKUP(Assumptions!$B$10,Mortality!$A$2:$F$104,6,FALSE)/VLOOKUP(C676,Mortality!$A$2:$F$104,6,FALSE))</x:f>
        <x:v>1</x:v>
      </x:c>
      <x:c r="L676" s="37" t="n">
        <x:f>VLOOKUP(IF(B676="Pensioner",C676,Assumptions!$B$10),Mortality!$A$2:$E$104,5,FALSE)</x:f>
        <x:v>6.643272096517531</x:v>
      </x:c>
      <x:c r="M676" s="37" t="n">
        <x:f>1+Assumptions!$B$13*Assumptions!$B$14*Assumptions!$B$15</x:f>
        <x:v>1.31875</x:v>
      </x:c>
      <x:c r="N676" s="37" t="n">
        <x:f>IF(B676="Pensioner",1,1/(1+Assumptions!$B$6)^G676)</x:f>
        <x:v>1</x:v>
      </x:c>
      <x:c r="O676" s="50" t="n">
        <x:f>J676*K676*L676*M676*N676</x:f>
        <x:v>4695796.8814234175</x:v>
      </x:c>
    </x:row>
    <x:row r="677">
      <x:c r="A677" s="42" t="str">
        <x:f>Members!A677</x:f>
        <x:v>P0124</x:v>
      </x:c>
      <x:c r="B677" s="42" t="str">
        <x:f>Members!B677</x:f>
        <x:v>Pensioner</x:v>
      </x:c>
      <x:c r="C677" s="42" t="n">
        <x:f>Members!C677</x:f>
        <x:v>68</x:v>
      </x:c>
      <x:c r="D677" s="44" t="n">
        <x:f>Members!D677</x:f>
        <x:v>32.4</x:v>
      </x:c>
      <x:c r="E677" s="48" t="n">
        <x:f>Members!E677</x:f>
        <x:v>0</x:v>
      </x:c>
      <x:c r="F677" s="48" t="n">
        <x:f>Members!F677</x:f>
        <x:v>212000</x:v>
      </x:c>
      <x:c r="G677" s="46" t="n">
        <x:f>MAX(0,Assumptions!$B$10-C677)</x:f>
        <x:v>0</x:v>
      </x:c>
      <x:c r="H677" s="50" t="n">
        <x:f>IF(B677="Active",E677*(1+Assumptions!$B$7)^G677,E677)</x:f>
        <x:v>0</x:v>
      </x:c>
      <x:c r="I677" s="50" t="n">
        <x:f>IF(B677="Active",MIN(Assumptions!$B$12,D677+G677),IF(B677="Deferred",MIN(Assumptions!$B$12,D677),D677))</x:f>
        <x:v>32.4</x:v>
      </x:c>
      <x:c r="J677" s="50" t="n">
        <x:f>IF(B677="Active",H677*I677*Assumptions!$B$11,IF(B677="Deferred",E677*I677*Assumptions!$B$11*(1+Assumptions!$B$9)^G677,F677))</x:f>
        <x:v>212000</x:v>
      </x:c>
      <x:c r="K677" s="37" t="n">
        <x:f>IF(B677="Pensioner",1,VLOOKUP(Assumptions!$B$10,Mortality!$A$2:$F$104,6,FALSE)/VLOOKUP(C677,Mortality!$A$2:$F$104,6,FALSE))</x:f>
        <x:v>1</x:v>
      </x:c>
      <x:c r="L677" s="37" t="n">
        <x:f>VLOOKUP(IF(B677="Pensioner",C677,Assumptions!$B$10),Mortality!$A$2:$E$104,5,FALSE)</x:f>
        <x:v>13.869459484105445</x:v>
      </x:c>
      <x:c r="M677" s="37" t="n">
        <x:f>1+Assumptions!$B$13*Assumptions!$B$14*Assumptions!$B$15</x:f>
        <x:v>1.31875</x:v>
      </x:c>
      <x:c r="N677" s="37" t="n">
        <x:f>IF(B677="Pensioner",1,1/(1+Assumptions!$B$6)^G677)</x:f>
        <x:v>1</x:v>
      </x:c>
      <x:c r="O677" s="50" t="n">
        <x:f>J677*K677*L677*M677*N677</x:f>
        <x:v>3877554.13526878</x:v>
      </x:c>
    </x:row>
    <x:row r="678">
      <x:c r="A678" s="42" t="str">
        <x:f>Members!A678</x:f>
        <x:v>P0087</x:v>
      </x:c>
      <x:c r="B678" s="42" t="str">
        <x:f>Members!B678</x:f>
        <x:v>Pensioner</x:v>
      </x:c>
      <x:c r="C678" s="42" t="n">
        <x:f>Members!C678</x:f>
        <x:v>61</x:v>
      </x:c>
      <x:c r="D678" s="44" t="n">
        <x:f>Members!D678</x:f>
        <x:v>23.8</x:v>
      </x:c>
      <x:c r="E678" s="48" t="n">
        <x:f>Members!E678</x:f>
        <x:v>0</x:v>
      </x:c>
      <x:c r="F678" s="48" t="n">
        <x:f>Members!F678</x:f>
        <x:v>252000</x:v>
      </x:c>
      <x:c r="G678" s="46" t="n">
        <x:f>MAX(0,Assumptions!$B$10-C678)</x:f>
        <x:v>0</x:v>
      </x:c>
      <x:c r="H678" s="50" t="n">
        <x:f>IF(B678="Active",E678*(1+Assumptions!$B$7)^G678,E678)</x:f>
        <x:v>0</x:v>
      </x:c>
      <x:c r="I678" s="50" t="n">
        <x:f>IF(B678="Active",MIN(Assumptions!$B$12,D678+G678),IF(B678="Deferred",MIN(Assumptions!$B$12,D678),D678))</x:f>
        <x:v>23.8</x:v>
      </x:c>
      <x:c r="J678" s="50" t="n">
        <x:f>IF(B678="Active",H678*I678*Assumptions!$B$11,IF(B678="Deferred",E678*I678*Assumptions!$B$11*(1+Assumptions!$B$9)^G678,F678))</x:f>
        <x:v>252000</x:v>
      </x:c>
      <x:c r="K678" s="37" t="n">
        <x:f>IF(B678="Pensioner",1,VLOOKUP(Assumptions!$B$10,Mortality!$A$2:$F$104,6,FALSE)/VLOOKUP(C678,Mortality!$A$2:$F$104,6,FALSE))</x:f>
        <x:v>1</x:v>
      </x:c>
      <x:c r="L678" s="37" t="n">
        <x:f>VLOOKUP(IF(B678="Pensioner",C678,Assumptions!$B$10),Mortality!$A$2:$E$104,5,FALSE)</x:f>
        <x:v>16.889485221588366</x:v>
      </x:c>
      <x:c r="M678" s="37" t="n">
        <x:f>1+Assumptions!$B$13*Assumptions!$B$14*Assumptions!$B$15</x:f>
        <x:v>1.31875</x:v>
      </x:c>
      <x:c r="N678" s="37" t="n">
        <x:f>IF(B678="Pensioner",1,1/(1+Assumptions!$B$6)^G678)</x:f>
        <x:v>1</x:v>
      </x:c>
      <x:c r="O678" s="50" t="n">
        <x:f>J678*K678*L678*M678*N678</x:f>
        <x:v>5612798.176264354</x:v>
      </x:c>
    </x:row>
    <x:row r="679">
      <x:c r="A679" s="42" t="str">
        <x:f>Members!A679</x:f>
        <x:v>P0061</x:v>
      </x:c>
      <x:c r="B679" s="42" t="str">
        <x:f>Members!B679</x:f>
        <x:v>Pensioner</x:v>
      </x:c>
      <x:c r="C679" s="42" t="n">
        <x:f>Members!C679</x:f>
        <x:v>64</x:v>
      </x:c>
      <x:c r="D679" s="44" t="n">
        <x:f>Members!D679</x:f>
        <x:v>15.2</x:v>
      </x:c>
      <x:c r="E679" s="48" t="n">
        <x:f>Members!E679</x:f>
        <x:v>0</x:v>
      </x:c>
      <x:c r="F679" s="48" t="n">
        <x:f>Members!F679</x:f>
        <x:v>270000</x:v>
      </x:c>
      <x:c r="G679" s="46" t="n">
        <x:f>MAX(0,Assumptions!$B$10-C679)</x:f>
        <x:v>0</x:v>
      </x:c>
      <x:c r="H679" s="50" t="n">
        <x:f>IF(B679="Active",E679*(1+Assumptions!$B$7)^G679,E679)</x:f>
        <x:v>0</x:v>
      </x:c>
      <x:c r="I679" s="50" t="n">
        <x:f>IF(B679="Active",MIN(Assumptions!$B$12,D679+G679),IF(B679="Deferred",MIN(Assumptions!$B$12,D679),D679))</x:f>
        <x:v>15.2</x:v>
      </x:c>
      <x:c r="J679" s="50" t="n">
        <x:f>IF(B679="Active",H679*I679*Assumptions!$B$11,IF(B679="Deferred",E679*I679*Assumptions!$B$11*(1+Assumptions!$B$9)^G679,F679))</x:f>
        <x:v>270000</x:v>
      </x:c>
      <x:c r="K679" s="37" t="n">
        <x:f>IF(B679="Pensioner",1,VLOOKUP(Assumptions!$B$10,Mortality!$A$2:$F$104,6,FALSE)/VLOOKUP(C679,Mortality!$A$2:$F$104,6,FALSE))</x:f>
        <x:v>1</x:v>
      </x:c>
      <x:c r="L679" s="37" t="n">
        <x:f>VLOOKUP(IF(B679="Pensioner",C679,Assumptions!$B$10),Mortality!$A$2:$E$104,5,FALSE)</x:f>
        <x:v>15.628758769824573</x:v>
      </x:c>
      <x:c r="M679" s="37" t="n">
        <x:f>1+Assumptions!$B$13*Assumptions!$B$14*Assumptions!$B$15</x:f>
        <x:v>1.31875</x:v>
      </x:c>
      <x:c r="N679" s="37" t="n">
        <x:f>IF(B679="Pensioner",1,1/(1+Assumptions!$B$6)^G679)</x:f>
        <x:v>1</x:v>
      </x:c>
      <x:c r="O679" s="50" t="n">
        <x:f>J679*K679*L679*M679*N679</x:f>
        <x:v>5564814.919480663</x:v>
      </x:c>
    </x:row>
    <x:row r="680">
      <x:c r="A680" s="42" t="str">
        <x:f>Members!A680</x:f>
        <x:v>D0018</x:v>
      </x:c>
      <x:c r="B680" s="42" t="str">
        <x:f>Members!B680</x:f>
        <x:v>Deferred</x:v>
      </x:c>
      <x:c r="C680" s="42" t="n">
        <x:f>Members!C680</x:f>
        <x:v>40</x:v>
      </x:c>
      <x:c r="D680" s="44" t="n">
        <x:f>Members!D680</x:f>
        <x:v>10</x:v>
      </x:c>
      <x:c r="E680" s="48" t="n">
        <x:f>Members!E680</x:f>
        <x:v>445000</x:v>
      </x:c>
      <x:c r="F680" s="48" t="n">
        <x:f>Members!F680</x:f>
        <x:v>0</x:v>
      </x:c>
      <x:c r="G680" s="46" t="n">
        <x:f>MAX(0,Assumptions!$B$10-C680)</x:f>
        <x:v>20</x:v>
      </x:c>
      <x:c r="H680" s="50" t="n">
        <x:f>IF(B680="Active",E680*(1+Assumptions!$B$7)^G680,E680)</x:f>
        <x:v>445000</x:v>
      </x:c>
      <x:c r="I680" s="50" t="n">
        <x:f>IF(B680="Active",MIN(Assumptions!$B$12,D680+G680),IF(B680="Deferred",MIN(Assumptions!$B$12,D680),D680))</x:f>
        <x:v>10</x:v>
      </x:c>
      <x:c r="J680" s="50" t="n">
        <x:f>IF(B680="Active",H680*I680*Assumptions!$B$11,IF(B680="Deferred",E680*I680*Assumptions!$B$11*(1+Assumptions!$B$9)^G680,F680))</x:f>
        <x:v>162508.29977497875</x:v>
      </x:c>
      <x:c r="K680" s="37" t="n">
        <x:f>IF(B680="Pensioner",1,VLOOKUP(Assumptions!$B$10,Mortality!$A$2:$F$104,6,FALSE)/VLOOKUP(C680,Mortality!$A$2:$F$104,6,FALSE))</x:f>
        <x:v>0.9740511243198767</x:v>
      </x:c>
      <x:c r="L680" s="37" t="n">
        <x:f>VLOOKUP(IF(B680="Pensioner",C680,Assumptions!$B$10),Mortality!$A$2:$E$104,5,FALSE)</x:f>
        <x:v>17.296790022132885</x:v>
      </x:c>
      <x:c r="M680" s="37" t="n">
        <x:f>1+Assumptions!$B$13*Assumptions!$B$14*Assumptions!$B$15</x:f>
        <x:v>1.31875</x:v>
      </x:c>
      <x:c r="N680" s="37" t="n">
        <x:f>IF(B680="Pensioner",1,1/(1+Assumptions!$B$6)^G680)</x:f>
        <x:v>0.2837970289214199</x:v>
      </x:c>
      <x:c r="O680" s="50" t="n">
        <x:f>J680*K680*L680*M680*N680</x:f>
        <x:v>1024691.4888405658</x:v>
      </x:c>
    </x:row>
    <x:row r="681">
      <x:c r="A681" s="42" t="str">
        <x:f>Members!A681</x:f>
        <x:v>A0555</x:v>
      </x:c>
      <x:c r="B681" s="42" t="str">
        <x:f>Members!B681</x:f>
        <x:v>Active</x:v>
      </x:c>
      <x:c r="C681" s="42" t="n">
        <x:f>Members!C681</x:f>
        <x:v>51</x:v>
      </x:c>
      <x:c r="D681" s="44" t="n">
        <x:f>Members!D681</x:f>
        <x:v>15.5</x:v>
      </x:c>
      <x:c r="E681" s="48" t="n">
        <x:f>Members!E681</x:f>
        <x:v>1602000</x:v>
      </x:c>
      <x:c r="F681" s="48" t="n">
        <x:f>Members!F681</x:f>
        <x:v>0</x:v>
      </x:c>
      <x:c r="G681" s="46" t="n">
        <x:f>MAX(0,Assumptions!$B$10-C681)</x:f>
        <x:v>9</x:v>
      </x:c>
      <x:c r="H681" s="50" t="n">
        <x:f>IF(B681="Active",E681*(1+Assumptions!$B$7)^G681,E681)</x:f>
        <x:v>2593789.025860148</x:v>
      </x:c>
      <x:c r="I681" s="50" t="n">
        <x:f>IF(B681="Active",MIN(Assumptions!$B$12,D681+G681),IF(B681="Deferred",MIN(Assumptions!$B$12,D681),D681))</x:f>
        <x:v>24.5</x:v>
      </x:c>
      <x:c r="J681" s="50" t="n">
        <x:f>IF(B681="Active",H681*I681*Assumptions!$B$11,IF(B681="Deferred",E681*I681*Assumptions!$B$11*(1+Assumptions!$B$9)^G681,F681))</x:f>
        <x:v>1059130.5188928938</x:v>
      </x:c>
      <x:c r="K681" s="37" t="n">
        <x:f>IF(B681="Pensioner",1,VLOOKUP(Assumptions!$B$10,Mortality!$A$2:$F$104,6,FALSE)/VLOOKUP(C681,Mortality!$A$2:$F$104,6,FALSE))</x:f>
        <x:v>0.9824052797506154</x:v>
      </x:c>
      <x:c r="L681" s="37" t="n">
        <x:f>VLOOKUP(IF(B681="Pensioner",C681,Assumptions!$B$10),Mortality!$A$2:$E$104,5,FALSE)</x:f>
        <x:v>17.296790022132885</x:v>
      </x:c>
      <x:c r="M681" s="37" t="n">
        <x:f>1+Assumptions!$B$13*Assumptions!$B$14*Assumptions!$B$15</x:f>
        <x:v>1.31875</x:v>
      </x:c>
      <x:c r="N681" s="37" t="n">
        <x:f>IF(B681="Pensioner",1,1/(1+Assumptions!$B$6)^G681)</x:f>
        <x:v>0.5673532278293633</x:v>
      </x:c>
      <x:c r="O681" s="50" t="n">
        <x:f>J681*K681*L681*M681*N681</x:f>
        <x:v>13465475.255864853</x:v>
      </x:c>
    </x:row>
    <x:row r="682">
      <x:c r="A682" s="42" t="str">
        <x:f>Members!A682</x:f>
        <x:v>A0222</x:v>
      </x:c>
      <x:c r="B682" s="42" t="str">
        <x:f>Members!B682</x:f>
        <x:v>Active</x:v>
      </x:c>
      <x:c r="C682" s="42" t="n">
        <x:f>Members!C682</x:f>
        <x:v>42</x:v>
      </x:c>
      <x:c r="D682" s="44" t="n">
        <x:f>Members!D682</x:f>
        <x:v>7.1</x:v>
      </x:c>
      <x:c r="E682" s="48" t="n">
        <x:f>Members!E682</x:f>
        <x:v>830000</x:v>
      </x:c>
      <x:c r="F682" s="48" t="n">
        <x:f>Members!F682</x:f>
        <x:v>0</x:v>
      </x:c>
      <x:c r="G682" s="46" t="n">
        <x:f>MAX(0,Assumptions!$B$10-C682)</x:f>
        <x:v>18</x:v>
      </x:c>
      <x:c r="H682" s="50" t="n">
        <x:f>IF(B682="Active",E682*(1+Assumptions!$B$7)^G682,E682)</x:f>
        <x:v>2175817.000697553</x:v>
      </x:c>
      <x:c r="I682" s="50" t="n">
        <x:f>IF(B682="Active",MIN(Assumptions!$B$12,D682+G682),IF(B682="Deferred",MIN(Assumptions!$B$12,D682),D682))</x:f>
        <x:v>25.1</x:v>
      </x:c>
      <x:c r="J682" s="50" t="n">
        <x:f>IF(B682="Active",H682*I682*Assumptions!$B$11,IF(B682="Deferred",E682*I682*Assumptions!$B$11*(1+Assumptions!$B$9)^G682,F682))</x:f>
        <x:v>910216.7786251431</x:v>
      </x:c>
      <x:c r="K682" s="37" t="n">
        <x:f>IF(B682="Pensioner",1,VLOOKUP(Assumptions!$B$10,Mortality!$A$2:$F$104,6,FALSE)/VLOOKUP(C682,Mortality!$A$2:$F$104,6,FALSE))</x:f>
        <x:v>0.9750799707838386</x:v>
      </x:c>
      <x:c r="L682" s="37" t="n">
        <x:f>VLOOKUP(IF(B682="Pensioner",C682,Assumptions!$B$10),Mortality!$A$2:$E$104,5,FALSE)</x:f>
        <x:v>17.296790022132885</x:v>
      </x:c>
      <x:c r="M682" s="37" t="n">
        <x:f>1+Assumptions!$B$13*Assumptions!$B$14*Assumptions!$B$15</x:f>
        <x:v>1.31875</x:v>
      </x:c>
      <x:c r="N682" s="37" t="n">
        <x:f>IF(B682="Pensioner",1,1/(1+Assumptions!$B$6)^G682)</x:f>
        <x:v>0.3218896851283974</x:v>
      </x:c>
      <x:c r="O682" s="50" t="n">
        <x:f>J682*K682*L682*M682*N682</x:f>
        <x:v>6516585.811011295</x:v>
      </x:c>
    </x:row>
    <x:row r="683">
      <x:c r="A683" s="42" t="str">
        <x:f>Members!A683</x:f>
        <x:v>P0017</x:v>
      </x:c>
      <x:c r="B683" s="42" t="str">
        <x:f>Members!B683</x:f>
        <x:v>Pensioner</x:v>
      </x:c>
      <x:c r="C683" s="42" t="n">
        <x:f>Members!C683</x:f>
        <x:v>69</x:v>
      </x:c>
      <x:c r="D683" s="44" t="n">
        <x:f>Members!D683</x:f>
        <x:v>15.8</x:v>
      </x:c>
      <x:c r="E683" s="48" t="n">
        <x:f>Members!E683</x:f>
        <x:v>0</x:v>
      </x:c>
      <x:c r="F683" s="48" t="n">
        <x:f>Members!F683</x:f>
        <x:v>305000</x:v>
      </x:c>
      <x:c r="G683" s="46" t="n">
        <x:f>MAX(0,Assumptions!$B$10-C683)</x:f>
        <x:v>0</x:v>
      </x:c>
      <x:c r="H683" s="50" t="n">
        <x:f>IF(B683="Active",E683*(1+Assumptions!$B$7)^G683,E683)</x:f>
        <x:v>0</x:v>
      </x:c>
      <x:c r="I683" s="50" t="n">
        <x:f>IF(B683="Active",MIN(Assumptions!$B$12,D683+G683),IF(B683="Deferred",MIN(Assumptions!$B$12,D683),D683))</x:f>
        <x:v>15.8</x:v>
      </x:c>
      <x:c r="J683" s="50" t="n">
        <x:f>IF(B683="Active",H683*I683*Assumptions!$B$11,IF(B683="Deferred",E683*I683*Assumptions!$B$11*(1+Assumptions!$B$9)^G683,F683))</x:f>
        <x:v>305000</x:v>
      </x:c>
      <x:c r="K683" s="37" t="n">
        <x:f>IF(B683="Pensioner",1,VLOOKUP(Assumptions!$B$10,Mortality!$A$2:$F$104,6,FALSE)/VLOOKUP(C683,Mortality!$A$2:$F$104,6,FALSE))</x:f>
        <x:v>1</x:v>
      </x:c>
      <x:c r="L683" s="37" t="n">
        <x:f>VLOOKUP(IF(B683="Pensioner",C683,Assumptions!$B$10),Mortality!$A$2:$E$104,5,FALSE)</x:f>
        <x:v>13.418448528291036</x:v>
      </x:c>
      <x:c r="M683" s="37" t="n">
        <x:f>1+Assumptions!$B$13*Assumptions!$B$14*Assumptions!$B$15</x:f>
        <x:v>1.31875</x:v>
      </x:c>
      <x:c r="N683" s="37" t="n">
        <x:f>IF(B683="Pensioner",1,1/(1+Assumptions!$B$6)^G683)</x:f>
        <x:v>1</x:v>
      </x:c>
      <x:c r="O683" s="50" t="n">
        <x:f>J683*K683*L683*M683*N683</x:f>
        <x:v>5397151.59398856</x:v>
      </x:c>
    </x:row>
    <x:row r="684">
      <x:c r="A684" s="42" t="str">
        <x:f>Members!A684</x:f>
        <x:v>P0184</x:v>
      </x:c>
      <x:c r="B684" s="42" t="str">
        <x:f>Members!B684</x:f>
        <x:v>Pensioner</x:v>
      </x:c>
      <x:c r="C684" s="42" t="n">
        <x:f>Members!C684</x:f>
        <x:v>86</x:v>
      </x:c>
      <x:c r="D684" s="44" t="n">
        <x:f>Members!D684</x:f>
        <x:v>36.2</x:v>
      </x:c>
      <x:c r="E684" s="48" t="n">
        <x:f>Members!E684</x:f>
        <x:v>0</x:v>
      </x:c>
      <x:c r="F684" s="48" t="n">
        <x:f>Members!F684</x:f>
        <x:v>383000</x:v>
      </x:c>
      <x:c r="G684" s="46" t="n">
        <x:f>MAX(0,Assumptions!$B$10-C684)</x:f>
        <x:v>0</x:v>
      </x:c>
      <x:c r="H684" s="50" t="n">
        <x:f>IF(B684="Active",E684*(1+Assumptions!$B$7)^G684,E684)</x:f>
        <x:v>0</x:v>
      </x:c>
      <x:c r="I684" s="50" t="n">
        <x:f>IF(B684="Active",MIN(Assumptions!$B$12,D684+G684),IF(B684="Deferred",MIN(Assumptions!$B$12,D684),D684))</x:f>
        <x:v>36.2</x:v>
      </x:c>
      <x:c r="J684" s="50" t="n">
        <x:f>IF(B684="Active",H684*I684*Assumptions!$B$11,IF(B684="Deferred",E684*I684*Assumptions!$B$11*(1+Assumptions!$B$9)^G684,F684))</x:f>
        <x:v>383000</x:v>
      </x:c>
      <x:c r="K684" s="37" t="n">
        <x:f>IF(B684="Pensioner",1,VLOOKUP(Assumptions!$B$10,Mortality!$A$2:$F$104,6,FALSE)/VLOOKUP(C684,Mortality!$A$2:$F$104,6,FALSE))</x:f>
        <x:v>1</x:v>
      </x:c>
      <x:c r="L684" s="37" t="n">
        <x:f>VLOOKUP(IF(B684="Pensioner",C684,Assumptions!$B$10),Mortality!$A$2:$E$104,5,FALSE)</x:f>
        <x:v>5.822832972912483</x:v>
      </x:c>
      <x:c r="M684" s="37" t="n">
        <x:f>1+Assumptions!$B$13*Assumptions!$B$14*Assumptions!$B$15</x:f>
        <x:v>1.31875</x:v>
      </x:c>
      <x:c r="N684" s="37" t="n">
        <x:f>IF(B684="Pensioner",1,1/(1+Assumptions!$B$6)^G684)</x:f>
        <x:v>1</x:v>
      </x:c>
      <x:c r="O684" s="50" t="n">
        <x:f>J684*K684*L684*M684*N684</x:f>
        <x:v>2941003.756499853</x:v>
      </x:c>
    </x:row>
    <x:row r="685">
      <x:c r="A685" s="42" t="str">
        <x:f>Members!A685</x:f>
        <x:v>A0331</x:v>
      </x:c>
      <x:c r="B685" s="42" t="str">
        <x:f>Members!B685</x:f>
        <x:v>Active</x:v>
      </x:c>
      <x:c r="C685" s="42" t="n">
        <x:f>Members!C685</x:f>
        <x:v>41</x:v>
      </x:c>
      <x:c r="D685" s="44" t="n">
        <x:f>Members!D685</x:f>
        <x:v>10.1</x:v>
      </x:c>
      <x:c r="E685" s="48" t="n">
        <x:f>Members!E685</x:f>
        <x:v>1152000</x:v>
      </x:c>
      <x:c r="F685" s="48" t="n">
        <x:f>Members!F685</x:f>
        <x:v>0</x:v>
      </x:c>
      <x:c r="G685" s="46" t="n">
        <x:f>MAX(0,Assumptions!$B$10-C685)</x:f>
        <x:v>19</x:v>
      </x:c>
      <x:c r="H685" s="50" t="n">
        <x:f>IF(B685="Active",E685*(1+Assumptions!$B$7)^G685,E685)</x:f>
        <x:v>3186025.240925034</x:v>
      </x:c>
      <x:c r="I685" s="50" t="n">
        <x:f>IF(B685="Active",MIN(Assumptions!$B$12,D685+G685),IF(B685="Deferred",MIN(Assumptions!$B$12,D685),D685))</x:f>
        <x:v>29.1</x:v>
      </x:c>
      <x:c r="J685" s="50" t="n">
        <x:f>IF(B685="Active",H685*I685*Assumptions!$B$11,IF(B685="Deferred",E685*I685*Assumptions!$B$11*(1+Assumptions!$B$9)^G685,F685))</x:f>
        <x:v>1545222.2418486415</x:v>
      </x:c>
      <x:c r="K685" s="37" t="n">
        <x:f>IF(B685="Pensioner",1,VLOOKUP(Assumptions!$B$10,Mortality!$A$2:$F$104,6,FALSE)/VLOOKUP(C685,Mortality!$A$2:$F$104,6,FALSE))</x:f>
        <x:v>0.9745478954079534</x:v>
      </x:c>
      <x:c r="L685" s="37" t="n">
        <x:f>VLOOKUP(IF(B685="Pensioner",C685,Assumptions!$B$10),Mortality!$A$2:$E$104,5,FALSE)</x:f>
        <x:v>17.296790022132885</x:v>
      </x:c>
      <x:c r="M685" s="37" t="n">
        <x:f>1+Assumptions!$B$13*Assumptions!$B$14*Assumptions!$B$15</x:f>
        <x:v>1.31875</x:v>
      </x:c>
      <x:c r="N685" s="37" t="n">
        <x:f>IF(B685="Pensioner",1,1/(1+Assumptions!$B$6)^G685)</x:f>
        <x:v>0.30224383580131214</x:v>
      </x:c>
      <x:c r="O685" s="50" t="n">
        <x:f>J685*K685*L685*M685*N685</x:f>
        <x:v>10381965.39190948</x:v>
      </x:c>
    </x:row>
    <x:row r="686">
      <x:c r="A686" s="42" t="str">
        <x:f>Members!A686</x:f>
        <x:v>A0297</x:v>
      </x:c>
      <x:c r="B686" s="42" t="str">
        <x:f>Members!B686</x:f>
        <x:v>Active</x:v>
      </x:c>
      <x:c r="C686" s="42" t="n">
        <x:f>Members!C686</x:f>
        <x:v>51</x:v>
      </x:c>
      <x:c r="D686" s="44" t="n">
        <x:f>Members!D686</x:f>
        <x:v>20.2</x:v>
      </x:c>
      <x:c r="E686" s="48" t="n">
        <x:f>Members!E686</x:f>
        <x:v>1788000</x:v>
      </x:c>
      <x:c r="F686" s="48" t="n">
        <x:f>Members!F686</x:f>
        <x:v>0</x:v>
      </x:c>
      <x:c r="G686" s="46" t="n">
        <x:f>MAX(0,Assumptions!$B$10-C686)</x:f>
        <x:v>9</x:v>
      </x:c>
      <x:c r="H686" s="50" t="n">
        <x:f>IF(B686="Active",E686*(1+Assumptions!$B$7)^G686,E686)</x:f>
        <x:v>2894940.560697843</x:v>
      </x:c>
      <x:c r="I686" s="50" t="n">
        <x:f>IF(B686="Active",MIN(Assumptions!$B$12,D686+G686),IF(B686="Deferred",MIN(Assumptions!$B$12,D686),D686))</x:f>
        <x:v>29.2</x:v>
      </x:c>
      <x:c r="J686" s="50" t="n">
        <x:f>IF(B686="Active",H686*I686*Assumptions!$B$11,IF(B686="Deferred",E686*I686*Assumptions!$B$11*(1+Assumptions!$B$9)^G686,F686))</x:f>
        <x:v>1408871.0728729502</x:v>
      </x:c>
      <x:c r="K686" s="37" t="n">
        <x:f>IF(B686="Pensioner",1,VLOOKUP(Assumptions!$B$10,Mortality!$A$2:$F$104,6,FALSE)/VLOOKUP(C686,Mortality!$A$2:$F$104,6,FALSE))</x:f>
        <x:v>0.9824052797506154</x:v>
      </x:c>
      <x:c r="L686" s="37" t="n">
        <x:f>VLOOKUP(IF(B686="Pensioner",C686,Assumptions!$B$10),Mortality!$A$2:$E$104,5,FALSE)</x:f>
        <x:v>17.296790022132885</x:v>
      </x:c>
      <x:c r="M686" s="37" t="n">
        <x:f>1+Assumptions!$B$13*Assumptions!$B$14*Assumptions!$B$15</x:f>
        <x:v>1.31875</x:v>
      </x:c>
      <x:c r="N686" s="37" t="n">
        <x:f>IF(B686="Pensioner",1,1/(1+Assumptions!$B$6)^G686)</x:f>
        <x:v>0.5673532278293633</x:v>
      </x:c>
      <x:c r="O686" s="50" t="n">
        <x:f>J686*K686*L686*M686*N686</x:f>
        <x:v>17911974.239308048</x:v>
      </x:c>
    </x:row>
    <x:row r="687">
      <x:c r="A687" s="42" t="str">
        <x:f>Members!A687</x:f>
        <x:v>A0434</x:v>
      </x:c>
      <x:c r="B687" s="42" t="str">
        <x:f>Members!B687</x:f>
        <x:v>Active</x:v>
      </x:c>
      <x:c r="C687" s="42" t="n">
        <x:f>Members!C687</x:f>
        <x:v>39</x:v>
      </x:c>
      <x:c r="D687" s="44" t="n">
        <x:f>Members!D687</x:f>
        <x:v>15</x:v>
      </x:c>
      <x:c r="E687" s="48" t="n">
        <x:f>Members!E687</x:f>
        <x:v>620000</x:v>
      </x:c>
      <x:c r="F687" s="48" t="n">
        <x:f>Members!F687</x:f>
        <x:v>0</x:v>
      </x:c>
      <x:c r="G687" s="46" t="n">
        <x:f>MAX(0,Assumptions!$B$10-C687)</x:f>
        <x:v>21</x:v>
      </x:c>
      <x:c r="H687" s="50" t="n">
        <x:f>IF(B687="Active",E687*(1+Assumptions!$B$7)^G687,E687)</x:f>
        <x:v>1908505.1746041346</x:v>
      </x:c>
      <x:c r="I687" s="50" t="n">
        <x:f>IF(B687="Active",MIN(Assumptions!$B$12,D687+G687),IF(B687="Deferred",MIN(Assumptions!$B$12,D687),D687))</x:f>
        <x:v>36</x:v>
      </x:c>
      <x:c r="J687" s="50" t="n">
        <x:f>IF(B687="Active",H687*I687*Assumptions!$B$11,IF(B687="Deferred",E687*I687*Assumptions!$B$11*(1+Assumptions!$B$9)^G687,F687))</x:f>
        <x:v>1145103.1047624806</x:v>
      </x:c>
      <x:c r="K687" s="37" t="n">
        <x:f>IF(B687="Pensioner",1,VLOOKUP(Assumptions!$B$10,Mortality!$A$2:$F$104,6,FALSE)/VLOOKUP(C687,Mortality!$A$2:$F$104,6,FALSE))</x:f>
        <x:v>0.973585741778878</x:v>
      </x:c>
      <x:c r="L687" s="37" t="n">
        <x:f>VLOOKUP(IF(B687="Pensioner",C687,Assumptions!$B$10),Mortality!$A$2:$E$104,5,FALSE)</x:f>
        <x:v>17.296790022132885</x:v>
      </x:c>
      <x:c r="M687" s="37" t="n">
        <x:f>1+Assumptions!$B$13*Assumptions!$B$14*Assumptions!$B$15</x:f>
        <x:v>1.31875</x:v>
      </x:c>
      <x:c r="N687" s="37" t="n">
        <x:f>IF(B687="Pensioner",1,1/(1+Assumptions!$B$6)^G687)</x:f>
        <x:v>0.26647608349429097</x:v>
      </x:c>
      <x:c r="O687" s="50" t="n">
        <x:f>J687*K687*L687*M687*N687</x:f>
        <x:v>6776493.401940033</x:v>
      </x:c>
    </x:row>
    <x:row r="688">
      <x:c r="A688" s="42" t="str">
        <x:f>Members!A688</x:f>
        <x:v>A0157</x:v>
      </x:c>
      <x:c r="B688" s="42" t="str">
        <x:f>Members!B688</x:f>
        <x:v>Active</x:v>
      </x:c>
      <x:c r="C688" s="42" t="n">
        <x:f>Members!C688</x:f>
        <x:v>22</x:v>
      </x:c>
      <x:c r="D688" s="44" t="n">
        <x:f>Members!D688</x:f>
        <x:v>1</x:v>
      </x:c>
      <x:c r="E688" s="48" t="n">
        <x:f>Members!E688</x:f>
        <x:v>416000</x:v>
      </x:c>
      <x:c r="F688" s="48" t="n">
        <x:f>Members!F688</x:f>
        <x:v>0</x:v>
      </x:c>
      <x:c r="G688" s="46" t="n">
        <x:f>MAX(0,Assumptions!$B$10-C688)</x:f>
        <x:v>38</x:v>
      </x:c>
      <x:c r="H688" s="50" t="n">
        <x:f>IF(B688="Active",E688*(1+Assumptions!$B$7)^G688,E688)</x:f>
        <x:v>3181901.978818202</x:v>
      </x:c>
      <x:c r="I688" s="50" t="n">
        <x:f>IF(B688="Active",MIN(Assumptions!$B$12,D688+G688),IF(B688="Deferred",MIN(Assumptions!$B$12,D688),D688))</x:f>
        <x:v>39</x:v>
      </x:c>
      <x:c r="J688" s="50" t="n">
        <x:f>IF(B688="Active",H688*I688*Assumptions!$B$11,IF(B688="Deferred",E688*I688*Assumptions!$B$11*(1+Assumptions!$B$9)^G688,F688))</x:f>
        <x:v>2068236.2862318312</x:v>
      </x:c>
      <x:c r="K688" s="37" t="n">
        <x:f>IF(B688="Pensioner",1,VLOOKUP(Assumptions!$B$10,Mortality!$A$2:$F$104,6,FALSE)/VLOOKUP(C688,Mortality!$A$2:$F$104,6,FALSE))</x:f>
        <x:v>0.9682119922904866</x:v>
      </x:c>
      <x:c r="L688" s="37" t="n">
        <x:f>VLOOKUP(IF(B688="Pensioner",C688,Assumptions!$B$10),Mortality!$A$2:$E$104,5,FALSE)</x:f>
        <x:v>17.296790022132885</x:v>
      </x:c>
      <x:c r="M688" s="37" t="n">
        <x:f>1+Assumptions!$B$13*Assumptions!$B$14*Assumptions!$B$15</x:f>
        <x:v>1.31875</x:v>
      </x:c>
      <x:c r="N688" s="37" t="n">
        <x:f>IF(B688="Pensioner",1,1/(1+Assumptions!$B$6)^G688)</x:f>
        <x:v>0.09135133627989055</x:v>
      </x:c>
      <x:c r="O688" s="50" t="n">
        <x:f>J688*K688*L688*M688*N688</x:f>
        <x:v>4172664.829768909</x:v>
      </x:c>
    </x:row>
    <x:row r="689">
      <x:c r="A689" s="42" t="str">
        <x:f>Members!A689</x:f>
        <x:v>A0223</x:v>
      </x:c>
      <x:c r="B689" s="42" t="str">
        <x:f>Members!B689</x:f>
        <x:v>Active</x:v>
      </x:c>
      <x:c r="C689" s="42" t="n">
        <x:f>Members!C689</x:f>
        <x:v>24</x:v>
      </x:c>
      <x:c r="D689" s="44" t="n">
        <x:f>Members!D689</x:f>
        <x:v>2.2</x:v>
      </x:c>
      <x:c r="E689" s="48" t="n">
        <x:f>Members!E689</x:f>
        <x:v>328000</x:v>
      </x:c>
      <x:c r="F689" s="48" t="n">
        <x:f>Members!F689</x:f>
        <x:v>0</x:v>
      </x:c>
      <x:c r="G689" s="46" t="n">
        <x:f>MAX(0,Assumptions!$B$10-C689)</x:f>
        <x:v>36</x:v>
      </x:c>
      <x:c r="H689" s="50" t="n">
        <x:f>IF(B689="Active",E689*(1+Assumptions!$B$7)^G689,E689)</x:f>
        <x:v>2254044.0057077003</x:v>
      </x:c>
      <x:c r="I689" s="50" t="n">
        <x:f>IF(B689="Active",MIN(Assumptions!$B$12,D689+G689),IF(B689="Deferred",MIN(Assumptions!$B$12,D689),D689))</x:f>
        <x:v>38.2</x:v>
      </x:c>
      <x:c r="J689" s="50" t="n">
        <x:f>IF(B689="Active",H689*I689*Assumptions!$B$11,IF(B689="Deferred",E689*I689*Assumptions!$B$11*(1+Assumptions!$B$9)^G689,F689))</x:f>
        <x:v>1435074.6836339026</x:v>
      </x:c>
      <x:c r="K689" s="37" t="n">
        <x:f>IF(B689="Pensioner",1,VLOOKUP(Assumptions!$B$10,Mortality!$A$2:$F$104,6,FALSE)/VLOOKUP(C689,Mortality!$A$2:$F$104,6,FALSE))</x:f>
        <x:v>0.9687108670060764</x:v>
      </x:c>
      <x:c r="L689" s="37" t="n">
        <x:f>VLOOKUP(IF(B689="Pensioner",C689,Assumptions!$B$10),Mortality!$A$2:$E$104,5,FALSE)</x:f>
        <x:v>17.296790022132885</x:v>
      </x:c>
      <x:c r="M689" s="37" t="n">
        <x:f>1+Assumptions!$B$13*Assumptions!$B$14*Assumptions!$B$15</x:f>
        <x:v>1.31875</x:v>
      </x:c>
      <x:c r="N689" s="37" t="n">
        <x:f>IF(B689="Pensioner",1,1/(1+Assumptions!$B$6)^G689)</x:f>
        <x:v>0.10361296939205883</x:v>
      </x:c>
      <x:c r="O689" s="50" t="n">
        <x:f>J689*K689*L689*M689*N689</x:f>
        <x:v>3285570.4262125916</x:v>
      </x:c>
    </x:row>
    <x:row r="690">
      <x:c r="A690" s="42" t="str">
        <x:f>Members!A690</x:f>
        <x:v>A0153</x:v>
      </x:c>
      <x:c r="B690" s="42" t="str">
        <x:f>Members!B690</x:f>
        <x:v>Active</x:v>
      </x:c>
      <x:c r="C690" s="42" t="n">
        <x:f>Members!C690</x:f>
        <x:v>33</x:v>
      </x:c>
      <x:c r="D690" s="44" t="n">
        <x:f>Members!D690</x:f>
        <x:v>1.6</x:v>
      </x:c>
      <x:c r="E690" s="48" t="n">
        <x:f>Members!E690</x:f>
        <x:v>742000</x:v>
      </x:c>
      <x:c r="F690" s="48" t="n">
        <x:f>Members!F690</x:f>
        <x:v>0</x:v>
      </x:c>
      <x:c r="G690" s="46" t="n">
        <x:f>MAX(0,Assumptions!$B$10-C690)</x:f>
        <x:v>27</x:v>
      </x:c>
      <x:c r="H690" s="50" t="n">
        <x:f>IF(B690="Active",E690*(1+Assumptions!$B$7)^G690,E690)</x:f>
        <x:v>3149345.55596726</x:v>
      </x:c>
      <x:c r="I690" s="50" t="n">
        <x:f>IF(B690="Active",MIN(Assumptions!$B$12,D690+G690),IF(B690="Deferred",MIN(Assumptions!$B$12,D690),D690))</x:f>
        <x:v>28.6</x:v>
      </x:c>
      <x:c r="J690" s="50" t="n">
        <x:f>IF(B690="Active",H690*I690*Assumptions!$B$11,IF(B690="Deferred",E690*I690*Assumptions!$B$11*(1+Assumptions!$B$9)^G690,F690))</x:f>
        <x:v>1501188.048344394</x:v>
      </x:c>
      <x:c r="K690" s="37" t="n">
        <x:f>IF(B690="Pensioner",1,VLOOKUP(Assumptions!$B$10,Mortality!$A$2:$F$104,6,FALSE)/VLOOKUP(C690,Mortality!$A$2:$F$104,6,FALSE))</x:f>
        <x:v>0.9712826176321353</x:v>
      </x:c>
      <x:c r="L690" s="37" t="n">
        <x:f>VLOOKUP(IF(B690="Pensioner",C690,Assumptions!$B$10),Mortality!$A$2:$E$104,5,FALSE)</x:f>
        <x:v>17.296790022132885</x:v>
      </x:c>
      <x:c r="M690" s="37" t="n">
        <x:f>1+Assumptions!$B$13*Assumptions!$B$14*Assumptions!$B$15</x:f>
        <x:v>1.31875</x:v>
      </x:c>
      <x:c r="N690" s="37" t="n">
        <x:f>IF(B690="Pensioner",1,1/(1+Assumptions!$B$6)^G690)</x:f>
        <x:v>0.1826251518625737</x:v>
      </x:c>
      <x:c r="O690" s="50" t="n">
        <x:f>J690*K690*L690*M690*N690</x:f>
        <x:v>6073923.120802001</x:v>
      </x:c>
    </x:row>
    <x:row r="691">
      <x:c r="A691" s="42" t="str">
        <x:f>Members!A691</x:f>
        <x:v>A0040</x:v>
      </x:c>
      <x:c r="B691" s="42" t="str">
        <x:f>Members!B691</x:f>
        <x:v>Active</x:v>
      </x:c>
      <x:c r="C691" s="42" t="n">
        <x:f>Members!C691</x:f>
        <x:v>38</x:v>
      </x:c>
      <x:c r="D691" s="44" t="n">
        <x:f>Members!D691</x:f>
        <x:v>7.4</x:v>
      </x:c>
      <x:c r="E691" s="48" t="n">
        <x:f>Members!E691</x:f>
        <x:v>1007000</x:v>
      </x:c>
      <x:c r="F691" s="48" t="n">
        <x:f>Members!F691</x:f>
        <x:v>0</x:v>
      </x:c>
      <x:c r="G691" s="46" t="n">
        <x:f>MAX(0,Assumptions!$B$10-C691)</x:f>
        <x:v>22</x:v>
      </x:c>
      <x:c r="H691" s="50" t="n">
        <x:f>IF(B691="Active",E691*(1+Assumptions!$B$7)^G691,E691)</x:f>
        <x:v>3270269.7901964732</x:v>
      </x:c>
      <x:c r="I691" s="50" t="n">
        <x:f>IF(B691="Active",MIN(Assumptions!$B$12,D691+G691),IF(B691="Deferred",MIN(Assumptions!$B$12,D691),D691))</x:f>
        <x:v>29.4</x:v>
      </x:c>
      <x:c r="J691" s="50" t="n">
        <x:f>IF(B691="Active",H691*I691*Assumptions!$B$11,IF(B691="Deferred",E691*I691*Assumptions!$B$11*(1+Assumptions!$B$9)^G691,F691))</x:f>
        <x:v>1602432.1971962717</x:v>
      </x:c>
      <x:c r="K691" s="37" t="n">
        <x:f>IF(B691="Pensioner",1,VLOOKUP(Assumptions!$B$10,Mortality!$A$2:$F$104,6,FALSE)/VLOOKUP(C691,Mortality!$A$2:$F$104,6,FALSE))</x:f>
        <x:v>0.9731482688168002</x:v>
      </x:c>
      <x:c r="L691" s="37" t="n">
        <x:f>VLOOKUP(IF(B691="Pensioner",C691,Assumptions!$B$10),Mortality!$A$2:$E$104,5,FALSE)</x:f>
        <x:v>17.296790022132885</x:v>
      </x:c>
      <x:c r="M691" s="37" t="n">
        <x:f>1+Assumptions!$B$13*Assumptions!$B$14*Assumptions!$B$15</x:f>
        <x:v>1.31875</x:v>
      </x:c>
      <x:c r="N691" s="37" t="n">
        <x:f>IF(B691="Pensioner",1,1/(1+Assumptions!$B$6)^G691)</x:f>
        <x:v>0.25021228497116527</x:v>
      </x:c>
      <x:c r="O691" s="50" t="n">
        <x:f>J691*K691*L691*M691*N691</x:f>
        <x:v>8900108.308498267</x:v>
      </x:c>
    </x:row>
    <x:row r="692">
      <x:c r="A692" s="42" t="str">
        <x:f>Members!A692</x:f>
        <x:v>A0062</x:v>
      </x:c>
      <x:c r="B692" s="42" t="str">
        <x:f>Members!B692</x:f>
        <x:v>Active</x:v>
      </x:c>
      <x:c r="C692" s="42" t="n">
        <x:f>Members!C692</x:f>
        <x:v>55</x:v>
      </x:c>
      <x:c r="D692" s="44" t="n">
        <x:f>Members!D692</x:f>
        <x:v>2.9</x:v>
      </x:c>
      <x:c r="E692" s="48" t="n">
        <x:f>Members!E692</x:f>
        <x:v>1237000</x:v>
      </x:c>
      <x:c r="F692" s="48" t="n">
        <x:f>Members!F692</x:f>
        <x:v>0</x:v>
      </x:c>
      <x:c r="G692" s="46" t="n">
        <x:f>MAX(0,Assumptions!$B$10-C692)</x:f>
        <x:v>5</x:v>
      </x:c>
      <x:c r="H692" s="50" t="n">
        <x:f>IF(B692="Active",E692*(1+Assumptions!$B$7)^G692,E692)</x:f>
        <x:v>1616709.5279283966</x:v>
      </x:c>
      <x:c r="I692" s="50" t="n">
        <x:f>IF(B692="Active",MIN(Assumptions!$B$12,D692+G692),IF(B692="Deferred",MIN(Assumptions!$B$12,D692),D692))</x:f>
        <x:v>7.9</x:v>
      </x:c>
      <x:c r="J692" s="50" t="n">
        <x:f>IF(B692="Active",H692*I692*Assumptions!$B$11,IF(B692="Deferred",E692*I692*Assumptions!$B$11*(1+Assumptions!$B$9)^G692,F692))</x:f>
        <x:v>212866.75451057224</x:v>
      </x:c>
      <x:c r="K692" s="37" t="n">
        <x:f>IF(B692="Pensioner",1,VLOOKUP(Assumptions!$B$10,Mortality!$A$2:$F$104,6,FALSE)/VLOOKUP(C692,Mortality!$A$2:$F$104,6,FALSE))</x:f>
        <x:v>0.9882419087499175</x:v>
      </x:c>
      <x:c r="L692" s="37" t="n">
        <x:f>VLOOKUP(IF(B692="Pensioner",C692,Assumptions!$B$10),Mortality!$A$2:$E$104,5,FALSE)</x:f>
        <x:v>17.296790022132885</x:v>
      </x:c>
      <x:c r="M692" s="37" t="n">
        <x:f>1+Assumptions!$B$13*Assumptions!$B$14*Assumptions!$B$15</x:f>
        <x:v>1.31875</x:v>
      </x:c>
      <x:c r="N692" s="37" t="n">
        <x:f>IF(B692="Pensioner",1,1/(1+Assumptions!$B$6)^G692)</x:f>
        <x:v>0.7298808365209549</x:v>
      </x:c>
      <x:c r="O692" s="50" t="n">
        <x:f>J692*K692*L692*M692*N692</x:f>
        <x:v>3502281.523141434</x:v>
      </x:c>
    </x:row>
    <x:row r="693">
      <x:c r="A693" s="42" t="str">
        <x:f>Members!A693</x:f>
        <x:v>A0096</x:v>
      </x:c>
      <x:c r="B693" s="42" t="str">
        <x:f>Members!B693</x:f>
        <x:v>Active</x:v>
      </x:c>
      <x:c r="C693" s="42" t="n">
        <x:f>Members!C693</x:f>
        <x:v>33</x:v>
      </x:c>
      <x:c r="D693" s="44" t="n">
        <x:f>Members!D693</x:f>
        <x:v>5.2</x:v>
      </x:c>
      <x:c r="E693" s="48" t="n">
        <x:f>Members!E693</x:f>
        <x:v>527000</x:v>
      </x:c>
      <x:c r="F693" s="48" t="n">
        <x:f>Members!F693</x:f>
        <x:v>0</x:v>
      </x:c>
      <x:c r="G693" s="46" t="n">
        <x:f>MAX(0,Assumptions!$B$10-C693)</x:f>
        <x:v>27</x:v>
      </x:c>
      <x:c r="H693" s="50" t="n">
        <x:f>IF(B693="Active",E693*(1+Assumptions!$B$7)^G693,E693)</x:f>
        <x:v>2236799.336920143</x:v>
      </x:c>
      <x:c r="I693" s="50" t="n">
        <x:f>IF(B693="Active",MIN(Assumptions!$B$12,D693+G693),IF(B693="Deferred",MIN(Assumptions!$B$12,D693),D693))</x:f>
        <x:v>32.2</x:v>
      </x:c>
      <x:c r="J693" s="50" t="n">
        <x:f>IF(B693="Active",H693*I693*Assumptions!$B$11,IF(B693="Deferred",E693*I693*Assumptions!$B$11*(1+Assumptions!$B$9)^G693,F693))</x:f>
        <x:v>1200415.6441471435</x:v>
      </x:c>
      <x:c r="K693" s="37" t="n">
        <x:f>IF(B693="Pensioner",1,VLOOKUP(Assumptions!$B$10,Mortality!$A$2:$F$104,6,FALSE)/VLOOKUP(C693,Mortality!$A$2:$F$104,6,FALSE))</x:f>
        <x:v>0.9712826176321353</x:v>
      </x:c>
      <x:c r="L693" s="37" t="n">
        <x:f>VLOOKUP(IF(B693="Pensioner",C693,Assumptions!$B$10),Mortality!$A$2:$E$104,5,FALSE)</x:f>
        <x:v>17.296790022132885</x:v>
      </x:c>
      <x:c r="M693" s="37" t="n">
        <x:f>1+Assumptions!$B$13*Assumptions!$B$14*Assumptions!$B$15</x:f>
        <x:v>1.31875</x:v>
      </x:c>
      <x:c r="N693" s="37" t="n">
        <x:f>IF(B693="Pensioner",1,1/(1+Assumptions!$B$6)^G693)</x:f>
        <x:v>0.1826251518625737</x:v>
      </x:c>
      <x:c r="O693" s="50" t="n">
        <x:f>J693*K693*L693*M693*N693</x:f>
        <x:v>4856974.676556345</x:v>
      </x:c>
    </x:row>
    <x:row r="694">
      <x:c r="A694" s="42" t="str">
        <x:f>Members!A694</x:f>
        <x:v>A0451</x:v>
      </x:c>
      <x:c r="B694" s="42" t="str">
        <x:f>Members!B694</x:f>
        <x:v>Active</x:v>
      </x:c>
      <x:c r="C694" s="42" t="n">
        <x:f>Members!C694</x:f>
        <x:v>41</x:v>
      </x:c>
      <x:c r="D694" s="44" t="n">
        <x:f>Members!D694</x:f>
        <x:v>8.3</x:v>
      </x:c>
      <x:c r="E694" s="48" t="n">
        <x:f>Members!E694</x:f>
        <x:v>912000</x:v>
      </x:c>
      <x:c r="F694" s="48" t="n">
        <x:f>Members!F694</x:f>
        <x:v>0</x:v>
      </x:c>
      <x:c r="G694" s="46" t="n">
        <x:f>MAX(0,Assumptions!$B$10-C694)</x:f>
        <x:v>19</x:v>
      </x:c>
      <x:c r="H694" s="50" t="n">
        <x:f>IF(B694="Active",E694*(1+Assumptions!$B$7)^G694,E694)</x:f>
        <x:v>2522269.9823989854</x:v>
      </x:c>
      <x:c r="I694" s="50" t="n">
        <x:f>IF(B694="Active",MIN(Assumptions!$B$12,D694+G694),IF(B694="Deferred",MIN(Assumptions!$B$12,D694),D694))</x:f>
        <x:v>27.3</x:v>
      </x:c>
      <x:c r="J694" s="50" t="n">
        <x:f>IF(B694="Active",H694*I694*Assumptions!$B$11,IF(B694="Deferred",E694*I694*Assumptions!$B$11*(1+Assumptions!$B$9)^G694,F694))</x:f>
        <x:v>1147632.8419915382</x:v>
      </x:c>
      <x:c r="K694" s="37" t="n">
        <x:f>IF(B694="Pensioner",1,VLOOKUP(Assumptions!$B$10,Mortality!$A$2:$F$104,6,FALSE)/VLOOKUP(C694,Mortality!$A$2:$F$104,6,FALSE))</x:f>
        <x:v>0.9745478954079534</x:v>
      </x:c>
      <x:c r="L694" s="37" t="n">
        <x:f>VLOOKUP(IF(B694="Pensioner",C694,Assumptions!$B$10),Mortality!$A$2:$E$104,5,FALSE)</x:f>
        <x:v>17.296790022132885</x:v>
      </x:c>
      <x:c r="M694" s="37" t="n">
        <x:f>1+Assumptions!$B$13*Assumptions!$B$14*Assumptions!$B$15</x:f>
        <x:v>1.31875</x:v>
      </x:c>
      <x:c r="N694" s="37" t="n">
        <x:f>IF(B694="Pensioner",1,1/(1+Assumptions!$B$6)^G694)</x:f>
        <x:v>0.30224383580131214</x:v>
      </x:c>
      <x:c r="O694" s="50" t="n">
        <x:f>J694*K694*L694*M694*N694</x:f>
        <x:v>7710660.722771258</x:v>
      </x:c>
    </x:row>
    <x:row r="695">
      <x:c r="A695" s="42" t="str">
        <x:f>Members!A695</x:f>
        <x:v>P0127</x:v>
      </x:c>
      <x:c r="B695" s="42" t="str">
        <x:f>Members!B695</x:f>
        <x:v>Pensioner</x:v>
      </x:c>
      <x:c r="C695" s="42" t="n">
        <x:f>Members!C695</x:f>
        <x:v>71</x:v>
      </x:c>
      <x:c r="D695" s="44" t="n">
        <x:f>Members!D695</x:f>
        <x:v>15.3</x:v>
      </x:c>
      <x:c r="E695" s="48" t="n">
        <x:f>Members!E695</x:f>
        <x:v>0</x:v>
      </x:c>
      <x:c r="F695" s="48" t="n">
        <x:f>Members!F695</x:f>
        <x:v>230000</x:v>
      </x:c>
      <x:c r="G695" s="46" t="n">
        <x:f>MAX(0,Assumptions!$B$10-C695)</x:f>
        <x:v>0</x:v>
      </x:c>
      <x:c r="H695" s="50" t="n">
        <x:f>IF(B695="Active",E695*(1+Assumptions!$B$7)^G695,E695)</x:f>
        <x:v>0</x:v>
      </x:c>
      <x:c r="I695" s="50" t="n">
        <x:f>IF(B695="Active",MIN(Assumptions!$B$12,D695+G695),IF(B695="Deferred",MIN(Assumptions!$B$12,D695),D695))</x:f>
        <x:v>15.3</x:v>
      </x:c>
      <x:c r="J695" s="50" t="n">
        <x:f>IF(B695="Active",H695*I695*Assumptions!$B$11,IF(B695="Deferred",E695*I695*Assumptions!$B$11*(1+Assumptions!$B$9)^G695,F695))</x:f>
        <x:v>230000</x:v>
      </x:c>
      <x:c r="K695" s="37" t="n">
        <x:f>IF(B695="Pensioner",1,VLOOKUP(Assumptions!$B$10,Mortality!$A$2:$F$104,6,FALSE)/VLOOKUP(C695,Mortality!$A$2:$F$104,6,FALSE))</x:f>
        <x:v>1</x:v>
      </x:c>
      <x:c r="L695" s="37" t="n">
        <x:f>VLOOKUP(IF(B695="Pensioner",C695,Assumptions!$B$10),Mortality!$A$2:$E$104,5,FALSE)</x:f>
        <x:v>12.506703342154774</x:v>
      </x:c>
      <x:c r="M695" s="37" t="n">
        <x:f>1+Assumptions!$B$13*Assumptions!$B$14*Assumptions!$B$15</x:f>
        <x:v>1.31875</x:v>
      </x:c>
      <x:c r="N695" s="37" t="n">
        <x:f>IF(B695="Pensioner",1,1/(1+Assumptions!$B$6)^G695)</x:f>
        <x:v>1</x:v>
      </x:c>
      <x:c r="O695" s="50" t="n">
        <x:f>J695*K695*L695*M695*N695</x:f>
        <x:v>3793439.45746732</x:v>
      </x:c>
    </x:row>
    <x:row r="696">
      <x:c r="A696" s="42" t="str">
        <x:f>Members!A696</x:f>
        <x:v>P0204</x:v>
      </x:c>
      <x:c r="B696" s="42" t="str">
        <x:f>Members!B696</x:f>
        <x:v>Pensioner</x:v>
      </x:c>
      <x:c r="C696" s="42" t="n">
        <x:f>Members!C696</x:f>
        <x:v>76</x:v>
      </x:c>
      <x:c r="D696" s="44" t="n">
        <x:f>Members!D696</x:f>
        <x:v>37.4</x:v>
      </x:c>
      <x:c r="E696" s="48" t="n">
        <x:f>Members!E696</x:f>
        <x:v>0</x:v>
      </x:c>
      <x:c r="F696" s="48" t="n">
        <x:f>Members!F696</x:f>
        <x:v>526000</x:v>
      </x:c>
      <x:c r="G696" s="46" t="n">
        <x:f>MAX(0,Assumptions!$B$10-C696)</x:f>
        <x:v>0</x:v>
      </x:c>
      <x:c r="H696" s="50" t="n">
        <x:f>IF(B696="Active",E696*(1+Assumptions!$B$7)^G696,E696)</x:f>
        <x:v>0</x:v>
      </x:c>
      <x:c r="I696" s="50" t="n">
        <x:f>IF(B696="Active",MIN(Assumptions!$B$12,D696+G696),IF(B696="Deferred",MIN(Assumptions!$B$12,D696),D696))</x:f>
        <x:v>37.4</x:v>
      </x:c>
      <x:c r="J696" s="50" t="n">
        <x:f>IF(B696="Active",H696*I696*Assumptions!$B$11,IF(B696="Deferred",E696*I696*Assumptions!$B$11*(1+Assumptions!$B$9)^G696,F696))</x:f>
        <x:v>526000</x:v>
      </x:c>
      <x:c r="K696" s="37" t="n">
        <x:f>IF(B696="Pensioner",1,VLOOKUP(Assumptions!$B$10,Mortality!$A$2:$F$104,6,FALSE)/VLOOKUP(C696,Mortality!$A$2:$F$104,6,FALSE))</x:f>
        <x:v>1</x:v>
      </x:c>
      <x:c r="L696" s="37" t="n">
        <x:f>VLOOKUP(IF(B696="Pensioner",C696,Assumptions!$B$10),Mortality!$A$2:$E$104,5,FALSE)</x:f>
        <x:v>10.201355966192867</x:v>
      </x:c>
      <x:c r="M696" s="37" t="n">
        <x:f>1+Assumptions!$B$13*Assumptions!$B$14*Assumptions!$B$15</x:f>
        <x:v>1.31875</x:v>
      </x:c>
      <x:c r="N696" s="37" t="n">
        <x:f>IF(B696="Pensioner",1,1/(1+Assumptions!$B$6)^G696)</x:f>
        <x:v>1</x:v>
      </x:c>
      <x:c r="O696" s="50" t="n">
        <x:f>J696*K696*L696*M696*N696</x:f>
        <x:v>7076298.08289926</x:v>
      </x:c>
    </x:row>
    <x:row r="697">
      <x:c r="A697" s="42" t="str">
        <x:f>Members!A697</x:f>
        <x:v>A0101</x:v>
      </x:c>
      <x:c r="B697" s="42" t="str">
        <x:f>Members!B697</x:f>
        <x:v>Active</x:v>
      </x:c>
      <x:c r="C697" s="42" t="n">
        <x:f>Members!C697</x:f>
        <x:v>34</x:v>
      </x:c>
      <x:c r="D697" s="44" t="n">
        <x:f>Members!D697</x:f>
        <x:v>4.9</x:v>
      </x:c>
      <x:c r="E697" s="48" t="n">
        <x:f>Members!E697</x:f>
        <x:v>799000</x:v>
      </x:c>
      <x:c r="F697" s="48" t="n">
        <x:f>Members!F697</x:f>
        <x:v>0</x:v>
      </x:c>
      <x:c r="G697" s="46" t="n">
        <x:f>MAX(0,Assumptions!$B$10-C697)</x:f>
        <x:v>26</x:v>
      </x:c>
      <x:c r="H697" s="50" t="n">
        <x:f>IF(B697="Active",E697*(1+Assumptions!$B$7)^G697,E697)</x:f>
        <x:v>3214480.013308263</x:v>
      </x:c>
      <x:c r="I697" s="50" t="n">
        <x:f>IF(B697="Active",MIN(Assumptions!$B$12,D697+G697),IF(B697="Deferred",MIN(Assumptions!$B$12,D697),D697))</x:f>
        <x:v>30.9</x:v>
      </x:c>
      <x:c r="J697" s="50" t="n">
        <x:f>IF(B697="Active",H697*I697*Assumptions!$B$11,IF(B697="Deferred",E697*I697*Assumptions!$B$11*(1+Assumptions!$B$9)^G697,F697))</x:f>
        <x:v>1655457.2068537553</x:v>
      </x:c>
      <x:c r="K697" s="37" t="n">
        <x:f>IF(B697="Pensioner",1,VLOOKUP(Assumptions!$B$10,Mortality!$A$2:$F$104,6,FALSE)/VLOOKUP(C697,Mortality!$A$2:$F$104,6,FALSE))</x:f>
        <x:v>0.9716205819233391</x:v>
      </x:c>
      <x:c r="L697" s="37" t="n">
        <x:f>VLOOKUP(IF(B697="Pensioner",C697,Assumptions!$B$10),Mortality!$A$2:$E$104,5,FALSE)</x:f>
        <x:v>17.296790022132885</x:v>
      </x:c>
      <x:c r="M697" s="37" t="n">
        <x:f>1+Assumptions!$B$13*Assumptions!$B$14*Assumptions!$B$15</x:f>
        <x:v>1.31875</x:v>
      </x:c>
      <x:c r="N697" s="37" t="n">
        <x:f>IF(B697="Pensioner",1,1/(1+Assumptions!$B$6)^G697)</x:f>
        <x:v>0.19449578673364096</x:v>
      </x:c>
      <x:c r="O697" s="50" t="n">
        <x:f>J697*K697*L697*M697*N697</x:f>
        <x:v>7135967.254785261</x:v>
      </x:c>
    </x:row>
    <x:row r="698">
      <x:c r="A698" s="42" t="str">
        <x:f>Members!A698</x:f>
        <x:v>A0351</x:v>
      </x:c>
      <x:c r="B698" s="42" t="str">
        <x:f>Members!B698</x:f>
        <x:v>Active</x:v>
      </x:c>
      <x:c r="C698" s="42" t="n">
        <x:f>Members!C698</x:f>
        <x:v>22</x:v>
      </x:c>
      <x:c r="D698" s="44" t="n">
        <x:f>Members!D698</x:f>
        <x:v>1.6</x:v>
      </x:c>
      <x:c r="E698" s="48" t="n">
        <x:f>Members!E698</x:f>
        <x:v>440000</x:v>
      </x:c>
      <x:c r="F698" s="48" t="n">
        <x:f>Members!F698</x:f>
        <x:v>0</x:v>
      </x:c>
      <x:c r="G698" s="46" t="n">
        <x:f>MAX(0,Assumptions!$B$10-C698)</x:f>
        <x:v>38</x:v>
      </x:c>
      <x:c r="H698" s="50" t="n">
        <x:f>IF(B698="Active",E698*(1+Assumptions!$B$7)^G698,E698)</x:f>
        <x:v>3365473.2468269444</x:v>
      </x:c>
      <x:c r="I698" s="50" t="n">
        <x:f>IF(B698="Active",MIN(Assumptions!$B$12,D698+G698),IF(B698="Deferred",MIN(Assumptions!$B$12,D698),D698))</x:f>
        <x:v>39.6</x:v>
      </x:c>
      <x:c r="J698" s="50" t="n">
        <x:f>IF(B698="Active",H698*I698*Assumptions!$B$11,IF(B698="Deferred",E698*I698*Assumptions!$B$11*(1+Assumptions!$B$9)^G698,F698))</x:f>
        <x:v>2221212.3429057836</x:v>
      </x:c>
      <x:c r="K698" s="37" t="n">
        <x:f>IF(B698="Pensioner",1,VLOOKUP(Assumptions!$B$10,Mortality!$A$2:$F$104,6,FALSE)/VLOOKUP(C698,Mortality!$A$2:$F$104,6,FALSE))</x:f>
        <x:v>0.9682119922904866</x:v>
      </x:c>
      <x:c r="L698" s="37" t="n">
        <x:f>VLOOKUP(IF(B698="Pensioner",C698,Assumptions!$B$10),Mortality!$A$2:$E$104,5,FALSE)</x:f>
        <x:v>17.296790022132885</x:v>
      </x:c>
      <x:c r="M698" s="37" t="n">
        <x:f>1+Assumptions!$B$13*Assumptions!$B$14*Assumptions!$B$15</x:f>
        <x:v>1.31875</x:v>
      </x:c>
      <x:c r="N698" s="37" t="n">
        <x:f>IF(B698="Pensioner",1,1/(1+Assumptions!$B$6)^G698)</x:f>
        <x:v>0.09135133627989055</x:v>
      </x:c>
      <x:c r="O698" s="50" t="n">
        <x:f>J698*K698*L698*M698*N698</x:f>
        <x:v>4481293.88522519</x:v>
      </x:c>
    </x:row>
    <x:row r="699">
      <x:c r="A699" s="42" t="str">
        <x:f>Members!A699</x:f>
        <x:v>A0111</x:v>
      </x:c>
      <x:c r="B699" s="42" t="str">
        <x:f>Members!B699</x:f>
        <x:v>Active</x:v>
      </x:c>
      <x:c r="C699" s="42" t="n">
        <x:f>Members!C699</x:f>
        <x:v>39</x:v>
      </x:c>
      <x:c r="D699" s="44" t="n">
        <x:f>Members!D699</x:f>
        <x:v>3.2</x:v>
      </x:c>
      <x:c r="E699" s="48" t="n">
        <x:f>Members!E699</x:f>
        <x:v>629000</x:v>
      </x:c>
      <x:c r="F699" s="48" t="n">
        <x:f>Members!F699</x:f>
        <x:v>0</x:v>
      </x:c>
      <x:c r="G699" s="46" t="n">
        <x:f>MAX(0,Assumptions!$B$10-C699)</x:f>
        <x:v>21</x:v>
      </x:c>
      <x:c r="H699" s="50" t="n">
        <x:f>IF(B699="Active",E699*(1+Assumptions!$B$7)^G699,E699)</x:f>
        <x:v>1936209.2819774204</x:v>
      </x:c>
      <x:c r="I699" s="50" t="n">
        <x:f>IF(B699="Active",MIN(Assumptions!$B$12,D699+G699),IF(B699="Deferred",MIN(Assumptions!$B$12,D699),D699))</x:f>
        <x:v>24.2</x:v>
      </x:c>
      <x:c r="J699" s="50" t="n">
        <x:f>IF(B699="Active",H699*I699*Assumptions!$B$11,IF(B699="Deferred",E699*I699*Assumptions!$B$11*(1+Assumptions!$B$9)^G699,F699))</x:f>
        <x:v>780937.7437308929</x:v>
      </x:c>
      <x:c r="K699" s="37" t="n">
        <x:f>IF(B699="Pensioner",1,VLOOKUP(Assumptions!$B$10,Mortality!$A$2:$F$104,6,FALSE)/VLOOKUP(C699,Mortality!$A$2:$F$104,6,FALSE))</x:f>
        <x:v>0.973585741778878</x:v>
      </x:c>
      <x:c r="L699" s="37" t="n">
        <x:f>VLOOKUP(IF(B699="Pensioner",C699,Assumptions!$B$10),Mortality!$A$2:$E$104,5,FALSE)</x:f>
        <x:v>17.296790022132885</x:v>
      </x:c>
      <x:c r="M699" s="37" t="n">
        <x:f>1+Assumptions!$B$13*Assumptions!$B$14*Assumptions!$B$15</x:f>
        <x:v>1.31875</x:v>
      </x:c>
      <x:c r="N699" s="37" t="n">
        <x:f>IF(B699="Pensioner",1,1/(1+Assumptions!$B$6)^G699)</x:f>
        <x:v>0.26647608349429097</x:v>
      </x:c>
      <x:c r="O699" s="50" t="n">
        <x:f>J699*K699*L699*M699*N699</x:f>
        <x:v>4621434.91333561</x:v>
      </x:c>
    </x:row>
    <x:row r="700">
      <x:c r="A700" s="42" t="str">
        <x:f>Members!A700</x:f>
        <x:v>A0377</x:v>
      </x:c>
      <x:c r="B700" s="42" t="str">
        <x:f>Members!B700</x:f>
        <x:v>Active</x:v>
      </x:c>
      <x:c r="C700" s="42" t="n">
        <x:f>Members!C700</x:f>
        <x:v>30</x:v>
      </x:c>
      <x:c r="D700" s="44" t="n">
        <x:f>Members!D700</x:f>
        <x:v>7.6</x:v>
      </x:c>
      <x:c r="E700" s="48" t="n">
        <x:f>Members!E700</x:f>
        <x:v>649000</x:v>
      </x:c>
      <x:c r="F700" s="48" t="n">
        <x:f>Members!F700</x:f>
        <x:v>0</x:v>
      </x:c>
      <x:c r="G700" s="46" t="n">
        <x:f>MAX(0,Assumptions!$B$10-C700)</x:f>
        <x:v>30</x:v>
      </x:c>
      <x:c r="H700" s="50" t="n">
        <x:f>IF(B700="Active",E700*(1+Assumptions!$B$7)^G700,E700)</x:f>
        <x:v>3234584.386168394</x:v>
      </x:c>
      <x:c r="I700" s="50" t="n">
        <x:f>IF(B700="Active",MIN(Assumptions!$B$12,D700+G700),IF(B700="Deferred",MIN(Assumptions!$B$12,D700),D700))</x:f>
        <x:v>37.6</x:v>
      </x:c>
      <x:c r="J700" s="50" t="n">
        <x:f>IF(B700="Active",H700*I700*Assumptions!$B$11,IF(B700="Deferred",E700*I700*Assumptions!$B$11*(1+Assumptions!$B$9)^G700,F700))</x:f>
        <x:v>2027006.2153321933</x:v>
      </x:c>
      <x:c r="K700" s="37" t="n">
        <x:f>IF(B700="Pensioner",1,VLOOKUP(Assumptions!$B$10,Mortality!$A$2:$F$104,6,FALSE)/VLOOKUP(C700,Mortality!$A$2:$F$104,6,FALSE))</x:f>
        <x:v>0.9703456880318753</x:v>
      </x:c>
      <x:c r="L700" s="37" t="n">
        <x:f>VLOOKUP(IF(B700="Pensioner",C700,Assumptions!$B$10),Mortality!$A$2:$E$104,5,FALSE)</x:f>
        <x:v>17.296790022132885</x:v>
      </x:c>
      <x:c r="M700" s="37" t="n">
        <x:f>1+Assumptions!$B$13*Assumptions!$B$14*Assumptions!$B$15</x:f>
        <x:v>1.31875</x:v>
      </x:c>
      <x:c r="N700" s="37" t="n">
        <x:f>IF(B700="Pensioner",1,1/(1+Assumptions!$B$6)^G700)</x:f>
        <x:v>0.1511860661098129</x:v>
      </x:c>
      <x:c r="O700" s="50" t="n">
        <x:f>J700*K700*L700*M700*N700</x:f>
        <x:v>6782992.132055484</x:v>
      </x:c>
    </x:row>
    <x:row r="701">
      <x:c r="A701" s="42" t="str">
        <x:f>Members!A701</x:f>
        <x:v>A0305</x:v>
      </x:c>
      <x:c r="B701" s="42" t="str">
        <x:f>Members!B701</x:f>
        <x:v>Active</x:v>
      </x:c>
      <x:c r="C701" s="42" t="n">
        <x:f>Members!C701</x:f>
        <x:v>35</x:v>
      </x:c>
      <x:c r="D701" s="44" t="n">
        <x:f>Members!D701</x:f>
        <x:v>6.7</x:v>
      </x:c>
      <x:c r="E701" s="48" t="n">
        <x:f>Members!E701</x:f>
        <x:v>914000</x:v>
      </x:c>
      <x:c r="F701" s="48" t="n">
        <x:f>Members!F701</x:f>
        <x:v>0</x:v>
      </x:c>
      <x:c r="G701" s="46" t="n">
        <x:f>MAX(0,Assumptions!$B$10-C701)</x:f>
        <x:v>25</x:v>
      </x:c>
      <x:c r="H701" s="50" t="n">
        <x:f>IF(B701="Active",E701*(1+Assumptions!$B$7)^G701,E701)</x:f>
        <x:v>3485440.6066395226</x:v>
      </x:c>
      <x:c r="I701" s="50" t="n">
        <x:f>IF(B701="Active",MIN(Assumptions!$B$12,D701+G701),IF(B701="Deferred",MIN(Assumptions!$B$12,D701),D701))</x:f>
        <x:v>31.7</x:v>
      </x:c>
      <x:c r="J701" s="50" t="n">
        <x:f>IF(B701="Active",H701*I701*Assumptions!$B$11,IF(B701="Deferred",E701*I701*Assumptions!$B$11*(1+Assumptions!$B$9)^G701,F701))</x:f>
        <x:v>1841474.4538412143</x:v>
      </x:c>
      <x:c r="K701" s="37" t="n">
        <x:f>IF(B701="Pensioner",1,VLOOKUP(Assumptions!$B$10,Mortality!$A$2:$F$104,6,FALSE)/VLOOKUP(C701,Mortality!$A$2:$F$104,6,FALSE))</x:f>
        <x:v>0.9719740765386753</x:v>
      </x:c>
      <x:c r="L701" s="37" t="n">
        <x:f>VLOOKUP(IF(B701="Pensioner",C701,Assumptions!$B$10),Mortality!$A$2:$E$104,5,FALSE)</x:f>
        <x:v>17.296790022132885</x:v>
      </x:c>
      <x:c r="M701" s="37" t="n">
        <x:f>1+Assumptions!$B$13*Assumptions!$B$14*Assumptions!$B$15</x:f>
        <x:v>1.31875</x:v>
      </x:c>
      <x:c r="N701" s="37" t="n">
        <x:f>IF(B701="Pensioner",1,1/(1+Assumptions!$B$6)^G701)</x:f>
        <x:v>0.20713801287132758</x:v>
      </x:c>
      <x:c r="O701" s="50" t="n">
        <x:f>J701*K701*L701*M701*N701</x:f>
        <x:v>8456841.128884738</x:v>
      </x:c>
    </x:row>
    <x:row r="702">
      <x:c r="A702" s="42" t="str">
        <x:f>Members!A702</x:f>
        <x:v>A0533</x:v>
      </x:c>
      <x:c r="B702" s="42" t="str">
        <x:f>Members!B702</x:f>
        <x:v>Active</x:v>
      </x:c>
      <x:c r="C702" s="42" t="n">
        <x:f>Members!C702</x:f>
        <x:v>55</x:v>
      </x:c>
      <x:c r="D702" s="44" t="n">
        <x:f>Members!D702</x:f>
        <x:v>28.4</x:v>
      </x:c>
      <x:c r="E702" s="48" t="n">
        <x:f>Members!E702</x:f>
        <x:v>1658000</x:v>
      </x:c>
      <x:c r="F702" s="48" t="n">
        <x:f>Members!F702</x:f>
        <x:v>0</x:v>
      </x:c>
      <x:c r="G702" s="46" t="n">
        <x:f>MAX(0,Assumptions!$B$10-C702)</x:f>
        <x:v>5</x:v>
      </x:c>
      <x:c r="H702" s="50" t="n">
        <x:f>IF(B702="Active",E702*(1+Assumptions!$B$7)^G702,E702)</x:f>
        <x:v>2166939.6906267432</x:v>
      </x:c>
      <x:c r="I702" s="50" t="n">
        <x:f>IF(B702="Active",MIN(Assumptions!$B$12,D702+G702),IF(B702="Deferred",MIN(Assumptions!$B$12,D702),D702))</x:f>
        <x:v>33.4</x:v>
      </x:c>
      <x:c r="J702" s="50" t="n">
        <x:f>IF(B702="Active",H702*I702*Assumptions!$B$11,IF(B702="Deferred",E702*I702*Assumptions!$B$11*(1+Assumptions!$B$9)^G702,F702))</x:f>
        <x:v>1206263.094448887</x:v>
      </x:c>
      <x:c r="K702" s="37" t="n">
        <x:f>IF(B702="Pensioner",1,VLOOKUP(Assumptions!$B$10,Mortality!$A$2:$F$104,6,FALSE)/VLOOKUP(C702,Mortality!$A$2:$F$104,6,FALSE))</x:f>
        <x:v>0.9882419087499175</x:v>
      </x:c>
      <x:c r="L702" s="37" t="n">
        <x:f>VLOOKUP(IF(B702="Pensioner",C702,Assumptions!$B$10),Mortality!$A$2:$E$104,5,FALSE)</x:f>
        <x:v>17.296790022132885</x:v>
      </x:c>
      <x:c r="M702" s="37" t="n">
        <x:f>1+Assumptions!$B$13*Assumptions!$B$14*Assumptions!$B$15</x:f>
        <x:v>1.31875</x:v>
      </x:c>
      <x:c r="N702" s="37" t="n">
        <x:f>IF(B702="Pensioner",1,1/(1+Assumptions!$B$6)^G702)</x:f>
        <x:v>0.7298808365209549</x:v>
      </x:c>
      <x:c r="O702" s="50" t="n">
        <x:f>J702*K702*L702*M702*N702</x:f>
        <x:v>19846560.621686578</x:v>
      </x:c>
    </x:row>
    <x:row r="703">
      <x:c r="A703" s="42" t="str">
        <x:f>Members!A703</x:f>
        <x:v>A0549</x:v>
      </x:c>
      <x:c r="B703" s="42" t="str">
        <x:f>Members!B703</x:f>
        <x:v>Active</x:v>
      </x:c>
      <x:c r="C703" s="42" t="n">
        <x:f>Members!C703</x:f>
        <x:v>27</x:v>
      </x:c>
      <x:c r="D703" s="44" t="n">
        <x:f>Members!D703</x:f>
        <x:v>1.7</x:v>
      </x:c>
      <x:c r="E703" s="48" t="n">
        <x:f>Members!E703</x:f>
        <x:v>390000</x:v>
      </x:c>
      <x:c r="F703" s="48" t="n">
        <x:f>Members!F703</x:f>
        <x:v>0</x:v>
      </x:c>
      <x:c r="G703" s="46" t="n">
        <x:f>MAX(0,Assumptions!$B$10-C703)</x:f>
        <x:v>33</x:v>
      </x:c>
      <x:c r="H703" s="50" t="n">
        <x:f>IF(B703="Active",E703*(1+Assumptions!$B$7)^G703,E703)</x:f>
        <x:v>2282421.1073890342</x:v>
      </x:c>
      <x:c r="I703" s="50" t="n">
        <x:f>IF(B703="Active",MIN(Assumptions!$B$12,D703+G703),IF(B703="Deferred",MIN(Assumptions!$B$12,D703),D703))</x:f>
        <x:v>34.7</x:v>
      </x:c>
      <x:c r="J703" s="50" t="n">
        <x:f>IF(B703="Active",H703*I703*Assumptions!$B$11,IF(B703="Deferred",E703*I703*Assumptions!$B$11*(1+Assumptions!$B$9)^G703,F703))</x:f>
        <x:v>1320000.2071066583</x:v>
      </x:c>
      <x:c r="K703" s="37" t="n">
        <x:f>IF(B703="Pensioner",1,VLOOKUP(Assumptions!$B$10,Mortality!$A$2:$F$104,6,FALSE)/VLOOKUP(C703,Mortality!$A$2:$F$104,6,FALSE))</x:f>
        <x:v>0.9694971330284515</x:v>
      </x:c>
      <x:c r="L703" s="37" t="n">
        <x:f>VLOOKUP(IF(B703="Pensioner",C703,Assumptions!$B$10),Mortality!$A$2:$E$104,5,FALSE)</x:f>
        <x:v>17.296790022132885</x:v>
      </x:c>
      <x:c r="M703" s="37" t="n">
        <x:f>1+Assumptions!$B$13*Assumptions!$B$14*Assumptions!$B$15</x:f>
        <x:v>1.31875</x:v>
      </x:c>
      <x:c r="N703" s="37" t="n">
        <x:f>IF(B703="Pensioner",1,1/(1+Assumptions!$B$6)^G703)</x:f>
        <x:v>0.12515924752227392</x:v>
      </x:c>
      <x:c r="O703" s="50" t="n">
        <x:f>J703*K703*L703*M703*N703</x:f>
        <x:v>3653519.736734034</x:v>
      </x:c>
    </x:row>
    <x:row r="704">
      <x:c r="A704" s="42" t="str">
        <x:f>Members!A704</x:f>
        <x:v>A0437</x:v>
      </x:c>
      <x:c r="B704" s="42" t="str">
        <x:f>Members!B704</x:f>
        <x:v>Active</x:v>
      </x:c>
      <x:c r="C704" s="42" t="n">
        <x:f>Members!C704</x:f>
        <x:v>35</x:v>
      </x:c>
      <x:c r="D704" s="44" t="n">
        <x:f>Members!D704</x:f>
        <x:v>2.8</x:v>
      </x:c>
      <x:c r="E704" s="48" t="n">
        <x:f>Members!E704</x:f>
        <x:v>513000</x:v>
      </x:c>
      <x:c r="F704" s="48" t="n">
        <x:f>Members!F704</x:f>
        <x:v>0</x:v>
      </x:c>
      <x:c r="G704" s="46" t="n">
        <x:f>MAX(0,Assumptions!$B$10-C704)</x:f>
        <x:v>25</x:v>
      </x:c>
      <x:c r="H704" s="50" t="n">
        <x:f>IF(B704="Active",E704*(1+Assumptions!$B$7)^G704,E704)</x:f>
        <x:v>1956270.2748425328</x:v>
      </x:c>
      <x:c r="I704" s="50" t="n">
        <x:f>IF(B704="Active",MIN(Assumptions!$B$12,D704+G704),IF(B704="Deferred",MIN(Assumptions!$B$12,D704),D704))</x:f>
        <x:v>27.8</x:v>
      </x:c>
      <x:c r="J704" s="50" t="n">
        <x:f>IF(B704="Active",H704*I704*Assumptions!$B$11,IF(B704="Deferred",E704*I704*Assumptions!$B$11*(1+Assumptions!$B$9)^G704,F704))</x:f>
        <x:v>906405.2273437069</x:v>
      </x:c>
      <x:c r="K704" s="37" t="n">
        <x:f>IF(B704="Pensioner",1,VLOOKUP(Assumptions!$B$10,Mortality!$A$2:$F$104,6,FALSE)/VLOOKUP(C704,Mortality!$A$2:$F$104,6,FALSE))</x:f>
        <x:v>0.9719740765386753</x:v>
      </x:c>
      <x:c r="L704" s="37" t="n">
        <x:f>VLOOKUP(IF(B704="Pensioner",C704,Assumptions!$B$10),Mortality!$A$2:$E$104,5,FALSE)</x:f>
        <x:v>17.296790022132885</x:v>
      </x:c>
      <x:c r="M704" s="37" t="n">
        <x:f>1+Assumptions!$B$13*Assumptions!$B$14*Assumptions!$B$15</x:f>
        <x:v>1.31875</x:v>
      </x:c>
      <x:c r="N704" s="37" t="n">
        <x:f>IF(B704="Pensioner",1,1/(1+Assumptions!$B$6)^G704)</x:f>
        <x:v>0.20713801287132758</x:v>
      </x:c>
      <x:c r="O704" s="50" t="n">
        <x:f>J704*K704*L704*M704*N704</x:f>
        <x:v>4162601.8704994447</x:v>
      </x:c>
    </x:row>
    <x:row r="705">
      <x:c r="A705" s="42" t="str">
        <x:f>Members!A705</x:f>
        <x:v>A0359</x:v>
      </x:c>
      <x:c r="B705" s="42" t="str">
        <x:f>Members!B705</x:f>
        <x:v>Active</x:v>
      </x:c>
      <x:c r="C705" s="42" t="n">
        <x:f>Members!C705</x:f>
        <x:v>53</x:v>
      </x:c>
      <x:c r="D705" s="44" t="n">
        <x:f>Members!D705</x:f>
        <x:v>24.3</x:v>
      </x:c>
      <x:c r="E705" s="48" t="n">
        <x:f>Members!E705</x:f>
        <x:v>1233000</x:v>
      </x:c>
      <x:c r="F705" s="48" t="n">
        <x:f>Members!F705</x:f>
        <x:v>0</x:v>
      </x:c>
      <x:c r="G705" s="46" t="n">
        <x:f>MAX(0,Assumptions!$B$10-C705)</x:f>
        <x:v>7</x:v>
      </x:c>
      <x:c r="H705" s="50" t="n">
        <x:f>IF(B705="Active",E705*(1+Assumptions!$B$7)^G705,E705)</x:f>
        <x:v>1793619.4056779682</x:v>
      </x:c>
      <x:c r="I705" s="50" t="n">
        <x:f>IF(B705="Active",MIN(Assumptions!$B$12,D705+G705),IF(B705="Deferred",MIN(Assumptions!$B$12,D705),D705))</x:f>
        <x:v>31.3</x:v>
      </x:c>
      <x:c r="J705" s="50" t="n">
        <x:f>IF(B705="Active",H705*I705*Assumptions!$B$11,IF(B705="Deferred",E705*I705*Assumptions!$B$11*(1+Assumptions!$B$9)^G705,F705))</x:f>
        <x:v>935671.4566286734</x:v>
      </x:c>
      <x:c r="K705" s="37" t="n">
        <x:f>IF(B705="Pensioner",1,VLOOKUP(Assumptions!$B$10,Mortality!$A$2:$F$104,6,FALSE)/VLOOKUP(C705,Mortality!$A$2:$F$104,6,FALSE))</x:f>
        <x:v>0.9850300017431317</x:v>
      </x:c>
      <x:c r="L705" s="37" t="n">
        <x:f>VLOOKUP(IF(B705="Pensioner",C705,Assumptions!$B$10),Mortality!$A$2:$E$104,5,FALSE)</x:f>
        <x:v>17.296790022132885</x:v>
      </x:c>
      <x:c r="M705" s="37" t="n">
        <x:f>1+Assumptions!$B$13*Assumptions!$B$14*Assumptions!$B$15</x:f>
        <x:v>1.31875</x:v>
      </x:c>
      <x:c r="N705" s="37" t="n">
        <x:f>IF(B705="Pensioner",1,1/(1+Assumptions!$B$6)^G705)</x:f>
        <x:v>0.6435062148347594</x:v>
      </x:c>
      <x:c r="O705" s="50" t="n">
        <x:f>J705*K705*L705*M705*N705</x:f>
        <x:v>13528622.26580235</x:v>
      </x:c>
    </x:row>
    <x:row r="706">
      <x:c r="A706" s="42" t="str">
        <x:f>Members!A706</x:f>
        <x:v>P0038</x:v>
      </x:c>
      <x:c r="B706" s="42" t="str">
        <x:f>Members!B706</x:f>
        <x:v>Pensioner</x:v>
      </x:c>
      <x:c r="C706" s="42" t="n">
        <x:f>Members!C706</x:f>
        <x:v>87</x:v>
      </x:c>
      <x:c r="D706" s="44" t="n">
        <x:f>Members!D706</x:f>
        <x:v>18.4</x:v>
      </x:c>
      <x:c r="E706" s="48" t="n">
        <x:f>Members!E706</x:f>
        <x:v>0</x:v>
      </x:c>
      <x:c r="F706" s="48" t="n">
        <x:f>Members!F706</x:f>
        <x:v>652000</x:v>
      </x:c>
      <x:c r="G706" s="46" t="n">
        <x:f>MAX(0,Assumptions!$B$10-C706)</x:f>
        <x:v>0</x:v>
      </x:c>
      <x:c r="H706" s="50" t="n">
        <x:f>IF(B706="Active",E706*(1+Assumptions!$B$7)^G706,E706)</x:f>
        <x:v>0</x:v>
      </x:c>
      <x:c r="I706" s="50" t="n">
        <x:f>IF(B706="Active",MIN(Assumptions!$B$12,D706+G706),IF(B706="Deferred",MIN(Assumptions!$B$12,D706),D706))</x:f>
        <x:v>18.4</x:v>
      </x:c>
      <x:c r="J706" s="50" t="n">
        <x:f>IF(B706="Active",H706*I706*Assumptions!$B$11,IF(B706="Deferred",E706*I706*Assumptions!$B$11*(1+Assumptions!$B$9)^G706,F706))</x:f>
        <x:v>652000</x:v>
      </x:c>
      <x:c r="K706" s="37" t="n">
        <x:f>IF(B706="Pensioner",1,VLOOKUP(Assumptions!$B$10,Mortality!$A$2:$F$104,6,FALSE)/VLOOKUP(C706,Mortality!$A$2:$F$104,6,FALSE))</x:f>
        <x:v>1</x:v>
      </x:c>
      <x:c r="L706" s="37" t="n">
        <x:f>VLOOKUP(IF(B706="Pensioner",C706,Assumptions!$B$10),Mortality!$A$2:$E$104,5,FALSE)</x:f>
        <x:v>5.427731360162463</x:v>
      </x:c>
      <x:c r="M706" s="37" t="n">
        <x:f>1+Assumptions!$B$13*Assumptions!$B$14*Assumptions!$B$15</x:f>
        <x:v>1.31875</x:v>
      </x:c>
      <x:c r="N706" s="37" t="n">
        <x:f>IF(B706="Pensioner",1,1/(1+Assumptions!$B$6)^G706)</x:f>
        <x:v>1</x:v>
      </x:c>
      <x:c r="O706" s="50" t="n">
        <x:f>J706*K706*L706*M706*N706</x:f>
        <x:v>4666899.11675169</x:v>
      </x:c>
    </x:row>
    <x:row r="707">
      <x:c r="A707" s="42" t="str">
        <x:f>Members!A707</x:f>
        <x:v>A0070</x:v>
      </x:c>
      <x:c r="B707" s="42" t="str">
        <x:f>Members!B707</x:f>
        <x:v>Active</x:v>
      </x:c>
      <x:c r="C707" s="42" t="n">
        <x:f>Members!C707</x:f>
        <x:v>44</x:v>
      </x:c>
      <x:c r="D707" s="44" t="n">
        <x:f>Members!D707</x:f>
        <x:v>2.3</x:v>
      </x:c>
      <x:c r="E707" s="48" t="n">
        <x:f>Members!E707</x:f>
        <x:v>998000</x:v>
      </x:c>
      <x:c r="F707" s="48" t="n">
        <x:f>Members!F707</x:f>
        <x:v>0</x:v>
      </x:c>
      <x:c r="G707" s="46" t="n">
        <x:f>MAX(0,Assumptions!$B$10-C707)</x:f>
        <x:v>16</x:v>
      </x:c>
      <x:c r="H707" s="50" t="n">
        <x:f>IF(B707="Active",E707*(1+Assumptions!$B$7)^G707,E707)</x:f>
        <x:v>2350552.173912415</x:v>
      </x:c>
      <x:c r="I707" s="50" t="n">
        <x:f>IF(B707="Active",MIN(Assumptions!$B$12,D707+G707),IF(B707="Deferred",MIN(Assumptions!$B$12,D707),D707))</x:f>
        <x:v>18.3</x:v>
      </x:c>
      <x:c r="J707" s="50" t="n">
        <x:f>IF(B707="Active",H707*I707*Assumptions!$B$11,IF(B707="Deferred",E707*I707*Assumptions!$B$11*(1+Assumptions!$B$9)^G707,F707))</x:f>
        <x:v>716918.4130432865</x:v>
      </x:c>
      <x:c r="K707" s="37" t="n">
        <x:f>IF(B707="Pensioner",1,VLOOKUP(Assumptions!$B$10,Mortality!$A$2:$F$104,6,FALSE)/VLOOKUP(C707,Mortality!$A$2:$F$104,6,FALSE))</x:f>
        <x:v>0.9762682212178733</x:v>
      </x:c>
      <x:c r="L707" s="37" t="n">
        <x:f>VLOOKUP(IF(B707="Pensioner",C707,Assumptions!$B$10),Mortality!$A$2:$E$104,5,FALSE)</x:f>
        <x:v>17.296790022132885</x:v>
      </x:c>
      <x:c r="M707" s="37" t="n">
        <x:f>1+Assumptions!$B$13*Assumptions!$B$14*Assumptions!$B$15</x:f>
        <x:v>1.31875</x:v>
      </x:c>
      <x:c r="N707" s="37" t="n">
        <x:f>IF(B707="Pensioner",1,1/(1+Assumptions!$B$6)^G707)</x:f>
        <x:v>0.3650953281147565</x:v>
      </x:c>
      <x:c r="O707" s="50" t="n">
        <x:f>J707*K707*L707*M707*N707</x:f>
        <x:v>5828719.406452285</x:v>
      </x:c>
    </x:row>
    <x:row r="708">
      <x:c r="A708" s="42" t="str">
        <x:f>Members!A708</x:f>
        <x:v>A0036</x:v>
      </x:c>
      <x:c r="B708" s="42" t="str">
        <x:f>Members!B708</x:f>
        <x:v>Active</x:v>
      </x:c>
      <x:c r="C708" s="42" t="n">
        <x:f>Members!C708</x:f>
        <x:v>25</x:v>
      </x:c>
      <x:c r="D708" s="44" t="n">
        <x:f>Members!D708</x:f>
        <x:v>4.1</x:v>
      </x:c>
      <x:c r="E708" s="48" t="n">
        <x:f>Members!E708</x:f>
        <x:v>532000</x:v>
      </x:c>
      <x:c r="F708" s="48" t="n">
        <x:f>Members!F708</x:f>
        <x:v>0</x:v>
      </x:c>
      <x:c r="G708" s="46" t="n">
        <x:f>MAX(0,Assumptions!$B$10-C708)</x:f>
        <x:v>35</x:v>
      </x:c>
      <x:c r="H708" s="50" t="n">
        <x:f>IF(B708="Active",E708*(1+Assumptions!$B$7)^G708,E708)</x:f>
        <x:v>3465354.9041628037</x:v>
      </x:c>
      <x:c r="I708" s="50" t="n">
        <x:f>IF(B708="Active",MIN(Assumptions!$B$12,D708+G708),IF(B708="Deferred",MIN(Assumptions!$B$12,D708),D708))</x:f>
        <x:v>39.1</x:v>
      </x:c>
      <x:c r="J708" s="50" t="n">
        <x:f>IF(B708="Active",H708*I708*Assumptions!$B$11,IF(B708="Deferred",E708*I708*Assumptions!$B$11*(1+Assumptions!$B$9)^G708,F708))</x:f>
        <x:v>2258256.2792127603</x:v>
      </x:c>
      <x:c r="K708" s="37" t="n">
        <x:f>IF(B708="Pensioner",1,VLOOKUP(Assumptions!$B$10,Mortality!$A$2:$F$104,6,FALSE)/VLOOKUP(C708,Mortality!$A$2:$F$104,6,FALSE))</x:f>
        <x:v>0.9689672976041144</x:v>
      </x:c>
      <x:c r="L708" s="37" t="n">
        <x:f>VLOOKUP(IF(B708="Pensioner",C708,Assumptions!$B$10),Mortality!$A$2:$E$104,5,FALSE)</x:f>
        <x:v>17.296790022132885</x:v>
      </x:c>
      <x:c r="M708" s="37" t="n">
        <x:f>1+Assumptions!$B$13*Assumptions!$B$14*Assumptions!$B$15</x:f>
        <x:v>1.31875</x:v>
      </x:c>
      <x:c r="N708" s="37" t="n">
        <x:f>IF(B708="Pensioner",1,1/(1+Assumptions!$B$6)^G708)</x:f>
        <x:v>0.11034781240254267</x:v>
      </x:c>
      <x:c r="O708" s="50" t="n">
        <x:f>J708*K708*L708*M708*N708</x:f>
        <x:v>5507747.98451337</x:v>
      </x:c>
    </x:row>
    <x:row r="709">
      <x:c r="A709" s="42" t="str">
        <x:f>Members!A709</x:f>
        <x:v>A0166</x:v>
      </x:c>
      <x:c r="B709" s="42" t="str">
        <x:f>Members!B709</x:f>
        <x:v>Active</x:v>
      </x:c>
      <x:c r="C709" s="42" t="n">
        <x:f>Members!C709</x:f>
        <x:v>52</x:v>
      </x:c>
      <x:c r="D709" s="44" t="n">
        <x:f>Members!D709</x:f>
        <x:v>15.4</x:v>
      </x:c>
      <x:c r="E709" s="48" t="n">
        <x:f>Members!E709</x:f>
        <x:v>1194000</x:v>
      </x:c>
      <x:c r="F709" s="48" t="n">
        <x:f>Members!F709</x:f>
        <x:v>0</x:v>
      </x:c>
      <x:c r="G709" s="46" t="n">
        <x:f>MAX(0,Assumptions!$B$10-C709)</x:f>
        <x:v>8</x:v>
      </x:c>
      <x:c r="H709" s="50" t="n">
        <x:f>IF(B709="Active",E709*(1+Assumptions!$B$7)^G709,E709)</x:f>
        <x:v>1832415.6989054065</x:v>
      </x:c>
      <x:c r="I709" s="50" t="n">
        <x:f>IF(B709="Active",MIN(Assumptions!$B$12,D709+G709),IF(B709="Deferred",MIN(Assumptions!$B$12,D709),D709))</x:f>
        <x:v>23.4</x:v>
      </x:c>
      <x:c r="J709" s="50" t="n">
        <x:f>IF(B709="Active",H709*I709*Assumptions!$B$11,IF(B709="Deferred",E709*I709*Assumptions!$B$11*(1+Assumptions!$B$9)^G709,F709))</x:f>
        <x:v>714642.1225731084</x:v>
      </x:c>
      <x:c r="K709" s="37" t="n">
        <x:f>IF(B709="Pensioner",1,VLOOKUP(Assumptions!$B$10,Mortality!$A$2:$F$104,6,FALSE)/VLOOKUP(C709,Mortality!$A$2:$F$104,6,FALSE))</x:f>
        <x:v>0.9836527516879843</x:v>
      </x:c>
      <x:c r="L709" s="37" t="n">
        <x:f>VLOOKUP(IF(B709="Pensioner",C709,Assumptions!$B$10),Mortality!$A$2:$E$104,5,FALSE)</x:f>
        <x:v>17.296790022132885</x:v>
      </x:c>
      <x:c r="M709" s="37" t="n">
        <x:f>1+Assumptions!$B$13*Assumptions!$B$14*Assumptions!$B$15</x:f>
        <x:v>1.31875</x:v>
      </x:c>
      <x:c r="N709" s="37" t="n">
        <x:f>IF(B709="Pensioner",1,1/(1+Assumptions!$B$6)^G709)</x:f>
        <x:v>0.6042311876382719</x:v>
      </x:c>
      <x:c r="O709" s="50" t="n">
        <x:f>J709*K709*L709*M709*N709</x:f>
        <x:v>9688611.592058716</x:v>
      </x:c>
    </x:row>
    <x:row r="710">
      <x:c r="A710" s="42" t="str">
        <x:f>Members!A710</x:f>
        <x:v>A0178</x:v>
      </x:c>
      <x:c r="B710" s="42" t="str">
        <x:f>Members!B710</x:f>
        <x:v>Active</x:v>
      </x:c>
      <x:c r="C710" s="42" t="n">
        <x:f>Members!C710</x:f>
        <x:v>49</x:v>
      </x:c>
      <x:c r="D710" s="44" t="n">
        <x:f>Members!D710</x:f>
        <x:v>13.7</x:v>
      </x:c>
      <x:c r="E710" s="48" t="n">
        <x:f>Members!E710</x:f>
        <x:v>1391000</x:v>
      </x:c>
      <x:c r="F710" s="48" t="n">
        <x:f>Members!F710</x:f>
        <x:v>0</x:v>
      </x:c>
      <x:c r="G710" s="46" t="n">
        <x:f>MAX(0,Assumptions!$B$10-C710)</x:f>
        <x:v>11</x:v>
      </x:c>
      <x:c r="H710" s="50" t="n">
        <x:f>IF(B710="Active",E710*(1+Assumptions!$B$7)^G710,E710)</x:f>
        <x:v>2506710.5333561893</x:v>
      </x:c>
      <x:c r="I710" s="50" t="n">
        <x:f>IF(B710="Active",MIN(Assumptions!$B$12,D710+G710),IF(B710="Deferred",MIN(Assumptions!$B$12,D710),D710))</x:f>
        <x:v>24.7</x:v>
      </x:c>
      <x:c r="J710" s="50" t="n">
        <x:f>IF(B710="Active",H710*I710*Assumptions!$B$11,IF(B710="Deferred",E710*I710*Assumptions!$B$11*(1+Assumptions!$B$9)^G710,F710))</x:f>
        <x:v>1031929.1695649645</x:v>
      </x:c>
      <x:c r="K710" s="37" t="n">
        <x:f>IF(B710="Pensioner",1,VLOOKUP(Assumptions!$B$10,Mortality!$A$2:$F$104,6,FALSE)/VLOOKUP(C710,Mortality!$A$2:$F$104,6,FALSE))</x:f>
        <x:v>0.9802429662359576</x:v>
      </x:c>
      <x:c r="L710" s="37" t="n">
        <x:f>VLOOKUP(IF(B710="Pensioner",C710,Assumptions!$B$10),Mortality!$A$2:$E$104,5,FALSE)</x:f>
        <x:v>17.296790022132885</x:v>
      </x:c>
      <x:c r="M710" s="37" t="n">
        <x:f>1+Assumptions!$B$13*Assumptions!$B$14*Assumptions!$B$15</x:f>
        <x:v>1.31875</x:v>
      </x:c>
      <x:c r="N710" s="37" t="n">
        <x:f>IF(B710="Pensioner",1,1/(1+Assumptions!$B$6)^G710)</x:f>
        <x:v>0.5002122399253793</x:v>
      </x:c>
      <x:c r="O710" s="50" t="n">
        <x:f>J710*K710*L710*M710*N710</x:f>
        <x:v>11541597.478135386</x:v>
      </x:c>
    </x:row>
    <x:row r="711">
      <x:c r="A711" s="42" t="str">
        <x:f>Members!A711</x:f>
        <x:v>A0312</x:v>
      </x:c>
      <x:c r="B711" s="42" t="str">
        <x:f>Members!B711</x:f>
        <x:v>Active</x:v>
      </x:c>
      <x:c r="C711" s="42" t="n">
        <x:f>Members!C711</x:f>
        <x:v>49</x:v>
      </x:c>
      <x:c r="D711" s="44" t="n">
        <x:f>Members!D711</x:f>
        <x:v>17.2</x:v>
      </x:c>
      <x:c r="E711" s="48" t="n">
        <x:f>Members!E711</x:f>
        <x:v>1276000</x:v>
      </x:c>
      <x:c r="F711" s="48" t="n">
        <x:f>Members!F711</x:f>
        <x:v>0</x:v>
      </x:c>
      <x:c r="G711" s="46" t="n">
        <x:f>MAX(0,Assumptions!$B$10-C711)</x:f>
        <x:v>11</x:v>
      </x:c>
      <x:c r="H711" s="50" t="n">
        <x:f>IF(B711="Active",E711*(1+Assumptions!$B$7)^G711,E711)</x:f>
        <x:v>2299469.9069464393</x:v>
      </x:c>
      <x:c r="I711" s="50" t="n">
        <x:f>IF(B711="Active",MIN(Assumptions!$B$12,D711+G711),IF(B711="Deferred",MIN(Assumptions!$B$12,D711),D711))</x:f>
        <x:v>28.2</x:v>
      </x:c>
      <x:c r="J711" s="50" t="n">
        <x:f>IF(B711="Active",H711*I711*Assumptions!$B$11,IF(B711="Deferred",E711*I711*Assumptions!$B$11*(1+Assumptions!$B$9)^G711,F711))</x:f>
        <x:v>1080750.8562648264</x:v>
      </x:c>
      <x:c r="K711" s="37" t="n">
        <x:f>IF(B711="Pensioner",1,VLOOKUP(Assumptions!$B$10,Mortality!$A$2:$F$104,6,FALSE)/VLOOKUP(C711,Mortality!$A$2:$F$104,6,FALSE))</x:f>
        <x:v>0.9802429662359576</x:v>
      </x:c>
      <x:c r="L711" s="37" t="n">
        <x:f>VLOOKUP(IF(B711="Pensioner",C711,Assumptions!$B$10),Mortality!$A$2:$E$104,5,FALSE)</x:f>
        <x:v>17.296790022132885</x:v>
      </x:c>
      <x:c r="M711" s="37" t="n">
        <x:f>1+Assumptions!$B$13*Assumptions!$B$14*Assumptions!$B$15</x:f>
        <x:v>1.31875</x:v>
      </x:c>
      <x:c r="N711" s="37" t="n">
        <x:f>IF(B711="Pensioner",1,1/(1+Assumptions!$B$6)^G711)</x:f>
        <x:v>0.5002122399253793</x:v>
      </x:c>
      <x:c r="O711" s="50" t="n">
        <x:f>J711*K711*L711*M711*N711</x:f>
        <x:v>12087642.95558903</x:v>
      </x:c>
    </x:row>
    <x:row r="712">
      <x:c r="A712" s="42" t="str">
        <x:f>Members!A712</x:f>
        <x:v>A0376</x:v>
      </x:c>
      <x:c r="B712" s="42" t="str">
        <x:f>Members!B712</x:f>
        <x:v>Active</x:v>
      </x:c>
      <x:c r="C712" s="42" t="n">
        <x:f>Members!C712</x:f>
        <x:v>31</x:v>
      </x:c>
      <x:c r="D712" s="44" t="n">
        <x:f>Members!D712</x:f>
        <x:v>4</x:v>
      </x:c>
      <x:c r="E712" s="48" t="n">
        <x:f>Members!E712</x:f>
        <x:v>462000</x:v>
      </x:c>
      <x:c r="F712" s="48" t="n">
        <x:f>Members!F712</x:f>
        <x:v>0</x:v>
      </x:c>
      <x:c r="G712" s="46" t="n">
        <x:f>MAX(0,Assumptions!$B$10-C712)</x:f>
        <x:v>29</x:v>
      </x:c>
      <x:c r="H712" s="50" t="n">
        <x:f>IF(B712="Active",E712*(1+Assumptions!$B$7)^G712,E712)</x:f>
        <x:v>2182545.4931170787</x:v>
      </x:c>
      <x:c r="I712" s="50" t="n">
        <x:f>IF(B712="Active",MIN(Assumptions!$B$12,D712+G712),IF(B712="Deferred",MIN(Assumptions!$B$12,D712),D712))</x:f>
        <x:v>33</x:v>
      </x:c>
      <x:c r="J712" s="50" t="n">
        <x:f>IF(B712="Active",H712*I712*Assumptions!$B$11,IF(B712="Deferred",E712*I712*Assumptions!$B$11*(1+Assumptions!$B$9)^G712,F712))</x:f>
        <x:v>1200400.0212143932</x:v>
      </x:c>
      <x:c r="K712" s="37" t="n">
        <x:f>IF(B712="Pensioner",1,VLOOKUP(Assumptions!$B$10,Mortality!$A$2:$F$104,6,FALSE)/VLOOKUP(C712,Mortality!$A$2:$F$104,6,FALSE))</x:f>
        <x:v>0.9706466107295209</x:v>
      </x:c>
      <x:c r="L712" s="37" t="n">
        <x:f>VLOOKUP(IF(B712="Pensioner",C712,Assumptions!$B$10),Mortality!$A$2:$E$104,5,FALSE)</x:f>
        <x:v>17.296790022132885</x:v>
      </x:c>
      <x:c r="M712" s="37" t="n">
        <x:f>1+Assumptions!$B$13*Assumptions!$B$14*Assumptions!$B$15</x:f>
        <x:v>1.31875</x:v>
      </x:c>
      <x:c r="N712" s="37" t="n">
        <x:f>IF(B712="Pensioner",1,1/(1+Assumptions!$B$6)^G712)</x:f>
        <x:v>0.16101316040695074</x:v>
      </x:c>
      <x:c r="O712" s="50" t="n">
        <x:f>J712*K712*L712*M712*N712</x:f>
        <x:v>4279337.084004027</x:v>
      </x:c>
    </x:row>
    <x:row r="713">
      <x:c r="A713" s="42" t="str">
        <x:f>Members!A713</x:f>
        <x:v>A0150</x:v>
      </x:c>
      <x:c r="B713" s="42" t="str">
        <x:f>Members!B713</x:f>
        <x:v>Active</x:v>
      </x:c>
      <x:c r="C713" s="42" t="n">
        <x:f>Members!C713</x:f>
        <x:v>34</x:v>
      </x:c>
      <x:c r="D713" s="44" t="n">
        <x:f>Members!D713</x:f>
        <x:v>6.9</x:v>
      </x:c>
      <x:c r="E713" s="48" t="n">
        <x:f>Members!E713</x:f>
        <x:v>605000</x:v>
      </x:c>
      <x:c r="F713" s="48" t="n">
        <x:f>Members!F713</x:f>
        <x:v>0</x:v>
      </x:c>
      <x:c r="G713" s="46" t="n">
        <x:f>MAX(0,Assumptions!$B$10-C713)</x:f>
        <x:v>26</x:v>
      </x:c>
      <x:c r="H713" s="50" t="n">
        <x:f>IF(B713="Active",E713*(1+Assumptions!$B$7)^G713,E713)</x:f>
        <x:v>2433993.001316019</x:v>
      </x:c>
      <x:c r="I713" s="50" t="n">
        <x:f>IF(B713="Active",MIN(Assumptions!$B$12,D713+G713),IF(B713="Deferred",MIN(Assumptions!$B$12,D713),D713))</x:f>
        <x:v>32.9</x:v>
      </x:c>
      <x:c r="J713" s="50" t="n">
        <x:f>IF(B713="Active",H713*I713*Assumptions!$B$11,IF(B713="Deferred",E713*I713*Assumptions!$B$11*(1+Assumptions!$B$9)^G713,F713))</x:f>
        <x:v>1334639.4957216168</x:v>
      </x:c>
      <x:c r="K713" s="37" t="n">
        <x:f>IF(B713="Pensioner",1,VLOOKUP(Assumptions!$B$10,Mortality!$A$2:$F$104,6,FALSE)/VLOOKUP(C713,Mortality!$A$2:$F$104,6,FALSE))</x:f>
        <x:v>0.9716205819233391</x:v>
      </x:c>
      <x:c r="L713" s="37" t="n">
        <x:f>VLOOKUP(IF(B713="Pensioner",C713,Assumptions!$B$10),Mortality!$A$2:$E$104,5,FALSE)</x:f>
        <x:v>17.296790022132885</x:v>
      </x:c>
      <x:c r="M713" s="37" t="n">
        <x:f>1+Assumptions!$B$13*Assumptions!$B$14*Assumptions!$B$15</x:f>
        <x:v>1.31875</x:v>
      </x:c>
      <x:c r="N713" s="37" t="n">
        <x:f>IF(B713="Pensioner",1,1/(1+Assumptions!$B$6)^G713)</x:f>
        <x:v>0.19449578673364096</x:v>
      </x:c>
      <x:c r="O713" s="50" t="n">
        <x:f>J713*K713*L713*M713*N713</x:f>
        <x:v>5753059.4563136455</x:v>
      </x:c>
    </x:row>
    <x:row r="714">
      <x:c r="A714" s="42" t="str">
        <x:f>Members!A714</x:f>
        <x:v>P0148</x:v>
      </x:c>
      <x:c r="B714" s="42" t="str">
        <x:f>Members!B714</x:f>
        <x:v>Pensioner</x:v>
      </x:c>
      <x:c r="C714" s="42" t="n">
        <x:f>Members!C714</x:f>
        <x:v>87</x:v>
      </x:c>
      <x:c r="D714" s="44" t="n">
        <x:f>Members!D714</x:f>
        <x:v>27</x:v>
      </x:c>
      <x:c r="E714" s="48" t="n">
        <x:f>Members!E714</x:f>
        <x:v>0</x:v>
      </x:c>
      <x:c r="F714" s="48" t="n">
        <x:f>Members!F714</x:f>
        <x:v>543000</x:v>
      </x:c>
      <x:c r="G714" s="46" t="n">
        <x:f>MAX(0,Assumptions!$B$10-C714)</x:f>
        <x:v>0</x:v>
      </x:c>
      <x:c r="H714" s="50" t="n">
        <x:f>IF(B714="Active",E714*(1+Assumptions!$B$7)^G714,E714)</x:f>
        <x:v>0</x:v>
      </x:c>
      <x:c r="I714" s="50" t="n">
        <x:f>IF(B714="Active",MIN(Assumptions!$B$12,D714+G714),IF(B714="Deferred",MIN(Assumptions!$B$12,D714),D714))</x:f>
        <x:v>27</x:v>
      </x:c>
      <x:c r="J714" s="50" t="n">
        <x:f>IF(B714="Active",H714*I714*Assumptions!$B$11,IF(B714="Deferred",E714*I714*Assumptions!$B$11*(1+Assumptions!$B$9)^G714,F714))</x:f>
        <x:v>543000</x:v>
      </x:c>
      <x:c r="K714" s="37" t="n">
        <x:f>IF(B714="Pensioner",1,VLOOKUP(Assumptions!$B$10,Mortality!$A$2:$F$104,6,FALSE)/VLOOKUP(C714,Mortality!$A$2:$F$104,6,FALSE))</x:f>
        <x:v>1</x:v>
      </x:c>
      <x:c r="L714" s="37" t="n">
        <x:f>VLOOKUP(IF(B714="Pensioner",C714,Assumptions!$B$10),Mortality!$A$2:$E$104,5,FALSE)</x:f>
        <x:v>5.427731360162463</x:v>
      </x:c>
      <x:c r="M714" s="37" t="n">
        <x:f>1+Assumptions!$B$13*Assumptions!$B$14*Assumptions!$B$15</x:f>
        <x:v>1.31875</x:v>
      </x:c>
      <x:c r="N714" s="37" t="n">
        <x:f>IF(B714="Pensioner",1,1/(1+Assumptions!$B$6)^G714)</x:f>
        <x:v>1</x:v>
      </x:c>
      <x:c r="O714" s="50" t="n">
        <x:f>J714*K714*L714*M714*N714</x:f>
        <x:v>3886696.6570493374</x:v>
      </x:c>
    </x:row>
    <x:row r="715">
      <x:c r="A715" s="42" t="str">
        <x:f>Members!A715</x:f>
        <x:v>A0148</x:v>
      </x:c>
      <x:c r="B715" s="42" t="str">
        <x:f>Members!B715</x:f>
        <x:v>Active</x:v>
      </x:c>
      <x:c r="C715" s="42" t="n">
        <x:f>Members!C715</x:f>
        <x:v>31</x:v>
      </x:c>
      <x:c r="D715" s="44" t="n">
        <x:f>Members!D715</x:f>
        <x:v>2.6</x:v>
      </x:c>
      <x:c r="E715" s="48" t="n">
        <x:f>Members!E715</x:f>
        <x:v>516000</x:v>
      </x:c>
      <x:c r="F715" s="48" t="n">
        <x:f>Members!F715</x:f>
        <x:v>0</x:v>
      </x:c>
      <x:c r="G715" s="46" t="n">
        <x:f>MAX(0,Assumptions!$B$10-C715)</x:f>
        <x:v>29</x:v>
      </x:c>
      <x:c r="H715" s="50" t="n">
        <x:f>IF(B715="Active",E715*(1+Assumptions!$B$7)^G715,E715)</x:f>
        <x:v>2437648.213091802</x:v>
      </x:c>
      <x:c r="I715" s="50" t="n">
        <x:f>IF(B715="Active",MIN(Assumptions!$B$12,D715+G715),IF(B715="Deferred",MIN(Assumptions!$B$12,D715),D715))</x:f>
        <x:v>31.6</x:v>
      </x:c>
      <x:c r="J715" s="50" t="n">
        <x:f>IF(B715="Active",H715*I715*Assumptions!$B$11,IF(B715="Deferred",E715*I715*Assumptions!$B$11*(1+Assumptions!$B$9)^G715,F715))</x:f>
        <x:v>1283828.0588950156</x:v>
      </x:c>
      <x:c r="K715" s="37" t="n">
        <x:f>IF(B715="Pensioner",1,VLOOKUP(Assumptions!$B$10,Mortality!$A$2:$F$104,6,FALSE)/VLOOKUP(C715,Mortality!$A$2:$F$104,6,FALSE))</x:f>
        <x:v>0.9706466107295209</x:v>
      </x:c>
      <x:c r="L715" s="37" t="n">
        <x:f>VLOOKUP(IF(B715="Pensioner",C715,Assumptions!$B$10),Mortality!$A$2:$E$104,5,FALSE)</x:f>
        <x:v>17.296790022132885</x:v>
      </x:c>
      <x:c r="M715" s="37" t="n">
        <x:f>1+Assumptions!$B$13*Assumptions!$B$14*Assumptions!$B$15</x:f>
        <x:v>1.31875</x:v>
      </x:c>
      <x:c r="N715" s="37" t="n">
        <x:f>IF(B715="Pensioner",1,1/(1+Assumptions!$B$6)^G715)</x:f>
        <x:v>0.16101316040695074</x:v>
      </x:c>
      <x:c r="O715" s="50" t="n">
        <x:f>J715*K715*L715*M715*N715</x:f>
        <x:v>4576751.853399977</x:v>
      </x:c>
    </x:row>
    <x:row r="716">
      <x:c r="A716" s="42" t="str">
        <x:f>Members!A716</x:f>
        <x:v>P0244</x:v>
      </x:c>
      <x:c r="B716" s="42" t="str">
        <x:f>Members!B716</x:f>
        <x:v>Pensioner</x:v>
      </x:c>
      <x:c r="C716" s="42" t="n">
        <x:f>Members!C716</x:f>
        <x:v>68</x:v>
      </x:c>
      <x:c r="D716" s="44" t="n">
        <x:f>Members!D716</x:f>
        <x:v>29.6</x:v>
      </x:c>
      <x:c r="E716" s="48" t="n">
        <x:f>Members!E716</x:f>
        <x:v>0</x:v>
      </x:c>
      <x:c r="F716" s="48" t="n">
        <x:f>Members!F716</x:f>
        <x:v>269000</x:v>
      </x:c>
      <x:c r="G716" s="46" t="n">
        <x:f>MAX(0,Assumptions!$B$10-C716)</x:f>
        <x:v>0</x:v>
      </x:c>
      <x:c r="H716" s="50" t="n">
        <x:f>IF(B716="Active",E716*(1+Assumptions!$B$7)^G716,E716)</x:f>
        <x:v>0</x:v>
      </x:c>
      <x:c r="I716" s="50" t="n">
        <x:f>IF(B716="Active",MIN(Assumptions!$B$12,D716+G716),IF(B716="Deferred",MIN(Assumptions!$B$12,D716),D716))</x:f>
        <x:v>29.6</x:v>
      </x:c>
      <x:c r="J716" s="50" t="n">
        <x:f>IF(B716="Active",H716*I716*Assumptions!$B$11,IF(B716="Deferred",E716*I716*Assumptions!$B$11*(1+Assumptions!$B$9)^G716,F716))</x:f>
        <x:v>269000</x:v>
      </x:c>
      <x:c r="K716" s="37" t="n">
        <x:f>IF(B716="Pensioner",1,VLOOKUP(Assumptions!$B$10,Mortality!$A$2:$F$104,6,FALSE)/VLOOKUP(C716,Mortality!$A$2:$F$104,6,FALSE))</x:f>
        <x:v>1</x:v>
      </x:c>
      <x:c r="L716" s="37" t="n">
        <x:f>VLOOKUP(IF(B716="Pensioner",C716,Assumptions!$B$10),Mortality!$A$2:$E$104,5,FALSE)</x:f>
        <x:v>13.869459484105445</x:v>
      </x:c>
      <x:c r="M716" s="37" t="n">
        <x:f>1+Assumptions!$B$13*Assumptions!$B$14*Assumptions!$B$15</x:f>
        <x:v>1.31875</x:v>
      </x:c>
      <x:c r="N716" s="37" t="n">
        <x:f>IF(B716="Pensioner",1,1/(1+Assumptions!$B$6)^G716)</x:f>
        <x:v>1</x:v>
      </x:c>
      <x:c r="O716" s="50" t="n">
        <x:f>J716*K716*L716*M716*N716</x:f>
        <x:v>4920104.067864631</x:v>
      </x:c>
    </x:row>
    <x:row r="717">
      <x:c r="A717" s="42" t="str">
        <x:f>Members!A717</x:f>
        <x:v>A0141</x:v>
      </x:c>
      <x:c r="B717" s="42" t="str">
        <x:f>Members!B717</x:f>
        <x:v>Active</x:v>
      </x:c>
      <x:c r="C717" s="42" t="n">
        <x:f>Members!C717</x:f>
        <x:v>44</x:v>
      </x:c>
      <x:c r="D717" s="44" t="n">
        <x:f>Members!D717</x:f>
        <x:v>18.6</x:v>
      </x:c>
      <x:c r="E717" s="48" t="n">
        <x:f>Members!E717</x:f>
        <x:v>1272000</x:v>
      </x:c>
      <x:c r="F717" s="48" t="n">
        <x:f>Members!F717</x:f>
        <x:v>0</x:v>
      </x:c>
      <x:c r="G717" s="46" t="n">
        <x:f>MAX(0,Assumptions!$B$10-C717)</x:f>
        <x:v>16</x:v>
      </x:c>
      <x:c r="H717" s="50" t="n">
        <x:f>IF(B717="Active",E717*(1+Assumptions!$B$7)^G717,E717)</x:f>
        <x:v>2995894.153523639</x:v>
      </x:c>
      <x:c r="I717" s="50" t="n">
        <x:f>IF(B717="Active",MIN(Assumptions!$B$12,D717+G717),IF(B717="Deferred",MIN(Assumptions!$B$12,D717),D717))</x:f>
        <x:v>34.6</x:v>
      </x:c>
      <x:c r="J717" s="50" t="n">
        <x:f>IF(B717="Active",H717*I717*Assumptions!$B$11,IF(B717="Deferred",E717*I717*Assumptions!$B$11*(1+Assumptions!$B$9)^G717,F717))</x:f>
        <x:v>1727632.2951986317</x:v>
      </x:c>
      <x:c r="K717" s="37" t="n">
        <x:f>IF(B717="Pensioner",1,VLOOKUP(Assumptions!$B$10,Mortality!$A$2:$F$104,6,FALSE)/VLOOKUP(C717,Mortality!$A$2:$F$104,6,FALSE))</x:f>
        <x:v>0.9762682212178733</x:v>
      </x:c>
      <x:c r="L717" s="37" t="n">
        <x:f>VLOOKUP(IF(B717="Pensioner",C717,Assumptions!$B$10),Mortality!$A$2:$E$104,5,FALSE)</x:f>
        <x:v>17.296790022132885</x:v>
      </x:c>
      <x:c r="M717" s="37" t="n">
        <x:f>1+Assumptions!$B$13*Assumptions!$B$14*Assumptions!$B$15</x:f>
        <x:v>1.31875</x:v>
      </x:c>
      <x:c r="N717" s="37" t="n">
        <x:f>IF(B717="Pensioner",1,1/(1+Assumptions!$B$6)^G717)</x:f>
        <x:v>0.3650953281147565</x:v>
      </x:c>
      <x:c r="O717" s="50" t="n">
        <x:f>J717*K717*L717*M717*N717</x:f>
        <x:v>14046066.753247082</x:v>
      </x:c>
    </x:row>
    <x:row r="718">
      <x:c r="A718" s="42" t="str">
        <x:f>Members!A718</x:f>
        <x:v>A0006</x:v>
      </x:c>
      <x:c r="B718" s="42" t="str">
        <x:f>Members!B718</x:f>
        <x:v>Active</x:v>
      </x:c>
      <x:c r="C718" s="42" t="n">
        <x:f>Members!C718</x:f>
        <x:v>29</x:v>
      </x:c>
      <x:c r="D718" s="44" t="n">
        <x:f>Members!D718</x:f>
        <x:v>7.1</x:v>
      </x:c>
      <x:c r="E718" s="48" t="n">
        <x:f>Members!E718</x:f>
        <x:v>594000</x:v>
      </x:c>
      <x:c r="F718" s="48" t="n">
        <x:f>Members!F718</x:f>
        <x:v>0</x:v>
      </x:c>
      <x:c r="G718" s="46" t="n">
        <x:f>MAX(0,Assumptions!$B$10-C718)</x:f>
        <x:v>31</x:v>
      </x:c>
      <x:c r="H718" s="50" t="n">
        <x:f>IF(B718="Active",E718*(1+Assumptions!$B$7)^G718,E718)</x:f>
        <x:v>3123292.753898532</x:v>
      </x:c>
      <x:c r="I718" s="50" t="n">
        <x:f>IF(B718="Active",MIN(Assumptions!$B$12,D718+G718),IF(B718="Deferred",MIN(Assumptions!$B$12,D718),D718))</x:f>
        <x:v>38.1</x:v>
      </x:c>
      <x:c r="J718" s="50" t="n">
        <x:f>IF(B718="Active",H718*I718*Assumptions!$B$11,IF(B718="Deferred",E718*I718*Assumptions!$B$11*(1+Assumptions!$B$9)^G718,F718))</x:f>
        <x:v>1983290.898725568</x:v>
      </x:c>
      <x:c r="K718" s="37" t="n">
        <x:f>IF(B718="Pensioner",1,VLOOKUP(Assumptions!$B$10,Mortality!$A$2:$F$104,6,FALSE)/VLOOKUP(C718,Mortality!$A$2:$F$104,6,FALSE))</x:f>
        <x:v>0.9700544954739736</x:v>
      </x:c>
      <x:c r="L718" s="37" t="n">
        <x:f>VLOOKUP(IF(B718="Pensioner",C718,Assumptions!$B$10),Mortality!$A$2:$E$104,5,FALSE)</x:f>
        <x:v>17.296790022132885</x:v>
      </x:c>
      <x:c r="M718" s="37" t="n">
        <x:f>1+Assumptions!$B$13*Assumptions!$B$14*Assumptions!$B$15</x:f>
        <x:v>1.31875</x:v>
      </x:c>
      <x:c r="N718" s="37" t="n">
        <x:f>IF(B718="Pensioner",1,1/(1+Assumptions!$B$6)^G718)</x:f>
        <x:v>0.1419587475209511</x:v>
      </x:c>
      <x:c r="O718" s="50" t="n">
        <x:f>J718*K718*L718*M718*N718</x:f>
        <x:v>6229779.803121301</x:v>
      </x:c>
    </x:row>
    <x:row r="719">
      <x:c r="A719" s="42" t="str">
        <x:f>Members!A719</x:f>
        <x:v>A0060</x:v>
      </x:c>
      <x:c r="B719" s="42" t="str">
        <x:f>Members!B719</x:f>
        <x:v>Active</x:v>
      </x:c>
      <x:c r="C719" s="42" t="n">
        <x:f>Members!C719</x:f>
        <x:v>57</x:v>
      </x:c>
      <x:c r="D719" s="44" t="n">
        <x:f>Members!D719</x:f>
        <x:v>29.7</x:v>
      </x:c>
      <x:c r="E719" s="48" t="n">
        <x:f>Members!E719</x:f>
        <x:v>1734000</x:v>
      </x:c>
      <x:c r="F719" s="48" t="n">
        <x:f>Members!F719</x:f>
        <x:v>0</x:v>
      </x:c>
      <x:c r="G719" s="46" t="n">
        <x:f>MAX(0,Assumptions!$B$10-C719)</x:f>
        <x:v>3</x:v>
      </x:c>
      <x:c r="H719" s="50" t="n">
        <x:f>IF(B719="Active",E719*(1+Assumptions!$B$7)^G719,E719)</x:f>
        <x:v>2036134.5442499996</x:v>
      </x:c>
      <x:c r="I719" s="50" t="n">
        <x:f>IF(B719="Active",MIN(Assumptions!$B$12,D719+G719),IF(B719="Deferred",MIN(Assumptions!$B$12,D719),D719))</x:f>
        <x:v>32.7</x:v>
      </x:c>
      <x:c r="J719" s="50" t="n">
        <x:f>IF(B719="Active",H719*I719*Assumptions!$B$11,IF(B719="Deferred",E719*I719*Assumptions!$B$11*(1+Assumptions!$B$9)^G719,F719))</x:f>
        <x:v>1109693.3266162497</x:v>
      </x:c>
      <x:c r="K719" s="37" t="n">
        <x:f>IF(B719="Pensioner",1,VLOOKUP(Assumptions!$B$10,Mortality!$A$2:$F$104,6,FALSE)/VLOOKUP(C719,Mortality!$A$2:$F$104,6,FALSE))</x:f>
        <x:v>0.9922003892921417</x:v>
      </x:c>
      <x:c r="L719" s="37" t="n">
        <x:f>VLOOKUP(IF(B719="Pensioner",C719,Assumptions!$B$10),Mortality!$A$2:$E$104,5,FALSE)</x:f>
        <x:v>17.296790022132885</x:v>
      </x:c>
      <x:c r="M719" s="37" t="n">
        <x:f>1+Assumptions!$B$13*Assumptions!$B$14*Assumptions!$B$15</x:f>
        <x:v>1.31875</x:v>
      </x:c>
      <x:c r="N719" s="37" t="n">
        <x:f>IF(B719="Pensioner",1,1/(1+Assumptions!$B$6)^G719)</x:f>
        <x:v>0.8278490918029799</x:v>
      </x:c>
      <x:c r="O719" s="50" t="n">
        <x:f>J719*K719*L719*M719*N719</x:f>
        <x:v>20791294.49603066</x:v>
      </x:c>
    </x:row>
    <x:row r="720">
      <x:c r="A720" s="42" t="str">
        <x:f>Members!A720</x:f>
        <x:v>A0104</x:v>
      </x:c>
      <x:c r="B720" s="42" t="str">
        <x:f>Members!B720</x:f>
        <x:v>Active</x:v>
      </x:c>
      <x:c r="C720" s="42" t="n">
        <x:f>Members!C720</x:f>
        <x:v>26</x:v>
      </x:c>
      <x:c r="D720" s="44" t="n">
        <x:f>Members!D720</x:f>
        <x:v>1</x:v>
      </x:c>
      <x:c r="E720" s="48" t="n">
        <x:f>Members!E720</x:f>
        <x:v>527000</x:v>
      </x:c>
      <x:c r="F720" s="48" t="n">
        <x:f>Members!F720</x:f>
        <x:v>0</x:v>
      </x:c>
      <x:c r="G720" s="46" t="n">
        <x:f>MAX(0,Assumptions!$B$10-C720)</x:f>
        <x:v>34</x:v>
      </x:c>
      <x:c r="H720" s="50" t="n">
        <x:f>IF(B720="Active",E720*(1+Assumptions!$B$7)^G720,E720)</x:f>
        <x:v>3253825.383055621</x:v>
      </x:c>
      <x:c r="I720" s="50" t="n">
        <x:f>IF(B720="Active",MIN(Assumptions!$B$12,D720+G720),IF(B720="Deferred",MIN(Assumptions!$B$12,D720),D720))</x:f>
        <x:v>35</x:v>
      </x:c>
      <x:c r="J720" s="50" t="n">
        <x:f>IF(B720="Active",H720*I720*Assumptions!$B$11,IF(B720="Deferred",E720*I720*Assumptions!$B$11*(1+Assumptions!$B$9)^G720,F720))</x:f>
        <x:v>1898064.8067824456</x:v>
      </x:c>
      <x:c r="K720" s="37" t="n">
        <x:f>IF(B720="Pensioner",1,VLOOKUP(Assumptions!$B$10,Mortality!$A$2:$F$104,6,FALSE)/VLOOKUP(C720,Mortality!$A$2:$F$104,6,FALSE))</x:f>
        <x:v>0.9692291629189255</x:v>
      </x:c>
      <x:c r="L720" s="37" t="n">
        <x:f>VLOOKUP(IF(B720="Pensioner",C720,Assumptions!$B$10),Mortality!$A$2:$E$104,5,FALSE)</x:f>
        <x:v>17.296790022132885</x:v>
      </x:c>
      <x:c r="M720" s="37" t="n">
        <x:f>1+Assumptions!$B$13*Assumptions!$B$14*Assumptions!$B$15</x:f>
        <x:v>1.31875</x:v>
      </x:c>
      <x:c r="N720" s="37" t="n">
        <x:f>IF(B720="Pensioner",1,1/(1+Assumptions!$B$6)^G720)</x:f>
        <x:v>0.11752042020870793</x:v>
      </x:c>
      <x:c r="O720" s="50" t="n">
        <x:f>J720*K720*L720*M720*N720</x:f>
        <x:v>4931497.659241087</x:v>
      </x:c>
    </x:row>
    <x:row r="721">
      <x:c r="A721" s="42" t="str">
        <x:f>Members!A721</x:f>
        <x:v>D0078</x:v>
      </x:c>
      <x:c r="B721" s="42" t="str">
        <x:f>Members!B721</x:f>
        <x:v>Deferred</x:v>
      </x:c>
      <x:c r="C721" s="42" t="n">
        <x:f>Members!C721</x:f>
        <x:v>58</x:v>
      </x:c>
      <x:c r="D721" s="44" t="n">
        <x:f>Members!D721</x:f>
        <x:v>22.5</x:v>
      </x:c>
      <x:c r="E721" s="48" t="n">
        <x:f>Members!E721</x:f>
        <x:v>1327000</x:v>
      </x:c>
      <x:c r="F721" s="48" t="n">
        <x:f>Members!F721</x:f>
        <x:v>0</x:v>
      </x:c>
      <x:c r="G721" s="46" t="n">
        <x:f>MAX(0,Assumptions!$B$10-C721)</x:f>
        <x:v>2</x:v>
      </x:c>
      <x:c r="H721" s="50" t="n">
        <x:f>IF(B721="Active",E721*(1+Assumptions!$B$7)^G721,E721)</x:f>
        <x:v>1327000</x:v>
      </x:c>
      <x:c r="I721" s="50" t="n">
        <x:f>IF(B721="Active",MIN(Assumptions!$B$12,D721+G721),IF(B721="Deferred",MIN(Assumptions!$B$12,D721),D721))</x:f>
        <x:v>22.5</x:v>
      </x:c>
      <x:c r="J721" s="50" t="n">
        <x:f>IF(B721="Active",H721*I721*Assumptions!$B$11,IF(B721="Deferred",E721*I721*Assumptions!$B$11*(1+Assumptions!$B$9)^G721,F721))</x:f>
        <x:v>538231.2000000001</x:v>
      </x:c>
      <x:c r="K721" s="37" t="n">
        <x:f>IF(B721="Pensioner",1,VLOOKUP(Assumptions!$B$10,Mortality!$A$2:$F$104,6,FALSE)/VLOOKUP(C721,Mortality!$A$2:$F$104,6,FALSE))</x:f>
        <x:v>0.9945213044203837</x:v>
      </x:c>
      <x:c r="L721" s="37" t="n">
        <x:f>VLOOKUP(IF(B721="Pensioner",C721,Assumptions!$B$10),Mortality!$A$2:$E$104,5,FALSE)</x:f>
        <x:v>17.296790022132885</x:v>
      </x:c>
      <x:c r="M721" s="37" t="n">
        <x:f>1+Assumptions!$B$13*Assumptions!$B$14*Assumptions!$B$15</x:f>
        <x:v>1.31875</x:v>
      </x:c>
      <x:c r="N721" s="37" t="n">
        <x:f>IF(B721="Pensioner",1,1/(1+Assumptions!$B$6)^G721)</x:f>
        <x:v>0.8816592827701736</x:v>
      </x:c>
      <x:c r="O721" s="50" t="n">
        <x:f>J721*K721*L721*M721*N721</x:f>
        <x:v>10764942.897286557</x:v>
      </x:c>
    </x:row>
    <x:row r="722">
      <x:c r="A722" s="42" t="str">
        <x:f>Members!A722</x:f>
        <x:v>A0567</x:v>
      </x:c>
      <x:c r="B722" s="42" t="str">
        <x:f>Members!B722</x:f>
        <x:v>Active</x:v>
      </x:c>
      <x:c r="C722" s="42" t="n">
        <x:f>Members!C722</x:f>
        <x:v>33</x:v>
      </x:c>
      <x:c r="D722" s="44" t="n">
        <x:f>Members!D722</x:f>
        <x:v>2.3</x:v>
      </x:c>
      <x:c r="E722" s="48" t="n">
        <x:f>Members!E722</x:f>
        <x:v>624000</x:v>
      </x:c>
      <x:c r="F722" s="48" t="n">
        <x:f>Members!F722</x:f>
        <x:v>0</x:v>
      </x:c>
      <x:c r="G722" s="46" t="n">
        <x:f>MAX(0,Assumptions!$B$10-C722)</x:f>
        <x:v>27</x:v>
      </x:c>
      <x:c r="H722" s="50" t="n">
        <x:f>IF(B722="Active",E722*(1+Assumptions!$B$7)^G722,E722)</x:f>
        <x:v>2648506.2357460517</x:v>
      </x:c>
      <x:c r="I722" s="50" t="n">
        <x:f>IF(B722="Active",MIN(Assumptions!$B$12,D722+G722),IF(B722="Deferred",MIN(Assumptions!$B$12,D722),D722))</x:f>
        <x:v>29.3</x:v>
      </x:c>
      <x:c r="J722" s="50" t="n">
        <x:f>IF(B722="Active",H722*I722*Assumptions!$B$11,IF(B722="Deferred",E722*I722*Assumptions!$B$11*(1+Assumptions!$B$9)^G722,F722))</x:f>
        <x:v>1293353.8784559886</x:v>
      </x:c>
      <x:c r="K722" s="37" t="n">
        <x:f>IF(B722="Pensioner",1,VLOOKUP(Assumptions!$B$10,Mortality!$A$2:$F$104,6,FALSE)/VLOOKUP(C722,Mortality!$A$2:$F$104,6,FALSE))</x:f>
        <x:v>0.9712826176321353</x:v>
      </x:c>
      <x:c r="L722" s="37" t="n">
        <x:f>VLOOKUP(IF(B722="Pensioner",C722,Assumptions!$B$10),Mortality!$A$2:$E$104,5,FALSE)</x:f>
        <x:v>17.296790022132885</x:v>
      </x:c>
      <x:c r="M722" s="37" t="n">
        <x:f>1+Assumptions!$B$13*Assumptions!$B$14*Assumptions!$B$15</x:f>
        <x:v>1.31875</x:v>
      </x:c>
      <x:c r="N722" s="37" t="n">
        <x:f>IF(B722="Pensioner",1,1/(1+Assumptions!$B$6)^G722)</x:f>
        <x:v>0.1826251518625737</x:v>
      </x:c>
      <x:c r="O722" s="50" t="n">
        <x:f>J722*K722*L722*M722*N722</x:f>
        <x:v>5233009.971266807</x:v>
      </x:c>
    </x:row>
    <x:row r="723">
      <x:c r="A723" s="42" t="str">
        <x:f>Members!A723</x:f>
        <x:v>D0103</x:v>
      </x:c>
      <x:c r="B723" s="42" t="str">
        <x:f>Members!B723</x:f>
        <x:v>Deferred</x:v>
      </x:c>
      <x:c r="C723" s="42" t="n">
        <x:f>Members!C723</x:f>
        <x:v>45</x:v>
      </x:c>
      <x:c r="D723" s="44" t="n">
        <x:f>Members!D723</x:f>
        <x:v>13.3</x:v>
      </x:c>
      <x:c r="E723" s="48" t="n">
        <x:f>Members!E723</x:f>
        <x:v>850000</x:v>
      </x:c>
      <x:c r="F723" s="48" t="n">
        <x:f>Members!F723</x:f>
        <x:v>0</x:v>
      </x:c>
      <x:c r="G723" s="46" t="n">
        <x:f>MAX(0,Assumptions!$B$10-C723)</x:f>
        <x:v>15</x:v>
      </x:c>
      <x:c r="H723" s="50" t="n">
        <x:f>IF(B723="Active",E723*(1+Assumptions!$B$7)^G723,E723)</x:f>
        <x:v>850000</x:v>
      </x:c>
      <x:c r="I723" s="50" t="n">
        <x:f>IF(B723="Active",MIN(Assumptions!$B$12,D723+G723),IF(B723="Deferred",MIN(Assumptions!$B$12,D723),D723))</x:f>
        <x:v>13.3</x:v>
      </x:c>
      <x:c r="J723" s="50" t="n">
        <x:f>IF(B723="Active",H723*I723*Assumptions!$B$11,IF(B723="Deferred",E723*I723*Assumptions!$B$11*(1+Assumptions!$B$9)^G723,F723))</x:f>
        <x:v>339327.7721625949</x:v>
      </x:c>
      <x:c r="K723" s="37" t="n">
        <x:f>IF(B723="Pensioner",1,VLOOKUP(Assumptions!$B$10,Mortality!$A$2:$F$104,6,FALSE)/VLOOKUP(C723,Mortality!$A$2:$F$104,6,FALSE))</x:f>
        <x:v>0.9769349478194655</x:v>
      </x:c>
      <x:c r="L723" s="37" t="n">
        <x:f>VLOOKUP(IF(B723="Pensioner",C723,Assumptions!$B$10),Mortality!$A$2:$E$104,5,FALSE)</x:f>
        <x:v>17.296790022132885</x:v>
      </x:c>
      <x:c r="M723" s="37" t="n">
        <x:f>1+Assumptions!$B$13*Assumptions!$B$14*Assumptions!$B$15</x:f>
        <x:v>1.31875</x:v>
      </x:c>
      <x:c r="N723" s="37" t="n">
        <x:f>IF(B723="Pensioner",1,1/(1+Assumptions!$B$6)^G723)</x:f>
        <x:v>0.38882652444221566</x:v>
      </x:c>
      <x:c r="O723" s="50" t="n">
        <x:f>J723*K723*L723*M723*N723</x:f>
        <x:v>2940146.1626529903</x:v>
      </x:c>
    </x:row>
    <x:row r="724">
      <x:c r="A724" s="42" t="str">
        <x:f>Members!A724</x:f>
        <x:v>P0115</x:v>
      </x:c>
      <x:c r="B724" s="42" t="str">
        <x:f>Members!B724</x:f>
        <x:v>Pensioner</x:v>
      </x:c>
      <x:c r="C724" s="42" t="n">
        <x:f>Members!C724</x:f>
        <x:v>66</x:v>
      </x:c>
      <x:c r="D724" s="44" t="n">
        <x:f>Members!D724</x:f>
        <x:v>17.4</x:v>
      </x:c>
      <x:c r="E724" s="48" t="n">
        <x:f>Members!E724</x:f>
        <x:v>0</x:v>
      </x:c>
      <x:c r="F724" s="48" t="n">
        <x:f>Members!F724</x:f>
        <x:v>278000</x:v>
      </x:c>
      <x:c r="G724" s="46" t="n">
        <x:f>MAX(0,Assumptions!$B$10-C724)</x:f>
        <x:v>0</x:v>
      </x:c>
      <x:c r="H724" s="50" t="n">
        <x:f>IF(B724="Active",E724*(1+Assumptions!$B$7)^G724,E724)</x:f>
        <x:v>0</x:v>
      </x:c>
      <x:c r="I724" s="50" t="n">
        <x:f>IF(B724="Active",MIN(Assumptions!$B$12,D724+G724),IF(B724="Deferred",MIN(Assumptions!$B$12,D724),D724))</x:f>
        <x:v>17.4</x:v>
      </x:c>
      <x:c r="J724" s="50" t="n">
        <x:f>IF(B724="Active",H724*I724*Assumptions!$B$11,IF(B724="Deferred",E724*I724*Assumptions!$B$11*(1+Assumptions!$B$9)^G724,F724))</x:f>
        <x:v>278000</x:v>
      </x:c>
      <x:c r="K724" s="37" t="n">
        <x:f>IF(B724="Pensioner",1,VLOOKUP(Assumptions!$B$10,Mortality!$A$2:$F$104,6,FALSE)/VLOOKUP(C724,Mortality!$A$2:$F$104,6,FALSE))</x:f>
        <x:v>1</x:v>
      </x:c>
      <x:c r="L724" s="37" t="n">
        <x:f>VLOOKUP(IF(B724="Pensioner",C724,Assumptions!$B$10),Mortality!$A$2:$E$104,5,FALSE)</x:f>
        <x:v>14.759005103694845</x:v>
      </x:c>
      <x:c r="M724" s="37" t="n">
        <x:f>1+Assumptions!$B$13*Assumptions!$B$14*Assumptions!$B$15</x:f>
        <x:v>1.31875</x:v>
      </x:c>
      <x:c r="N724" s="37" t="n">
        <x:f>IF(B724="Pensioner",1,1/(1+Assumptions!$B$6)^G724)</x:f>
        <x:v>1</x:v>
      </x:c>
      <x:c r="O724" s="50" t="n">
        <x:f>J724*K724*L724*M724*N724</x:f>
        <x:v>5410835.758578327</x:v>
      </x:c>
    </x:row>
    <x:row r="725">
      <x:c r="A725" s="42" t="str">
        <x:f>Members!A725</x:f>
        <x:v>A0135</x:v>
      </x:c>
      <x:c r="B725" s="42" t="str">
        <x:f>Members!B725</x:f>
        <x:v>Active</x:v>
      </x:c>
      <x:c r="C725" s="42" t="n">
        <x:f>Members!C725</x:f>
        <x:v>42</x:v>
      </x:c>
      <x:c r="D725" s="44" t="n">
        <x:f>Members!D725</x:f>
        <x:v>3.3</x:v>
      </x:c>
      <x:c r="E725" s="48" t="n">
        <x:f>Members!E725</x:f>
        <x:v>967000</x:v>
      </x:c>
      <x:c r="F725" s="48" t="n">
        <x:f>Members!F725</x:f>
        <x:v>0</x:v>
      </x:c>
      <x:c r="G725" s="46" t="n">
        <x:f>MAX(0,Assumptions!$B$10-C725)</x:f>
        <x:v>18</x:v>
      </x:c>
      <x:c r="H725" s="50" t="n">
        <x:f>IF(B725="Active",E725*(1+Assumptions!$B$7)^G725,E725)</x:f>
        <x:v>2534957.879125945</x:v>
      </x:c>
      <x:c r="I725" s="50" t="n">
        <x:f>IF(B725="Active",MIN(Assumptions!$B$12,D725+G725),IF(B725="Deferred",MIN(Assumptions!$B$12,D725),D725))</x:f>
        <x:v>21.3</x:v>
      </x:c>
      <x:c r="J725" s="50" t="n">
        <x:f>IF(B725="Active",H725*I725*Assumptions!$B$11,IF(B725="Deferred",E725*I725*Assumptions!$B$11*(1+Assumptions!$B$9)^G725,F725))</x:f>
        <x:v>899910.0470897105</x:v>
      </x:c>
      <x:c r="K725" s="37" t="n">
        <x:f>IF(B725="Pensioner",1,VLOOKUP(Assumptions!$B$10,Mortality!$A$2:$F$104,6,FALSE)/VLOOKUP(C725,Mortality!$A$2:$F$104,6,FALSE))</x:f>
        <x:v>0.9750799707838386</x:v>
      </x:c>
      <x:c r="L725" s="37" t="n">
        <x:f>VLOOKUP(IF(B725="Pensioner",C725,Assumptions!$B$10),Mortality!$A$2:$E$104,5,FALSE)</x:f>
        <x:v>17.296790022132885</x:v>
      </x:c>
      <x:c r="M725" s="37" t="n">
        <x:f>1+Assumptions!$B$13*Assumptions!$B$14*Assumptions!$B$15</x:f>
        <x:v>1.31875</x:v>
      </x:c>
      <x:c r="N725" s="37" t="n">
        <x:f>IF(B725="Pensioner",1,1/(1+Assumptions!$B$6)^G725)</x:f>
        <x:v>0.3218896851283974</x:v>
      </x:c>
      <x:c r="O725" s="50" t="n">
        <x:f>J725*K725*L725*M725*N725</x:f>
        <x:v>6442796.025919491</x:v>
      </x:c>
    </x:row>
    <x:row r="726">
      <x:c r="A726" s="42" t="str">
        <x:f>Members!A726</x:f>
        <x:v>P0202</x:v>
      </x:c>
      <x:c r="B726" s="42" t="str">
        <x:f>Members!B726</x:f>
        <x:v>Pensioner</x:v>
      </x:c>
      <x:c r="C726" s="42" t="n">
        <x:f>Members!C726</x:f>
        <x:v>88</x:v>
      </x:c>
      <x:c r="D726" s="44" t="n">
        <x:f>Members!D726</x:f>
        <x:v>36.2</x:v>
      </x:c>
      <x:c r="E726" s="48" t="n">
        <x:f>Members!E726</x:f>
        <x:v>0</x:v>
      </x:c>
      <x:c r="F726" s="48" t="n">
        <x:f>Members!F726</x:f>
        <x:v>616000</x:v>
      </x:c>
      <x:c r="G726" s="46" t="n">
        <x:f>MAX(0,Assumptions!$B$10-C726)</x:f>
        <x:v>0</x:v>
      </x:c>
      <x:c r="H726" s="50" t="n">
        <x:f>IF(B726="Active",E726*(1+Assumptions!$B$7)^G726,E726)</x:f>
        <x:v>0</x:v>
      </x:c>
      <x:c r="I726" s="50" t="n">
        <x:f>IF(B726="Active",MIN(Assumptions!$B$12,D726+G726),IF(B726="Deferred",MIN(Assumptions!$B$12,D726),D726))</x:f>
        <x:v>36.2</x:v>
      </x:c>
      <x:c r="J726" s="50" t="n">
        <x:f>IF(B726="Active",H726*I726*Assumptions!$B$11,IF(B726="Deferred",E726*I726*Assumptions!$B$11*(1+Assumptions!$B$9)^G726,F726))</x:f>
        <x:v>616000</x:v>
      </x:c>
      <x:c r="K726" s="37" t="n">
        <x:f>IF(B726="Pensioner",1,VLOOKUP(Assumptions!$B$10,Mortality!$A$2:$F$104,6,FALSE)/VLOOKUP(C726,Mortality!$A$2:$F$104,6,FALSE))</x:f>
        <x:v>1</x:v>
      </x:c>
      <x:c r="L726" s="37" t="n">
        <x:f>VLOOKUP(IF(B726="Pensioner",C726,Assumptions!$B$10),Mortality!$A$2:$E$104,5,FALSE)</x:f>
        <x:v>5.043742896221734</x:v>
      </x:c>
      <x:c r="M726" s="37" t="n">
        <x:f>1+Assumptions!$B$13*Assumptions!$B$14*Assumptions!$B$15</x:f>
        <x:v>1.31875</x:v>
      </x:c>
      <x:c r="N726" s="37" t="n">
        <x:f>IF(B726="Pensioner",1,1/(1+Assumptions!$B$6)^G726)</x:f>
        <x:v>1</x:v>
      </x:c>
      <x:c r="O726" s="50" t="n">
        <x:f>J726*K726*L726*M726*N726</x:f>
        <x:v>4097284.5417457256</x:v>
      </x:c>
    </x:row>
    <x:row r="727">
      <x:c r="A727" s="42" t="str">
        <x:f>Members!A727</x:f>
        <x:v>A0149</x:v>
      </x:c>
      <x:c r="B727" s="42" t="str">
        <x:f>Members!B727</x:f>
        <x:v>Active</x:v>
      </x:c>
      <x:c r="C727" s="42" t="n">
        <x:f>Members!C727</x:f>
        <x:v>36</x:v>
      </x:c>
      <x:c r="D727" s="44" t="n">
        <x:f>Members!D727</x:f>
        <x:v>2.1</x:v>
      </x:c>
      <x:c r="E727" s="48" t="n">
        <x:f>Members!E727</x:f>
        <x:v>643000</x:v>
      </x:c>
      <x:c r="F727" s="48" t="n">
        <x:f>Members!F727</x:f>
        <x:v>0</x:v>
      </x:c>
      <x:c r="G727" s="46" t="n">
        <x:f>MAX(0,Assumptions!$B$10-C727)</x:f>
        <x:v>24</x:v>
      </x:c>
      <x:c r="H727" s="50" t="n">
        <x:f>IF(B727="Active",E727*(1+Assumptions!$B$7)^G727,E727)</x:f>
        <x:v>2324181.308211614</x:v>
      </x:c>
      <x:c r="I727" s="50" t="n">
        <x:f>IF(B727="Active",MIN(Assumptions!$B$12,D727+G727),IF(B727="Deferred",MIN(Assumptions!$B$12,D727),D727))</x:f>
        <x:v>26.1</x:v>
      </x:c>
      <x:c r="J727" s="50" t="n">
        <x:f>IF(B727="Active",H727*I727*Assumptions!$B$11,IF(B727="Deferred",E727*I727*Assumptions!$B$11*(1+Assumptions!$B$9)^G727,F727))</x:f>
        <x:v>1011018.8690720521</x:v>
      </x:c>
      <x:c r="K727" s="37" t="n">
        <x:f>IF(B727="Pensioner",1,VLOOKUP(Assumptions!$B$10,Mortality!$A$2:$F$104,6,FALSE)/VLOOKUP(C727,Mortality!$A$2:$F$104,6,FALSE))</x:f>
        <x:v>0.9723450305541352</x:v>
      </x:c>
      <x:c r="L727" s="37" t="n">
        <x:f>VLOOKUP(IF(B727="Pensioner",C727,Assumptions!$B$10),Mortality!$A$2:$E$104,5,FALSE)</x:f>
        <x:v>17.296790022132885</x:v>
      </x:c>
      <x:c r="M727" s="37" t="n">
        <x:f>1+Assumptions!$B$13*Assumptions!$B$14*Assumptions!$B$15</x:f>
        <x:v>1.31875</x:v>
      </x:c>
      <x:c r="N727" s="37" t="n">
        <x:f>IF(B727="Pensioner",1,1/(1+Assumptions!$B$6)^G727)</x:f>
        <x:v>0.22060198370796386</x:v>
      </x:c>
      <x:c r="O727" s="50" t="n">
        <x:f>J727*K727*L727*M727*N727</x:f>
        <x:v>4946716.932791534</x:v>
      </x:c>
    </x:row>
    <x:row r="728">
      <x:c r="A728" s="42" t="str">
        <x:f>Members!A728</x:f>
        <x:v>A0501</x:v>
      </x:c>
      <x:c r="B728" s="42" t="str">
        <x:f>Members!B728</x:f>
        <x:v>Active</x:v>
      </x:c>
      <x:c r="C728" s="42" t="n">
        <x:f>Members!C728</x:f>
        <x:v>44</x:v>
      </x:c>
      <x:c r="D728" s="44" t="n">
        <x:f>Members!D728</x:f>
        <x:v>16.9</x:v>
      </x:c>
      <x:c r="E728" s="48" t="n">
        <x:f>Members!E728</x:f>
        <x:v>1244000</x:v>
      </x:c>
      <x:c r="F728" s="48" t="n">
        <x:f>Members!F728</x:f>
        <x:v>0</x:v>
      </x:c>
      <x:c r="G728" s="46" t="n">
        <x:f>MAX(0,Assumptions!$B$10-C728)</x:f>
        <x:v>16</x:v>
      </x:c>
      <x:c r="H728" s="50" t="n">
        <x:f>IF(B728="Active",E728*(1+Assumptions!$B$7)^G728,E728)</x:f>
        <x:v>2929946.79794293</x:v>
      </x:c>
      <x:c r="I728" s="50" t="n">
        <x:f>IF(B728="Active",MIN(Assumptions!$B$12,D728+G728),IF(B728="Deferred",MIN(Assumptions!$B$12,D728),D728))</x:f>
        <x:v>32.9</x:v>
      </x:c>
      <x:c r="J728" s="50" t="n">
        <x:f>IF(B728="Active",H728*I728*Assumptions!$B$11,IF(B728="Deferred",E728*I728*Assumptions!$B$11*(1+Assumptions!$B$9)^G728,F728))</x:f>
        <x:v>1606587.4942053733</x:v>
      </x:c>
      <x:c r="K728" s="37" t="n">
        <x:f>IF(B728="Pensioner",1,VLOOKUP(Assumptions!$B$10,Mortality!$A$2:$F$104,6,FALSE)/VLOOKUP(C728,Mortality!$A$2:$F$104,6,FALSE))</x:f>
        <x:v>0.9762682212178733</x:v>
      </x:c>
      <x:c r="L728" s="37" t="n">
        <x:f>VLOOKUP(IF(B728="Pensioner",C728,Assumptions!$B$10),Mortality!$A$2:$E$104,5,FALSE)</x:f>
        <x:v>17.296790022132885</x:v>
      </x:c>
      <x:c r="M728" s="37" t="n">
        <x:f>1+Assumptions!$B$13*Assumptions!$B$14*Assumptions!$B$15</x:f>
        <x:v>1.31875</x:v>
      </x:c>
      <x:c r="N728" s="37" t="n">
        <x:f>IF(B728="Pensioner",1,1/(1+Assumptions!$B$6)^G728)</x:f>
        <x:v>0.3650953281147565</x:v>
      </x:c>
      <x:c r="O728" s="50" t="n">
        <x:f>J728*K728*L728*M728*N728</x:f>
        <x:v>13061943.361012546</x:v>
      </x:c>
    </x:row>
    <x:row r="729">
      <x:c r="A729" s="42" t="str">
        <x:f>Members!A729</x:f>
        <x:v>A0211</x:v>
      </x:c>
      <x:c r="B729" s="42" t="str">
        <x:f>Members!B729</x:f>
        <x:v>Active</x:v>
      </x:c>
      <x:c r="C729" s="42" t="n">
        <x:f>Members!C729</x:f>
        <x:v>43</x:v>
      </x:c>
      <x:c r="D729" s="44" t="n">
        <x:f>Members!D729</x:f>
        <x:v>18.4</x:v>
      </x:c>
      <x:c r="E729" s="48" t="n">
        <x:f>Members!E729</x:f>
        <x:v>1281000</x:v>
      </x:c>
      <x:c r="F729" s="48" t="n">
        <x:f>Members!F729</x:f>
        <x:v>0</x:v>
      </x:c>
      <x:c r="G729" s="46" t="n">
        <x:f>MAX(0,Assumptions!$B$10-C729)</x:f>
        <x:v>17</x:v>
      </x:c>
      <x:c r="H729" s="50" t="n">
        <x:f>IF(B729="Active",E729*(1+Assumptions!$B$7)^G729,E729)</x:f>
        <x:v>3183031.551297397</x:v>
      </x:c>
      <x:c r="I729" s="50" t="n">
        <x:f>IF(B729="Active",MIN(Assumptions!$B$12,D729+G729),IF(B729="Deferred",MIN(Assumptions!$B$12,D729),D729))</x:f>
        <x:v>35.4</x:v>
      </x:c>
      <x:c r="J729" s="50" t="n">
        <x:f>IF(B729="Active",H729*I729*Assumptions!$B$11,IF(B729="Deferred",E729*I729*Assumptions!$B$11*(1+Assumptions!$B$9)^G729,F729))</x:f>
        <x:v>1877988.615265464</x:v>
      </x:c>
      <x:c r="K729" s="37" t="n">
        <x:f>IF(B729="Pensioner",1,VLOOKUP(Assumptions!$B$10,Mortality!$A$2:$F$104,6,FALSE)/VLOOKUP(C729,Mortality!$A$2:$F$104,6,FALSE))</x:f>
        <x:v>0.975651758424938</x:v>
      </x:c>
      <x:c r="L729" s="37" t="n">
        <x:f>VLOOKUP(IF(B729="Pensioner",C729,Assumptions!$B$10),Mortality!$A$2:$E$104,5,FALSE)</x:f>
        <x:v>17.296790022132885</x:v>
      </x:c>
      <x:c r="M729" s="37" t="n">
        <x:f>1+Assumptions!$B$13*Assumptions!$B$14*Assumptions!$B$15</x:f>
        <x:v>1.31875</x:v>
      </x:c>
      <x:c r="N729" s="37" t="n">
        <x:f>IF(B729="Pensioner",1,1/(1+Assumptions!$B$6)^G729)</x:f>
        <x:v>0.34281251466174323</x:v>
      </x:c>
      <x:c r="O729" s="50" t="n">
        <x:f>J729*K729*L729*M729*N729</x:f>
        <x:v>14327566.751492096</x:v>
      </x:c>
    </x:row>
    <x:row r="730">
      <x:c r="A730" s="42" t="str">
        <x:f>Members!A730</x:f>
        <x:v>A0180</x:v>
      </x:c>
      <x:c r="B730" s="42" t="str">
        <x:f>Members!B730</x:f>
        <x:v>Active</x:v>
      </x:c>
      <x:c r="C730" s="42" t="n">
        <x:f>Members!C730</x:f>
        <x:v>25</x:v>
      </x:c>
      <x:c r="D730" s="44" t="n">
        <x:f>Members!D730</x:f>
        <x:v>1</x:v>
      </x:c>
      <x:c r="E730" s="48" t="n">
        <x:f>Members!E730</x:f>
        <x:v>360000</x:v>
      </x:c>
      <x:c r="F730" s="48" t="n">
        <x:f>Members!F730</x:f>
        <x:v>0</x:v>
      </x:c>
      <x:c r="G730" s="46" t="n">
        <x:f>MAX(0,Assumptions!$B$10-C730)</x:f>
        <x:v>35</x:v>
      </x:c>
      <x:c r="H730" s="50" t="n">
        <x:f>IF(B730="Active",E730*(1+Assumptions!$B$7)^G730,E730)</x:f>
        <x:v>2344977.0028169346</x:v>
      </x:c>
      <x:c r="I730" s="50" t="n">
        <x:f>IF(B730="Active",MIN(Assumptions!$B$12,D730+G730),IF(B730="Deferred",MIN(Assumptions!$B$12,D730),D730))</x:f>
        <x:v>36</x:v>
      </x:c>
      <x:c r="J730" s="50" t="n">
        <x:f>IF(B730="Active",H730*I730*Assumptions!$B$11,IF(B730="Deferred",E730*I730*Assumptions!$B$11*(1+Assumptions!$B$9)^G730,F730))</x:f>
        <x:v>1406986.2016901607</x:v>
      </x:c>
      <x:c r="K730" s="37" t="n">
        <x:f>IF(B730="Pensioner",1,VLOOKUP(Assumptions!$B$10,Mortality!$A$2:$F$104,6,FALSE)/VLOOKUP(C730,Mortality!$A$2:$F$104,6,FALSE))</x:f>
        <x:v>0.9689672976041144</x:v>
      </x:c>
      <x:c r="L730" s="37" t="n">
        <x:f>VLOOKUP(IF(B730="Pensioner",C730,Assumptions!$B$10),Mortality!$A$2:$E$104,5,FALSE)</x:f>
        <x:v>17.296790022132885</x:v>
      </x:c>
      <x:c r="M730" s="37" t="n">
        <x:f>1+Assumptions!$B$13*Assumptions!$B$14*Assumptions!$B$15</x:f>
        <x:v>1.31875</x:v>
      </x:c>
      <x:c r="N730" s="37" t="n">
        <x:f>IF(B730="Pensioner",1,1/(1+Assumptions!$B$6)^G730)</x:f>
        <x:v>0.11034781240254267</x:v>
      </x:c>
      <x:c r="O730" s="50" t="n">
        <x:f>J730*K730*L730*M730*N730</x:f>
        <x:v>3431552.6930798837</x:v>
      </x:c>
    </x:row>
    <x:row r="731">
      <x:c r="A731" s="42" t="str">
        <x:f>Members!A731</x:f>
        <x:v>P0008</x:v>
      </x:c>
      <x:c r="B731" s="42" t="str">
        <x:f>Members!B731</x:f>
        <x:v>Pensioner</x:v>
      </x:c>
      <x:c r="C731" s="42" t="n">
        <x:f>Members!C731</x:f>
        <x:v>72</x:v>
      </x:c>
      <x:c r="D731" s="44" t="n">
        <x:f>Members!D731</x:f>
        <x:v>22.6</x:v>
      </x:c>
      <x:c r="E731" s="48" t="n">
        <x:f>Members!E731</x:f>
        <x:v>0</x:v>
      </x:c>
      <x:c r="F731" s="48" t="n">
        <x:f>Members!F731</x:f>
        <x:v>416000</x:v>
      </x:c>
      <x:c r="G731" s="46" t="n">
        <x:f>MAX(0,Assumptions!$B$10-C731)</x:f>
        <x:v>0</x:v>
      </x:c>
      <x:c r="H731" s="50" t="n">
        <x:f>IF(B731="Active",E731*(1+Assumptions!$B$7)^G731,E731)</x:f>
        <x:v>0</x:v>
      </x:c>
      <x:c r="I731" s="50" t="n">
        <x:f>IF(B731="Active",MIN(Assumptions!$B$12,D731+G731),IF(B731="Deferred",MIN(Assumptions!$B$12,D731),D731))</x:f>
        <x:v>22.6</x:v>
      </x:c>
      <x:c r="J731" s="50" t="n">
        <x:f>IF(B731="Active",H731*I731*Assumptions!$B$11,IF(B731="Deferred",E731*I731*Assumptions!$B$11*(1+Assumptions!$B$9)^G731,F731))</x:f>
        <x:v>416000</x:v>
      </x:c>
      <x:c r="K731" s="37" t="n">
        <x:f>IF(B731="Pensioner",1,VLOOKUP(Assumptions!$B$10,Mortality!$A$2:$F$104,6,FALSE)/VLOOKUP(C731,Mortality!$A$2:$F$104,6,FALSE))</x:f>
        <x:v>1</x:v>
      </x:c>
      <x:c r="L731" s="37" t="n">
        <x:f>VLOOKUP(IF(B731="Pensioner",C731,Assumptions!$B$10),Mortality!$A$2:$E$104,5,FALSE)</x:f>
        <x:v>12.047202362945457</x:v>
      </x:c>
      <x:c r="M731" s="37" t="n">
        <x:f>1+Assumptions!$B$13*Assumptions!$B$14*Assumptions!$B$15</x:f>
        <x:v>1.31875</x:v>
      </x:c>
      <x:c r="N731" s="37" t="n">
        <x:f>IF(B731="Pensioner",1,1/(1+Assumptions!$B$6)^G731)</x:f>
        <x:v>1</x:v>
      </x:c>
      <x:c r="O731" s="50" t="n">
        <x:f>J731*K731*L731*M731*N731</x:f>
        <x:v>6609095.2163118785</x:v>
      </x:c>
    </x:row>
    <x:row r="732">
      <x:c r="A732" s="42" t="str">
        <x:f>Members!A732</x:f>
        <x:v>A0591</x:v>
      </x:c>
      <x:c r="B732" s="42" t="str">
        <x:f>Members!B732</x:f>
        <x:v>Active</x:v>
      </x:c>
      <x:c r="C732" s="42" t="n">
        <x:f>Members!C732</x:f>
        <x:v>24</x:v>
      </x:c>
      <x:c r="D732" s="44" t="n">
        <x:f>Members!D732</x:f>
        <x:v>1.2</x:v>
      </x:c>
      <x:c r="E732" s="48" t="n">
        <x:f>Members!E732</x:f>
        <x:v>465000</x:v>
      </x:c>
      <x:c r="F732" s="48" t="n">
        <x:f>Members!F732</x:f>
        <x:v>0</x:v>
      </x:c>
      <x:c r="G732" s="46" t="n">
        <x:f>MAX(0,Assumptions!$B$10-C732)</x:f>
        <x:v>36</x:v>
      </x:c>
      <x:c r="H732" s="50" t="n">
        <x:f>IF(B732="Active",E732*(1+Assumptions!$B$7)^G732,E732)</x:f>
        <x:v>3195519.7032136605</x:v>
      </x:c>
      <x:c r="I732" s="50" t="n">
        <x:f>IF(B732="Active",MIN(Assumptions!$B$12,D732+G732),IF(B732="Deferred",MIN(Assumptions!$B$12,D732),D732))</x:f>
        <x:v>37.2</x:v>
      </x:c>
      <x:c r="J732" s="50" t="n">
        <x:f>IF(B732="Active",H732*I732*Assumptions!$B$11,IF(B732="Deferred",E732*I732*Assumptions!$B$11*(1+Assumptions!$B$9)^G732,F732))</x:f>
        <x:v>1981222.2159924696</x:v>
      </x:c>
      <x:c r="K732" s="37" t="n">
        <x:f>IF(B732="Pensioner",1,VLOOKUP(Assumptions!$B$10,Mortality!$A$2:$F$104,6,FALSE)/VLOOKUP(C732,Mortality!$A$2:$F$104,6,FALSE))</x:f>
        <x:v>0.9687108670060764</x:v>
      </x:c>
      <x:c r="L732" s="37" t="n">
        <x:f>VLOOKUP(IF(B732="Pensioner",C732,Assumptions!$B$10),Mortality!$A$2:$E$104,5,FALSE)</x:f>
        <x:v>17.296790022132885</x:v>
      </x:c>
      <x:c r="M732" s="37" t="n">
        <x:f>1+Assumptions!$B$13*Assumptions!$B$14*Assumptions!$B$15</x:f>
        <x:v>1.31875</x:v>
      </x:c>
      <x:c r="N732" s="37" t="n">
        <x:f>IF(B732="Pensioner",1,1/(1+Assumptions!$B$6)^G732)</x:f>
        <x:v>0.10361296939205883</x:v>
      </x:c>
      <x:c r="O732" s="50" t="n">
        <x:f>J732*K732*L732*M732*N732</x:f>
        <x:v>4535962.6191279385</x:v>
      </x:c>
    </x:row>
    <x:row r="733">
      <x:c r="A733" s="42" t="str">
        <x:f>Members!A733</x:f>
        <x:v>A0396</x:v>
      </x:c>
      <x:c r="B733" s="42" t="str">
        <x:f>Members!B733</x:f>
        <x:v>Active</x:v>
      </x:c>
      <x:c r="C733" s="42" t="n">
        <x:f>Members!C733</x:f>
        <x:v>34</x:v>
      </x:c>
      <x:c r="D733" s="44" t="n">
        <x:f>Members!D733</x:f>
        <x:v>2.1</x:v>
      </x:c>
      <x:c r="E733" s="48" t="n">
        <x:f>Members!E733</x:f>
        <x:v>767000</x:v>
      </x:c>
      <x:c r="F733" s="48" t="n">
        <x:f>Members!F733</x:f>
        <x:v>0</x:v>
      </x:c>
      <x:c r="G733" s="46" t="n">
        <x:f>MAX(0,Assumptions!$B$10-C733)</x:f>
        <x:v>26</x:v>
      </x:c>
      <x:c r="H733" s="50" t="n">
        <x:f>IF(B733="Active",E733*(1+Assumptions!$B$7)^G733,E733)</x:f>
        <x:v>3085739.8876188206</x:v>
      </x:c>
      <x:c r="I733" s="50" t="n">
        <x:f>IF(B733="Active",MIN(Assumptions!$B$12,D733+G733),IF(B733="Deferred",MIN(Assumptions!$B$12,D733),D733))</x:f>
        <x:v>28.1</x:v>
      </x:c>
      <x:c r="J733" s="50" t="n">
        <x:f>IF(B733="Active",H733*I733*Assumptions!$B$11,IF(B733="Deferred",E733*I733*Assumptions!$B$11*(1+Assumptions!$B$9)^G733,F733))</x:f>
        <x:v>1445154.8473681477</x:v>
      </x:c>
      <x:c r="K733" s="37" t="n">
        <x:f>IF(B733="Pensioner",1,VLOOKUP(Assumptions!$B$10,Mortality!$A$2:$F$104,6,FALSE)/VLOOKUP(C733,Mortality!$A$2:$F$104,6,FALSE))</x:f>
        <x:v>0.9716205819233391</x:v>
      </x:c>
      <x:c r="L733" s="37" t="n">
        <x:f>VLOOKUP(IF(B733="Pensioner",C733,Assumptions!$B$10),Mortality!$A$2:$E$104,5,FALSE)</x:f>
        <x:v>17.296790022132885</x:v>
      </x:c>
      <x:c r="M733" s="37" t="n">
        <x:f>1+Assumptions!$B$13*Assumptions!$B$14*Assumptions!$B$15</x:f>
        <x:v>1.31875</x:v>
      </x:c>
      <x:c r="N733" s="37" t="n">
        <x:f>IF(B733="Pensioner",1,1/(1+Assumptions!$B$6)^G733)</x:f>
        <x:v>0.19449578673364096</x:v>
      </x:c>
      <x:c r="O733" s="50" t="n">
        <x:f>J733*K733*L733*M733*N733</x:f>
        <x:v>6229443.821451989</x:v>
      </x:c>
    </x:row>
    <x:row r="734">
      <x:c r="A734" s="42" t="str">
        <x:f>Members!A734</x:f>
        <x:v>D0070</x:v>
      </x:c>
      <x:c r="B734" s="42" t="str">
        <x:f>Members!B734</x:f>
        <x:v>Deferred</x:v>
      </x:c>
      <x:c r="C734" s="42" t="n">
        <x:f>Members!C734</x:f>
        <x:v>47</x:v>
      </x:c>
      <x:c r="D734" s="44" t="n">
        <x:f>Members!D734</x:f>
        <x:v>10.5</x:v>
      </x:c>
      <x:c r="E734" s="48" t="n">
        <x:f>Members!E734</x:f>
        <x:v>1011000</x:v>
      </x:c>
      <x:c r="F734" s="48" t="n">
        <x:f>Members!F734</x:f>
        <x:v>0</x:v>
      </x:c>
      <x:c r="G734" s="46" t="n">
        <x:f>MAX(0,Assumptions!$B$10-C734)</x:f>
        <x:v>13</x:v>
      </x:c>
      <x:c r="H734" s="50" t="n">
        <x:f>IF(B734="Active",E734*(1+Assumptions!$B$7)^G734,E734)</x:f>
        <x:v>1011000</x:v>
      </x:c>
      <x:c r="I734" s="50" t="n">
        <x:f>IF(B734="Active",MIN(Assumptions!$B$12,D734+G734),IF(B734="Deferred",MIN(Assumptions!$B$12,D734),D734))</x:f>
        <x:v>10.5</x:v>
      </x:c>
      <x:c r="J734" s="50" t="n">
        <x:f>IF(B734="Active",H734*I734*Assumptions!$B$11,IF(B734="Deferred",E734*I734*Assumptions!$B$11*(1+Assumptions!$B$9)^G734,F734))</x:f>
        <x:v>294593.13028089056</x:v>
      </x:c>
      <x:c r="K734" s="37" t="n">
        <x:f>IF(B734="Pensioner",1,VLOOKUP(Assumptions!$B$10,Mortality!$A$2:$F$104,6,FALSE)/VLOOKUP(C734,Mortality!$A$2:$F$104,6,FALSE))</x:f>
        <x:v>0.9784451675747989</x:v>
      </x:c>
      <x:c r="L734" s="37" t="n">
        <x:f>VLOOKUP(IF(B734="Pensioner",C734,Assumptions!$B$10),Mortality!$A$2:$E$104,5,FALSE)</x:f>
        <x:v>17.296790022132885</x:v>
      </x:c>
      <x:c r="M734" s="37" t="n">
        <x:f>1+Assumptions!$B$13*Assumptions!$B$14*Assumptions!$B$15</x:f>
        <x:v>1.31875</x:v>
      </x:c>
      <x:c r="N734" s="37" t="n">
        <x:f>IF(B734="Pensioner",1,1/(1+Assumptions!$B$6)^G734)</x:f>
        <x:v>0.4410167646854719</x:v>
      </x:c>
      <x:c r="O734" s="50" t="n">
        <x:f>J734*K734*L734*M734*N734</x:f>
        <x:v>2899627.3844280685</x:v>
      </x:c>
    </x:row>
    <x:row r="735">
      <x:c r="A735" s="42" t="str">
        <x:f>Members!A735</x:f>
        <x:v>A0254</x:v>
      </x:c>
      <x:c r="B735" s="42" t="str">
        <x:f>Members!B735</x:f>
        <x:v>Active</x:v>
      </x:c>
      <x:c r="C735" s="42" t="n">
        <x:f>Members!C735</x:f>
        <x:v>45</x:v>
      </x:c>
      <x:c r="D735" s="44" t="n">
        <x:f>Members!D735</x:f>
        <x:v>2.7</x:v>
      </x:c>
      <x:c r="E735" s="48" t="n">
        <x:f>Members!E735</x:f>
        <x:v>1336000</x:v>
      </x:c>
      <x:c r="F735" s="48" t="n">
        <x:f>Members!F735</x:f>
        <x:v>0</x:v>
      </x:c>
      <x:c r="G735" s="46" t="n">
        <x:f>MAX(0,Assumptions!$B$10-C735)</x:f>
        <x:v>15</x:v>
      </x:c>
      <x:c r="H735" s="50" t="n">
        <x:f>IF(B735="Active",E735*(1+Assumptions!$B$7)^G735,E735)</x:f>
        <x:v>2982588.593629901</x:v>
      </x:c>
      <x:c r="I735" s="50" t="n">
        <x:f>IF(B735="Active",MIN(Assumptions!$B$12,D735+G735),IF(B735="Deferred",MIN(Assumptions!$B$12,D735),D735))</x:f>
        <x:v>17.7</x:v>
      </x:c>
      <x:c r="J735" s="50" t="n">
        <x:f>IF(B735="Active",H735*I735*Assumptions!$B$11,IF(B735="Deferred",E735*I735*Assumptions!$B$11*(1+Assumptions!$B$9)^G735,F735))</x:f>
        <x:v>879863.6351208207</x:v>
      </x:c>
      <x:c r="K735" s="37" t="n">
        <x:f>IF(B735="Pensioner",1,VLOOKUP(Assumptions!$B$10,Mortality!$A$2:$F$104,6,FALSE)/VLOOKUP(C735,Mortality!$A$2:$F$104,6,FALSE))</x:f>
        <x:v>0.9769349478194655</x:v>
      </x:c>
      <x:c r="L735" s="37" t="n">
        <x:f>VLOOKUP(IF(B735="Pensioner",C735,Assumptions!$B$10),Mortality!$A$2:$E$104,5,FALSE)</x:f>
        <x:v>17.296790022132885</x:v>
      </x:c>
      <x:c r="M735" s="37" t="n">
        <x:f>1+Assumptions!$B$13*Assumptions!$B$14*Assumptions!$B$15</x:f>
        <x:v>1.31875</x:v>
      </x:c>
      <x:c r="N735" s="37" t="n">
        <x:f>IF(B735="Pensioner",1,1/(1+Assumptions!$B$6)^G735)</x:f>
        <x:v>0.38882652444221566</x:v>
      </x:c>
      <x:c r="O735" s="50" t="n">
        <x:f>J735*K735*L735*M735*N735</x:f>
        <x:v>7623683.950097724</x:v>
      </x:c>
    </x:row>
    <x:row r="736">
      <x:c r="A736" s="42" t="str">
        <x:f>Members!A736</x:f>
        <x:v>A0301</x:v>
      </x:c>
      <x:c r="B736" s="42" t="str">
        <x:f>Members!B736</x:f>
        <x:v>Active</x:v>
      </x:c>
      <x:c r="C736" s="42" t="n">
        <x:f>Members!C736</x:f>
        <x:v>41</x:v>
      </x:c>
      <x:c r="D736" s="44" t="n">
        <x:f>Members!D736</x:f>
        <x:v>6.3</x:v>
      </x:c>
      <x:c r="E736" s="48" t="n">
        <x:f>Members!E736</x:f>
        <x:v>754000</x:v>
      </x:c>
      <x:c r="F736" s="48" t="n">
        <x:f>Members!F736</x:f>
        <x:v>0</x:v>
      </x:c>
      <x:c r="G736" s="46" t="n">
        <x:f>MAX(0,Assumptions!$B$10-C736)</x:f>
        <x:v>19</x:v>
      </x:c>
      <x:c r="H736" s="50" t="n">
        <x:f>IF(B736="Active",E736*(1+Assumptions!$B$7)^G736,E736)</x:f>
        <x:v>2085297.7705360032</x:v>
      </x:c>
      <x:c r="I736" s="50" t="n">
        <x:f>IF(B736="Active",MIN(Assumptions!$B$12,D736+G736),IF(B736="Deferred",MIN(Assumptions!$B$12,D736),D736))</x:f>
        <x:v>25.3</x:v>
      </x:c>
      <x:c r="J736" s="50" t="n">
        <x:f>IF(B736="Active",H736*I736*Assumptions!$B$11,IF(B736="Deferred",E736*I736*Assumptions!$B$11*(1+Assumptions!$B$9)^G736,F736))</x:f>
        <x:v>879300.559909348</x:v>
      </x:c>
      <x:c r="K736" s="37" t="n">
        <x:f>IF(B736="Pensioner",1,VLOOKUP(Assumptions!$B$10,Mortality!$A$2:$F$104,6,FALSE)/VLOOKUP(C736,Mortality!$A$2:$F$104,6,FALSE))</x:f>
        <x:v>0.9745478954079534</x:v>
      </x:c>
      <x:c r="L736" s="37" t="n">
        <x:f>VLOOKUP(IF(B736="Pensioner",C736,Assumptions!$B$10),Mortality!$A$2:$E$104,5,FALSE)</x:f>
        <x:v>17.296790022132885</x:v>
      </x:c>
      <x:c r="M736" s="37" t="n">
        <x:f>1+Assumptions!$B$13*Assumptions!$B$14*Assumptions!$B$15</x:f>
        <x:v>1.31875</x:v>
      </x:c>
      <x:c r="N736" s="37" t="n">
        <x:f>IF(B736="Pensioner",1,1/(1+Assumptions!$B$6)^G736)</x:f>
        <x:v>0.30224383580131214</x:v>
      </x:c>
      <x:c r="O736" s="50" t="n">
        <x:f>J736*K736*L736*M736*N736</x:f>
        <x:v>5907802.602649616</x:v>
      </x:c>
    </x:row>
    <x:row r="737">
      <x:c r="A737" s="42" t="str">
        <x:f>Members!A737</x:f>
        <x:v>D0012</x:v>
      </x:c>
      <x:c r="B737" s="42" t="str">
        <x:f>Members!B737</x:f>
        <x:v>Deferred</x:v>
      </x:c>
      <x:c r="C737" s="42" t="n">
        <x:f>Members!C737</x:f>
        <x:v>30</x:v>
      </x:c>
      <x:c r="D737" s="44" t="n">
        <x:f>Members!D737</x:f>
        <x:v>2.6</x:v>
      </x:c>
      <x:c r="E737" s="48" t="n">
        <x:f>Members!E737</x:f>
        <x:v>434000</x:v>
      </x:c>
      <x:c r="F737" s="48" t="n">
        <x:f>Members!F737</x:f>
        <x:v>0</x:v>
      </x:c>
      <x:c r="G737" s="46" t="n">
        <x:f>MAX(0,Assumptions!$B$10-C737)</x:f>
        <x:v>30</x:v>
      </x:c>
      <x:c r="H737" s="50" t="n">
        <x:f>IF(B737="Active",E737*(1+Assumptions!$B$7)^G737,E737)</x:f>
        <x:v>434000</x:v>
      </x:c>
      <x:c r="I737" s="50" t="n">
        <x:f>IF(B737="Active",MIN(Assumptions!$B$12,D737+G737),IF(B737="Deferred",MIN(Assumptions!$B$12,D737),D737))</x:f>
        <x:v>2.6</x:v>
      </x:c>
      <x:c r="J737" s="50" t="n">
        <x:f>IF(B737="Active",H737*I737*Assumptions!$B$11,IF(B737="Deferred",E737*I737*Assumptions!$B$11*(1+Assumptions!$B$9)^G737,F737))</x:f>
        <x:v>60997.49583858465</x:v>
      </x:c>
      <x:c r="K737" s="37" t="n">
        <x:f>IF(B737="Pensioner",1,VLOOKUP(Assumptions!$B$10,Mortality!$A$2:$F$104,6,FALSE)/VLOOKUP(C737,Mortality!$A$2:$F$104,6,FALSE))</x:f>
        <x:v>0.9703456880318753</x:v>
      </x:c>
      <x:c r="L737" s="37" t="n">
        <x:f>VLOOKUP(IF(B737="Pensioner",C737,Assumptions!$B$10),Mortality!$A$2:$E$104,5,FALSE)</x:f>
        <x:v>17.296790022132885</x:v>
      </x:c>
      <x:c r="M737" s="37" t="n">
        <x:f>1+Assumptions!$B$13*Assumptions!$B$14*Assumptions!$B$15</x:f>
        <x:v>1.31875</x:v>
      </x:c>
      <x:c r="N737" s="37" t="n">
        <x:f>IF(B737="Pensioner",1,1/(1+Assumptions!$B$6)^G737)</x:f>
        <x:v>0.1511860661098129</x:v>
      </x:c>
      <x:c r="O737" s="50" t="n">
        <x:f>J737*K737*L737*M737*N737</x:f>
        <x:v>204116.55929747637</x:v>
      </x:c>
    </x:row>
    <x:row r="738">
      <x:c r="A738" s="42" t="str">
        <x:f>Members!A738</x:f>
        <x:v>A0088</x:v>
      </x:c>
      <x:c r="B738" s="42" t="str">
        <x:f>Members!B738</x:f>
        <x:v>Active</x:v>
      </x:c>
      <x:c r="C738" s="42" t="n">
        <x:f>Members!C738</x:f>
        <x:v>59</x:v>
      </x:c>
      <x:c r="D738" s="44" t="n">
        <x:f>Members!D738</x:f>
        <x:v>18</x:v>
      </x:c>
      <x:c r="E738" s="48" t="n">
        <x:f>Members!E738</x:f>
        <x:v>2098000</x:v>
      </x:c>
      <x:c r="F738" s="48" t="n">
        <x:f>Members!F738</x:f>
        <x:v>0</x:v>
      </x:c>
      <x:c r="G738" s="46" t="n">
        <x:f>MAX(0,Assumptions!$B$10-C738)</x:f>
        <x:v>1</x:v>
      </x:c>
      <x:c r="H738" s="50" t="n">
        <x:f>IF(B738="Active",E738*(1+Assumptions!$B$7)^G738,E738)</x:f>
        <x:v>2213390</x:v>
      </x:c>
      <x:c r="I738" s="50" t="n">
        <x:f>IF(B738="Active",MIN(Assumptions!$B$12,D738+G738),IF(B738="Deferred",MIN(Assumptions!$B$12,D738),D738))</x:f>
        <x:v>19</x:v>
      </x:c>
      <x:c r="J738" s="50" t="n">
        <x:f>IF(B738="Active",H738*I738*Assumptions!$B$11,IF(B738="Deferred",E738*I738*Assumptions!$B$11*(1+Assumptions!$B$9)^G738,F738))</x:f>
        <x:v>700906.8333333334</x:v>
      </x:c>
      <x:c r="K738" s="37" t="n">
        <x:f>IF(B738="Pensioner",1,VLOOKUP(Assumptions!$B$10,Mortality!$A$2:$F$104,6,FALSE)/VLOOKUP(C738,Mortality!$A$2:$F$104,6,FALSE))</x:f>
        <x:v>0.9971096011831975</x:v>
      </x:c>
      <x:c r="L738" s="37" t="n">
        <x:f>VLOOKUP(IF(B738="Pensioner",C738,Assumptions!$B$10),Mortality!$A$2:$E$104,5,FALSE)</x:f>
        <x:v>17.296790022132885</x:v>
      </x:c>
      <x:c r="M738" s="37" t="n">
        <x:f>1+Assumptions!$B$13*Assumptions!$B$14*Assumptions!$B$15</x:f>
        <x:v>1.31875</x:v>
      </x:c>
      <x:c r="N738" s="37" t="n">
        <x:f>IF(B738="Pensioner",1,1/(1+Assumptions!$B$6)^G738)</x:f>
        <x:v>0.9389671361502347</x:v>
      </x:c>
      <x:c r="O738" s="50" t="n">
        <x:f>J738*K738*L738*M738*N738</x:f>
        <x:v>14968613.345875653</x:v>
      </x:c>
    </x:row>
    <x:row r="739">
      <x:c r="A739" s="42" t="str">
        <x:f>Members!A739</x:f>
        <x:v>A0480</x:v>
      </x:c>
      <x:c r="B739" s="42" t="str">
        <x:f>Members!B739</x:f>
        <x:v>Active</x:v>
      </x:c>
      <x:c r="C739" s="42" t="n">
        <x:f>Members!C739</x:f>
        <x:v>45</x:v>
      </x:c>
      <x:c r="D739" s="44" t="n">
        <x:f>Members!D739</x:f>
        <x:v>5.5</x:v>
      </x:c>
      <x:c r="E739" s="48" t="n">
        <x:f>Members!E739</x:f>
        <x:v>1253000</x:v>
      </x:c>
      <x:c r="F739" s="48" t="n">
        <x:f>Members!F739</x:f>
        <x:v>0</x:v>
      </x:c>
      <x:c r="G739" s="46" t="n">
        <x:f>MAX(0,Assumptions!$B$10-C739)</x:f>
        <x:v>15</x:v>
      </x:c>
      <x:c r="H739" s="50" t="n">
        <x:f>IF(B739="Active",E739*(1+Assumptions!$B$7)^G739,E739)</x:f>
        <x:v>2797293.044774151</x:v>
      </x:c>
      <x:c r="I739" s="50" t="n">
        <x:f>IF(B739="Active",MIN(Assumptions!$B$12,D739+G739),IF(B739="Deferred",MIN(Assumptions!$B$12,D739),D739))</x:f>
        <x:v>20.5</x:v>
      </x:c>
      <x:c r="J739" s="50" t="n">
        <x:f>IF(B739="Active",H739*I739*Assumptions!$B$11,IF(B739="Deferred",E739*I739*Assumptions!$B$11*(1+Assumptions!$B$9)^G739,F739))</x:f>
        <x:v>955741.7902978349</x:v>
      </x:c>
      <x:c r="K739" s="37" t="n">
        <x:f>IF(B739="Pensioner",1,VLOOKUP(Assumptions!$B$10,Mortality!$A$2:$F$104,6,FALSE)/VLOOKUP(C739,Mortality!$A$2:$F$104,6,FALSE))</x:f>
        <x:v>0.9769349478194655</x:v>
      </x:c>
      <x:c r="L739" s="37" t="n">
        <x:f>VLOOKUP(IF(B739="Pensioner",C739,Assumptions!$B$10),Mortality!$A$2:$E$104,5,FALSE)</x:f>
        <x:v>17.296790022132885</x:v>
      </x:c>
      <x:c r="M739" s="37" t="n">
        <x:f>1+Assumptions!$B$13*Assumptions!$B$14*Assumptions!$B$15</x:f>
        <x:v>1.31875</x:v>
      </x:c>
      <x:c r="N739" s="37" t="n">
        <x:f>IF(B739="Pensioner",1,1/(1+Assumptions!$B$6)^G739)</x:f>
        <x:v>0.38882652444221566</x:v>
      </x:c>
      <x:c r="O739" s="50" t="n">
        <x:f>J739*K739*L739*M739*N739</x:f>
        <x:v>8281139.322380036</x:v>
      </x:c>
    </x:row>
    <x:row r="740">
      <x:c r="A740" s="42" t="str">
        <x:f>Members!A740</x:f>
        <x:v>A0552</x:v>
      </x:c>
      <x:c r="B740" s="42" t="str">
        <x:f>Members!B740</x:f>
        <x:v>Active</x:v>
      </x:c>
      <x:c r="C740" s="42" t="n">
        <x:f>Members!C740</x:f>
        <x:v>34</x:v>
      </x:c>
      <x:c r="D740" s="44" t="n">
        <x:f>Members!D740</x:f>
        <x:v>3</x:v>
      </x:c>
      <x:c r="E740" s="48" t="n">
        <x:f>Members!E740</x:f>
        <x:v>505000</x:v>
      </x:c>
      <x:c r="F740" s="48" t="n">
        <x:f>Members!F740</x:f>
        <x:v>0</x:v>
      </x:c>
      <x:c r="G740" s="46" t="n">
        <x:f>MAX(0,Assumptions!$B$10-C740)</x:f>
        <x:v>26</x:v>
      </x:c>
      <x:c r="H740" s="50" t="n">
        <x:f>IF(B740="Active",E740*(1+Assumptions!$B$7)^G740,E740)</x:f>
        <x:v>2031680.1085365117</x:v>
      </x:c>
      <x:c r="I740" s="50" t="n">
        <x:f>IF(B740="Active",MIN(Assumptions!$B$12,D740+G740),IF(B740="Deferred",MIN(Assumptions!$B$12,D740),D740))</x:f>
        <x:v>29</x:v>
      </x:c>
      <x:c r="J740" s="50" t="n">
        <x:f>IF(B740="Active",H740*I740*Assumptions!$B$11,IF(B740="Deferred",E740*I740*Assumptions!$B$11*(1+Assumptions!$B$9)^G740,F740))</x:f>
        <x:v>981978.7191259806</x:v>
      </x:c>
      <x:c r="K740" s="37" t="n">
        <x:f>IF(B740="Pensioner",1,VLOOKUP(Assumptions!$B$10,Mortality!$A$2:$F$104,6,FALSE)/VLOOKUP(C740,Mortality!$A$2:$F$104,6,FALSE))</x:f>
        <x:v>0.9716205819233391</x:v>
      </x:c>
      <x:c r="L740" s="37" t="n">
        <x:f>VLOOKUP(IF(B740="Pensioner",C740,Assumptions!$B$10),Mortality!$A$2:$E$104,5,FALSE)</x:f>
        <x:v>17.296790022132885</x:v>
      </x:c>
      <x:c r="M740" s="37" t="n">
        <x:f>1+Assumptions!$B$13*Assumptions!$B$14*Assumptions!$B$15</x:f>
        <x:v>1.31875</x:v>
      </x:c>
      <x:c r="N740" s="37" t="n">
        <x:f>IF(B740="Pensioner",1,1/(1+Assumptions!$B$6)^G740)</x:f>
        <x:v>0.19449578673364096</x:v>
      </x:c>
      <x:c r="O740" s="50" t="n">
        <x:f>J740*K740*L740*M740*N740</x:f>
        <x:v>4232889.83585186</x:v>
      </x:c>
    </x:row>
    <x:row r="741">
      <x:c r="A741" s="42" t="str">
        <x:f>Members!A741</x:f>
        <x:v>A0226</x:v>
      </x:c>
      <x:c r="B741" s="42" t="str">
        <x:f>Members!B741</x:f>
        <x:v>Active</x:v>
      </x:c>
      <x:c r="C741" s="42" t="n">
        <x:f>Members!C741</x:f>
        <x:v>45</x:v>
      </x:c>
      <x:c r="D741" s="44" t="n">
        <x:f>Members!D741</x:f>
        <x:v>19.3</x:v>
      </x:c>
      <x:c r="E741" s="48" t="n">
        <x:f>Members!E741</x:f>
        <x:v>1408000</x:v>
      </x:c>
      <x:c r="F741" s="48" t="n">
        <x:f>Members!F741</x:f>
        <x:v>0</x:v>
      </x:c>
      <x:c r="G741" s="46" t="n">
        <x:f>MAX(0,Assumptions!$B$10-C741)</x:f>
        <x:v>15</x:v>
      </x:c>
      <x:c r="H741" s="50" t="n">
        <x:f>IF(B741="Active",E741*(1+Assumptions!$B$7)^G741,E741)</x:f>
        <x:v>3143326.901071033</x:v>
      </x:c>
      <x:c r="I741" s="50" t="n">
        <x:f>IF(B741="Active",MIN(Assumptions!$B$12,D741+G741),IF(B741="Deferred",MIN(Assumptions!$B$12,D741),D741))</x:f>
        <x:v>34.3</x:v>
      </x:c>
      <x:c r="J741" s="50" t="n">
        <x:f>IF(B741="Active",H741*I741*Assumptions!$B$11,IF(B741="Deferred",E741*I741*Assumptions!$B$11*(1+Assumptions!$B$9)^G741,F741))</x:f>
        <x:v>1796935.2117789402</x:v>
      </x:c>
      <x:c r="K741" s="37" t="n">
        <x:f>IF(B741="Pensioner",1,VLOOKUP(Assumptions!$B$10,Mortality!$A$2:$F$104,6,FALSE)/VLOOKUP(C741,Mortality!$A$2:$F$104,6,FALSE))</x:f>
        <x:v>0.9769349478194655</x:v>
      </x:c>
      <x:c r="L741" s="37" t="n">
        <x:f>VLOOKUP(IF(B741="Pensioner",C741,Assumptions!$B$10),Mortality!$A$2:$E$104,5,FALSE)</x:f>
        <x:v>17.296790022132885</x:v>
      </x:c>
      <x:c r="M741" s="37" t="n">
        <x:f>1+Assumptions!$B$13*Assumptions!$B$14*Assumptions!$B$15</x:f>
        <x:v>1.31875</x:v>
      </x:c>
      <x:c r="N741" s="37" t="n">
        <x:f>IF(B741="Pensioner",1,1/(1+Assumptions!$B$6)^G741)</x:f>
        <x:v>0.38882652444221566</x:v>
      </x:c>
      <x:c r="O741" s="50" t="n">
        <x:f>J741*K741*L741*M741*N741</x:f>
        <x:v>15569760.570367718</x:v>
      </x:c>
    </x:row>
    <x:row r="742">
      <x:c r="A742" s="42" t="str">
        <x:f>Members!A742</x:f>
        <x:v>A0603</x:v>
      </x:c>
      <x:c r="B742" s="42" t="str">
        <x:f>Members!B742</x:f>
        <x:v>Active</x:v>
      </x:c>
      <x:c r="C742" s="42" t="n">
        <x:f>Members!C742</x:f>
        <x:v>27</x:v>
      </x:c>
      <x:c r="D742" s="44" t="n">
        <x:f>Members!D742</x:f>
        <x:v>2</x:v>
      </x:c>
      <x:c r="E742" s="48" t="n">
        <x:f>Members!E742</x:f>
        <x:v>363000</x:v>
      </x:c>
      <x:c r="F742" s="48" t="n">
        <x:f>Members!F742</x:f>
        <x:v>0</x:v>
      </x:c>
      <x:c r="G742" s="46" t="n">
        <x:f>MAX(0,Assumptions!$B$10-C742)</x:f>
        <x:v>33</x:v>
      </x:c>
      <x:c r="H742" s="50" t="n">
        <x:f>IF(B742="Active",E742*(1+Assumptions!$B$7)^G742,E742)</x:f>
        <x:v>2124407.3384159473</x:v>
      </x:c>
      <x:c r="I742" s="50" t="n">
        <x:f>IF(B742="Active",MIN(Assumptions!$B$12,D742+G742),IF(B742="Deferred",MIN(Assumptions!$B$12,D742),D742))</x:f>
        <x:v>35</x:v>
      </x:c>
      <x:c r="J742" s="50" t="n">
        <x:f>IF(B742="Active",H742*I742*Assumptions!$B$11,IF(B742="Deferred",E742*I742*Assumptions!$B$11*(1+Assumptions!$B$9)^G742,F742))</x:f>
        <x:v>1239237.6140759692</x:v>
      </x:c>
      <x:c r="K742" s="37" t="n">
        <x:f>IF(B742="Pensioner",1,VLOOKUP(Assumptions!$B$10,Mortality!$A$2:$F$104,6,FALSE)/VLOOKUP(C742,Mortality!$A$2:$F$104,6,FALSE))</x:f>
        <x:v>0.9694971330284515</x:v>
      </x:c>
      <x:c r="L742" s="37" t="n">
        <x:f>VLOOKUP(IF(B742="Pensioner",C742,Assumptions!$B$10),Mortality!$A$2:$E$104,5,FALSE)</x:f>
        <x:v>17.296790022132885</x:v>
      </x:c>
      <x:c r="M742" s="37" t="n">
        <x:f>1+Assumptions!$B$13*Assumptions!$B$14*Assumptions!$B$15</x:f>
        <x:v>1.31875</x:v>
      </x:c>
      <x:c r="N742" s="37" t="n">
        <x:f>IF(B742="Pensioner",1,1/(1+Assumptions!$B$6)^G742)</x:f>
        <x:v>0.12515924752227392</x:v>
      </x:c>
      <x:c r="O742" s="50" t="n">
        <x:f>J742*K742*L742*M742*N742</x:f>
        <x:v>3429983.6145131085</x:v>
      </x:c>
    </x:row>
    <x:row r="743">
      <x:c r="A743" s="42" t="str">
        <x:f>Members!A743</x:f>
        <x:v>A0035</x:v>
      </x:c>
      <x:c r="B743" s="42" t="str">
        <x:f>Members!B743</x:f>
        <x:v>Active</x:v>
      </x:c>
      <x:c r="C743" s="42" t="n">
        <x:f>Members!C743</x:f>
        <x:v>45</x:v>
      </x:c>
      <x:c r="D743" s="44" t="n">
        <x:f>Members!D743</x:f>
        <x:v>8.9</x:v>
      </x:c>
      <x:c r="E743" s="48" t="n">
        <x:f>Members!E743</x:f>
        <x:v>1217000</x:v>
      </x:c>
      <x:c r="F743" s="48" t="n">
        <x:f>Members!F743</x:f>
        <x:v>0</x:v>
      </x:c>
      <x:c r="G743" s="46" t="n">
        <x:f>MAX(0,Assumptions!$B$10-C743)</x:f>
        <x:v>15</x:v>
      </x:c>
      <x:c r="H743" s="50" t="n">
        <x:f>IF(B743="Active",E743*(1+Assumptions!$B$7)^G743,E743)</x:f>
        <x:v>2716923.891053585</x:v>
      </x:c>
      <x:c r="I743" s="50" t="n">
        <x:f>IF(B743="Active",MIN(Assumptions!$B$12,D743+G743),IF(B743="Deferred",MIN(Assumptions!$B$12,D743),D743))</x:f>
        <x:v>23.9</x:v>
      </x:c>
      <x:c r="J743" s="50" t="n">
        <x:f>IF(B743="Active",H743*I743*Assumptions!$B$11,IF(B743="Deferred",E743*I743*Assumptions!$B$11*(1+Assumptions!$B$9)^G743,F743))</x:f>
        <x:v>1082241.3499363447</x:v>
      </x:c>
      <x:c r="K743" s="37" t="n">
        <x:f>IF(B743="Pensioner",1,VLOOKUP(Assumptions!$B$10,Mortality!$A$2:$F$104,6,FALSE)/VLOOKUP(C743,Mortality!$A$2:$F$104,6,FALSE))</x:f>
        <x:v>0.9769349478194655</x:v>
      </x:c>
      <x:c r="L743" s="37" t="n">
        <x:f>VLOOKUP(IF(B743="Pensioner",C743,Assumptions!$B$10),Mortality!$A$2:$E$104,5,FALSE)</x:f>
        <x:v>17.296790022132885</x:v>
      </x:c>
      <x:c r="M743" s="37" t="n">
        <x:f>1+Assumptions!$B$13*Assumptions!$B$14*Assumptions!$B$15</x:f>
        <x:v>1.31875</x:v>
      </x:c>
      <x:c r="N743" s="37" t="n">
        <x:f>IF(B743="Pensioner",1,1/(1+Assumptions!$B$6)^G743)</x:f>
        <x:v>0.38882652444221566</x:v>
      </x:c>
      <x:c r="O743" s="50" t="n">
        <x:f>J743*K743*L743*M743*N743</x:f>
        <x:v>9377209.922431722</x:v>
      </x:c>
    </x:row>
    <x:row r="744">
      <x:c r="A744" s="42" t="str">
        <x:f>Members!A744</x:f>
        <x:v>P0109</x:v>
      </x:c>
      <x:c r="B744" s="42" t="str">
        <x:f>Members!B744</x:f>
        <x:v>Pensioner</x:v>
      </x:c>
      <x:c r="C744" s="42" t="n">
        <x:f>Members!C744</x:f>
        <x:v>83</x:v>
      </x:c>
      <x:c r="D744" s="44" t="n">
        <x:f>Members!D744</x:f>
        <x:v>18.8</x:v>
      </x:c>
      <x:c r="E744" s="48" t="n">
        <x:f>Members!E744</x:f>
        <x:v>0</x:v>
      </x:c>
      <x:c r="F744" s="48" t="n">
        <x:f>Members!F744</x:f>
        <x:v>541000</x:v>
      </x:c>
      <x:c r="G744" s="46" t="n">
        <x:f>MAX(0,Assumptions!$B$10-C744)</x:f>
        <x:v>0</x:v>
      </x:c>
      <x:c r="H744" s="50" t="n">
        <x:f>IF(B744="Active",E744*(1+Assumptions!$B$7)^G744,E744)</x:f>
        <x:v>0</x:v>
      </x:c>
      <x:c r="I744" s="50" t="n">
        <x:f>IF(B744="Active",MIN(Assumptions!$B$12,D744+G744),IF(B744="Deferred",MIN(Assumptions!$B$12,D744),D744))</x:f>
        <x:v>18.8</x:v>
      </x:c>
      <x:c r="J744" s="50" t="n">
        <x:f>IF(B744="Active",H744*I744*Assumptions!$B$11,IF(B744="Deferred",E744*I744*Assumptions!$B$11*(1+Assumptions!$B$9)^G744,F744))</x:f>
        <x:v>541000</x:v>
      </x:c>
      <x:c r="K744" s="37" t="n">
        <x:f>IF(B744="Pensioner",1,VLOOKUP(Assumptions!$B$10,Mortality!$A$2:$F$104,6,FALSE)/VLOOKUP(C744,Mortality!$A$2:$F$104,6,FALSE))</x:f>
        <x:v>1</x:v>
      </x:c>
      <x:c r="L744" s="37" t="n">
        <x:f>VLOOKUP(IF(B744="Pensioner",C744,Assumptions!$B$10),Mortality!$A$2:$E$104,5,FALSE)</x:f>
        <x:v>7.066956273830788</x:v>
      </x:c>
      <x:c r="M744" s="37" t="n">
        <x:f>1+Assumptions!$B$13*Assumptions!$B$14*Assumptions!$B$15</x:f>
        <x:v>1.31875</x:v>
      </x:c>
      <x:c r="N744" s="37" t="n">
        <x:f>IF(B744="Pensioner",1,1/(1+Assumptions!$B$6)^G744)</x:f>
        <x:v>1</x:v>
      </x:c>
      <x:c r="O744" s="50" t="n">
        <x:f>J744*K744*L744*M744*N744</x:f>
        <x:v>5041875.785087864</x:v>
      </x:c>
    </x:row>
    <x:row r="745">
      <x:c r="A745" s="42" t="str">
        <x:f>Members!A745</x:f>
        <x:v>D0062</x:v>
      </x:c>
      <x:c r="B745" s="42" t="str">
        <x:f>Members!B745</x:f>
        <x:v>Deferred</x:v>
      </x:c>
      <x:c r="C745" s="42" t="n">
        <x:f>Members!C745</x:f>
        <x:v>34</x:v>
      </x:c>
      <x:c r="D745" s="44" t="n">
        <x:f>Members!D745</x:f>
        <x:v>3</x:v>
      </x:c>
      <x:c r="E745" s="48" t="n">
        <x:f>Members!E745</x:f>
        <x:v>555000</x:v>
      </x:c>
      <x:c r="F745" s="48" t="n">
        <x:f>Members!F745</x:f>
        <x:v>0</x:v>
      </x:c>
      <x:c r="G745" s="46" t="n">
        <x:f>MAX(0,Assumptions!$B$10-C745)</x:f>
        <x:v>26</x:v>
      </x:c>
      <x:c r="H745" s="50" t="n">
        <x:f>IF(B745="Active",E745*(1+Assumptions!$B$7)^G745,E745)</x:f>
        <x:v>555000</x:v>
      </x:c>
      <x:c r="I745" s="50" t="n">
        <x:f>IF(B745="Active",MIN(Assumptions!$B$12,D745+G745),IF(B745="Deferred",MIN(Assumptions!$B$12,D745),D745))</x:f>
        <x:v>3</x:v>
      </x:c>
      <x:c r="J745" s="50" t="n">
        <x:f>IF(B745="Active",H745*I745*Assumptions!$B$11,IF(B745="Deferred",E745*I745*Assumptions!$B$11*(1+Assumptions!$B$9)^G745,F745))</x:f>
        <x:v>76936.03652672702</x:v>
      </x:c>
      <x:c r="K745" s="37" t="n">
        <x:f>IF(B745="Pensioner",1,VLOOKUP(Assumptions!$B$10,Mortality!$A$2:$F$104,6,FALSE)/VLOOKUP(C745,Mortality!$A$2:$F$104,6,FALSE))</x:f>
        <x:v>0.9716205819233391</x:v>
      </x:c>
      <x:c r="L745" s="37" t="n">
        <x:f>VLOOKUP(IF(B745="Pensioner",C745,Assumptions!$B$10),Mortality!$A$2:$E$104,5,FALSE)</x:f>
        <x:v>17.296790022132885</x:v>
      </x:c>
      <x:c r="M745" s="37" t="n">
        <x:f>1+Assumptions!$B$13*Assumptions!$B$14*Assumptions!$B$15</x:f>
        <x:v>1.31875</x:v>
      </x:c>
      <x:c r="N745" s="37" t="n">
        <x:f>IF(B745="Pensioner",1,1/(1+Assumptions!$B$6)^G745)</x:f>
        <x:v>0.19449578673364096</x:v>
      </x:c>
      <x:c r="O745" s="50" t="n">
        <x:f>J745*K745*L745*M745*N745</x:f>
        <x:v>331638.3142341095</x:v>
      </x:c>
    </x:row>
    <x:row r="746">
      <x:c r="A746" s="42" t="str">
        <x:f>Members!A746</x:f>
        <x:v>P0233</x:v>
      </x:c>
      <x:c r="B746" s="42" t="str">
        <x:f>Members!B746</x:f>
        <x:v>Pensioner</x:v>
      </x:c>
      <x:c r="C746" s="42" t="n">
        <x:f>Members!C746</x:f>
        <x:v>60</x:v>
      </x:c>
      <x:c r="D746" s="44" t="n">
        <x:f>Members!D746</x:f>
        <x:v>37.6</x:v>
      </x:c>
      <x:c r="E746" s="48" t="n">
        <x:f>Members!E746</x:f>
        <x:v>0</x:v>
      </x:c>
      <x:c r="F746" s="48" t="n">
        <x:f>Members!F746</x:f>
        <x:v>168000</x:v>
      </x:c>
      <x:c r="G746" s="46" t="n">
        <x:f>MAX(0,Assumptions!$B$10-C746)</x:f>
        <x:v>0</x:v>
      </x:c>
      <x:c r="H746" s="50" t="n">
        <x:f>IF(B746="Active",E746*(1+Assumptions!$B$7)^G746,E746)</x:f>
        <x:v>0</x:v>
      </x:c>
      <x:c r="I746" s="50" t="n">
        <x:f>IF(B746="Active",MIN(Assumptions!$B$12,D746+G746),IF(B746="Deferred",MIN(Assumptions!$B$12,D746),D746))</x:f>
        <x:v>37.6</x:v>
      </x:c>
      <x:c r="J746" s="50" t="n">
        <x:f>IF(B746="Active",H746*I746*Assumptions!$B$11,IF(B746="Deferred",E746*I746*Assumptions!$B$11*(1+Assumptions!$B$9)^G746,F746))</x:f>
        <x:v>168000</x:v>
      </x:c>
      <x:c r="K746" s="37" t="n">
        <x:f>IF(B746="Pensioner",1,VLOOKUP(Assumptions!$B$10,Mortality!$A$2:$F$104,6,FALSE)/VLOOKUP(C746,Mortality!$A$2:$F$104,6,FALSE))</x:f>
        <x:v>1</x:v>
      </x:c>
      <x:c r="L746" s="37" t="n">
        <x:f>VLOOKUP(IF(B746="Pensioner",C746,Assumptions!$B$10),Mortality!$A$2:$E$104,5,FALSE)</x:f>
        <x:v>17.296790022132885</x:v>
      </x:c>
      <x:c r="M746" s="37" t="n">
        <x:f>1+Assumptions!$B$13*Assumptions!$B$14*Assumptions!$B$15</x:f>
        <x:v>1.31875</x:v>
      </x:c>
      <x:c r="N746" s="37" t="n">
        <x:f>IF(B746="Pensioner",1,1/(1+Assumptions!$B$6)^G746)</x:f>
        <x:v>1</x:v>
      </x:c>
      <x:c r="O746" s="50" t="n">
        <x:f>J746*K746*L746*M746*N746</x:f>
        <x:v>3832103.829403541</x:v>
      </x:c>
    </x:row>
    <x:row r="747">
      <x:c r="A747" s="42" t="str">
        <x:f>Members!A747</x:f>
        <x:v>P0002</x:v>
      </x:c>
      <x:c r="B747" s="42" t="str">
        <x:f>Members!B747</x:f>
        <x:v>Pensioner</x:v>
      </x:c>
      <x:c r="C747" s="42" t="n">
        <x:f>Members!C747</x:f>
        <x:v>83</x:v>
      </x:c>
      <x:c r="D747" s="44" t="n">
        <x:f>Members!D747</x:f>
        <x:v>18.7</x:v>
      </x:c>
      <x:c r="E747" s="48" t="n">
        <x:f>Members!E747</x:f>
        <x:v>0</x:v>
      </x:c>
      <x:c r="F747" s="48" t="n">
        <x:f>Members!F747</x:f>
        <x:v>642000</x:v>
      </x:c>
      <x:c r="G747" s="46" t="n">
        <x:f>MAX(0,Assumptions!$B$10-C747)</x:f>
        <x:v>0</x:v>
      </x:c>
      <x:c r="H747" s="50" t="n">
        <x:f>IF(B747="Active",E747*(1+Assumptions!$B$7)^G747,E747)</x:f>
        <x:v>0</x:v>
      </x:c>
      <x:c r="I747" s="50" t="n">
        <x:f>IF(B747="Active",MIN(Assumptions!$B$12,D747+G747),IF(B747="Deferred",MIN(Assumptions!$B$12,D747),D747))</x:f>
        <x:v>18.7</x:v>
      </x:c>
      <x:c r="J747" s="50" t="n">
        <x:f>IF(B747="Active",H747*I747*Assumptions!$B$11,IF(B747="Deferred",E747*I747*Assumptions!$B$11*(1+Assumptions!$B$9)^G747,F747))</x:f>
        <x:v>642000</x:v>
      </x:c>
      <x:c r="K747" s="37" t="n">
        <x:f>IF(B747="Pensioner",1,VLOOKUP(Assumptions!$B$10,Mortality!$A$2:$F$104,6,FALSE)/VLOOKUP(C747,Mortality!$A$2:$F$104,6,FALSE))</x:f>
        <x:v>1</x:v>
      </x:c>
      <x:c r="L747" s="37" t="n">
        <x:f>VLOOKUP(IF(B747="Pensioner",C747,Assumptions!$B$10),Mortality!$A$2:$E$104,5,FALSE)</x:f>
        <x:v>7.066956273830788</x:v>
      </x:c>
      <x:c r="M747" s="37" t="n">
        <x:f>1+Assumptions!$B$13*Assumptions!$B$14*Assumptions!$B$15</x:f>
        <x:v>1.31875</x:v>
      </x:c>
      <x:c r="N747" s="37" t="n">
        <x:f>IF(B747="Pensioner",1,1/(1+Assumptions!$B$6)^G747)</x:f>
        <x:v>1</x:v>
      </x:c>
      <x:c r="O747" s="50" t="n">
        <x:f>J747*K747*L747*M747*N747</x:f>
        <x:v>5983150.192285414</x:v>
      </x:c>
    </x:row>
    <x:row r="748">
      <x:c r="A748" s="42" t="str">
        <x:f>Members!A748</x:f>
        <x:v>D0098</x:v>
      </x:c>
      <x:c r="B748" s="42" t="str">
        <x:f>Members!B748</x:f>
        <x:v>Deferred</x:v>
      </x:c>
      <x:c r="C748" s="42" t="n">
        <x:f>Members!C748</x:f>
        <x:v>43</x:v>
      </x:c>
      <x:c r="D748" s="44" t="n">
        <x:f>Members!D748</x:f>
        <x:v>17.8</x:v>
      </x:c>
      <x:c r="E748" s="48" t="n">
        <x:f>Members!E748</x:f>
        <x:v>822000</x:v>
      </x:c>
      <x:c r="F748" s="48" t="n">
        <x:f>Members!F748</x:f>
        <x:v>0</x:v>
      </x:c>
      <x:c r="G748" s="46" t="n">
        <x:f>MAX(0,Assumptions!$B$10-C748)</x:f>
        <x:v>17</x:v>
      </x:c>
      <x:c r="H748" s="50" t="n">
        <x:f>IF(B748="Active",E748*(1+Assumptions!$B$7)^G748,E748)</x:f>
        <x:v>822000</x:v>
      </x:c>
      <x:c r="I748" s="50" t="n">
        <x:f>IF(B748="Active",MIN(Assumptions!$B$12,D748+G748),IF(B748="Deferred",MIN(Assumptions!$B$12,D748),D748))</x:f>
        <x:v>17.8</x:v>
      </x:c>
      <x:c r="J748" s="50" t="n">
        <x:f>IF(B748="Active",H748*I748*Assumptions!$B$11,IF(B748="Deferred",E748*I748*Assumptions!$B$11*(1+Assumptions!$B$9)^G748,F748))</x:f>
        <x:v>475015.01484635484</x:v>
      </x:c>
      <x:c r="K748" s="37" t="n">
        <x:f>IF(B748="Pensioner",1,VLOOKUP(Assumptions!$B$10,Mortality!$A$2:$F$104,6,FALSE)/VLOOKUP(C748,Mortality!$A$2:$F$104,6,FALSE))</x:f>
        <x:v>0.975651758424938</x:v>
      </x:c>
      <x:c r="L748" s="37" t="n">
        <x:f>VLOOKUP(IF(B748="Pensioner",C748,Assumptions!$B$10),Mortality!$A$2:$E$104,5,FALSE)</x:f>
        <x:v>17.296790022132885</x:v>
      </x:c>
      <x:c r="M748" s="37" t="n">
        <x:f>1+Assumptions!$B$13*Assumptions!$B$14*Assumptions!$B$15</x:f>
        <x:v>1.31875</x:v>
      </x:c>
      <x:c r="N748" s="37" t="n">
        <x:f>IF(B748="Pensioner",1,1/(1+Assumptions!$B$6)^G748)</x:f>
        <x:v>0.34281251466174323</x:v>
      </x:c>
      <x:c r="O748" s="50" t="n">
        <x:f>J748*K748*L748*M748*N748</x:f>
        <x:v>3623988.600277069</x:v>
      </x:c>
    </x:row>
    <x:row r="749">
      <x:c r="A749" s="42" t="str">
        <x:f>Members!A749</x:f>
        <x:v>A0122</x:v>
      </x:c>
      <x:c r="B749" s="42" t="str">
        <x:f>Members!B749</x:f>
        <x:v>Active</x:v>
      </x:c>
      <x:c r="C749" s="42" t="n">
        <x:f>Members!C749</x:f>
        <x:v>43</x:v>
      </x:c>
      <x:c r="D749" s="44" t="n">
        <x:f>Members!D749</x:f>
        <x:v>15.1</x:v>
      </x:c>
      <x:c r="E749" s="48" t="n">
        <x:f>Members!E749</x:f>
        <x:v>1290000</x:v>
      </x:c>
      <x:c r="F749" s="48" t="n">
        <x:f>Members!F749</x:f>
        <x:v>0</x:v>
      </x:c>
      <x:c r="G749" s="46" t="n">
        <x:f>MAX(0,Assumptions!$B$10-C749)</x:f>
        <x:v>17</x:v>
      </x:c>
      <x:c r="H749" s="50" t="n">
        <x:f>IF(B749="Active",E749*(1+Assumptions!$B$7)^G749,E749)</x:f>
        <x:v>3205394.770627355</x:v>
      </x:c>
      <x:c r="I749" s="50" t="n">
        <x:f>IF(B749="Active",MIN(Assumptions!$B$12,D749+G749),IF(B749="Deferred",MIN(Assumptions!$B$12,D749),D749))</x:f>
        <x:v>32.1</x:v>
      </x:c>
      <x:c r="J749" s="50" t="n">
        <x:f>IF(B749="Active",H749*I749*Assumptions!$B$11,IF(B749="Deferred",E749*I749*Assumptions!$B$11*(1+Assumptions!$B$9)^G749,F749))</x:f>
        <x:v>1714886.2022856353</x:v>
      </x:c>
      <x:c r="K749" s="37" t="n">
        <x:f>IF(B749="Pensioner",1,VLOOKUP(Assumptions!$B$10,Mortality!$A$2:$F$104,6,FALSE)/VLOOKUP(C749,Mortality!$A$2:$F$104,6,FALSE))</x:f>
        <x:v>0.975651758424938</x:v>
      </x:c>
      <x:c r="L749" s="37" t="n">
        <x:f>VLOOKUP(IF(B749="Pensioner",C749,Assumptions!$B$10),Mortality!$A$2:$E$104,5,FALSE)</x:f>
        <x:v>17.296790022132885</x:v>
      </x:c>
      <x:c r="M749" s="37" t="n">
        <x:f>1+Assumptions!$B$13*Assumptions!$B$14*Assumptions!$B$15</x:f>
        <x:v>1.31875</x:v>
      </x:c>
      <x:c r="N749" s="37" t="n">
        <x:f>IF(B749="Pensioner",1,1/(1+Assumptions!$B$6)^G749)</x:f>
        <x:v>0.34281251466174323</x:v>
      </x:c>
      <x:c r="O749" s="50" t="n">
        <x:f>J749*K749*L749*M749*N749</x:f>
        <x:v>13083224.432107165</x:v>
      </x:c>
    </x:row>
    <x:row r="750">
      <x:c r="A750" s="42" t="str">
        <x:f>Members!A750</x:f>
        <x:v>A0341</x:v>
      </x:c>
      <x:c r="B750" s="42" t="str">
        <x:f>Members!B750</x:f>
        <x:v>Active</x:v>
      </x:c>
      <x:c r="C750" s="42" t="n">
        <x:f>Members!C750</x:f>
        <x:v>24</x:v>
      </x:c>
      <x:c r="D750" s="44" t="n">
        <x:f>Members!D750</x:f>
        <x:v>1</x:v>
      </x:c>
      <x:c r="E750" s="48" t="n">
        <x:f>Members!E750</x:f>
        <x:v>536000</x:v>
      </x:c>
      <x:c r="F750" s="48" t="n">
        <x:f>Members!F750</x:f>
        <x:v>0</x:v>
      </x:c>
      <x:c r="G750" s="46" t="n">
        <x:f>MAX(0,Assumptions!$B$10-C750)</x:f>
        <x:v>36</x:v>
      </x:c>
      <x:c r="H750" s="50" t="n">
        <x:f>IF(B750="Active",E750*(1+Assumptions!$B$7)^G750,E750)</x:f>
        <x:v>3683437.7654247787</x:v>
      </x:c>
      <x:c r="I750" s="50" t="n">
        <x:f>IF(B750="Active",MIN(Assumptions!$B$12,D750+G750),IF(B750="Deferred",MIN(Assumptions!$B$12,D750),D750))</x:f>
        <x:v>37</x:v>
      </x:c>
      <x:c r="J750" s="50" t="n">
        <x:f>IF(B750="Active",H750*I750*Assumptions!$B$11,IF(B750="Deferred",E750*I750*Assumptions!$B$11*(1+Assumptions!$B$9)^G750,F750))</x:f>
        <x:v>2271453.2886786135</x:v>
      </x:c>
      <x:c r="K750" s="37" t="n">
        <x:f>IF(B750="Pensioner",1,VLOOKUP(Assumptions!$B$10,Mortality!$A$2:$F$104,6,FALSE)/VLOOKUP(C750,Mortality!$A$2:$F$104,6,FALSE))</x:f>
        <x:v>0.9687108670060764</x:v>
      </x:c>
      <x:c r="L750" s="37" t="n">
        <x:f>VLOOKUP(IF(B750="Pensioner",C750,Assumptions!$B$10),Mortality!$A$2:$E$104,5,FALSE)</x:f>
        <x:v>17.296790022132885</x:v>
      </x:c>
      <x:c r="M750" s="37" t="n">
        <x:f>1+Assumptions!$B$13*Assumptions!$B$14*Assumptions!$B$15</x:f>
        <x:v>1.31875</x:v>
      </x:c>
      <x:c r="N750" s="37" t="n">
        <x:f>IF(B750="Pensioner",1,1/(1+Assumptions!$B$6)^G750)</x:f>
        <x:v>0.10361296939205883</x:v>
      </x:c>
      <x:c r="O750" s="50" t="n">
        <x:f>J750*K750*L750*M750*N750</x:f>
        <x:v>5200439.973554472</x:v>
      </x:c>
    </x:row>
    <x:row r="751">
      <x:c r="A751" s="42" t="str">
        <x:f>Members!A751</x:f>
        <x:v>P0122</x:v>
      </x:c>
      <x:c r="B751" s="42" t="str">
        <x:f>Members!B751</x:f>
        <x:v>Pensioner</x:v>
      </x:c>
      <x:c r="C751" s="42" t="n">
        <x:f>Members!C751</x:f>
        <x:v>86</x:v>
      </x:c>
      <x:c r="D751" s="44" t="n">
        <x:f>Members!D751</x:f>
        <x:v>30.9</x:v>
      </x:c>
      <x:c r="E751" s="48" t="n">
        <x:f>Members!E751</x:f>
        <x:v>0</x:v>
      </x:c>
      <x:c r="F751" s="48" t="n">
        <x:f>Members!F751</x:f>
        <x:v>400000</x:v>
      </x:c>
      <x:c r="G751" s="46" t="n">
        <x:f>MAX(0,Assumptions!$B$10-C751)</x:f>
        <x:v>0</x:v>
      </x:c>
      <x:c r="H751" s="50" t="n">
        <x:f>IF(B751="Active",E751*(1+Assumptions!$B$7)^G751,E751)</x:f>
        <x:v>0</x:v>
      </x:c>
      <x:c r="I751" s="50" t="n">
        <x:f>IF(B751="Active",MIN(Assumptions!$B$12,D751+G751),IF(B751="Deferred",MIN(Assumptions!$B$12,D751),D751))</x:f>
        <x:v>30.9</x:v>
      </x:c>
      <x:c r="J751" s="50" t="n">
        <x:f>IF(B751="Active",H751*I751*Assumptions!$B$11,IF(B751="Deferred",E751*I751*Assumptions!$B$11*(1+Assumptions!$B$9)^G751,F751))</x:f>
        <x:v>400000</x:v>
      </x:c>
      <x:c r="K751" s="37" t="n">
        <x:f>IF(B751="Pensioner",1,VLOOKUP(Assumptions!$B$10,Mortality!$A$2:$F$104,6,FALSE)/VLOOKUP(C751,Mortality!$A$2:$F$104,6,FALSE))</x:f>
        <x:v>1</x:v>
      </x:c>
      <x:c r="L751" s="37" t="n">
        <x:f>VLOOKUP(IF(B751="Pensioner",C751,Assumptions!$B$10),Mortality!$A$2:$E$104,5,FALSE)</x:f>
        <x:v>5.822832972912483</x:v>
      </x:c>
      <x:c r="M751" s="37" t="n">
        <x:f>1+Assumptions!$B$13*Assumptions!$B$14*Assumptions!$B$15</x:f>
        <x:v>1.31875</x:v>
      </x:c>
      <x:c r="N751" s="37" t="n">
        <x:f>IF(B751="Pensioner",1,1/(1+Assumptions!$B$6)^G751)</x:f>
        <x:v>1</x:v>
      </x:c>
      <x:c r="O751" s="50" t="n">
        <x:f>J751*K751*L751*M751*N751</x:f>
        <x:v>3071544.3932113354</x:v>
      </x:c>
    </x:row>
    <x:row r="752">
      <x:c r="A752" s="42" t="str">
        <x:f>Members!A752</x:f>
        <x:v>D0127</x:v>
      </x:c>
      <x:c r="B752" s="42" t="str">
        <x:f>Members!B752</x:f>
        <x:v>Deferred</x:v>
      </x:c>
      <x:c r="C752" s="42" t="n">
        <x:f>Members!C752</x:f>
        <x:v>44</x:v>
      </x:c>
      <x:c r="D752" s="44" t="n">
        <x:f>Members!D752</x:f>
        <x:v>2.2</x:v>
      </x:c>
      <x:c r="E752" s="48" t="n">
        <x:f>Members!E752</x:f>
        <x:v>803000</x:v>
      </x:c>
      <x:c r="F752" s="48" t="n">
        <x:f>Members!F752</x:f>
        <x:v>0</x:v>
      </x:c>
      <x:c r="G752" s="46" t="n">
        <x:f>MAX(0,Assumptions!$B$10-C752)</x:f>
        <x:v>16</x:v>
      </x:c>
      <x:c r="H752" s="50" t="n">
        <x:f>IF(B752="Active",E752*(1+Assumptions!$B$7)^G752,E752)</x:f>
        <x:v>803000</x:v>
      </x:c>
      <x:c r="I752" s="50" t="n">
        <x:f>IF(B752="Active",MIN(Assumptions!$B$12,D752+G752),IF(B752="Deferred",MIN(Assumptions!$B$12,D752),D752))</x:f>
        <x:v>2.2</x:v>
      </x:c>
      <x:c r="J752" s="50" t="n">
        <x:f>IF(B752="Active",H752*I752*Assumptions!$B$11,IF(B752="Deferred",E752*I752*Assumptions!$B$11*(1+Assumptions!$B$9)^G752,F752))</x:f>
        <x:v>55146.81114502768</x:v>
      </x:c>
      <x:c r="K752" s="37" t="n">
        <x:f>IF(B752="Pensioner",1,VLOOKUP(Assumptions!$B$10,Mortality!$A$2:$F$104,6,FALSE)/VLOOKUP(C752,Mortality!$A$2:$F$104,6,FALSE))</x:f>
        <x:v>0.9762682212178733</x:v>
      </x:c>
      <x:c r="L752" s="37" t="n">
        <x:f>VLOOKUP(IF(B752="Pensioner",C752,Assumptions!$B$10),Mortality!$A$2:$E$104,5,FALSE)</x:f>
        <x:v>17.296790022132885</x:v>
      </x:c>
      <x:c r="M752" s="37" t="n">
        <x:f>1+Assumptions!$B$13*Assumptions!$B$14*Assumptions!$B$15</x:f>
        <x:v>1.31875</x:v>
      </x:c>
      <x:c r="N752" s="37" t="n">
        <x:f>IF(B752="Pensioner",1,1/(1+Assumptions!$B$6)^G752)</x:f>
        <x:v>0.3650953281147565</x:v>
      </x:c>
      <x:c r="O752" s="50" t="n">
        <x:f>J752*K752*L752*M752*N752</x:f>
        <x:v>448356.85968854337</x:v>
      </x:c>
    </x:row>
    <x:row r="753">
      <x:c r="A753" s="42" t="str">
        <x:f>Members!A753</x:f>
        <x:v>D0096</x:v>
      </x:c>
      <x:c r="B753" s="42" t="str">
        <x:f>Members!B753</x:f>
        <x:v>Deferred</x:v>
      </x:c>
      <x:c r="C753" s="42" t="n">
        <x:f>Members!C753</x:f>
        <x:v>30</x:v>
      </x:c>
      <x:c r="D753" s="44" t="n">
        <x:f>Members!D753</x:f>
        <x:v>2</x:v>
      </x:c>
      <x:c r="E753" s="48" t="n">
        <x:f>Members!E753</x:f>
        <x:v>319000</x:v>
      </x:c>
      <x:c r="F753" s="48" t="n">
        <x:f>Members!F753</x:f>
        <x:v>0</x:v>
      </x:c>
      <x:c r="G753" s="46" t="n">
        <x:f>MAX(0,Assumptions!$B$10-C753)</x:f>
        <x:v>30</x:v>
      </x:c>
      <x:c r="H753" s="50" t="n">
        <x:f>IF(B753="Active",E753*(1+Assumptions!$B$7)^G753,E753)</x:f>
        <x:v>319000</x:v>
      </x:c>
      <x:c r="I753" s="50" t="n">
        <x:f>IF(B753="Active",MIN(Assumptions!$B$12,D753+G753),IF(B753="Deferred",MIN(Assumptions!$B$12,D753),D753))</x:f>
        <x:v>2</x:v>
      </x:c>
      <x:c r="J753" s="50" t="n">
        <x:f>IF(B753="Active",H753*I753*Assumptions!$B$11,IF(B753="Deferred",E753*I753*Assumptions!$B$11*(1+Assumptions!$B$9)^G753,F753))</x:f>
        <x:v>34488.1268566262</x:v>
      </x:c>
      <x:c r="K753" s="37" t="n">
        <x:f>IF(B753="Pensioner",1,VLOOKUP(Assumptions!$B$10,Mortality!$A$2:$F$104,6,FALSE)/VLOOKUP(C753,Mortality!$A$2:$F$104,6,FALSE))</x:f>
        <x:v>0.9703456880318753</x:v>
      </x:c>
      <x:c r="L753" s="37" t="n">
        <x:f>VLOOKUP(IF(B753="Pensioner",C753,Assumptions!$B$10),Mortality!$A$2:$E$104,5,FALSE)</x:f>
        <x:v>17.296790022132885</x:v>
      </x:c>
      <x:c r="M753" s="37" t="n">
        <x:f>1+Assumptions!$B$13*Assumptions!$B$14*Assumptions!$B$15</x:f>
        <x:v>1.31875</x:v>
      </x:c>
      <x:c r="N753" s="37" t="n">
        <x:f>IF(B753="Pensioner",1,1/(1+Assumptions!$B$6)^G753)</x:f>
        <x:v>0.1511860661098129</x:v>
      </x:c>
      <x:c r="O753" s="50" t="n">
        <x:f>J753*K753*L753*M753*N753</x:f>
        <x:v>115407.98017705593</x:v>
      </x:c>
    </x:row>
    <x:row r="754">
      <x:c r="A754" s="42" t="str">
        <x:f>Members!A754</x:f>
        <x:v>A0102</x:v>
      </x:c>
      <x:c r="B754" s="42" t="str">
        <x:f>Members!B754</x:f>
        <x:v>Active</x:v>
      </x:c>
      <x:c r="C754" s="42" t="n">
        <x:f>Members!C754</x:f>
        <x:v>51</x:v>
      </x:c>
      <x:c r="D754" s="44" t="n">
        <x:f>Members!D754</x:f>
        <x:v>4.6</x:v>
      </x:c>
      <x:c r="E754" s="48" t="n">
        <x:f>Members!E754</x:f>
        <x:v>1273000</x:v>
      </x:c>
      <x:c r="F754" s="48" t="n">
        <x:f>Members!F754</x:f>
        <x:v>0</x:v>
      </x:c>
      <x:c r="G754" s="46" t="n">
        <x:f>MAX(0,Assumptions!$B$10-C754)</x:f>
        <x:v>9</x:v>
      </x:c>
      <x:c r="H754" s="50" t="n">
        <x:f>IF(B754="Active",E754*(1+Assumptions!$B$7)^G754,E754)</x:f>
        <x:v>2061107.009937558</x:v>
      </x:c>
      <x:c r="I754" s="50" t="n">
        <x:f>IF(B754="Active",MIN(Assumptions!$B$12,D754+G754),IF(B754="Deferred",MIN(Assumptions!$B$12,D754),D754))</x:f>
        <x:v>13.6</x:v>
      </x:c>
      <x:c r="J754" s="50" t="n">
        <x:f>IF(B754="Active",H754*I754*Assumptions!$B$11,IF(B754="Deferred",E754*I754*Assumptions!$B$11*(1+Assumptions!$B$9)^G754,F754))</x:f>
        <x:v>467184.2555858465</x:v>
      </x:c>
      <x:c r="K754" s="37" t="n">
        <x:f>IF(B754="Pensioner",1,VLOOKUP(Assumptions!$B$10,Mortality!$A$2:$F$104,6,FALSE)/VLOOKUP(C754,Mortality!$A$2:$F$104,6,FALSE))</x:f>
        <x:v>0.9824052797506154</x:v>
      </x:c>
      <x:c r="L754" s="37" t="n">
        <x:f>VLOOKUP(IF(B754="Pensioner",C754,Assumptions!$B$10),Mortality!$A$2:$E$104,5,FALSE)</x:f>
        <x:v>17.296790022132885</x:v>
      </x:c>
      <x:c r="M754" s="37" t="n">
        <x:f>1+Assumptions!$B$13*Assumptions!$B$14*Assumptions!$B$15</x:f>
        <x:v>1.31875</x:v>
      </x:c>
      <x:c r="N754" s="37" t="n">
        <x:f>IF(B754="Pensioner",1,1/(1+Assumptions!$B$6)^G754)</x:f>
        <x:v>0.5673532278293633</x:v>
      </x:c>
      <x:c r="O754" s="50" t="n">
        <x:f>J754*K754*L754*M754*N754</x:f>
        <x:v>5939643.812829295</x:v>
      </x:c>
    </x:row>
    <x:row r="755">
      <x:c r="A755" s="42" t="str">
        <x:f>Members!A755</x:f>
        <x:v>A0053</x:v>
      </x:c>
      <x:c r="B755" s="42" t="str">
        <x:f>Members!B755</x:f>
        <x:v>Active</x:v>
      </x:c>
      <x:c r="C755" s="42" t="n">
        <x:f>Members!C755</x:f>
        <x:v>43</x:v>
      </x:c>
      <x:c r="D755" s="44" t="n">
        <x:f>Members!D755</x:f>
        <x:v>9.8</x:v>
      </x:c>
      <x:c r="E755" s="48" t="n">
        <x:f>Members!E755</x:f>
        <x:v>1108000</x:v>
      </x:c>
      <x:c r="F755" s="48" t="n">
        <x:f>Members!F755</x:f>
        <x:v>0</x:v>
      </x:c>
      <x:c r="G755" s="46" t="n">
        <x:f>MAX(0,Assumptions!$B$10-C755)</x:f>
        <x:v>17</x:v>
      </x:c>
      <x:c r="H755" s="50" t="n">
        <x:f>IF(B755="Active",E755*(1+Assumptions!$B$7)^G755,E755)</x:f>
        <x:v>2753160.779732643</x:v>
      </x:c>
      <x:c r="I755" s="50" t="n">
        <x:f>IF(B755="Active",MIN(Assumptions!$B$12,D755+G755),IF(B755="Deferred",MIN(Assumptions!$B$12,D755),D755))</x:f>
        <x:v>26.8</x:v>
      </x:c>
      <x:c r="J755" s="50" t="n">
        <x:f>IF(B755="Active",H755*I755*Assumptions!$B$11,IF(B755="Deferred",E755*I755*Assumptions!$B$11*(1+Assumptions!$B$9)^G755,F755))</x:f>
        <x:v>1229745.1482805805</x:v>
      </x:c>
      <x:c r="K755" s="37" t="n">
        <x:f>IF(B755="Pensioner",1,VLOOKUP(Assumptions!$B$10,Mortality!$A$2:$F$104,6,FALSE)/VLOOKUP(C755,Mortality!$A$2:$F$104,6,FALSE))</x:f>
        <x:v>0.975651758424938</x:v>
      </x:c>
      <x:c r="L755" s="37" t="n">
        <x:f>VLOOKUP(IF(B755="Pensioner",C755,Assumptions!$B$10),Mortality!$A$2:$E$104,5,FALSE)</x:f>
        <x:v>17.296790022132885</x:v>
      </x:c>
      <x:c r="M755" s="37" t="n">
        <x:f>1+Assumptions!$B$13*Assumptions!$B$14*Assumptions!$B$15</x:f>
        <x:v>1.31875</x:v>
      </x:c>
      <x:c r="N755" s="37" t="n">
        <x:f>IF(B755="Pensioner",1,1/(1+Assumptions!$B$6)^G755)</x:f>
        <x:v>0.34281251466174323</x:v>
      </x:c>
      <x:c r="O755" s="50" t="n">
        <x:f>J755*K755*L755*M755*N755</x:f>
        <x:v>9381982.167566542</x:v>
      </x:c>
    </x:row>
    <x:row r="756">
      <x:c r="A756" s="42" t="str">
        <x:f>Members!A756</x:f>
        <x:v>P0217</x:v>
      </x:c>
      <x:c r="B756" s="42" t="str">
        <x:f>Members!B756</x:f>
        <x:v>Pensioner</x:v>
      </x:c>
      <x:c r="C756" s="42" t="n">
        <x:f>Members!C756</x:f>
        <x:v>61</x:v>
      </x:c>
      <x:c r="D756" s="44" t="n">
        <x:f>Members!D756</x:f>
        <x:v>17.8</x:v>
      </x:c>
      <x:c r="E756" s="48" t="n">
        <x:f>Members!E756</x:f>
        <x:v>0</x:v>
      </x:c>
      <x:c r="F756" s="48" t="n">
        <x:f>Members!F756</x:f>
        <x:v>231000</x:v>
      </x:c>
      <x:c r="G756" s="46" t="n">
        <x:f>MAX(0,Assumptions!$B$10-C756)</x:f>
        <x:v>0</x:v>
      </x:c>
      <x:c r="H756" s="50" t="n">
        <x:f>IF(B756="Active",E756*(1+Assumptions!$B$7)^G756,E756)</x:f>
        <x:v>0</x:v>
      </x:c>
      <x:c r="I756" s="50" t="n">
        <x:f>IF(B756="Active",MIN(Assumptions!$B$12,D756+G756),IF(B756="Deferred",MIN(Assumptions!$B$12,D756),D756))</x:f>
        <x:v>17.8</x:v>
      </x:c>
      <x:c r="J756" s="50" t="n">
        <x:f>IF(B756="Active",H756*I756*Assumptions!$B$11,IF(B756="Deferred",E756*I756*Assumptions!$B$11*(1+Assumptions!$B$9)^G756,F756))</x:f>
        <x:v>231000</x:v>
      </x:c>
      <x:c r="K756" s="37" t="n">
        <x:f>IF(B756="Pensioner",1,VLOOKUP(Assumptions!$B$10,Mortality!$A$2:$F$104,6,FALSE)/VLOOKUP(C756,Mortality!$A$2:$F$104,6,FALSE))</x:f>
        <x:v>1</x:v>
      </x:c>
      <x:c r="L756" s="37" t="n">
        <x:f>VLOOKUP(IF(B756="Pensioner",C756,Assumptions!$B$10),Mortality!$A$2:$E$104,5,FALSE)</x:f>
        <x:v>16.889485221588366</x:v>
      </x:c>
      <x:c r="M756" s="37" t="n">
        <x:f>1+Assumptions!$B$13*Assumptions!$B$14*Assumptions!$B$15</x:f>
        <x:v>1.31875</x:v>
      </x:c>
      <x:c r="N756" s="37" t="n">
        <x:f>IF(B756="Pensioner",1,1/(1+Assumptions!$B$6)^G756)</x:f>
        <x:v>1</x:v>
      </x:c>
      <x:c r="O756" s="50" t="n">
        <x:f>J756*K756*L756*M756*N756</x:f>
        <x:v>5145064.994908991</x:v>
      </x:c>
    </x:row>
    <x:row r="757">
      <x:c r="A757" s="42" t="str">
        <x:f>Members!A757</x:f>
        <x:v>A0459</x:v>
      </x:c>
      <x:c r="B757" s="42" t="str">
        <x:f>Members!B757</x:f>
        <x:v>Active</x:v>
      </x:c>
      <x:c r="C757" s="42" t="n">
        <x:f>Members!C757</x:f>
        <x:v>28</x:v>
      </x:c>
      <x:c r="D757" s="44" t="n">
        <x:f>Members!D757</x:f>
        <x:v>1.1</x:v>
      </x:c>
      <x:c r="E757" s="48" t="n">
        <x:f>Members!E757</x:f>
        <x:v>447000</x:v>
      </x:c>
      <x:c r="F757" s="48" t="n">
        <x:f>Members!F757</x:f>
        <x:v>0</x:v>
      </x:c>
      <x:c r="G757" s="46" t="n">
        <x:f>MAX(0,Assumptions!$B$10-C757)</x:f>
        <x:v>32</x:v>
      </x:c>
      <x:c r="H757" s="50" t="n">
        <x:f>IF(B757="Active",E757*(1+Assumptions!$B$7)^G757,E757)</x:f>
        <x:v>2479626.2850963622</x:v>
      </x:c>
      <x:c r="I757" s="50" t="n">
        <x:f>IF(B757="Active",MIN(Assumptions!$B$12,D757+G757),IF(B757="Deferred",MIN(Assumptions!$B$12,D757),D757))</x:f>
        <x:v>33.1</x:v>
      </x:c>
      <x:c r="J757" s="50" t="n">
        <x:f>IF(B757="Active",H757*I757*Assumptions!$B$11,IF(B757="Deferred",E757*I757*Assumptions!$B$11*(1+Assumptions!$B$9)^G757,F757))</x:f>
        <x:v>1367927.1672781599</x:v>
      </x:c>
      <x:c r="K757" s="37" t="n">
        <x:f>IF(B757="Pensioner",1,VLOOKUP(Assumptions!$B$10,Mortality!$A$2:$F$104,6,FALSE)/VLOOKUP(C757,Mortality!$A$2:$F$104,6,FALSE))</x:f>
        <x:v>0.9697719614347323</x:v>
      </x:c>
      <x:c r="L757" s="37" t="n">
        <x:f>VLOOKUP(IF(B757="Pensioner",C757,Assumptions!$B$10),Mortality!$A$2:$E$104,5,FALSE)</x:f>
        <x:v>17.296790022132885</x:v>
      </x:c>
      <x:c r="M757" s="37" t="n">
        <x:f>1+Assumptions!$B$13*Assumptions!$B$14*Assumptions!$B$15</x:f>
        <x:v>1.31875</x:v>
      </x:c>
      <x:c r="N757" s="37" t="n">
        <x:f>IF(B757="Pensioner",1,1/(1+Assumptions!$B$6)^G757)</x:f>
        <x:v>0.13329459861122173</x:v>
      </x:c>
      <x:c r="O757" s="50" t="n">
        <x:f>J757*K757*L757*M757*N757</x:f>
        <x:v>4033417.1010477226</x:v>
      </x:c>
    </x:row>
    <x:row r="758">
      <x:c r="A758" s="42" t="str">
        <x:f>Members!A758</x:f>
        <x:v>A0124</x:v>
      </x:c>
      <x:c r="B758" s="42" t="str">
        <x:f>Members!B758</x:f>
        <x:v>Active</x:v>
      </x:c>
      <x:c r="C758" s="42" t="n">
        <x:f>Members!C758</x:f>
        <x:v>49</x:v>
      </x:c>
      <x:c r="D758" s="44" t="n">
        <x:f>Members!D758</x:f>
        <x:v>10.7</x:v>
      </x:c>
      <x:c r="E758" s="48" t="n">
        <x:f>Members!E758</x:f>
        <x:v>1295000</x:v>
      </x:c>
      <x:c r="F758" s="48" t="n">
        <x:f>Members!F758</x:f>
        <x:v>0</x:v>
      </x:c>
      <x:c r="G758" s="46" t="n">
        <x:f>MAX(0,Assumptions!$B$10-C758)</x:f>
        <x:v>11</x:v>
      </x:c>
      <x:c r="H758" s="50" t="n">
        <x:f>IF(B758="Active",E758*(1+Assumptions!$B$7)^G758,E758)</x:f>
        <x:v>2333709.6626141374</x:v>
      </x:c>
      <x:c r="I758" s="50" t="n">
        <x:f>IF(B758="Active",MIN(Assumptions!$B$12,D758+G758),IF(B758="Deferred",MIN(Assumptions!$B$12,D758),D758))</x:f>
        <x:v>21.7</x:v>
      </x:c>
      <x:c r="J758" s="50" t="n">
        <x:f>IF(B758="Active",H758*I758*Assumptions!$B$11,IF(B758="Deferred",E758*I758*Assumptions!$B$11*(1+Assumptions!$B$9)^G758,F758))</x:f>
        <x:v>844024.9946454463</x:v>
      </x:c>
      <x:c r="K758" s="37" t="n">
        <x:f>IF(B758="Pensioner",1,VLOOKUP(Assumptions!$B$10,Mortality!$A$2:$F$104,6,FALSE)/VLOOKUP(C758,Mortality!$A$2:$F$104,6,FALSE))</x:f>
        <x:v>0.9802429662359576</x:v>
      </x:c>
      <x:c r="L758" s="37" t="n">
        <x:f>VLOOKUP(IF(B758="Pensioner",C758,Assumptions!$B$10),Mortality!$A$2:$E$104,5,FALSE)</x:f>
        <x:v>17.296790022132885</x:v>
      </x:c>
      <x:c r="M758" s="37" t="n">
        <x:f>1+Assumptions!$B$13*Assumptions!$B$14*Assumptions!$B$15</x:f>
        <x:v>1.31875</x:v>
      </x:c>
      <x:c r="N758" s="37" t="n">
        <x:f>IF(B758="Pensioner",1,1/(1+Assumptions!$B$6)^G758)</x:f>
        <x:v>0.5002122399253793</x:v>
      </x:c>
      <x:c r="O758" s="50" t="n">
        <x:f>J758*K758*L758*M758*N758</x:f>
        <x:v>9439985.841072643</x:v>
      </x:c>
    </x:row>
    <x:row r="759">
      <x:c r="A759" s="42" t="str">
        <x:f>Members!A759</x:f>
        <x:v>P0062</x:v>
      </x:c>
      <x:c r="B759" s="42" t="str">
        <x:f>Members!B759</x:f>
        <x:v>Pensioner</x:v>
      </x:c>
      <x:c r="C759" s="42" t="n">
        <x:f>Members!C759</x:f>
        <x:v>78</x:v>
      </x:c>
      <x:c r="D759" s="44" t="n">
        <x:f>Members!D759</x:f>
        <x:v>31.2</x:v>
      </x:c>
      <x:c r="E759" s="48" t="n">
        <x:f>Members!E759</x:f>
        <x:v>0</x:v>
      </x:c>
      <x:c r="F759" s="48" t="n">
        <x:f>Members!F759</x:f>
        <x:v>299000</x:v>
      </x:c>
      <x:c r="G759" s="46" t="n">
        <x:f>MAX(0,Assumptions!$B$10-C759)</x:f>
        <x:v>0</x:v>
      </x:c>
      <x:c r="H759" s="50" t="n">
        <x:f>IF(B759="Active",E759*(1+Assumptions!$B$7)^G759,E759)</x:f>
        <x:v>0</x:v>
      </x:c>
      <x:c r="I759" s="50" t="n">
        <x:f>IF(B759="Active",MIN(Assumptions!$B$12,D759+G759),IF(B759="Deferred",MIN(Assumptions!$B$12,D759),D759))</x:f>
        <x:v>31.2</x:v>
      </x:c>
      <x:c r="J759" s="50" t="n">
        <x:f>IF(B759="Active",H759*I759*Assumptions!$B$11,IF(B759="Deferred",E759*I759*Assumptions!$B$11*(1+Assumptions!$B$9)^G759,F759))</x:f>
        <x:v>299000</x:v>
      </x:c>
      <x:c r="K759" s="37" t="n">
        <x:f>IF(B759="Pensioner",1,VLOOKUP(Assumptions!$B$10,Mortality!$A$2:$F$104,6,FALSE)/VLOOKUP(C759,Mortality!$A$2:$F$104,6,FALSE))</x:f>
        <x:v>1</x:v>
      </x:c>
      <x:c r="L759" s="37" t="n">
        <x:f>VLOOKUP(IF(B759="Pensioner",C759,Assumptions!$B$10),Mortality!$A$2:$E$104,5,FALSE)</x:f>
        <x:v>9.284717924120388</x:v>
      </x:c>
      <x:c r="M759" s="37" t="n">
        <x:f>1+Assumptions!$B$13*Assumptions!$B$14*Assumptions!$B$15</x:f>
        <x:v>1.31875</x:v>
      </x:c>
      <x:c r="N759" s="37" t="n">
        <x:f>IF(B759="Pensioner",1,1/(1+Assumptions!$B$6)^G759)</x:f>
        <x:v>1</x:v>
      </x:c>
      <x:c r="O759" s="50" t="n">
        <x:f>J759*K759*L759*M759*N759</x:f>
        <x:v>3661022.306967695</x:v>
      </x:c>
    </x:row>
    <x:row r="760">
      <x:c r="A760" s="42" t="str">
        <x:f>Members!A760</x:f>
        <x:v>P0052</x:v>
      </x:c>
      <x:c r="B760" s="42" t="str">
        <x:f>Members!B760</x:f>
        <x:v>Pensioner</x:v>
      </x:c>
      <x:c r="C760" s="42" t="n">
        <x:f>Members!C760</x:f>
        <x:v>69</x:v>
      </x:c>
      <x:c r="D760" s="44" t="n">
        <x:f>Members!D760</x:f>
        <x:v>29.5</x:v>
      </x:c>
      <x:c r="E760" s="48" t="n">
        <x:f>Members!E760</x:f>
        <x:v>0</x:v>
      </x:c>
      <x:c r="F760" s="48" t="n">
        <x:f>Members!F760</x:f>
        <x:v>334000</x:v>
      </x:c>
      <x:c r="G760" s="46" t="n">
        <x:f>MAX(0,Assumptions!$B$10-C760)</x:f>
        <x:v>0</x:v>
      </x:c>
      <x:c r="H760" s="50" t="n">
        <x:f>IF(B760="Active",E760*(1+Assumptions!$B$7)^G760,E760)</x:f>
        <x:v>0</x:v>
      </x:c>
      <x:c r="I760" s="50" t="n">
        <x:f>IF(B760="Active",MIN(Assumptions!$B$12,D760+G760),IF(B760="Deferred",MIN(Assumptions!$B$12,D760),D760))</x:f>
        <x:v>29.5</x:v>
      </x:c>
      <x:c r="J760" s="50" t="n">
        <x:f>IF(B760="Active",H760*I760*Assumptions!$B$11,IF(B760="Deferred",E760*I760*Assumptions!$B$11*(1+Assumptions!$B$9)^G760,F760))</x:f>
        <x:v>334000</x:v>
      </x:c>
      <x:c r="K760" s="37" t="n">
        <x:f>IF(B760="Pensioner",1,VLOOKUP(Assumptions!$B$10,Mortality!$A$2:$F$104,6,FALSE)/VLOOKUP(C760,Mortality!$A$2:$F$104,6,FALSE))</x:f>
        <x:v>1</x:v>
      </x:c>
      <x:c r="L760" s="37" t="n">
        <x:f>VLOOKUP(IF(B760="Pensioner",C760,Assumptions!$B$10),Mortality!$A$2:$E$104,5,FALSE)</x:f>
        <x:v>13.418448528291036</x:v>
      </x:c>
      <x:c r="M760" s="37" t="n">
        <x:f>1+Assumptions!$B$13*Assumptions!$B$14*Assumptions!$B$15</x:f>
        <x:v>1.31875</x:v>
      </x:c>
      <x:c r="N760" s="37" t="n">
        <x:f>IF(B760="Pensioner",1,1/(1+Assumptions!$B$6)^G760)</x:f>
        <x:v>1</x:v>
      </x:c>
      <x:c r="O760" s="50" t="n">
        <x:f>J760*K760*L760*M760*N760</x:f>
        <x:v>5910323.384892391</x:v>
      </x:c>
    </x:row>
    <x:row r="761">
      <x:c r="A761" s="42" t="str">
        <x:f>Members!A761</x:f>
        <x:v>A0343</x:v>
      </x:c>
      <x:c r="B761" s="42" t="str">
        <x:f>Members!B761</x:f>
        <x:v>Active</x:v>
      </x:c>
      <x:c r="C761" s="42" t="n">
        <x:f>Members!C761</x:f>
        <x:v>22</x:v>
      </x:c>
      <x:c r="D761" s="44" t="n">
        <x:f>Members!D761</x:f>
        <x:v>1</x:v>
      </x:c>
      <x:c r="E761" s="48" t="n">
        <x:f>Members!E761</x:f>
        <x:v>455000</x:v>
      </x:c>
      <x:c r="F761" s="48" t="n">
        <x:f>Members!F761</x:f>
        <x:v>0</x:v>
      </x:c>
      <x:c r="G761" s="46" t="n">
        <x:f>MAX(0,Assumptions!$B$10-C761)</x:f>
        <x:v>38</x:v>
      </x:c>
      <x:c r="H761" s="50" t="n">
        <x:f>IF(B761="Active",E761*(1+Assumptions!$B$7)^G761,E761)</x:f>
        <x:v>3480205.2893324085</x:v>
      </x:c>
      <x:c r="I761" s="50" t="n">
        <x:f>IF(B761="Active",MIN(Assumptions!$B$12,D761+G761),IF(B761="Deferred",MIN(Assumptions!$B$12,D761),D761))</x:f>
        <x:v>39</x:v>
      </x:c>
      <x:c r="J761" s="50" t="n">
        <x:f>IF(B761="Active",H761*I761*Assumptions!$B$11,IF(B761="Deferred",E761*I761*Assumptions!$B$11*(1+Assumptions!$B$9)^G761,F761))</x:f>
        <x:v>2262133.4380660653</x:v>
      </x:c>
      <x:c r="K761" s="37" t="n">
        <x:f>IF(B761="Pensioner",1,VLOOKUP(Assumptions!$B$10,Mortality!$A$2:$F$104,6,FALSE)/VLOOKUP(C761,Mortality!$A$2:$F$104,6,FALSE))</x:f>
        <x:v>0.9682119922904866</x:v>
      </x:c>
      <x:c r="L761" s="37" t="n">
        <x:f>VLOOKUP(IF(B761="Pensioner",C761,Assumptions!$B$10),Mortality!$A$2:$E$104,5,FALSE)</x:f>
        <x:v>17.296790022132885</x:v>
      </x:c>
      <x:c r="M761" s="37" t="n">
        <x:f>1+Assumptions!$B$13*Assumptions!$B$14*Assumptions!$B$15</x:f>
        <x:v>1.31875</x:v>
      </x:c>
      <x:c r="N761" s="37" t="n">
        <x:f>IF(B761="Pensioner",1,1/(1+Assumptions!$B$6)^G761)</x:f>
        <x:v>0.09135133627989055</x:v>
      </x:c>
      <x:c r="O761" s="50" t="n">
        <x:f>J761*K761*L761*M761*N761</x:f>
        <x:v>4563852.157559743</x:v>
      </x:c>
    </x:row>
    <x:row r="762">
      <x:c r="A762" s="42" t="str">
        <x:f>Members!A762</x:f>
        <x:v>A0393</x:v>
      </x:c>
      <x:c r="B762" s="42" t="str">
        <x:f>Members!B762</x:f>
        <x:v>Active</x:v>
      </x:c>
      <x:c r="C762" s="42" t="n">
        <x:f>Members!C762</x:f>
        <x:v>41</x:v>
      </x:c>
      <x:c r="D762" s="44" t="n">
        <x:f>Members!D762</x:f>
        <x:v>7.5</x:v>
      </x:c>
      <x:c r="E762" s="48" t="n">
        <x:f>Members!E762</x:f>
        <x:v>1136000</x:v>
      </x:c>
      <x:c r="F762" s="48" t="n">
        <x:f>Members!F762</x:f>
        <x:v>0</x:v>
      </x:c>
      <x:c r="G762" s="46" t="n">
        <x:f>MAX(0,Assumptions!$B$10-C762)</x:f>
        <x:v>19</x:v>
      </x:c>
      <x:c r="H762" s="50" t="n">
        <x:f>IF(B762="Active",E762*(1+Assumptions!$B$7)^G762,E762)</x:f>
        <x:v>3141774.8903566306</x:v>
      </x:c>
      <x:c r="I762" s="50" t="n">
        <x:f>IF(B762="Active",MIN(Assumptions!$B$12,D762+G762),IF(B762="Deferred",MIN(Assumptions!$B$12,D762),D762))</x:f>
        <x:v>26.5</x:v>
      </x:c>
      <x:c r="J762" s="50" t="n">
        <x:f>IF(B762="Active",H762*I762*Assumptions!$B$11,IF(B762="Deferred",E762*I762*Assumptions!$B$11*(1+Assumptions!$B$9)^G762,F762))</x:f>
        <x:v>1387617.2432408452</x:v>
      </x:c>
      <x:c r="K762" s="37" t="n">
        <x:f>IF(B762="Pensioner",1,VLOOKUP(Assumptions!$B$10,Mortality!$A$2:$F$104,6,FALSE)/VLOOKUP(C762,Mortality!$A$2:$F$104,6,FALSE))</x:f>
        <x:v>0.9745478954079534</x:v>
      </x:c>
      <x:c r="L762" s="37" t="n">
        <x:f>VLOOKUP(IF(B762="Pensioner",C762,Assumptions!$B$10),Mortality!$A$2:$E$104,5,FALSE)</x:f>
        <x:v>17.296790022132885</x:v>
      </x:c>
      <x:c r="M762" s="37" t="n">
        <x:f>1+Assumptions!$B$13*Assumptions!$B$14*Assumptions!$B$15</x:f>
        <x:v>1.31875</x:v>
      </x:c>
      <x:c r="N762" s="37" t="n">
        <x:f>IF(B762="Pensioner",1,1/(1+Assumptions!$B$6)^G762)</x:f>
        <x:v>0.30224383580131214</x:v>
      </x:c>
      <x:c r="O762" s="50" t="n">
        <x:f>J762*K762*L762*M762*N762</x:f>
        <x:v>9323056.455172624</x:v>
      </x:c>
    </x:row>
    <x:row r="763">
      <x:c r="A763" s="42" t="str">
        <x:f>Members!A763</x:f>
        <x:v>P0096</x:v>
      </x:c>
      <x:c r="B763" s="42" t="str">
        <x:f>Members!B763</x:f>
        <x:v>Pensioner</x:v>
      </x:c>
      <x:c r="C763" s="42" t="n">
        <x:f>Members!C763</x:f>
        <x:v>87</x:v>
      </x:c>
      <x:c r="D763" s="44" t="n">
        <x:f>Members!D763</x:f>
        <x:v>17.5</x:v>
      </x:c>
      <x:c r="E763" s="48" t="n">
        <x:f>Members!E763</x:f>
        <x:v>0</x:v>
      </x:c>
      <x:c r="F763" s="48" t="n">
        <x:f>Members!F763</x:f>
        <x:v>451000</x:v>
      </x:c>
      <x:c r="G763" s="46" t="n">
        <x:f>MAX(0,Assumptions!$B$10-C763)</x:f>
        <x:v>0</x:v>
      </x:c>
      <x:c r="H763" s="50" t="n">
        <x:f>IF(B763="Active",E763*(1+Assumptions!$B$7)^G763,E763)</x:f>
        <x:v>0</x:v>
      </x:c>
      <x:c r="I763" s="50" t="n">
        <x:f>IF(B763="Active",MIN(Assumptions!$B$12,D763+G763),IF(B763="Deferred",MIN(Assumptions!$B$12,D763),D763))</x:f>
        <x:v>17.5</x:v>
      </x:c>
      <x:c r="J763" s="50" t="n">
        <x:f>IF(B763="Active",H763*I763*Assumptions!$B$11,IF(B763="Deferred",E763*I763*Assumptions!$B$11*(1+Assumptions!$B$9)^G763,F763))</x:f>
        <x:v>451000</x:v>
      </x:c>
      <x:c r="K763" s="37" t="n">
        <x:f>IF(B763="Pensioner",1,VLOOKUP(Assumptions!$B$10,Mortality!$A$2:$F$104,6,FALSE)/VLOOKUP(C763,Mortality!$A$2:$F$104,6,FALSE))</x:f>
        <x:v>1</x:v>
      </x:c>
      <x:c r="L763" s="37" t="n">
        <x:f>VLOOKUP(IF(B763="Pensioner",C763,Assumptions!$B$10),Mortality!$A$2:$E$104,5,FALSE)</x:f>
        <x:v>5.427731360162463</x:v>
      </x:c>
      <x:c r="M763" s="37" t="n">
        <x:f>1+Assumptions!$B$13*Assumptions!$B$14*Assumptions!$B$15</x:f>
        <x:v>1.31875</x:v>
      </x:c>
      <x:c r="N763" s="37" t="n">
        <x:f>IF(B763="Pensioner",1,1/(1+Assumptions!$B$6)^G763)</x:f>
        <x:v>1</x:v>
      </x:c>
      <x:c r="O763" s="50" t="n">
        <x:f>J763*K763*L763*M763*N763</x:f>
        <x:v>3228177.149777626</x:v>
      </x:c>
    </x:row>
    <x:row r="764">
      <x:c r="A764" s="42" t="str">
        <x:f>Members!A764</x:f>
        <x:v>A0284</x:v>
      </x:c>
      <x:c r="B764" s="42" t="str">
        <x:f>Members!B764</x:f>
        <x:v>Active</x:v>
      </x:c>
      <x:c r="C764" s="42" t="n">
        <x:f>Members!C764</x:f>
        <x:v>34</x:v>
      </x:c>
      <x:c r="D764" s="44" t="n">
        <x:f>Members!D764</x:f>
        <x:v>1.8</x:v>
      </x:c>
      <x:c r="E764" s="48" t="n">
        <x:f>Members!E764</x:f>
        <x:v>666000</x:v>
      </x:c>
      <x:c r="F764" s="48" t="n">
        <x:f>Members!F764</x:f>
        <x:v>0</x:v>
      </x:c>
      <x:c r="G764" s="46" t="n">
        <x:f>MAX(0,Assumptions!$B$10-C764)</x:f>
        <x:v>26</x:v>
      </x:c>
      <x:c r="H764" s="50" t="n">
        <x:f>IF(B764="Active",E764*(1+Assumptions!$B$7)^G764,E764)</x:f>
        <x:v>2679403.865911518</x:v>
      </x:c>
      <x:c r="I764" s="50" t="n">
        <x:f>IF(B764="Active",MIN(Assumptions!$B$12,D764+G764),IF(B764="Deferred",MIN(Assumptions!$B$12,D764),D764))</x:f>
        <x:v>27.8</x:v>
      </x:c>
      <x:c r="J764" s="50" t="n">
        <x:f>IF(B764="Active",H764*I764*Assumptions!$B$11,IF(B764="Deferred",E764*I764*Assumptions!$B$11*(1+Assumptions!$B$9)^G764,F764))</x:f>
        <x:v>1241457.1245390035</x:v>
      </x:c>
      <x:c r="K764" s="37" t="n">
        <x:f>IF(B764="Pensioner",1,VLOOKUP(Assumptions!$B$10,Mortality!$A$2:$F$104,6,FALSE)/VLOOKUP(C764,Mortality!$A$2:$F$104,6,FALSE))</x:f>
        <x:v>0.9716205819233391</x:v>
      </x:c>
      <x:c r="L764" s="37" t="n">
        <x:f>VLOOKUP(IF(B764="Pensioner",C764,Assumptions!$B$10),Mortality!$A$2:$E$104,5,FALSE)</x:f>
        <x:v>17.296790022132885</x:v>
      </x:c>
      <x:c r="M764" s="37" t="n">
        <x:f>1+Assumptions!$B$13*Assumptions!$B$14*Assumptions!$B$15</x:f>
        <x:v>1.31875</x:v>
      </x:c>
      <x:c r="N764" s="37" t="n">
        <x:f>IF(B764="Pensioner",1,1/(1+Assumptions!$B$6)^G764)</x:f>
        <x:v>0.19449578673364096</x:v>
      </x:c>
      <x:c r="O764" s="50" t="n">
        <x:f>J764*K764*L764*M764*N764</x:f>
        <x:v>5351390.149049506</x:v>
      </x:c>
    </x:row>
    <x:row r="765">
      <x:c r="A765" s="42" t="str">
        <x:f>Members!A765</x:f>
        <x:v>P0176</x:v>
      </x:c>
      <x:c r="B765" s="42" t="str">
        <x:f>Members!B765</x:f>
        <x:v>Pensioner</x:v>
      </x:c>
      <x:c r="C765" s="42" t="n">
        <x:f>Members!C765</x:f>
        <x:v>81</x:v>
      </x:c>
      <x:c r="D765" s="44" t="n">
        <x:f>Members!D765</x:f>
        <x:v>29.6</x:v>
      </x:c>
      <x:c r="E765" s="48" t="n">
        <x:f>Members!E765</x:f>
        <x:v>0</x:v>
      </x:c>
      <x:c r="F765" s="48" t="n">
        <x:f>Members!F765</x:f>
        <x:v>310000</x:v>
      </x:c>
      <x:c r="G765" s="46" t="n">
        <x:f>MAX(0,Assumptions!$B$10-C765)</x:f>
        <x:v>0</x:v>
      </x:c>
      <x:c r="H765" s="50" t="n">
        <x:f>IF(B765="Active",E765*(1+Assumptions!$B$7)^G765,E765)</x:f>
        <x:v>0</x:v>
      </x:c>
      <x:c r="I765" s="50" t="n">
        <x:f>IF(B765="Active",MIN(Assumptions!$B$12,D765+G765),IF(B765="Deferred",MIN(Assumptions!$B$12,D765),D765))</x:f>
        <x:v>29.6</x:v>
      </x:c>
      <x:c r="J765" s="50" t="n">
        <x:f>IF(B765="Active",H765*I765*Assumptions!$B$11,IF(B765="Deferred",E765*I765*Assumptions!$B$11*(1+Assumptions!$B$9)^G765,F765))</x:f>
        <x:v>310000</x:v>
      </x:c>
      <x:c r="K765" s="37" t="n">
        <x:f>IF(B765="Pensioner",1,VLOOKUP(Assumptions!$B$10,Mortality!$A$2:$F$104,6,FALSE)/VLOOKUP(C765,Mortality!$A$2:$F$104,6,FALSE))</x:f>
        <x:v>1</x:v>
      </x:c>
      <x:c r="L765" s="37" t="n">
        <x:f>VLOOKUP(IF(B765="Pensioner",C765,Assumptions!$B$10),Mortality!$A$2:$E$104,5,FALSE)</x:f>
        <x:v>7.936897714048503</x:v>
      </x:c>
      <x:c r="M765" s="37" t="n">
        <x:f>1+Assumptions!$B$13*Assumptions!$B$14*Assumptions!$B$15</x:f>
        <x:v>1.31875</x:v>
      </x:c>
      <x:c r="N765" s="37" t="n">
        <x:f>IF(B765="Pensioner",1,1/(1+Assumptions!$B$6)^G765)</x:f>
        <x:v>1</x:v>
      </x:c>
      <x:c r="O765" s="50" t="n">
        <x:f>J765*K765*L765*M765*N765</x:f>
        <x:v>3244702.9967244538</x:v>
      </x:c>
    </x:row>
    <x:row r="766">
      <x:c r="A766" s="42" t="str">
        <x:f>Members!A766</x:f>
        <x:v>A0017</x:v>
      </x:c>
      <x:c r="B766" s="42" t="str">
        <x:f>Members!B766</x:f>
        <x:v>Active</x:v>
      </x:c>
      <x:c r="C766" s="42" t="n">
        <x:f>Members!C766</x:f>
        <x:v>49</x:v>
      </x:c>
      <x:c r="D766" s="44" t="n">
        <x:f>Members!D766</x:f>
        <x:v>2.6</x:v>
      </x:c>
      <x:c r="E766" s="48" t="n">
        <x:f>Members!E766</x:f>
        <x:v>1428000</x:v>
      </x:c>
      <x:c r="F766" s="48" t="n">
        <x:f>Members!F766</x:f>
        <x:v>0</x:v>
      </x:c>
      <x:c r="G766" s="46" t="n">
        <x:f>MAX(0,Assumptions!$B$10-C766)</x:f>
        <x:v>11</x:v>
      </x:c>
      <x:c r="H766" s="50" t="n">
        <x:f>IF(B766="Active",E766*(1+Assumptions!$B$7)^G766,E766)</x:f>
        <x:v>2573387.952288022</x:v>
      </x:c>
      <x:c r="I766" s="50" t="n">
        <x:f>IF(B766="Active",MIN(Assumptions!$B$12,D766+G766),IF(B766="Deferred",MIN(Assumptions!$B$12,D766),D766))</x:f>
        <x:v>13.6</x:v>
      </x:c>
      <x:c r="J766" s="50" t="n">
        <x:f>IF(B766="Active",H766*I766*Assumptions!$B$11,IF(B766="Deferred",E766*I766*Assumptions!$B$11*(1+Assumptions!$B$9)^G766,F766))</x:f>
        <x:v>583301.2691852849</x:v>
      </x:c>
      <x:c r="K766" s="37" t="n">
        <x:f>IF(B766="Pensioner",1,VLOOKUP(Assumptions!$B$10,Mortality!$A$2:$F$104,6,FALSE)/VLOOKUP(C766,Mortality!$A$2:$F$104,6,FALSE))</x:f>
        <x:v>0.9802429662359576</x:v>
      </x:c>
      <x:c r="L766" s="37" t="n">
        <x:f>VLOOKUP(IF(B766="Pensioner",C766,Assumptions!$B$10),Mortality!$A$2:$E$104,5,FALSE)</x:f>
        <x:v>17.296790022132885</x:v>
      </x:c>
      <x:c r="M766" s="37" t="n">
        <x:f>1+Assumptions!$B$13*Assumptions!$B$14*Assumptions!$B$15</x:f>
        <x:v>1.31875</x:v>
      </x:c>
      <x:c r="N766" s="37" t="n">
        <x:f>IF(B766="Pensioner",1,1/(1+Assumptions!$B$6)^G766)</x:f>
        <x:v>0.5002122399253793</x:v>
      </x:c>
      <x:c r="O766" s="50" t="n">
        <x:f>J766*K766*L766*M766*N766</x:f>
        <x:v>6523924.951419092</x:v>
      </x:c>
    </x:row>
    <x:row r="767">
      <x:c r="A767" s="42" t="str">
        <x:f>Members!A767</x:f>
        <x:v>P0246</x:v>
      </x:c>
      <x:c r="B767" s="42" t="str">
        <x:f>Members!B767</x:f>
        <x:v>Pensioner</x:v>
      </x:c>
      <x:c r="C767" s="42" t="n">
        <x:f>Members!C767</x:f>
        <x:v>83</x:v>
      </x:c>
      <x:c r="D767" s="44" t="n">
        <x:f>Members!D767</x:f>
        <x:v>17.4</x:v>
      </x:c>
      <x:c r="E767" s="48" t="n">
        <x:f>Members!E767</x:f>
        <x:v>0</x:v>
      </x:c>
      <x:c r="F767" s="48" t="n">
        <x:f>Members!F767</x:f>
        <x:v>701000</x:v>
      </x:c>
      <x:c r="G767" s="46" t="n">
        <x:f>MAX(0,Assumptions!$B$10-C767)</x:f>
        <x:v>0</x:v>
      </x:c>
      <x:c r="H767" s="50" t="n">
        <x:f>IF(B767="Active",E767*(1+Assumptions!$B$7)^G767,E767)</x:f>
        <x:v>0</x:v>
      </x:c>
      <x:c r="I767" s="50" t="n">
        <x:f>IF(B767="Active",MIN(Assumptions!$B$12,D767+G767),IF(B767="Deferred",MIN(Assumptions!$B$12,D767),D767))</x:f>
        <x:v>17.4</x:v>
      </x:c>
      <x:c r="J767" s="50" t="n">
        <x:f>IF(B767="Active",H767*I767*Assumptions!$B$11,IF(B767="Deferred",E767*I767*Assumptions!$B$11*(1+Assumptions!$B$9)^G767,F767))</x:f>
        <x:v>701000</x:v>
      </x:c>
      <x:c r="K767" s="37" t="n">
        <x:f>IF(B767="Pensioner",1,VLOOKUP(Assumptions!$B$10,Mortality!$A$2:$F$104,6,FALSE)/VLOOKUP(C767,Mortality!$A$2:$F$104,6,FALSE))</x:f>
        <x:v>1</x:v>
      </x:c>
      <x:c r="L767" s="37" t="n">
        <x:f>VLOOKUP(IF(B767="Pensioner",C767,Assumptions!$B$10),Mortality!$A$2:$E$104,5,FALSE)</x:f>
        <x:v>7.066956273830788</x:v>
      </x:c>
      <x:c r="M767" s="37" t="n">
        <x:f>1+Assumptions!$B$13*Assumptions!$B$14*Assumptions!$B$15</x:f>
        <x:v>1.31875</x:v>
      </x:c>
      <x:c r="N767" s="37" t="n">
        <x:f>IF(B767="Pensioner",1,1/(1+Assumptions!$B$6)^G767)</x:f>
        <x:v>1</x:v>
      </x:c>
      <x:c r="O767" s="50" t="n">
        <x:f>J767*K767*L767*M767*N767</x:f>
        <x:v>6533003.558866161</x:v>
      </x:c>
    </x:row>
    <x:row r="768">
      <x:c r="A768" s="42" t="str">
        <x:f>Members!A768</x:f>
        <x:v>A0587</x:v>
      </x:c>
      <x:c r="B768" s="42" t="str">
        <x:f>Members!B768</x:f>
        <x:v>Active</x:v>
      </x:c>
      <x:c r="C768" s="42" t="n">
        <x:f>Members!C768</x:f>
        <x:v>44</x:v>
      </x:c>
      <x:c r="D768" s="44" t="n">
        <x:f>Members!D768</x:f>
        <x:v>21.7</x:v>
      </x:c>
      <x:c r="E768" s="48" t="n">
        <x:f>Members!E768</x:f>
        <x:v>807000</x:v>
      </x:c>
      <x:c r="F768" s="48" t="n">
        <x:f>Members!F768</x:f>
        <x:v>0</x:v>
      </x:c>
      <x:c r="G768" s="46" t="n">
        <x:f>MAX(0,Assumptions!$B$10-C768)</x:f>
        <x:v>16</x:v>
      </x:c>
      <x:c r="H768" s="50" t="n">
        <x:f>IF(B768="Active",E768*(1+Assumptions!$B$7)^G768,E768)</x:f>
        <x:v>1900696.9983440067</x:v>
      </x:c>
      <x:c r="I768" s="50" t="n">
        <x:f>IF(B768="Active",MIN(Assumptions!$B$12,D768+G768),IF(B768="Deferred",MIN(Assumptions!$B$12,D768),D768))</x:f>
        <x:v>37.7</x:v>
      </x:c>
      <x:c r="J768" s="50" t="n">
        <x:f>IF(B768="Active",H768*I768*Assumptions!$B$11,IF(B768="Deferred",E768*I768*Assumptions!$B$11*(1+Assumptions!$B$9)^G768,F768))</x:f>
        <x:v>1194271.280626151</x:v>
      </x:c>
      <x:c r="K768" s="37" t="n">
        <x:f>IF(B768="Pensioner",1,VLOOKUP(Assumptions!$B$10,Mortality!$A$2:$F$104,6,FALSE)/VLOOKUP(C768,Mortality!$A$2:$F$104,6,FALSE))</x:f>
        <x:v>0.9762682212178733</x:v>
      </x:c>
      <x:c r="L768" s="37" t="n">
        <x:f>VLOOKUP(IF(B768="Pensioner",C768,Assumptions!$B$10),Mortality!$A$2:$E$104,5,FALSE)</x:f>
        <x:v>17.296790022132885</x:v>
      </x:c>
      <x:c r="M768" s="37" t="n">
        <x:f>1+Assumptions!$B$13*Assumptions!$B$14*Assumptions!$B$15</x:f>
        <x:v>1.31875</x:v>
      </x:c>
      <x:c r="N768" s="37" t="n">
        <x:f>IF(B768="Pensioner",1,1/(1+Assumptions!$B$6)^G768)</x:f>
        <x:v>0.3650953281147565</x:v>
      </x:c>
      <x:c r="O768" s="50" t="n">
        <x:f>J768*K768*L768*M768*N768</x:f>
        <x:v>9709713.216047598</x:v>
      </x:c>
    </x:row>
    <x:row r="769">
      <x:c r="A769" s="42" t="str">
        <x:f>Members!A769</x:f>
        <x:v>A0561</x:v>
      </x:c>
      <x:c r="B769" s="42" t="str">
        <x:f>Members!B769</x:f>
        <x:v>Active</x:v>
      </x:c>
      <x:c r="C769" s="42" t="n">
        <x:f>Members!C769</x:f>
        <x:v>29</x:v>
      </x:c>
      <x:c r="D769" s="44" t="n">
        <x:f>Members!D769</x:f>
        <x:v>1.7</x:v>
      </x:c>
      <x:c r="E769" s="48" t="n">
        <x:f>Members!E769</x:f>
        <x:v>472000</x:v>
      </x:c>
      <x:c r="F769" s="48" t="n">
        <x:f>Members!F769</x:f>
        <x:v>0</x:v>
      </x:c>
      <x:c r="G769" s="46" t="n">
        <x:f>MAX(0,Assumptions!$B$10-C769)</x:f>
        <x:v>31</x:v>
      </x:c>
      <x:c r="H769" s="50" t="n">
        <x:f>IF(B769="Active",E769*(1+Assumptions!$B$7)^G769,E769)</x:f>
        <x:v>2481808.383569204</x:v>
      </x:c>
      <x:c r="I769" s="50" t="n">
        <x:f>IF(B769="Active",MIN(Assumptions!$B$12,D769+G769),IF(B769="Deferred",MIN(Assumptions!$B$12,D769),D769))</x:f>
        <x:v>32.7</x:v>
      </x:c>
      <x:c r="J769" s="50" t="n">
        <x:f>IF(B769="Active",H769*I769*Assumptions!$B$11,IF(B769="Deferred",E769*I769*Assumptions!$B$11*(1+Assumptions!$B$9)^G769,F769))</x:f>
        <x:v>1352585.569045216</x:v>
      </x:c>
      <x:c r="K769" s="37" t="n">
        <x:f>IF(B769="Pensioner",1,VLOOKUP(Assumptions!$B$10,Mortality!$A$2:$F$104,6,FALSE)/VLOOKUP(C769,Mortality!$A$2:$F$104,6,FALSE))</x:f>
        <x:v>0.9700544954739736</x:v>
      </x:c>
      <x:c r="L769" s="37" t="n">
        <x:f>VLOOKUP(IF(B769="Pensioner",C769,Assumptions!$B$10),Mortality!$A$2:$E$104,5,FALSE)</x:f>
        <x:v>17.296790022132885</x:v>
      </x:c>
      <x:c r="M769" s="37" t="n">
        <x:f>1+Assumptions!$B$13*Assumptions!$B$14*Assumptions!$B$15</x:f>
        <x:v>1.31875</x:v>
      </x:c>
      <x:c r="N769" s="37" t="n">
        <x:f>IF(B769="Pensioner",1,1/(1+Assumptions!$B$6)^G769)</x:f>
        <x:v>0.1419587475209511</x:v>
      </x:c>
      <x:c r="O769" s="50" t="n">
        <x:f>J769*K769*L769*M769*N769</x:f>
        <x:v>4248650.697406938</x:v>
      </x:c>
    </x:row>
    <x:row r="770">
      <x:c r="A770" s="42" t="str">
        <x:f>Members!A770</x:f>
        <x:v>A0267</x:v>
      </x:c>
      <x:c r="B770" s="42" t="str">
        <x:f>Members!B770</x:f>
        <x:v>Active</x:v>
      </x:c>
      <x:c r="C770" s="42" t="n">
        <x:f>Members!C770</x:f>
        <x:v>57</x:v>
      </x:c>
      <x:c r="D770" s="44" t="n">
        <x:f>Members!D770</x:f>
        <x:v>31.2</x:v>
      </x:c>
      <x:c r="E770" s="48" t="n">
        <x:f>Members!E770</x:f>
        <x:v>1845000</x:v>
      </x:c>
      <x:c r="F770" s="48" t="n">
        <x:f>Members!F770</x:f>
        <x:v>0</x:v>
      </x:c>
      <x:c r="G770" s="46" t="n">
        <x:f>MAX(0,Assumptions!$B$10-C770)</x:f>
        <x:v>3</x:v>
      </x:c>
      <x:c r="H770" s="50" t="n">
        <x:f>IF(B770="Active",E770*(1+Assumptions!$B$7)^G770,E770)</x:f>
        <x:v>2166475.3368749996</x:v>
      </x:c>
      <x:c r="I770" s="50" t="n">
        <x:f>IF(B770="Active",MIN(Assumptions!$B$12,D770+G770),IF(B770="Deferred",MIN(Assumptions!$B$12,D770),D770))</x:f>
        <x:v>34.2</x:v>
      </x:c>
      <x:c r="J770" s="50" t="n">
        <x:f>IF(B770="Active",H770*I770*Assumptions!$B$11,IF(B770="Deferred",E770*I770*Assumptions!$B$11*(1+Assumptions!$B$9)^G770,F770))</x:f>
        <x:v>1234890.94201875</x:v>
      </x:c>
      <x:c r="K770" s="37" t="n">
        <x:f>IF(B770="Pensioner",1,VLOOKUP(Assumptions!$B$10,Mortality!$A$2:$F$104,6,FALSE)/VLOOKUP(C770,Mortality!$A$2:$F$104,6,FALSE))</x:f>
        <x:v>0.9922003892921417</x:v>
      </x:c>
      <x:c r="L770" s="37" t="n">
        <x:f>VLOOKUP(IF(B770="Pensioner",C770,Assumptions!$B$10),Mortality!$A$2:$E$104,5,FALSE)</x:f>
        <x:v>17.296790022132885</x:v>
      </x:c>
      <x:c r="M770" s="37" t="n">
        <x:f>1+Assumptions!$B$13*Assumptions!$B$14*Assumptions!$B$15</x:f>
        <x:v>1.31875</x:v>
      </x:c>
      <x:c r="N770" s="37" t="n">
        <x:f>IF(B770="Pensioner",1,1/(1+Assumptions!$B$6)^G770)</x:f>
        <x:v>0.8278490918029799</x:v>
      </x:c>
      <x:c r="O770" s="50" t="n">
        <x:f>J770*K770*L770*M770*N770</x:f>
        <x:v>23137006.081024565</x:v>
      </x:c>
    </x:row>
    <x:row r="771">
      <x:c r="A771" s="42" t="str">
        <x:f>Members!A771</x:f>
        <x:v>A0483</x:v>
      </x:c>
      <x:c r="B771" s="42" t="str">
        <x:f>Members!B771</x:f>
        <x:v>Active</x:v>
      </x:c>
      <x:c r="C771" s="42" t="n">
        <x:f>Members!C771</x:f>
        <x:v>49</x:v>
      </x:c>
      <x:c r="D771" s="44" t="n">
        <x:f>Members!D771</x:f>
        <x:v>24.6</x:v>
      </x:c>
      <x:c r="E771" s="48" t="n">
        <x:f>Members!E771</x:f>
        <x:v>1164000</x:v>
      </x:c>
      <x:c r="F771" s="48" t="n">
        <x:f>Members!F771</x:f>
        <x:v>0</x:v>
      </x:c>
      <x:c r="G771" s="46" t="n">
        <x:f>MAX(0,Assumptions!$B$10-C771)</x:f>
        <x:v>11</x:v>
      </x:c>
      <x:c r="H771" s="50" t="n">
        <x:f>IF(B771="Active",E771*(1+Assumptions!$B$7)^G771,E771)</x:f>
        <x:v>2097635.557747379</x:v>
      </x:c>
      <x:c r="I771" s="50" t="n">
        <x:f>IF(B771="Active",MIN(Assumptions!$B$12,D771+G771),IF(B771="Deferred",MIN(Assumptions!$B$12,D771),D771))</x:f>
        <x:v>35.6</x:v>
      </x:c>
      <x:c r="J771" s="50" t="n">
        <x:f>IF(B771="Active",H771*I771*Assumptions!$B$11,IF(B771="Deferred",E771*I771*Assumptions!$B$11*(1+Assumptions!$B$9)^G771,F771))</x:f>
        <x:v>1244597.0975967783</x:v>
      </x:c>
      <x:c r="K771" s="37" t="n">
        <x:f>IF(B771="Pensioner",1,VLOOKUP(Assumptions!$B$10,Mortality!$A$2:$F$104,6,FALSE)/VLOOKUP(C771,Mortality!$A$2:$F$104,6,FALSE))</x:f>
        <x:v>0.9802429662359576</x:v>
      </x:c>
      <x:c r="L771" s="37" t="n">
        <x:f>VLOOKUP(IF(B771="Pensioner",C771,Assumptions!$B$10),Mortality!$A$2:$E$104,5,FALSE)</x:f>
        <x:v>17.296790022132885</x:v>
      </x:c>
      <x:c r="M771" s="37" t="n">
        <x:f>1+Assumptions!$B$13*Assumptions!$B$14*Assumptions!$B$15</x:f>
        <x:v>1.31875</x:v>
      </x:c>
      <x:c r="N771" s="37" t="n">
        <x:f>IF(B771="Pensioner",1,1/(1+Assumptions!$B$6)^G771)</x:f>
        <x:v>0.5002122399253793</x:v>
      </x:c>
      <x:c r="O771" s="50" t="n">
        <x:f>J771*K771*L771*M771*N771</x:f>
        <x:v>13920178.968265206</x:v>
      </x:c>
    </x:row>
    <x:row r="772">
      <x:c r="A772" s="42" t="str">
        <x:f>Members!A772</x:f>
        <x:v>P0185</x:v>
      </x:c>
      <x:c r="B772" s="42" t="str">
        <x:f>Members!B772</x:f>
        <x:v>Pensioner</x:v>
      </x:c>
      <x:c r="C772" s="42" t="n">
        <x:f>Members!C772</x:f>
        <x:v>73</x:v>
      </x:c>
      <x:c r="D772" s="44" t="n">
        <x:f>Members!D772</x:f>
        <x:v>20.4</x:v>
      </x:c>
      <x:c r="E772" s="48" t="n">
        <x:f>Members!E772</x:f>
        <x:v>0</x:v>
      </x:c>
      <x:c r="F772" s="48" t="n">
        <x:f>Members!F772</x:f>
        <x:v>460000</x:v>
      </x:c>
      <x:c r="G772" s="46" t="n">
        <x:f>MAX(0,Assumptions!$B$10-C772)</x:f>
        <x:v>0</x:v>
      </x:c>
      <x:c r="H772" s="50" t="n">
        <x:f>IF(B772="Active",E772*(1+Assumptions!$B$7)^G772,E772)</x:f>
        <x:v>0</x:v>
      </x:c>
      <x:c r="I772" s="50" t="n">
        <x:f>IF(B772="Active",MIN(Assumptions!$B$12,D772+G772),IF(B772="Deferred",MIN(Assumptions!$B$12,D772),D772))</x:f>
        <x:v>20.4</x:v>
      </x:c>
      <x:c r="J772" s="50" t="n">
        <x:f>IF(B772="Active",H772*I772*Assumptions!$B$11,IF(B772="Deferred",E772*I772*Assumptions!$B$11*(1+Assumptions!$B$9)^G772,F772))</x:f>
        <x:v>460000</x:v>
      </x:c>
      <x:c r="K772" s="37" t="n">
        <x:f>IF(B772="Pensioner",1,VLOOKUP(Assumptions!$B$10,Mortality!$A$2:$F$104,6,FALSE)/VLOOKUP(C772,Mortality!$A$2:$F$104,6,FALSE))</x:f>
        <x:v>1</x:v>
      </x:c>
      <x:c r="L772" s="37" t="n">
        <x:f>VLOOKUP(IF(B772="Pensioner",C772,Assumptions!$B$10),Mortality!$A$2:$E$104,5,FALSE)</x:f>
        <x:v>11.586176267789867</x:v>
      </x:c>
      <x:c r="M772" s="37" t="n">
        <x:f>1+Assumptions!$B$13*Assumptions!$B$14*Assumptions!$B$15</x:f>
        <x:v>1.31875</x:v>
      </x:c>
      <x:c r="N772" s="37" t="n">
        <x:f>IF(B772="Pensioner",1,1/(1+Assumptions!$B$6)^G772)</x:f>
        <x:v>1</x:v>
      </x:c>
      <x:c r="O772" s="50" t="n">
        <x:f>J772*K772*L772*M772*N772</x:f>
        <x:v>7028464.178448029</x:v>
      </x:c>
    </x:row>
    <x:row r="773">
      <x:c r="A773" s="42" t="str">
        <x:f>Members!A773</x:f>
        <x:v>A0103</x:v>
      </x:c>
      <x:c r="B773" s="42" t="str">
        <x:f>Members!B773</x:f>
        <x:v>Active</x:v>
      </x:c>
      <x:c r="C773" s="42" t="n">
        <x:f>Members!C773</x:f>
        <x:v>51</x:v>
      </x:c>
      <x:c r="D773" s="44" t="n">
        <x:f>Members!D773</x:f>
        <x:v>14.7</x:v>
      </x:c>
      <x:c r="E773" s="48" t="n">
        <x:f>Members!E773</x:f>
        <x:v>1505000</x:v>
      </x:c>
      <x:c r="F773" s="48" t="n">
        <x:f>Members!F773</x:f>
        <x:v>0</x:v>
      </x:c>
      <x:c r="G773" s="46" t="n">
        <x:f>MAX(0,Assumptions!$B$10-C773)</x:f>
        <x:v>9</x:v>
      </x:c>
      <x:c r="H773" s="50" t="n">
        <x:f>IF(B773="Active",E773*(1+Assumptions!$B$7)^G773,E773)</x:f>
        <x:v>2436736.8813480167</x:v>
      </x:c>
      <x:c r="I773" s="50" t="n">
        <x:f>IF(B773="Active",MIN(Assumptions!$B$12,D773+G773),IF(B773="Deferred",MIN(Assumptions!$B$12,D773),D773))</x:f>
        <x:v>23.7</x:v>
      </x:c>
      <x:c r="J773" s="50" t="n">
        <x:f>IF(B773="Active",H773*I773*Assumptions!$B$11,IF(B773="Deferred",E773*I773*Assumptions!$B$11*(1+Assumptions!$B$9)^G773,F773))</x:f>
        <x:v>962511.0681324665</x:v>
      </x:c>
      <x:c r="K773" s="37" t="n">
        <x:f>IF(B773="Pensioner",1,VLOOKUP(Assumptions!$B$10,Mortality!$A$2:$F$104,6,FALSE)/VLOOKUP(C773,Mortality!$A$2:$F$104,6,FALSE))</x:f>
        <x:v>0.9824052797506154</x:v>
      </x:c>
      <x:c r="L773" s="37" t="n">
        <x:f>VLOOKUP(IF(B773="Pensioner",C773,Assumptions!$B$10),Mortality!$A$2:$E$104,5,FALSE)</x:f>
        <x:v>17.296790022132885</x:v>
      </x:c>
      <x:c r="M773" s="37" t="n">
        <x:f>1+Assumptions!$B$13*Assumptions!$B$14*Assumptions!$B$15</x:f>
        <x:v>1.31875</x:v>
      </x:c>
      <x:c r="N773" s="37" t="n">
        <x:f>IF(B773="Pensioner",1,1/(1+Assumptions!$B$6)^G773)</x:f>
        <x:v>0.5673532278293633</x:v>
      </x:c>
      <x:c r="O773" s="50" t="n">
        <x:f>J773*K773*L773*M773*N773</x:f>
        <x:v>12237083.853443792</x:v>
      </x:c>
    </x:row>
    <x:row r="774">
      <x:c r="A774" s="42" t="str">
        <x:f>Members!A774</x:f>
        <x:v>A0380</x:v>
      </x:c>
      <x:c r="B774" s="42" t="str">
        <x:f>Members!B774</x:f>
        <x:v>Active</x:v>
      </x:c>
      <x:c r="C774" s="42" t="n">
        <x:f>Members!C774</x:f>
        <x:v>32</x:v>
      </x:c>
      <x:c r="D774" s="44" t="n">
        <x:f>Members!D774</x:f>
        <x:v>7.6</x:v>
      </x:c>
      <x:c r="E774" s="48" t="n">
        <x:f>Members!E774</x:f>
        <x:v>598000</x:v>
      </x:c>
      <x:c r="F774" s="48" t="n">
        <x:f>Members!F774</x:f>
        <x:v>0</x:v>
      </x:c>
      <x:c r="G774" s="46" t="n">
        <x:f>MAX(0,Assumptions!$B$10-C774)</x:f>
        <x:v>28</x:v>
      </x:c>
      <x:c r="H774" s="50" t="n">
        <x:f>IF(B774="Active",E774*(1+Assumptions!$B$7)^G774,E774)</x:f>
        <x:v>2677750.1587657477</x:v>
      </x:c>
      <x:c r="I774" s="50" t="n">
        <x:f>IF(B774="Active",MIN(Assumptions!$B$12,D774+G774),IF(B774="Deferred",MIN(Assumptions!$B$12,D774),D774))</x:f>
        <x:v>35.6</x:v>
      </x:c>
      <x:c r="J774" s="50" t="n">
        <x:f>IF(B774="Active",H774*I774*Assumptions!$B$11,IF(B774="Deferred",E774*I774*Assumptions!$B$11*(1+Assumptions!$B$9)^G774,F774))</x:f>
        <x:v>1588798.4275343437</x:v>
      </x:c>
      <x:c r="K774" s="37" t="n">
        <x:f>IF(B774="Pensioner",1,VLOOKUP(Assumptions!$B$10,Mortality!$A$2:$F$104,6,FALSE)/VLOOKUP(C774,Mortality!$A$2:$F$104,6,FALSE))</x:f>
        <x:v>0.9709584687664957</x:v>
      </x:c>
      <x:c r="L774" s="37" t="n">
        <x:f>VLOOKUP(IF(B774="Pensioner",C774,Assumptions!$B$10),Mortality!$A$2:$E$104,5,FALSE)</x:f>
        <x:v>17.296790022132885</x:v>
      </x:c>
      <x:c r="M774" s="37" t="n">
        <x:f>1+Assumptions!$B$13*Assumptions!$B$14*Assumptions!$B$15</x:f>
        <x:v>1.31875</x:v>
      </x:c>
      <x:c r="N774" s="37" t="n">
        <x:f>IF(B774="Pensioner",1,1/(1+Assumptions!$B$6)^G774)</x:f>
        <x:v>0.17147901583340255</x:v>
      </x:c>
      <x:c r="O774" s="50" t="n">
        <x:f>J774*K774*L774*M774*N774</x:f>
        <x:v>6034043.316998332</x:v>
      </x:c>
    </x:row>
    <x:row r="775">
      <x:c r="A775" s="42" t="str">
        <x:f>Members!A775</x:f>
        <x:v>A0534</x:v>
      </x:c>
      <x:c r="B775" s="42" t="str">
        <x:f>Members!B775</x:f>
        <x:v>Active</x:v>
      </x:c>
      <x:c r="C775" s="42" t="n">
        <x:f>Members!C775</x:f>
        <x:v>29</x:v>
      </x:c>
      <x:c r="D775" s="44" t="n">
        <x:f>Members!D775</x:f>
        <x:v>1.3</x:v>
      </x:c>
      <x:c r="E775" s="48" t="n">
        <x:f>Members!E775</x:f>
        <x:v>496000</x:v>
      </x:c>
      <x:c r="F775" s="48" t="n">
        <x:f>Members!F775</x:f>
        <x:v>0</x:v>
      </x:c>
      <x:c r="G775" s="46" t="n">
        <x:f>MAX(0,Assumptions!$B$10-C775)</x:f>
        <x:v>31</x:v>
      </x:c>
      <x:c r="H775" s="50" t="n">
        <x:f>IF(B775="Active",E775*(1+Assumptions!$B$7)^G775,E775)</x:f>
        <x:v>2608002.0301913666</x:v>
      </x:c>
      <x:c r="I775" s="50" t="n">
        <x:f>IF(B775="Active",MIN(Assumptions!$B$12,D775+G775),IF(B775="Deferred",MIN(Assumptions!$B$12,D775),D775))</x:f>
        <x:v>32.3</x:v>
      </x:c>
      <x:c r="J775" s="50" t="n">
        <x:f>IF(B775="Active",H775*I775*Assumptions!$B$11,IF(B775="Deferred",E775*I775*Assumptions!$B$11*(1+Assumptions!$B$9)^G775,F775))</x:f>
        <x:v>1403974.4262530187</x:v>
      </x:c>
      <x:c r="K775" s="37" t="n">
        <x:f>IF(B775="Pensioner",1,VLOOKUP(Assumptions!$B$10,Mortality!$A$2:$F$104,6,FALSE)/VLOOKUP(C775,Mortality!$A$2:$F$104,6,FALSE))</x:f>
        <x:v>0.9700544954739736</x:v>
      </x:c>
      <x:c r="L775" s="37" t="n">
        <x:f>VLOOKUP(IF(B775="Pensioner",C775,Assumptions!$B$10),Mortality!$A$2:$E$104,5,FALSE)</x:f>
        <x:v>17.296790022132885</x:v>
      </x:c>
      <x:c r="M775" s="37" t="n">
        <x:f>1+Assumptions!$B$13*Assumptions!$B$14*Assumptions!$B$15</x:f>
        <x:v>1.31875</x:v>
      </x:c>
      <x:c r="N775" s="37" t="n">
        <x:f>IF(B775="Pensioner",1,1/(1+Assumptions!$B$6)^G775)</x:f>
        <x:v>0.1419587475209511</x:v>
      </x:c>
      <x:c r="O775" s="50" t="n">
        <x:f>J775*K775*L775*M775*N775</x:f>
        <x:v>4410069.914801811</x:v>
      </x:c>
    </x:row>
    <x:row r="776">
      <x:c r="A776" s="42" t="str">
        <x:f>Members!A776</x:f>
        <x:v>A0199</x:v>
      </x:c>
      <x:c r="B776" s="42" t="str">
        <x:f>Members!B776</x:f>
        <x:v>Active</x:v>
      </x:c>
      <x:c r="C776" s="42" t="n">
        <x:f>Members!C776</x:f>
        <x:v>40</x:v>
      </x:c>
      <x:c r="D776" s="44" t="n">
        <x:f>Members!D776</x:f>
        <x:v>9.3</x:v>
      </x:c>
      <x:c r="E776" s="48" t="n">
        <x:f>Members!E776</x:f>
        <x:v>986000</x:v>
      </x:c>
      <x:c r="F776" s="48" t="n">
        <x:f>Members!F776</x:f>
        <x:v>0</x:v>
      </x:c>
      <x:c r="G776" s="46" t="n">
        <x:f>MAX(0,Assumptions!$B$10-C776)</x:f>
        <x:v>20</x:v>
      </x:c>
      <x:c r="H776" s="50" t="n">
        <x:f>IF(B776="Active",E776*(1+Assumptions!$B$7)^G776,E776)</x:f>
        <x:v>2876908.885735632</x:v>
      </x:c>
      <x:c r="I776" s="50" t="n">
        <x:f>IF(B776="Active",MIN(Assumptions!$B$12,D776+G776),IF(B776="Deferred",MIN(Assumptions!$B$12,D776),D776))</x:f>
        <x:v>29.3</x:v>
      </x:c>
      <x:c r="J776" s="50" t="n">
        <x:f>IF(B776="Active",H776*I776*Assumptions!$B$11,IF(B776="Deferred",E776*I776*Assumptions!$B$11*(1+Assumptions!$B$9)^G776,F776))</x:f>
        <x:v>1404890.505867567</x:v>
      </x:c>
      <x:c r="K776" s="37" t="n">
        <x:f>IF(B776="Pensioner",1,VLOOKUP(Assumptions!$B$10,Mortality!$A$2:$F$104,6,FALSE)/VLOOKUP(C776,Mortality!$A$2:$F$104,6,FALSE))</x:f>
        <x:v>0.9740511243198767</x:v>
      </x:c>
      <x:c r="L776" s="37" t="n">
        <x:f>VLOOKUP(IF(B776="Pensioner",C776,Assumptions!$B$10),Mortality!$A$2:$E$104,5,FALSE)</x:f>
        <x:v>17.296790022132885</x:v>
      </x:c>
      <x:c r="M776" s="37" t="n">
        <x:f>1+Assumptions!$B$13*Assumptions!$B$14*Assumptions!$B$15</x:f>
        <x:v>1.31875</x:v>
      </x:c>
      <x:c r="N776" s="37" t="n">
        <x:f>IF(B776="Pensioner",1,1/(1+Assumptions!$B$6)^G776)</x:f>
        <x:v>0.2837970289214199</x:v>
      </x:c>
      <x:c r="O776" s="50" t="n">
        <x:f>J776*K776*L776*M776*N776</x:f>
        <x:v>8858497.35741967</x:v>
      </x:c>
    </x:row>
    <x:row r="777">
      <x:c r="A777" s="42" t="str">
        <x:f>Members!A777</x:f>
        <x:v>P0014</x:v>
      </x:c>
      <x:c r="B777" s="42" t="str">
        <x:f>Members!B777</x:f>
        <x:v>Pensioner</x:v>
      </x:c>
      <x:c r="C777" s="42" t="n">
        <x:f>Members!C777</x:f>
        <x:v>87</x:v>
      </x:c>
      <x:c r="D777" s="44" t="n">
        <x:f>Members!D777</x:f>
        <x:v>14</x:v>
      </x:c>
      <x:c r="E777" s="48" t="n">
        <x:f>Members!E777</x:f>
        <x:v>0</x:v>
      </x:c>
      <x:c r="F777" s="48" t="n">
        <x:f>Members!F777</x:f>
        <x:v>435000</x:v>
      </x:c>
      <x:c r="G777" s="46" t="n">
        <x:f>MAX(0,Assumptions!$B$10-C777)</x:f>
        <x:v>0</x:v>
      </x:c>
      <x:c r="H777" s="50" t="n">
        <x:f>IF(B777="Active",E777*(1+Assumptions!$B$7)^G777,E777)</x:f>
        <x:v>0</x:v>
      </x:c>
      <x:c r="I777" s="50" t="n">
        <x:f>IF(B777="Active",MIN(Assumptions!$B$12,D777+G777),IF(B777="Deferred",MIN(Assumptions!$B$12,D777),D777))</x:f>
        <x:v>14</x:v>
      </x:c>
      <x:c r="J777" s="50" t="n">
        <x:f>IF(B777="Active",H777*I777*Assumptions!$B$11,IF(B777="Deferred",E777*I777*Assumptions!$B$11*(1+Assumptions!$B$9)^G777,F777))</x:f>
        <x:v>435000</x:v>
      </x:c>
      <x:c r="K777" s="37" t="n">
        <x:f>IF(B777="Pensioner",1,VLOOKUP(Assumptions!$B$10,Mortality!$A$2:$F$104,6,FALSE)/VLOOKUP(C777,Mortality!$A$2:$F$104,6,FALSE))</x:f>
        <x:v>1</x:v>
      </x:c>
      <x:c r="L777" s="37" t="n">
        <x:f>VLOOKUP(IF(B777="Pensioner",C777,Assumptions!$B$10),Mortality!$A$2:$E$104,5,FALSE)</x:f>
        <x:v>5.427731360162463</x:v>
      </x:c>
      <x:c r="M777" s="37" t="n">
        <x:f>1+Assumptions!$B$13*Assumptions!$B$14*Assumptions!$B$15</x:f>
        <x:v>1.31875</x:v>
      </x:c>
      <x:c r="N777" s="37" t="n">
        <x:f>IF(B777="Pensioner",1,1/(1+Assumptions!$B$6)^G777)</x:f>
        <x:v>1</x:v>
      </x:c>
      <x:c r="O777" s="50" t="n">
        <x:f>J777*K777*L777*M777*N777</x:f>
        <x:v>3113652.018078198</x:v>
      </x:c>
    </x:row>
    <x:row r="778">
      <x:c r="A778" s="42" t="str">
        <x:f>Members!A778</x:f>
        <x:v>P0123</x:v>
      </x:c>
      <x:c r="B778" s="42" t="str">
        <x:f>Members!B778</x:f>
        <x:v>Pensioner</x:v>
      </x:c>
      <x:c r="C778" s="42" t="n">
        <x:f>Members!C778</x:f>
        <x:v>80</x:v>
      </x:c>
      <x:c r="D778" s="44" t="n">
        <x:f>Members!D778</x:f>
        <x:v>16.6</x:v>
      </x:c>
      <x:c r="E778" s="48" t="n">
        <x:f>Members!E778</x:f>
        <x:v>0</x:v>
      </x:c>
      <x:c r="F778" s="48" t="n">
        <x:f>Members!F778</x:f>
        <x:v>695000</x:v>
      </x:c>
      <x:c r="G778" s="46" t="n">
        <x:f>MAX(0,Assumptions!$B$10-C778)</x:f>
        <x:v>0</x:v>
      </x:c>
      <x:c r="H778" s="50" t="n">
        <x:f>IF(B778="Active",E778*(1+Assumptions!$B$7)^G778,E778)</x:f>
        <x:v>0</x:v>
      </x:c>
      <x:c r="I778" s="50" t="n">
        <x:f>IF(B778="Active",MIN(Assumptions!$B$12,D778+G778),IF(B778="Deferred",MIN(Assumptions!$B$12,D778),D778))</x:f>
        <x:v>16.6</x:v>
      </x:c>
      <x:c r="J778" s="50" t="n">
        <x:f>IF(B778="Active",H778*I778*Assumptions!$B$11,IF(B778="Deferred",E778*I778*Assumptions!$B$11*(1+Assumptions!$B$9)^G778,F778))</x:f>
        <x:v>695000</x:v>
      </x:c>
      <x:c r="K778" s="37" t="n">
        <x:f>IF(B778="Pensioner",1,VLOOKUP(Assumptions!$B$10,Mortality!$A$2:$F$104,6,FALSE)/VLOOKUP(C778,Mortality!$A$2:$F$104,6,FALSE))</x:f>
        <x:v>1</x:v>
      </x:c>
      <x:c r="L778" s="37" t="n">
        <x:f>VLOOKUP(IF(B778="Pensioner",C778,Assumptions!$B$10),Mortality!$A$2:$E$104,5,FALSE)</x:f>
        <x:v>8.381357362562298</x:v>
      </x:c>
      <x:c r="M778" s="37" t="n">
        <x:f>1+Assumptions!$B$13*Assumptions!$B$14*Assumptions!$B$15</x:f>
        <x:v>1.31875</x:v>
      </x:c>
      <x:c r="N778" s="37" t="n">
        <x:f>IF(B778="Pensioner",1,1/(1+Assumptions!$B$6)^G778)</x:f>
        <x:v>1</x:v>
      </x:c>
      <x:c r="O778" s="50" t="n">
        <x:f>J778*K778*L778*M778*N778</x:f>
        <x:v>7681775.940205926</x:v>
      </x:c>
    </x:row>
    <x:row r="779">
      <x:c r="A779" s="42" t="str">
        <x:f>Members!A779</x:f>
        <x:v>A0421</x:v>
      </x:c>
      <x:c r="B779" s="42" t="str">
        <x:f>Members!B779</x:f>
        <x:v>Active</x:v>
      </x:c>
      <x:c r="C779" s="42" t="n">
        <x:f>Members!C779</x:f>
        <x:v>49</x:v>
      </x:c>
      <x:c r="D779" s="44" t="n">
        <x:f>Members!D779</x:f>
        <x:v>20.3</x:v>
      </x:c>
      <x:c r="E779" s="48" t="n">
        <x:f>Members!E779</x:f>
        <x:v>1028000</x:v>
      </x:c>
      <x:c r="F779" s="48" t="n">
        <x:f>Members!F779</x:f>
        <x:v>0</x:v>
      </x:c>
      <x:c r="G779" s="46" t="n">
        <x:f>MAX(0,Assumptions!$B$10-C779)</x:f>
        <x:v>11</x:v>
      </x:c>
      <x:c r="H779" s="50" t="n">
        <x:f>IF(B779="Active",E779*(1+Assumptions!$B$7)^G779,E779)</x:f>
        <x:v>1852550.9908628054</x:v>
      </x:c>
      <x:c r="I779" s="50" t="n">
        <x:f>IF(B779="Active",MIN(Assumptions!$B$12,D779+G779),IF(B779="Deferred",MIN(Assumptions!$B$12,D779),D779))</x:f>
        <x:v>31.3</x:v>
      </x:c>
      <x:c r="J779" s="50" t="n">
        <x:f>IF(B779="Active",H779*I779*Assumptions!$B$11,IF(B779="Deferred",E779*I779*Assumptions!$B$11*(1+Assumptions!$B$9)^G779,F779))</x:f>
        <x:v>966414.1002334302</x:v>
      </x:c>
      <x:c r="K779" s="37" t="n">
        <x:f>IF(B779="Pensioner",1,VLOOKUP(Assumptions!$B$10,Mortality!$A$2:$F$104,6,FALSE)/VLOOKUP(C779,Mortality!$A$2:$F$104,6,FALSE))</x:f>
        <x:v>0.9802429662359576</x:v>
      </x:c>
      <x:c r="L779" s="37" t="n">
        <x:f>VLOOKUP(IF(B779="Pensioner",C779,Assumptions!$B$10),Mortality!$A$2:$E$104,5,FALSE)</x:f>
        <x:v>17.296790022132885</x:v>
      </x:c>
      <x:c r="M779" s="37" t="n">
        <x:f>1+Assumptions!$B$13*Assumptions!$B$14*Assumptions!$B$15</x:f>
        <x:v>1.31875</x:v>
      </x:c>
      <x:c r="N779" s="37" t="n">
        <x:f>IF(B779="Pensioner",1,1/(1+Assumptions!$B$6)^G779)</x:f>
        <x:v>0.5002122399253793</x:v>
      </x:c>
      <x:c r="O779" s="50" t="n">
        <x:f>J779*K779*L779*M779*N779</x:f>
        <x:v>10808845.094272185</x:v>
      </x:c>
    </x:row>
    <x:row r="780">
      <x:c r="A780" s="42" t="str">
        <x:f>Members!A780</x:f>
        <x:v>D0016</x:v>
      </x:c>
      <x:c r="B780" s="42" t="str">
        <x:f>Members!B780</x:f>
        <x:v>Deferred</x:v>
      </x:c>
      <x:c r="C780" s="42" t="n">
        <x:f>Members!C780</x:f>
        <x:v>30</x:v>
      </x:c>
      <x:c r="D780" s="44" t="n">
        <x:f>Members!D780</x:f>
        <x:v>2.8</x:v>
      </x:c>
      <x:c r="E780" s="48" t="n">
        <x:f>Members!E780</x:f>
        <x:v>311000</x:v>
      </x:c>
      <x:c r="F780" s="48" t="n">
        <x:f>Members!F780</x:f>
        <x:v>0</x:v>
      </x:c>
      <x:c r="G780" s="46" t="n">
        <x:f>MAX(0,Assumptions!$B$10-C780)</x:f>
        <x:v>30</x:v>
      </x:c>
      <x:c r="H780" s="50" t="n">
        <x:f>IF(B780="Active",E780*(1+Assumptions!$B$7)^G780,E780)</x:f>
        <x:v>311000</x:v>
      </x:c>
      <x:c r="I780" s="50" t="n">
        <x:f>IF(B780="Active",MIN(Assumptions!$B$12,D780+G780),IF(B780="Deferred",MIN(Assumptions!$B$12,D780),D780))</x:f>
        <x:v>2.8</x:v>
      </x:c>
      <x:c r="J780" s="50" t="n">
        <x:f>IF(B780="Active",H780*I780*Assumptions!$B$11,IF(B780="Deferred",E780*I780*Assumptions!$B$11*(1+Assumptions!$B$9)^G780,F780))</x:f>
        <x:v>47072.509195533064</x:v>
      </x:c>
      <x:c r="K780" s="37" t="n">
        <x:f>IF(B780="Pensioner",1,VLOOKUP(Assumptions!$B$10,Mortality!$A$2:$F$104,6,FALSE)/VLOOKUP(C780,Mortality!$A$2:$F$104,6,FALSE))</x:f>
        <x:v>0.9703456880318753</x:v>
      </x:c>
      <x:c r="L780" s="37" t="n">
        <x:f>VLOOKUP(IF(B780="Pensioner",C780,Assumptions!$B$10),Mortality!$A$2:$E$104,5,FALSE)</x:f>
        <x:v>17.296790022132885</x:v>
      </x:c>
      <x:c r="M780" s="37" t="n">
        <x:f>1+Assumptions!$B$13*Assumptions!$B$14*Assumptions!$B$15</x:f>
        <x:v>1.31875</x:v>
      </x:c>
      <x:c r="N780" s="37" t="n">
        <x:f>IF(B780="Pensioner",1,1/(1+Assumptions!$B$6)^G780)</x:f>
        <x:v>0.1511860661098129</x:v>
      </x:c>
      <x:c r="O780" s="50" t="n">
        <x:f>J780*K780*L780*M780*N780</x:f>
        <x:v>157519.23062410706</x:v>
      </x:c>
    </x:row>
    <x:row r="781">
      <x:c r="A781" s="42" t="str">
        <x:f>Members!A781</x:f>
        <x:v>A0098</x:v>
      </x:c>
      <x:c r="B781" s="42" t="str">
        <x:f>Members!B781</x:f>
        <x:v>Active</x:v>
      </x:c>
      <x:c r="C781" s="42" t="n">
        <x:f>Members!C781</x:f>
        <x:v>51</x:v>
      </x:c>
      <x:c r="D781" s="44" t="n">
        <x:f>Members!D781</x:f>
        <x:v>22.5</x:v>
      </x:c>
      <x:c r="E781" s="48" t="n">
        <x:f>Members!E781</x:f>
        <x:v>1308000</x:v>
      </x:c>
      <x:c r="F781" s="48" t="n">
        <x:f>Members!F781</x:f>
        <x:v>0</x:v>
      </x:c>
      <x:c r="G781" s="46" t="n">
        <x:f>MAX(0,Assumptions!$B$10-C781)</x:f>
        <x:v>9</x:v>
      </x:c>
      <x:c r="H781" s="50" t="n">
        <x:f>IF(B781="Active",E781*(1+Assumptions!$B$7)^G781,E781)</x:f>
        <x:v>2117775.309503791</x:v>
      </x:c>
      <x:c r="I781" s="50" t="n">
        <x:f>IF(B781="Active",MIN(Assumptions!$B$12,D781+G781),IF(B781="Deferred",MIN(Assumptions!$B$12,D781),D781))</x:f>
        <x:v>31.5</x:v>
      </x:c>
      <x:c r="J781" s="50" t="n">
        <x:f>IF(B781="Active",H781*I781*Assumptions!$B$11,IF(B781="Deferred",E781*I781*Assumptions!$B$11*(1+Assumptions!$B$9)^G781,F781))</x:f>
        <x:v>1111832.0374894901</x:v>
      </x:c>
      <x:c r="K781" s="37" t="n">
        <x:f>IF(B781="Pensioner",1,VLOOKUP(Assumptions!$B$10,Mortality!$A$2:$F$104,6,FALSE)/VLOOKUP(C781,Mortality!$A$2:$F$104,6,FALSE))</x:f>
        <x:v>0.9824052797506154</x:v>
      </x:c>
      <x:c r="L781" s="37" t="n">
        <x:f>VLOOKUP(IF(B781="Pensioner",C781,Assumptions!$B$10),Mortality!$A$2:$E$104,5,FALSE)</x:f>
        <x:v>17.296790022132885</x:v>
      </x:c>
      <x:c r="M781" s="37" t="n">
        <x:f>1+Assumptions!$B$13*Assumptions!$B$14*Assumptions!$B$15</x:f>
        <x:v>1.31875</x:v>
      </x:c>
      <x:c r="N781" s="37" t="n">
        <x:f>IF(B781="Pensioner",1,1/(1+Assumptions!$B$6)^G781)</x:f>
        <x:v>0.5673532278293633</x:v>
      </x:c>
      <x:c r="O781" s="50" t="n">
        <x:f>J781*K781*L781*M781*N781</x:f>
        <x:v>14135506.929912698</x:v>
      </x:c>
    </x:row>
    <x:row r="782">
      <x:c r="A782" s="42" t="str">
        <x:f>Members!A782</x:f>
        <x:v>A0093</x:v>
      </x:c>
      <x:c r="B782" s="42" t="str">
        <x:f>Members!B782</x:f>
        <x:v>Active</x:v>
      </x:c>
      <x:c r="C782" s="42" t="n">
        <x:f>Members!C782</x:f>
        <x:v>59</x:v>
      </x:c>
      <x:c r="D782" s="44" t="n">
        <x:f>Members!D782</x:f>
        <x:v>23.1</x:v>
      </x:c>
      <x:c r="E782" s="48" t="n">
        <x:f>Members!E782</x:f>
        <x:v>2136000</x:v>
      </x:c>
      <x:c r="F782" s="48" t="n">
        <x:f>Members!F782</x:f>
        <x:v>0</x:v>
      </x:c>
      <x:c r="G782" s="46" t="n">
        <x:f>MAX(0,Assumptions!$B$10-C782)</x:f>
        <x:v>1</x:v>
      </x:c>
      <x:c r="H782" s="50" t="n">
        <x:f>IF(B782="Active",E782*(1+Assumptions!$B$7)^G782,E782)</x:f>
        <x:v>2253480</x:v>
      </x:c>
      <x:c r="I782" s="50" t="n">
        <x:f>IF(B782="Active",MIN(Assumptions!$B$12,D782+G782),IF(B782="Deferred",MIN(Assumptions!$B$12,D782),D782))</x:f>
        <x:v>24.1</x:v>
      </x:c>
      <x:c r="J782" s="50" t="n">
        <x:f>IF(B782="Active",H782*I782*Assumptions!$B$11,IF(B782="Deferred",E782*I782*Assumptions!$B$11*(1+Assumptions!$B$9)^G782,F782))</x:f>
        <x:v>905147.7999999999</x:v>
      </x:c>
      <x:c r="K782" s="37" t="n">
        <x:f>IF(B782="Pensioner",1,VLOOKUP(Assumptions!$B$10,Mortality!$A$2:$F$104,6,FALSE)/VLOOKUP(C782,Mortality!$A$2:$F$104,6,FALSE))</x:f>
        <x:v>0.9971096011831975</x:v>
      </x:c>
      <x:c r="L782" s="37" t="n">
        <x:f>VLOOKUP(IF(B782="Pensioner",C782,Assumptions!$B$10),Mortality!$A$2:$E$104,5,FALSE)</x:f>
        <x:v>17.296790022132885</x:v>
      </x:c>
      <x:c r="M782" s="37" t="n">
        <x:f>1+Assumptions!$B$13*Assumptions!$B$14*Assumptions!$B$15</x:f>
        <x:v>1.31875</x:v>
      </x:c>
      <x:c r="N782" s="37" t="n">
        <x:f>IF(B782="Pensioner",1,1/(1+Assumptions!$B$6)^G782)</x:f>
        <x:v>0.9389671361502347</x:v>
      </x:c>
      <x:c r="O782" s="50" t="n">
        <x:f>J782*K782*L782*M782*N782</x:f>
        <x:v>19330397.129437767</x:v>
      </x:c>
    </x:row>
    <x:row r="783">
      <x:c r="A783" s="42" t="str">
        <x:f>Members!A783</x:f>
        <x:v>A0414</x:v>
      </x:c>
      <x:c r="B783" s="42" t="str">
        <x:f>Members!B783</x:f>
        <x:v>Active</x:v>
      </x:c>
      <x:c r="C783" s="42" t="n">
        <x:f>Members!C783</x:f>
        <x:v>45</x:v>
      </x:c>
      <x:c r="D783" s="44" t="n">
        <x:f>Members!D783</x:f>
        <x:v>12.8</x:v>
      </x:c>
      <x:c r="E783" s="48" t="n">
        <x:f>Members!E783</x:f>
        <x:v>1277000</x:v>
      </x:c>
      <x:c r="F783" s="48" t="n">
        <x:f>Members!F783</x:f>
        <x:v>0</x:v>
      </x:c>
      <x:c r="G783" s="46" t="n">
        <x:f>MAX(0,Assumptions!$B$10-C783)</x:f>
        <x:v>15</x:v>
      </x:c>
      <x:c r="H783" s="50" t="n">
        <x:f>IF(B783="Active",E783*(1+Assumptions!$B$7)^G783,E783)</x:f>
        <x:v>2850872.4805878615</x:v>
      </x:c>
      <x:c r="I783" s="50" t="n">
        <x:f>IF(B783="Active",MIN(Assumptions!$B$12,D783+G783),IF(B783="Deferred",MIN(Assumptions!$B$12,D783),D783))</x:f>
        <x:v>27.8</x:v>
      </x:c>
      <x:c r="J783" s="50" t="n">
        <x:f>IF(B783="Active",H783*I783*Assumptions!$B$11,IF(B783="Deferred",E783*I783*Assumptions!$B$11*(1+Assumptions!$B$9)^G783,F783))</x:f>
        <x:v>1320904.2493390427</x:v>
      </x:c>
      <x:c r="K783" s="37" t="n">
        <x:f>IF(B783="Pensioner",1,VLOOKUP(Assumptions!$B$10,Mortality!$A$2:$F$104,6,FALSE)/VLOOKUP(C783,Mortality!$A$2:$F$104,6,FALSE))</x:f>
        <x:v>0.9769349478194655</x:v>
      </x:c>
      <x:c r="L783" s="37" t="n">
        <x:f>VLOOKUP(IF(B783="Pensioner",C783,Assumptions!$B$10),Mortality!$A$2:$E$104,5,FALSE)</x:f>
        <x:v>17.296790022132885</x:v>
      </x:c>
      <x:c r="M783" s="37" t="n">
        <x:f>1+Assumptions!$B$13*Assumptions!$B$14*Assumptions!$B$15</x:f>
        <x:v>1.31875</x:v>
      </x:c>
      <x:c r="N783" s="37" t="n">
        <x:f>IF(B783="Pensioner",1,1/(1+Assumptions!$B$6)^G783)</x:f>
        <x:v>0.38882652444221566</x:v>
      </x:c>
      <x:c r="O783" s="50" t="n">
        <x:f>J783*K783*L783*M783*N783</x:f>
        <x:v>11445133.226717724</x:v>
      </x:c>
    </x:row>
    <x:row r="784">
      <x:c r="A784" s="42" t="str">
        <x:f>Members!A784</x:f>
        <x:v>A0347</x:v>
      </x:c>
      <x:c r="B784" s="42" t="str">
        <x:f>Members!B784</x:f>
        <x:v>Active</x:v>
      </x:c>
      <x:c r="C784" s="42" t="n">
        <x:f>Members!C784</x:f>
        <x:v>33</x:v>
      </x:c>
      <x:c r="D784" s="44" t="n">
        <x:f>Members!D784</x:f>
        <x:v>2</x:v>
      </x:c>
      <x:c r="E784" s="48" t="n">
        <x:f>Members!E784</x:f>
        <x:v>505000</x:v>
      </x:c>
      <x:c r="F784" s="48" t="n">
        <x:f>Members!F784</x:f>
        <x:v>0</x:v>
      </x:c>
      <x:c r="G784" s="46" t="n">
        <x:f>MAX(0,Assumptions!$B$10-C784)</x:f>
        <x:v>27</x:v>
      </x:c>
      <x:c r="H784" s="50" t="n">
        <x:f>IF(B784="Active",E784*(1+Assumptions!$B$7)^G784,E784)</x:f>
        <x:v>2143422.5145060197</x:v>
      </x:c>
      <x:c r="I784" s="50" t="n">
        <x:f>IF(B784="Active",MIN(Assumptions!$B$12,D784+G784),IF(B784="Deferred",MIN(Assumptions!$B$12,D784),D784))</x:f>
        <x:v>29</x:v>
      </x:c>
      <x:c r="J784" s="50" t="n">
        <x:f>IF(B784="Active",H784*I784*Assumptions!$B$11,IF(B784="Deferred",E784*I784*Assumptions!$B$11*(1+Assumptions!$B$9)^G784,F784))</x:f>
        <x:v>1035987.5486779095</x:v>
      </x:c>
      <x:c r="K784" s="37" t="n">
        <x:f>IF(B784="Pensioner",1,VLOOKUP(Assumptions!$B$10,Mortality!$A$2:$F$104,6,FALSE)/VLOOKUP(C784,Mortality!$A$2:$F$104,6,FALSE))</x:f>
        <x:v>0.9712826176321353</x:v>
      </x:c>
      <x:c r="L784" s="37" t="n">
        <x:f>VLOOKUP(IF(B784="Pensioner",C784,Assumptions!$B$10),Mortality!$A$2:$E$104,5,FALSE)</x:f>
        <x:v>17.296790022132885</x:v>
      </x:c>
      <x:c r="M784" s="37" t="n">
        <x:f>1+Assumptions!$B$13*Assumptions!$B$14*Assumptions!$B$15</x:f>
        <x:v>1.31875</x:v>
      </x:c>
      <x:c r="N784" s="37" t="n">
        <x:f>IF(B784="Pensioner",1,1/(1+Assumptions!$B$6)^G784)</x:f>
        <x:v>0.1826251518625737</x:v>
      </x:c>
      <x:c r="O784" s="50" t="n">
        <x:f>J784*K784*L784*M784*N784</x:f>
        <x:v>4191685.8662161105</x:v>
      </x:c>
    </x:row>
    <x:row r="785">
      <x:c r="A785" s="42" t="str">
        <x:f>Members!A785</x:f>
        <x:v>P0031</x:v>
      </x:c>
      <x:c r="B785" s="42" t="str">
        <x:f>Members!B785</x:f>
        <x:v>Pensioner</x:v>
      </x:c>
      <x:c r="C785" s="42" t="n">
        <x:f>Members!C785</x:f>
        <x:v>72</x:v>
      </x:c>
      <x:c r="D785" s="44" t="n">
        <x:f>Members!D785</x:f>
        <x:v>24.4</x:v>
      </x:c>
      <x:c r="E785" s="48" t="n">
        <x:f>Members!E785</x:f>
        <x:v>0</x:v>
      </x:c>
      <x:c r="F785" s="48" t="n">
        <x:f>Members!F785</x:f>
        <x:v>400000</x:v>
      </x:c>
      <x:c r="G785" s="46" t="n">
        <x:f>MAX(0,Assumptions!$B$10-C785)</x:f>
        <x:v>0</x:v>
      </x:c>
      <x:c r="H785" s="50" t="n">
        <x:f>IF(B785="Active",E785*(1+Assumptions!$B$7)^G785,E785)</x:f>
        <x:v>0</x:v>
      </x:c>
      <x:c r="I785" s="50" t="n">
        <x:f>IF(B785="Active",MIN(Assumptions!$B$12,D785+G785),IF(B785="Deferred",MIN(Assumptions!$B$12,D785),D785))</x:f>
        <x:v>24.4</x:v>
      </x:c>
      <x:c r="J785" s="50" t="n">
        <x:f>IF(B785="Active",H785*I785*Assumptions!$B$11,IF(B785="Deferred",E785*I785*Assumptions!$B$11*(1+Assumptions!$B$9)^G785,F785))</x:f>
        <x:v>400000</x:v>
      </x:c>
      <x:c r="K785" s="37" t="n">
        <x:f>IF(B785="Pensioner",1,VLOOKUP(Assumptions!$B$10,Mortality!$A$2:$F$104,6,FALSE)/VLOOKUP(C785,Mortality!$A$2:$F$104,6,FALSE))</x:f>
        <x:v>1</x:v>
      </x:c>
      <x:c r="L785" s="37" t="n">
        <x:f>VLOOKUP(IF(B785="Pensioner",C785,Assumptions!$B$10),Mortality!$A$2:$E$104,5,FALSE)</x:f>
        <x:v>12.047202362945457</x:v>
      </x:c>
      <x:c r="M785" s="37" t="n">
        <x:f>1+Assumptions!$B$13*Assumptions!$B$14*Assumptions!$B$15</x:f>
        <x:v>1.31875</x:v>
      </x:c>
      <x:c r="N785" s="37" t="n">
        <x:f>IF(B785="Pensioner",1,1/(1+Assumptions!$B$6)^G785)</x:f>
        <x:v>1</x:v>
      </x:c>
      <x:c r="O785" s="50" t="n">
        <x:f>J785*K785*L785*M785*N785</x:f>
        <x:v>6354899.2464537285</x:v>
      </x:c>
    </x:row>
    <x:row r="786">
      <x:c r="A786" s="42" t="str">
        <x:f>Members!A786</x:f>
        <x:v>A0394</x:v>
      </x:c>
      <x:c r="B786" s="42" t="str">
        <x:f>Members!B786</x:f>
        <x:v>Active</x:v>
      </x:c>
      <x:c r="C786" s="42" t="n">
        <x:f>Members!C786</x:f>
        <x:v>41</x:v>
      </x:c>
      <x:c r="D786" s="44" t="n">
        <x:f>Members!D786</x:f>
        <x:v>19.3</x:v>
      </x:c>
      <x:c r="E786" s="48" t="n">
        <x:f>Members!E786</x:f>
        <x:v>684000</x:v>
      </x:c>
      <x:c r="F786" s="48" t="n">
        <x:f>Members!F786</x:f>
        <x:v>0</x:v>
      </x:c>
      <x:c r="G786" s="46" t="n">
        <x:f>MAX(0,Assumptions!$B$10-C786)</x:f>
        <x:v>19</x:v>
      </x:c>
      <x:c r="H786" s="50" t="n">
        <x:f>IF(B786="Active",E786*(1+Assumptions!$B$7)^G786,E786)</x:f>
        <x:v>1891702.486799239</x:v>
      </x:c>
      <x:c r="I786" s="50" t="n">
        <x:f>IF(B786="Active",MIN(Assumptions!$B$12,D786+G786),IF(B786="Deferred",MIN(Assumptions!$B$12,D786),D786))</x:f>
        <x:v>38.3</x:v>
      </x:c>
      <x:c r="J786" s="50" t="n">
        <x:f>IF(B786="Active",H786*I786*Assumptions!$B$11,IF(B786="Deferred",E786*I786*Assumptions!$B$11*(1+Assumptions!$B$9)^G786,F786))</x:f>
        <x:v>1207536.7540735141</x:v>
      </x:c>
      <x:c r="K786" s="37" t="n">
        <x:f>IF(B786="Pensioner",1,VLOOKUP(Assumptions!$B$10,Mortality!$A$2:$F$104,6,FALSE)/VLOOKUP(C786,Mortality!$A$2:$F$104,6,FALSE))</x:f>
        <x:v>0.9745478954079534</x:v>
      </x:c>
      <x:c r="L786" s="37" t="n">
        <x:f>VLOOKUP(IF(B786="Pensioner",C786,Assumptions!$B$10),Mortality!$A$2:$E$104,5,FALSE)</x:f>
        <x:v>17.296790022132885</x:v>
      </x:c>
      <x:c r="M786" s="37" t="n">
        <x:f>1+Assumptions!$B$13*Assumptions!$B$14*Assumptions!$B$15</x:f>
        <x:v>1.31875</x:v>
      </x:c>
      <x:c r="N786" s="37" t="n">
        <x:f>IF(B786="Pensioner",1,1/(1+Assumptions!$B$6)^G786)</x:f>
        <x:v>0.30224383580131214</x:v>
      </x:c>
      <x:c r="O786" s="50" t="n">
        <x:f>J786*K786*L786*M786*N786</x:f>
        <x:v>8113140.265992834</x:v>
      </x:c>
    </x:row>
    <x:row r="787">
      <x:c r="A787" s="42" t="str">
        <x:f>Members!A787</x:f>
        <x:v>A0599</x:v>
      </x:c>
      <x:c r="B787" s="42" t="str">
        <x:f>Members!B787</x:f>
        <x:v>Active</x:v>
      </x:c>
      <x:c r="C787" s="42" t="n">
        <x:f>Members!C787</x:f>
        <x:v>36</x:v>
      </x:c>
      <x:c r="D787" s="44" t="n">
        <x:f>Members!D787</x:f>
        <x:v>10.1</x:v>
      </x:c>
      <x:c r="E787" s="48" t="n">
        <x:f>Members!E787</x:f>
        <x:v>535000</x:v>
      </x:c>
      <x:c r="F787" s="48" t="n">
        <x:f>Members!F787</x:f>
        <x:v>0</x:v>
      </x:c>
      <x:c r="G787" s="46" t="n">
        <x:f>MAX(0,Assumptions!$B$10-C787)</x:f>
        <x:v>24</x:v>
      </x:c>
      <x:c r="H787" s="50" t="n">
        <x:f>IF(B787="Active",E787*(1+Assumptions!$B$7)^G787,E787)</x:f>
        <x:v>1933805.5985897565</x:v>
      </x:c>
      <x:c r="I787" s="50" t="n">
        <x:f>IF(B787="Active",MIN(Assumptions!$B$12,D787+G787),IF(B787="Deferred",MIN(Assumptions!$B$12,D787),D787))</x:f>
        <x:v>34.1</x:v>
      </x:c>
      <x:c r="J787" s="50" t="n">
        <x:f>IF(B787="Active",H787*I787*Assumptions!$B$11,IF(B787="Deferred",E787*I787*Assumptions!$B$11*(1+Assumptions!$B$9)^G787,F787))</x:f>
        <x:v>1099046.1818651783</x:v>
      </x:c>
      <x:c r="K787" s="37" t="n">
        <x:f>IF(B787="Pensioner",1,VLOOKUP(Assumptions!$B$10,Mortality!$A$2:$F$104,6,FALSE)/VLOOKUP(C787,Mortality!$A$2:$F$104,6,FALSE))</x:f>
        <x:v>0.9723450305541352</x:v>
      </x:c>
      <x:c r="L787" s="37" t="n">
        <x:f>VLOOKUP(IF(B787="Pensioner",C787,Assumptions!$B$10),Mortality!$A$2:$E$104,5,FALSE)</x:f>
        <x:v>17.296790022132885</x:v>
      </x:c>
      <x:c r="M787" s="37" t="n">
        <x:f>1+Assumptions!$B$13*Assumptions!$B$14*Assumptions!$B$15</x:f>
        <x:v>1.31875</x:v>
      </x:c>
      <x:c r="N787" s="37" t="n">
        <x:f>IF(B787="Pensioner",1,1/(1+Assumptions!$B$6)^G787)</x:f>
        <x:v>0.22060198370796386</x:v>
      </x:c>
      <x:c r="O787" s="50" t="n">
        <x:f>J787*K787*L787*M787*N787</x:f>
        <x:v>5377417.300571575</x:v>
      </x:c>
    </x:row>
    <x:row r="788">
      <x:c r="A788" s="42" t="str">
        <x:f>Members!A788</x:f>
        <x:v>D0116</x:v>
      </x:c>
      <x:c r="B788" s="42" t="str">
        <x:f>Members!B788</x:f>
        <x:v>Deferred</x:v>
      </x:c>
      <x:c r="C788" s="42" t="n">
        <x:f>Members!C788</x:f>
        <x:v>42</x:v>
      </x:c>
      <x:c r="D788" s="44" t="n">
        <x:f>Members!D788</x:f>
        <x:v>17.8</x:v>
      </x:c>
      <x:c r="E788" s="48" t="n">
        <x:f>Members!E788</x:f>
        <x:v>712000</x:v>
      </x:c>
      <x:c r="F788" s="48" t="n">
        <x:f>Members!F788</x:f>
        <x:v>0</x:v>
      </x:c>
      <x:c r="G788" s="46" t="n">
        <x:f>MAX(0,Assumptions!$B$10-C788)</x:f>
        <x:v>18</x:v>
      </x:c>
      <x:c r="H788" s="50" t="n">
        <x:f>IF(B788="Active",E788*(1+Assumptions!$B$7)^G788,E788)</x:f>
        <x:v>712000</x:v>
      </x:c>
      <x:c r="I788" s="50" t="n">
        <x:f>IF(B788="Active",MIN(Assumptions!$B$12,D788+G788),IF(B788="Deferred",MIN(Assumptions!$B$12,D788),D788))</x:f>
        <x:v>17.8</x:v>
      </x:c>
      <x:c r="J788" s="50" t="n">
        <x:f>IF(B788="Active",H788*I788*Assumptions!$B$11,IF(B788="Deferred",E788*I788*Assumptions!$B$11*(1+Assumptions!$B$9)^G788,F788))</x:f>
        <x:v>427906.4698216896</x:v>
      </x:c>
      <x:c r="K788" s="37" t="n">
        <x:f>IF(B788="Pensioner",1,VLOOKUP(Assumptions!$B$10,Mortality!$A$2:$F$104,6,FALSE)/VLOOKUP(C788,Mortality!$A$2:$F$104,6,FALSE))</x:f>
        <x:v>0.9750799707838386</x:v>
      </x:c>
      <x:c r="L788" s="37" t="n">
        <x:f>VLOOKUP(IF(B788="Pensioner",C788,Assumptions!$B$10),Mortality!$A$2:$E$104,5,FALSE)</x:f>
        <x:v>17.296790022132885</x:v>
      </x:c>
      <x:c r="M788" s="37" t="n">
        <x:f>1+Assumptions!$B$13*Assumptions!$B$14*Assumptions!$B$15</x:f>
        <x:v>1.31875</x:v>
      </x:c>
      <x:c r="N788" s="37" t="n">
        <x:f>IF(B788="Pensioner",1,1/(1+Assumptions!$B$6)^G788)</x:f>
        <x:v>0.3218896851283974</x:v>
      </x:c>
      <x:c r="O788" s="50" t="n">
        <x:f>J788*K788*L788*M788*N788</x:f>
        <x:v>3063544.086598678</x:v>
      </x:c>
    </x:row>
    <x:row r="789">
      <x:c r="A789" s="42" t="str">
        <x:f>Members!A789</x:f>
        <x:v>P0088</x:v>
      </x:c>
      <x:c r="B789" s="42" t="str">
        <x:f>Members!B789</x:f>
        <x:v>Pensioner</x:v>
      </x:c>
      <x:c r="C789" s="42" t="n">
        <x:f>Members!C789</x:f>
        <x:v>86</x:v>
      </x:c>
      <x:c r="D789" s="44" t="n">
        <x:f>Members!D789</x:f>
        <x:v>37.4</x:v>
      </x:c>
      <x:c r="E789" s="48" t="n">
        <x:f>Members!E789</x:f>
        <x:v>0</x:v>
      </x:c>
      <x:c r="F789" s="48" t="n">
        <x:f>Members!F789</x:f>
        <x:v>816000</x:v>
      </x:c>
      <x:c r="G789" s="46" t="n">
        <x:f>MAX(0,Assumptions!$B$10-C789)</x:f>
        <x:v>0</x:v>
      </x:c>
      <x:c r="H789" s="50" t="n">
        <x:f>IF(B789="Active",E789*(1+Assumptions!$B$7)^G789,E789)</x:f>
        <x:v>0</x:v>
      </x:c>
      <x:c r="I789" s="50" t="n">
        <x:f>IF(B789="Active",MIN(Assumptions!$B$12,D789+G789),IF(B789="Deferred",MIN(Assumptions!$B$12,D789),D789))</x:f>
        <x:v>37.4</x:v>
      </x:c>
      <x:c r="J789" s="50" t="n">
        <x:f>IF(B789="Active",H789*I789*Assumptions!$B$11,IF(B789="Deferred",E789*I789*Assumptions!$B$11*(1+Assumptions!$B$9)^G789,F789))</x:f>
        <x:v>816000</x:v>
      </x:c>
      <x:c r="K789" s="37" t="n">
        <x:f>IF(B789="Pensioner",1,VLOOKUP(Assumptions!$B$10,Mortality!$A$2:$F$104,6,FALSE)/VLOOKUP(C789,Mortality!$A$2:$F$104,6,FALSE))</x:f>
        <x:v>1</x:v>
      </x:c>
      <x:c r="L789" s="37" t="n">
        <x:f>VLOOKUP(IF(B789="Pensioner",C789,Assumptions!$B$10),Mortality!$A$2:$E$104,5,FALSE)</x:f>
        <x:v>5.822832972912483</x:v>
      </x:c>
      <x:c r="M789" s="37" t="n">
        <x:f>1+Assumptions!$B$13*Assumptions!$B$14*Assumptions!$B$15</x:f>
        <x:v>1.31875</x:v>
      </x:c>
      <x:c r="N789" s="37" t="n">
        <x:f>IF(B789="Pensioner",1,1/(1+Assumptions!$B$6)^G789)</x:f>
        <x:v>1</x:v>
      </x:c>
      <x:c r="O789" s="50" t="n">
        <x:f>J789*K789*L789*M789*N789</x:f>
        <x:v>6265950.562151124</x:v>
      </x:c>
    </x:row>
    <x:row r="790">
      <x:c r="A790" s="42" t="str">
        <x:f>Members!A790</x:f>
        <x:v>A0165</x:v>
      </x:c>
      <x:c r="B790" s="42" t="str">
        <x:f>Members!B790</x:f>
        <x:v>Active</x:v>
      </x:c>
      <x:c r="C790" s="42" t="n">
        <x:f>Members!C790</x:f>
        <x:v>57</x:v>
      </x:c>
      <x:c r="D790" s="44" t="n">
        <x:f>Members!D790</x:f>
        <x:v>18.9</x:v>
      </x:c>
      <x:c r="E790" s="48" t="n">
        <x:f>Members!E790</x:f>
        <x:v>1709000</x:v>
      </x:c>
      <x:c r="F790" s="48" t="n">
        <x:f>Members!F790</x:f>
        <x:v>0</x:v>
      </x:c>
      <x:c r="G790" s="46" t="n">
        <x:f>MAX(0,Assumptions!$B$10-C790)</x:f>
        <x:v>3</x:v>
      </x:c>
      <x:c r="H790" s="50" t="n">
        <x:f>IF(B790="Active",E790*(1+Assumptions!$B$7)^G790,E790)</x:f>
        <x:v>2006778.5098749998</x:v>
      </x:c>
      <x:c r="I790" s="50" t="n">
        <x:f>IF(B790="Active",MIN(Assumptions!$B$12,D790+G790),IF(B790="Deferred",MIN(Assumptions!$B$12,D790),D790))</x:f>
        <x:v>21.9</x:v>
      </x:c>
      <x:c r="J790" s="50" t="n">
        <x:f>IF(B790="Active",H790*I790*Assumptions!$B$11,IF(B790="Deferred",E790*I790*Assumptions!$B$11*(1+Assumptions!$B$9)^G790,F790))</x:f>
        <x:v>732474.1561043749</x:v>
      </x:c>
      <x:c r="K790" s="37" t="n">
        <x:f>IF(B790="Pensioner",1,VLOOKUP(Assumptions!$B$10,Mortality!$A$2:$F$104,6,FALSE)/VLOOKUP(C790,Mortality!$A$2:$F$104,6,FALSE))</x:f>
        <x:v>0.9922003892921417</x:v>
      </x:c>
      <x:c r="L790" s="37" t="n">
        <x:f>VLOOKUP(IF(B790="Pensioner",C790,Assumptions!$B$10),Mortality!$A$2:$E$104,5,FALSE)</x:f>
        <x:v>17.296790022132885</x:v>
      </x:c>
      <x:c r="M790" s="37" t="n">
        <x:f>1+Assumptions!$B$13*Assumptions!$B$14*Assumptions!$B$15</x:f>
        <x:v>1.31875</x:v>
      </x:c>
      <x:c r="N790" s="37" t="n">
        <x:f>IF(B790="Pensioner",1,1/(1+Assumptions!$B$6)^G790)</x:f>
        <x:v>0.8278490918029799</x:v>
      </x:c>
      <x:c r="O790" s="50" t="n">
        <x:f>J790*K790*L790*M790*N790</x:f>
        <x:v>13723688.811155712</x:v>
      </x:c>
    </x:row>
    <x:row r="791">
      <x:c r="A791" s="42" t="str">
        <x:f>Members!A791</x:f>
        <x:v>P0074</x:v>
      </x:c>
      <x:c r="B791" s="42" t="str">
        <x:f>Members!B791</x:f>
        <x:v>Pensioner</x:v>
      </x:c>
      <x:c r="C791" s="42" t="n">
        <x:f>Members!C791</x:f>
        <x:v>76</x:v>
      </x:c>
      <x:c r="D791" s="44" t="n">
        <x:f>Members!D791</x:f>
        <x:v>17</x:v>
      </x:c>
      <x:c r="E791" s="48" t="n">
        <x:f>Members!E791</x:f>
        <x:v>0</x:v>
      </x:c>
      <x:c r="F791" s="48" t="n">
        <x:f>Members!F791</x:f>
        <x:v>477000</x:v>
      </x:c>
      <x:c r="G791" s="46" t="n">
        <x:f>MAX(0,Assumptions!$B$10-C791)</x:f>
        <x:v>0</x:v>
      </x:c>
      <x:c r="H791" s="50" t="n">
        <x:f>IF(B791="Active",E791*(1+Assumptions!$B$7)^G791,E791)</x:f>
        <x:v>0</x:v>
      </x:c>
      <x:c r="I791" s="50" t="n">
        <x:f>IF(B791="Active",MIN(Assumptions!$B$12,D791+G791),IF(B791="Deferred",MIN(Assumptions!$B$12,D791),D791))</x:f>
        <x:v>17</x:v>
      </x:c>
      <x:c r="J791" s="50" t="n">
        <x:f>IF(B791="Active",H791*I791*Assumptions!$B$11,IF(B791="Deferred",E791*I791*Assumptions!$B$11*(1+Assumptions!$B$9)^G791,F791))</x:f>
        <x:v>477000</x:v>
      </x:c>
      <x:c r="K791" s="37" t="n">
        <x:f>IF(B791="Pensioner",1,VLOOKUP(Assumptions!$B$10,Mortality!$A$2:$F$104,6,FALSE)/VLOOKUP(C791,Mortality!$A$2:$F$104,6,FALSE))</x:f>
        <x:v>1</x:v>
      </x:c>
      <x:c r="L791" s="37" t="n">
        <x:f>VLOOKUP(IF(B791="Pensioner",C791,Assumptions!$B$10),Mortality!$A$2:$E$104,5,FALSE)</x:f>
        <x:v>10.201355966192867</x:v>
      </x:c>
      <x:c r="M791" s="37" t="n">
        <x:f>1+Assumptions!$B$13*Assumptions!$B$14*Assumptions!$B$15</x:f>
        <x:v>1.31875</x:v>
      </x:c>
      <x:c r="N791" s="37" t="n">
        <x:f>IF(B791="Pensioner",1,1/(1+Assumptions!$B$6)^G791)</x:f>
        <x:v>1</x:v>
      </x:c>
      <x:c r="O791" s="50" t="n">
        <x:f>J791*K791*L791*M791*N791</x:f>
        <x:v>6417099.212058835</x:v>
      </x:c>
    </x:row>
    <x:row r="792">
      <x:c r="A792" s="42" t="str">
        <x:f>Members!A792</x:f>
        <x:v>P0220</x:v>
      </x:c>
      <x:c r="B792" s="42" t="str">
        <x:f>Members!B792</x:f>
        <x:v>Pensioner</x:v>
      </x:c>
      <x:c r="C792" s="42" t="n">
        <x:f>Members!C792</x:f>
        <x:v>89</x:v>
      </x:c>
      <x:c r="D792" s="44" t="n">
        <x:f>Members!D792</x:f>
        <x:v>33.2</x:v>
      </x:c>
      <x:c r="E792" s="48" t="n">
        <x:f>Members!E792</x:f>
        <x:v>0</x:v>
      </x:c>
      <x:c r="F792" s="48" t="n">
        <x:f>Members!F792</x:f>
        <x:v>704000</x:v>
      </x:c>
      <x:c r="G792" s="46" t="n">
        <x:f>MAX(0,Assumptions!$B$10-C792)</x:f>
        <x:v>0</x:v>
      </x:c>
      <x:c r="H792" s="50" t="n">
        <x:f>IF(B792="Active",E792*(1+Assumptions!$B$7)^G792,E792)</x:f>
        <x:v>0</x:v>
      </x:c>
      <x:c r="I792" s="50" t="n">
        <x:f>IF(B792="Active",MIN(Assumptions!$B$12,D792+G792),IF(B792="Deferred",MIN(Assumptions!$B$12,D792),D792))</x:f>
        <x:v>33.2</x:v>
      </x:c>
      <x:c r="J792" s="50" t="n">
        <x:f>IF(B792="Active",H792*I792*Assumptions!$B$11,IF(B792="Deferred",E792*I792*Assumptions!$B$11*(1+Assumptions!$B$9)^G792,F792))</x:f>
        <x:v>704000</x:v>
      </x:c>
      <x:c r="K792" s="37" t="n">
        <x:f>IF(B792="Pensioner",1,VLOOKUP(Assumptions!$B$10,Mortality!$A$2:$F$104,6,FALSE)/VLOOKUP(C792,Mortality!$A$2:$F$104,6,FALSE))</x:f>
        <x:v>1</x:v>
      </x:c>
      <x:c r="L792" s="37" t="n">
        <x:f>VLOOKUP(IF(B792="Pensioner",C792,Assumptions!$B$10),Mortality!$A$2:$E$104,5,FALSE)</x:f>
        <x:v>4.671582182389365</x:v>
      </x:c>
      <x:c r="M792" s="37" t="n">
        <x:f>1+Assumptions!$B$13*Assumptions!$B$14*Assumptions!$B$15</x:f>
        <x:v>1.31875</x:v>
      </x:c>
      <x:c r="N792" s="37" t="n">
        <x:f>IF(B792="Pensioner",1,1/(1+Assumptions!$B$6)^G792)</x:f>
        <x:v>1</x:v>
      </x:c>
      <x:c r="O792" s="50" t="n">
        <x:f>J792*K792*L792*M792*N792</x:f>
        <x:v>4337096.8981302865</x:v>
      </x:c>
    </x:row>
    <x:row r="793">
      <x:c r="A793" s="42" t="str">
        <x:f>Members!A793</x:f>
        <x:v>D0117</x:v>
      </x:c>
      <x:c r="B793" s="42" t="str">
        <x:f>Members!B793</x:f>
        <x:v>Deferred</x:v>
      </x:c>
      <x:c r="C793" s="42" t="n">
        <x:f>Members!C793</x:f>
        <x:v>57</x:v>
      </x:c>
      <x:c r="D793" s="44" t="n">
        <x:f>Members!D793</x:f>
        <x:v>6.1</x:v>
      </x:c>
      <x:c r="E793" s="48" t="n">
        <x:f>Members!E793</x:f>
        <x:v>1479000</x:v>
      </x:c>
      <x:c r="F793" s="48" t="n">
        <x:f>Members!F793</x:f>
        <x:v>0</x:v>
      </x:c>
      <x:c r="G793" s="46" t="n">
        <x:f>MAX(0,Assumptions!$B$10-C793)</x:f>
        <x:v>3</x:v>
      </x:c>
      <x:c r="H793" s="50" t="n">
        <x:f>IF(B793="Active",E793*(1+Assumptions!$B$7)^G793,E793)</x:f>
        <x:v>1479000</x:v>
      </x:c>
      <x:c r="I793" s="50" t="n">
        <x:f>IF(B793="Active",MIN(Assumptions!$B$12,D793+G793),IF(B793="Deferred",MIN(Assumptions!$B$12,D793),D793))</x:f>
        <x:v>6.1</x:v>
      </x:c>
      <x:c r="J793" s="50" t="n">
        <x:f>IF(B793="Active",H793*I793*Assumptions!$B$11,IF(B793="Deferred",E793*I793*Assumptions!$B$11*(1+Assumptions!$B$9)^G793,F793))</x:f>
        <x:v>169140.17536000002</x:v>
      </x:c>
      <x:c r="K793" s="37" t="n">
        <x:f>IF(B793="Pensioner",1,VLOOKUP(Assumptions!$B$10,Mortality!$A$2:$F$104,6,FALSE)/VLOOKUP(C793,Mortality!$A$2:$F$104,6,FALSE))</x:f>
        <x:v>0.9922003892921417</x:v>
      </x:c>
      <x:c r="L793" s="37" t="n">
        <x:f>VLOOKUP(IF(B793="Pensioner",C793,Assumptions!$B$10),Mortality!$A$2:$E$104,5,FALSE)</x:f>
        <x:v>17.296790022132885</x:v>
      </x:c>
      <x:c r="M793" s="37" t="n">
        <x:f>1+Assumptions!$B$13*Assumptions!$B$14*Assumptions!$B$15</x:f>
        <x:v>1.31875</x:v>
      </x:c>
      <x:c r="N793" s="37" t="n">
        <x:f>IF(B793="Pensioner",1,1/(1+Assumptions!$B$6)^G793)</x:f>
        <x:v>0.8278490918029799</x:v>
      </x:c>
      <x:c r="O793" s="50" t="n">
        <x:f>J793*K793*L793*M793*N793</x:f>
        <x:v>3169022.5692743496</x:v>
      </x:c>
    </x:row>
    <x:row r="794">
      <x:c r="A794" s="42" t="str">
        <x:f>Members!A794</x:f>
        <x:v>A0269</x:v>
      </x:c>
      <x:c r="B794" s="42" t="str">
        <x:f>Members!B794</x:f>
        <x:v>Active</x:v>
      </x:c>
      <x:c r="C794" s="42" t="n">
        <x:f>Members!C794</x:f>
        <x:v>36</x:v>
      </x:c>
      <x:c r="D794" s="44" t="n">
        <x:f>Members!D794</x:f>
        <x:v>8.6</x:v>
      </x:c>
      <x:c r="E794" s="48" t="n">
        <x:f>Members!E794</x:f>
        <x:v>705000</x:v>
      </x:c>
      <x:c r="F794" s="48" t="n">
        <x:f>Members!F794</x:f>
        <x:v>0</x:v>
      </x:c>
      <x:c r="G794" s="46" t="n">
        <x:f>MAX(0,Assumptions!$B$10-C794)</x:f>
        <x:v>24</x:v>
      </x:c>
      <x:c r="H794" s="50" t="n">
        <x:f>IF(B794="Active",E794*(1+Assumptions!$B$7)^G794,E794)</x:f>
        <x:v>2548285.882253791</x:v>
      </x:c>
      <x:c r="I794" s="50" t="n">
        <x:f>IF(B794="Active",MIN(Assumptions!$B$12,D794+G794),IF(B794="Deferred",MIN(Assumptions!$B$12,D794),D794))</x:f>
        <x:v>32.6</x:v>
      </x:c>
      <x:c r="J794" s="50" t="n">
        <x:f>IF(B794="Active",H794*I794*Assumptions!$B$11,IF(B794="Deferred",E794*I794*Assumptions!$B$11*(1+Assumptions!$B$9)^G794,F794))</x:f>
        <x:v>1384568.6626912267</x:v>
      </x:c>
      <x:c r="K794" s="37" t="n">
        <x:f>IF(B794="Pensioner",1,VLOOKUP(Assumptions!$B$10,Mortality!$A$2:$F$104,6,FALSE)/VLOOKUP(C794,Mortality!$A$2:$F$104,6,FALSE))</x:f>
        <x:v>0.9723450305541352</x:v>
      </x:c>
      <x:c r="L794" s="37" t="n">
        <x:f>VLOOKUP(IF(B794="Pensioner",C794,Assumptions!$B$10),Mortality!$A$2:$E$104,5,FALSE)</x:f>
        <x:v>17.296790022132885</x:v>
      </x:c>
      <x:c r="M794" s="37" t="n">
        <x:f>1+Assumptions!$B$13*Assumptions!$B$14*Assumptions!$B$15</x:f>
        <x:v>1.31875</x:v>
      </x:c>
      <x:c r="N794" s="37" t="n">
        <x:f>IF(B794="Pensioner",1,1/(1+Assumptions!$B$6)^G794)</x:f>
        <x:v>0.22060198370796386</x:v>
      </x:c>
      <x:c r="O794" s="50" t="n">
        <x:f>J794*K794*L794*M794*N794</x:f>
        <x:v>6774422.77079708</x:v>
      </x:c>
    </x:row>
    <x:row r="795">
      <x:c r="A795" s="42" t="str">
        <x:f>Members!A795</x:f>
        <x:v>A0219</x:v>
      </x:c>
      <x:c r="B795" s="42" t="str">
        <x:f>Members!B795</x:f>
        <x:v>Active</x:v>
      </x:c>
      <x:c r="C795" s="42" t="n">
        <x:f>Members!C795</x:f>
        <x:v>28</x:v>
      </x:c>
      <x:c r="D795" s="44" t="n">
        <x:f>Members!D795</x:f>
        <x:v>3.1</x:v>
      </x:c>
      <x:c r="E795" s="48" t="n">
        <x:f>Members!E795</x:f>
        <x:v>665000</x:v>
      </x:c>
      <x:c r="F795" s="48" t="n">
        <x:f>Members!F795</x:f>
        <x:v>0</x:v>
      </x:c>
      <x:c r="G795" s="46" t="n">
        <x:f>MAX(0,Assumptions!$B$10-C795)</x:f>
        <x:v>32</x:v>
      </x:c>
      <x:c r="H795" s="50" t="n">
        <x:f>IF(B795="Active",E795*(1+Assumptions!$B$7)^G795,E795)</x:f>
        <x:v>3688929.484539331</x:v>
      </x:c>
      <x:c r="I795" s="50" t="n">
        <x:f>IF(B795="Active",MIN(Assumptions!$B$12,D795+G795),IF(B795="Deferred",MIN(Assumptions!$B$12,D795),D795))</x:f>
        <x:v>35.1</x:v>
      </x:c>
      <x:c r="J795" s="50" t="n">
        <x:f>IF(B795="Active",H795*I795*Assumptions!$B$11,IF(B795="Deferred",E795*I795*Assumptions!$B$11*(1+Assumptions!$B$9)^G795,F795))</x:f>
        <x:v>2158023.7484555086</x:v>
      </x:c>
      <x:c r="K795" s="37" t="n">
        <x:f>IF(B795="Pensioner",1,VLOOKUP(Assumptions!$B$10,Mortality!$A$2:$F$104,6,FALSE)/VLOOKUP(C795,Mortality!$A$2:$F$104,6,FALSE))</x:f>
        <x:v>0.9697719614347323</x:v>
      </x:c>
      <x:c r="L795" s="37" t="n">
        <x:f>VLOOKUP(IF(B795="Pensioner",C795,Assumptions!$B$10),Mortality!$A$2:$E$104,5,FALSE)</x:f>
        <x:v>17.296790022132885</x:v>
      </x:c>
      <x:c r="M795" s="37" t="n">
        <x:f>1+Assumptions!$B$13*Assumptions!$B$14*Assumptions!$B$15</x:f>
        <x:v>1.31875</x:v>
      </x:c>
      <x:c r="N795" s="37" t="n">
        <x:f>IF(B795="Pensioner",1,1/(1+Assumptions!$B$6)^G795)</x:f>
        <x:v>0.13329459861122173</x:v>
      </x:c>
      <x:c r="O795" s="50" t="n">
        <x:f>J795*K795*L795*M795*N795</x:f>
        <x:v>6363065.300330867</x:v>
      </x:c>
    </x:row>
    <x:row r="796">
      <x:c r="A796" s="42" t="str">
        <x:f>Members!A796</x:f>
        <x:v>A0472</x:v>
      </x:c>
      <x:c r="B796" s="42" t="str">
        <x:f>Members!B796</x:f>
        <x:v>Active</x:v>
      </x:c>
      <x:c r="C796" s="42" t="n">
        <x:f>Members!C796</x:f>
        <x:v>28</x:v>
      </x:c>
      <x:c r="D796" s="44" t="n">
        <x:f>Members!D796</x:f>
        <x:v>4.1</x:v>
      </x:c>
      <x:c r="E796" s="48" t="n">
        <x:f>Members!E796</x:f>
        <x:v>560000</x:v>
      </x:c>
      <x:c r="F796" s="48" t="n">
        <x:f>Members!F796</x:f>
        <x:v>0</x:v>
      </x:c>
      <x:c r="G796" s="46" t="n">
        <x:f>MAX(0,Assumptions!$B$10-C796)</x:f>
        <x:v>32</x:v>
      </x:c>
      <x:c r="H796" s="50" t="n">
        <x:f>IF(B796="Active",E796*(1+Assumptions!$B$7)^G796,E796)</x:f>
        <x:v>3106466.93434891</x:v>
      </x:c>
      <x:c r="I796" s="50" t="n">
        <x:f>IF(B796="Active",MIN(Assumptions!$B$12,D796+G796),IF(B796="Deferred",MIN(Assumptions!$B$12,D796),D796))</x:f>
        <x:v>36.1</x:v>
      </x:c>
      <x:c r="J796" s="50" t="n">
        <x:f>IF(B796="Active",H796*I796*Assumptions!$B$11,IF(B796="Deferred",E796*I796*Assumptions!$B$11*(1+Assumptions!$B$9)^G796,F796))</x:f>
        <x:v>1869057.6054999277</x:v>
      </x:c>
      <x:c r="K796" s="37" t="n">
        <x:f>IF(B796="Pensioner",1,VLOOKUP(Assumptions!$B$10,Mortality!$A$2:$F$104,6,FALSE)/VLOOKUP(C796,Mortality!$A$2:$F$104,6,FALSE))</x:f>
        <x:v>0.9697719614347323</x:v>
      </x:c>
      <x:c r="L796" s="37" t="n">
        <x:f>VLOOKUP(IF(B796="Pensioner",C796,Assumptions!$B$10),Mortality!$A$2:$E$104,5,FALSE)</x:f>
        <x:v>17.296790022132885</x:v>
      </x:c>
      <x:c r="M796" s="37" t="n">
        <x:f>1+Assumptions!$B$13*Assumptions!$B$14*Assumptions!$B$15</x:f>
        <x:v>1.31875</x:v>
      </x:c>
      <x:c r="N796" s="37" t="n">
        <x:f>IF(B796="Pensioner",1,1/(1+Assumptions!$B$6)^G796)</x:f>
        <x:v>0.13329459861122173</x:v>
      </x:c>
      <x:c r="O796" s="50" t="n">
        <x:f>J796*K796*L796*M796*N796</x:f>
        <x:v>5511030.915386278</x:v>
      </x:c>
    </x:row>
    <x:row r="797">
      <x:c r="A797" s="42" t="str">
        <x:f>Members!A797</x:f>
        <x:v>A0022</x:v>
      </x:c>
      <x:c r="B797" s="42" t="str">
        <x:f>Members!B797</x:f>
        <x:v>Active</x:v>
      </x:c>
      <x:c r="C797" s="42" t="n">
        <x:f>Members!C797</x:f>
        <x:v>40</x:v>
      </x:c>
      <x:c r="D797" s="44" t="n">
        <x:f>Members!D797</x:f>
        <x:v>8.4</x:v>
      </x:c>
      <x:c r="E797" s="48" t="n">
        <x:f>Members!E797</x:f>
        <x:v>723000</x:v>
      </x:c>
      <x:c r="F797" s="48" t="n">
        <x:f>Members!F797</x:f>
        <x:v>0</x:v>
      </x:c>
      <x:c r="G797" s="46" t="n">
        <x:f>MAX(0,Assumptions!$B$10-C797)</x:f>
        <x:v>20</x:v>
      </x:c>
      <x:c r="H797" s="50" t="n">
        <x:f>IF(B797="Active",E797*(1+Assumptions!$B$7)^G797,E797)</x:f>
        <x:v>2109538.6657067565</x:v>
      </x:c>
      <x:c r="I797" s="50" t="n">
        <x:f>IF(B797="Active",MIN(Assumptions!$B$12,D797+G797),IF(B797="Deferred",MIN(Assumptions!$B$12,D797),D797))</x:f>
        <x:v>28.4</x:v>
      </x:c>
      <x:c r="J797" s="50" t="n">
        <x:f>IF(B797="Active",H797*I797*Assumptions!$B$11,IF(B797="Deferred",E797*I797*Assumptions!$B$11*(1+Assumptions!$B$9)^G797,F797))</x:f>
        <x:v>998514.9684345314</x:v>
      </x:c>
      <x:c r="K797" s="37" t="n">
        <x:f>IF(B797="Pensioner",1,VLOOKUP(Assumptions!$B$10,Mortality!$A$2:$F$104,6,FALSE)/VLOOKUP(C797,Mortality!$A$2:$F$104,6,FALSE))</x:f>
        <x:v>0.9740511243198767</x:v>
      </x:c>
      <x:c r="L797" s="37" t="n">
        <x:f>VLOOKUP(IF(B797="Pensioner",C797,Assumptions!$B$10),Mortality!$A$2:$E$104,5,FALSE)</x:f>
        <x:v>17.296790022132885</x:v>
      </x:c>
      <x:c r="M797" s="37" t="n">
        <x:f>1+Assumptions!$B$13*Assumptions!$B$14*Assumptions!$B$15</x:f>
        <x:v>1.31875</x:v>
      </x:c>
      <x:c r="N797" s="37" t="n">
        <x:f>IF(B797="Pensioner",1,1/(1+Assumptions!$B$6)^G797)</x:f>
        <x:v>0.2837970289214199</x:v>
      </x:c>
      <x:c r="O797" s="50" t="n">
        <x:f>J797*K797*L797*M797*N797</x:f>
        <x:v>6296107.897575255</x:v>
      </x:c>
    </x:row>
    <x:row r="798">
      <x:c r="A798" s="42" t="str">
        <x:f>Members!A798</x:f>
        <x:v>A0059</x:v>
      </x:c>
      <x:c r="B798" s="42" t="str">
        <x:f>Members!B798</x:f>
        <x:v>Active</x:v>
      </x:c>
      <x:c r="C798" s="42" t="n">
        <x:f>Members!C798</x:f>
        <x:v>43</x:v>
      </x:c>
      <x:c r="D798" s="44" t="n">
        <x:f>Members!D798</x:f>
        <x:v>9</x:v>
      </x:c>
      <x:c r="E798" s="48" t="n">
        <x:f>Members!E798</x:f>
        <x:v>920000</x:v>
      </x:c>
      <x:c r="F798" s="48" t="n">
        <x:f>Members!F798</x:f>
        <x:v>0</x:v>
      </x:c>
      <x:c r="G798" s="46" t="n">
        <x:f>MAX(0,Assumptions!$B$10-C798)</x:f>
        <x:v>17</x:v>
      </x:c>
      <x:c r="H798" s="50" t="n">
        <x:f>IF(B798="Active",E798*(1+Assumptions!$B$7)^G798,E798)</x:f>
        <x:v>2286017.975951292</x:v>
      </x:c>
      <x:c r="I798" s="50" t="n">
        <x:f>IF(B798="Active",MIN(Assumptions!$B$12,D798+G798),IF(B798="Deferred",MIN(Assumptions!$B$12,D798),D798))</x:f>
        <x:v>26</x:v>
      </x:c>
      <x:c r="J798" s="50" t="n">
        <x:f>IF(B798="Active",H798*I798*Assumptions!$B$11,IF(B798="Deferred",E798*I798*Assumptions!$B$11*(1+Assumptions!$B$9)^G798,F798))</x:f>
        <x:v>990607.7895788932</x:v>
      </x:c>
      <x:c r="K798" s="37" t="n">
        <x:f>IF(B798="Pensioner",1,VLOOKUP(Assumptions!$B$10,Mortality!$A$2:$F$104,6,FALSE)/VLOOKUP(C798,Mortality!$A$2:$F$104,6,FALSE))</x:f>
        <x:v>0.975651758424938</x:v>
      </x:c>
      <x:c r="L798" s="37" t="n">
        <x:f>VLOOKUP(IF(B798="Pensioner",C798,Assumptions!$B$10),Mortality!$A$2:$E$104,5,FALSE)</x:f>
        <x:v>17.296790022132885</x:v>
      </x:c>
      <x:c r="M798" s="37" t="n">
        <x:f>1+Assumptions!$B$13*Assumptions!$B$14*Assumptions!$B$15</x:f>
        <x:v>1.31875</x:v>
      </x:c>
      <x:c r="N798" s="37" t="n">
        <x:f>IF(B798="Pensioner",1,1/(1+Assumptions!$B$6)^G798)</x:f>
        <x:v>0.34281251466174323</x:v>
      </x:c>
      <x:c r="O798" s="50" t="n">
        <x:f>J798*K798*L798*M798*N798</x:f>
        <x:v>7557553.392161205</x:v>
      </x:c>
    </x:row>
    <x:row r="799">
      <x:c r="A799" s="42" t="str">
        <x:f>Members!A799</x:f>
        <x:v>A0064</x:v>
      </x:c>
      <x:c r="B799" s="42" t="str">
        <x:f>Members!B799</x:f>
        <x:v>Active</x:v>
      </x:c>
      <x:c r="C799" s="42" t="n">
        <x:f>Members!C799</x:f>
        <x:v>49</x:v>
      </x:c>
      <x:c r="D799" s="44" t="n">
        <x:f>Members!D799</x:f>
        <x:v>16.5</x:v>
      </x:c>
      <x:c r="E799" s="48" t="n">
        <x:f>Members!E799</x:f>
        <x:v>1377000</x:v>
      </x:c>
      <x:c r="F799" s="48" t="n">
        <x:f>Members!F799</x:f>
        <x:v>0</x:v>
      </x:c>
      <x:c r="G799" s="46" t="n">
        <x:f>MAX(0,Assumptions!$B$10-C799)</x:f>
        <x:v>11</x:v>
      </x:c>
      <x:c r="H799" s="50" t="n">
        <x:f>IF(B799="Active",E799*(1+Assumptions!$B$7)^G799,E799)</x:f>
        <x:v>2481481.2397063067</x:v>
      </x:c>
      <x:c r="I799" s="50" t="n">
        <x:f>IF(B799="Active",MIN(Assumptions!$B$12,D799+G799),IF(B799="Deferred",MIN(Assumptions!$B$12,D799),D799))</x:f>
        <x:v>27.5</x:v>
      </x:c>
      <x:c r="J799" s="50" t="n">
        <x:f>IF(B799="Active",H799*I799*Assumptions!$B$11,IF(B799="Deferred",E799*I799*Assumptions!$B$11*(1+Assumptions!$B$9)^G799,F799))</x:f>
        <x:v>1137345.5681987237</x:v>
      </x:c>
      <x:c r="K799" s="37" t="n">
        <x:f>IF(B799="Pensioner",1,VLOOKUP(Assumptions!$B$10,Mortality!$A$2:$F$104,6,FALSE)/VLOOKUP(C799,Mortality!$A$2:$F$104,6,FALSE))</x:f>
        <x:v>0.9802429662359576</x:v>
      </x:c>
      <x:c r="L799" s="37" t="n">
        <x:f>VLOOKUP(IF(B799="Pensioner",C799,Assumptions!$B$10),Mortality!$A$2:$E$104,5,FALSE)</x:f>
        <x:v>17.296790022132885</x:v>
      </x:c>
      <x:c r="M799" s="37" t="n">
        <x:f>1+Assumptions!$B$13*Assumptions!$B$14*Assumptions!$B$15</x:f>
        <x:v>1.31875</x:v>
      </x:c>
      <x:c r="N799" s="37" t="n">
        <x:f>IF(B799="Pensioner",1,1/(1+Assumptions!$B$6)^G799)</x:f>
        <x:v>0.5002122399253793</x:v>
      </x:c>
      <x:c r="O799" s="50" t="n">
        <x:f>J799*K799*L799*M799*N799</x:f>
        <x:v>12720625.72591564</x:v>
      </x:c>
    </x:row>
    <x:row r="800">
      <x:c r="A800" s="42" t="str">
        <x:f>Members!A800</x:f>
        <x:v>A0037</x:v>
      </x:c>
      <x:c r="B800" s="42" t="str">
        <x:f>Members!B800</x:f>
        <x:v>Active</x:v>
      </x:c>
      <x:c r="C800" s="42" t="n">
        <x:f>Members!C800</x:f>
        <x:v>43</x:v>
      </x:c>
      <x:c r="D800" s="44" t="n">
        <x:f>Members!D800</x:f>
        <x:v>3.3</x:v>
      </x:c>
      <x:c r="E800" s="48" t="n">
        <x:f>Members!E800</x:f>
        <x:v>934000</x:v>
      </x:c>
      <x:c r="F800" s="48" t="n">
        <x:f>Members!F800</x:f>
        <x:v>0</x:v>
      </x:c>
      <x:c r="G800" s="46" t="n">
        <x:f>MAX(0,Assumptions!$B$10-C800)</x:f>
        <x:v>17</x:v>
      </x:c>
      <x:c r="H800" s="50" t="n">
        <x:f>IF(B800="Active",E800*(1+Assumptions!$B$7)^G800,E800)</x:f>
        <x:v>2320805.2060201163</x:v>
      </x:c>
      <x:c r="I800" s="50" t="n">
        <x:f>IF(B800="Active",MIN(Assumptions!$B$12,D800+G800),IF(B800="Deferred",MIN(Assumptions!$B$12,D800),D800))</x:f>
        <x:v>20.3</x:v>
      </x:c>
      <x:c r="J800" s="50" t="n">
        <x:f>IF(B800="Active",H800*I800*Assumptions!$B$11,IF(B800="Deferred",E800*I800*Assumptions!$B$11*(1+Assumptions!$B$9)^G800,F800))</x:f>
        <x:v>785205.7613701394</x:v>
      </x:c>
      <x:c r="K800" s="37" t="n">
        <x:f>IF(B800="Pensioner",1,VLOOKUP(Assumptions!$B$10,Mortality!$A$2:$F$104,6,FALSE)/VLOOKUP(C800,Mortality!$A$2:$F$104,6,FALSE))</x:f>
        <x:v>0.975651758424938</x:v>
      </x:c>
      <x:c r="L800" s="37" t="n">
        <x:f>VLOOKUP(IF(B800="Pensioner",C800,Assumptions!$B$10),Mortality!$A$2:$E$104,5,FALSE)</x:f>
        <x:v>17.296790022132885</x:v>
      </x:c>
      <x:c r="M800" s="37" t="n">
        <x:f>1+Assumptions!$B$13*Assumptions!$B$14*Assumptions!$B$15</x:f>
        <x:v>1.31875</x:v>
      </x:c>
      <x:c r="N800" s="37" t="n">
        <x:f>IF(B800="Pensioner",1,1/(1+Assumptions!$B$6)^G800)</x:f>
        <x:v>0.34281251466174323</x:v>
      </x:c>
      <x:c r="O800" s="50" t="n">
        <x:f>J800*K800*L800*M800*N800</x:f>
        <x:v>5990498.487711325</x:v>
      </x:c>
    </x:row>
    <x:row r="801">
      <x:c r="A801" s="42" t="str">
        <x:f>Members!A801</x:f>
        <x:v>A0001</x:v>
      </x:c>
      <x:c r="B801" s="42" t="str">
        <x:f>Members!B801</x:f>
        <x:v>Active</x:v>
      </x:c>
      <x:c r="C801" s="42" t="n">
        <x:f>Members!C801</x:f>
        <x:v>32</x:v>
      </x:c>
      <x:c r="D801" s="44" t="n">
        <x:f>Members!D801</x:f>
        <x:v>1.8</x:v>
      </x:c>
      <x:c r="E801" s="48" t="n">
        <x:f>Members!E801</x:f>
        <x:v>776000</x:v>
      </x:c>
      <x:c r="F801" s="48" t="n">
        <x:f>Members!F801</x:f>
        <x:v>0</x:v>
      </x:c>
      <x:c r="G801" s="46" t="n">
        <x:f>MAX(0,Assumptions!$B$10-C801)</x:f>
        <x:v>28</x:v>
      </x:c>
      <x:c r="H801" s="50" t="n">
        <x:f>IF(B801="Active",E801*(1+Assumptions!$B$7)^G801,E801)</x:f>
        <x:v>3474806.226090669</x:v>
      </x:c>
      <x:c r="I801" s="50" t="n">
        <x:f>IF(B801="Active",MIN(Assumptions!$B$12,D801+G801),IF(B801="Deferred",MIN(Assumptions!$B$12,D801),D801))</x:f>
        <x:v>29.8</x:v>
      </x:c>
      <x:c r="J801" s="50" t="n">
        <x:f>IF(B801="Active",H801*I801*Assumptions!$B$11,IF(B801="Deferred",E801*I801*Assumptions!$B$11*(1+Assumptions!$B$9)^G801,F801))</x:f>
        <x:v>1725820.4256250325</x:v>
      </x:c>
      <x:c r="K801" s="37" t="n">
        <x:f>IF(B801="Pensioner",1,VLOOKUP(Assumptions!$B$10,Mortality!$A$2:$F$104,6,FALSE)/VLOOKUP(C801,Mortality!$A$2:$F$104,6,FALSE))</x:f>
        <x:v>0.9709584687664957</x:v>
      </x:c>
      <x:c r="L801" s="37" t="n">
        <x:f>VLOOKUP(IF(B801="Pensioner",C801,Assumptions!$B$10),Mortality!$A$2:$E$104,5,FALSE)</x:f>
        <x:v>17.296790022132885</x:v>
      </x:c>
      <x:c r="M801" s="37" t="n">
        <x:f>1+Assumptions!$B$13*Assumptions!$B$14*Assumptions!$B$15</x:f>
        <x:v>1.31875</x:v>
      </x:c>
      <x:c r="N801" s="37" t="n">
        <x:f>IF(B801="Pensioner",1,1/(1+Assumptions!$B$6)^G801)</x:f>
        <x:v>0.17147901583340255</x:v>
      </x:c>
      <x:c r="O801" s="50" t="n">
        <x:f>J801*K801*L801*M801*N801</x:f>
        <x:v>6554434.486533906</x:v>
      </x:c>
    </x:row>
    <x:row r="802">
      <x:c r="A802" s="42" t="str">
        <x:f>Members!A802</x:f>
        <x:v>P0141</x:v>
      </x:c>
      <x:c r="B802" s="42" t="str">
        <x:f>Members!B802</x:f>
        <x:v>Pensioner</x:v>
      </x:c>
      <x:c r="C802" s="42" t="n">
        <x:f>Members!C802</x:f>
        <x:v>73</x:v>
      </x:c>
      <x:c r="D802" s="44" t="n">
        <x:f>Members!D802</x:f>
        <x:v>26.4</x:v>
      </x:c>
      <x:c r="E802" s="48" t="n">
        <x:f>Members!E802</x:f>
        <x:v>0</x:v>
      </x:c>
      <x:c r="F802" s="48" t="n">
        <x:f>Members!F802</x:f>
        <x:v>298000</x:v>
      </x:c>
      <x:c r="G802" s="46" t="n">
        <x:f>MAX(0,Assumptions!$B$10-C802)</x:f>
        <x:v>0</x:v>
      </x:c>
      <x:c r="H802" s="50" t="n">
        <x:f>IF(B802="Active",E802*(1+Assumptions!$B$7)^G802,E802)</x:f>
        <x:v>0</x:v>
      </x:c>
      <x:c r="I802" s="50" t="n">
        <x:f>IF(B802="Active",MIN(Assumptions!$B$12,D802+G802),IF(B802="Deferred",MIN(Assumptions!$B$12,D802),D802))</x:f>
        <x:v>26.4</x:v>
      </x:c>
      <x:c r="J802" s="50" t="n">
        <x:f>IF(B802="Active",H802*I802*Assumptions!$B$11,IF(B802="Deferred",E802*I802*Assumptions!$B$11*(1+Assumptions!$B$9)^G802,F802))</x:f>
        <x:v>298000</x:v>
      </x:c>
      <x:c r="K802" s="37" t="n">
        <x:f>IF(B802="Pensioner",1,VLOOKUP(Assumptions!$B$10,Mortality!$A$2:$F$104,6,FALSE)/VLOOKUP(C802,Mortality!$A$2:$F$104,6,FALSE))</x:f>
        <x:v>1</x:v>
      </x:c>
      <x:c r="L802" s="37" t="n">
        <x:f>VLOOKUP(IF(B802="Pensioner",C802,Assumptions!$B$10),Mortality!$A$2:$E$104,5,FALSE)</x:f>
        <x:v>11.586176267789867</x:v>
      </x:c>
      <x:c r="M802" s="37" t="n">
        <x:f>1+Assumptions!$B$13*Assumptions!$B$14*Assumptions!$B$15</x:f>
        <x:v>1.31875</x:v>
      </x:c>
      <x:c r="N802" s="37" t="n">
        <x:f>IF(B802="Pensioner",1,1/(1+Assumptions!$B$6)^G802)</x:f>
        <x:v>1</x:v>
      </x:c>
      <x:c r="O802" s="50" t="n">
        <x:f>J802*K802*L802*M802*N802</x:f>
        <x:v>4553222.446038071</x:v>
      </x:c>
    </x:row>
    <x:row r="803">
      <x:c r="A803" s="42" t="str">
        <x:f>Members!A803</x:f>
        <x:v>D0060</x:v>
      </x:c>
      <x:c r="B803" s="42" t="str">
        <x:f>Members!B803</x:f>
        <x:v>Deferred</x:v>
      </x:c>
      <x:c r="C803" s="42" t="n">
        <x:f>Members!C803</x:f>
        <x:v>45</x:v>
      </x:c>
      <x:c r="D803" s="44" t="n">
        <x:f>Members!D803</x:f>
        <x:v>17</x:v>
      </x:c>
      <x:c r="E803" s="48" t="n">
        <x:f>Members!E803</x:f>
        <x:v>623000</x:v>
      </x:c>
      <x:c r="F803" s="48" t="n">
        <x:f>Members!F803</x:f>
        <x:v>0</x:v>
      </x:c>
      <x:c r="G803" s="46" t="n">
        <x:f>MAX(0,Assumptions!$B$10-C803)</x:f>
        <x:v>15</x:v>
      </x:c>
      <x:c r="H803" s="50" t="n">
        <x:f>IF(B803="Active",E803*(1+Assumptions!$B$7)^G803,E803)</x:f>
        <x:v>623000</x:v>
      </x:c>
      <x:c r="I803" s="50" t="n">
        <x:f>IF(B803="Active",MIN(Assumptions!$B$12,D803+G803),IF(B803="Deferred",MIN(Assumptions!$B$12,D803),D803))</x:f>
        <x:v>17</x:v>
      </x:c>
      <x:c r="J803" s="50" t="n">
        <x:f>IF(B803="Active",H803*I803*Assumptions!$B$11,IF(B803="Deferred",E803*I803*Assumptions!$B$11*(1+Assumptions!$B$9)^G803,F803))</x:f>
        <x:v>317896.5444470626</x:v>
      </x:c>
      <x:c r="K803" s="37" t="n">
        <x:f>IF(B803="Pensioner",1,VLOOKUP(Assumptions!$B$10,Mortality!$A$2:$F$104,6,FALSE)/VLOOKUP(C803,Mortality!$A$2:$F$104,6,FALSE))</x:f>
        <x:v>0.9769349478194655</x:v>
      </x:c>
      <x:c r="L803" s="37" t="n">
        <x:f>VLOOKUP(IF(B803="Pensioner",C803,Assumptions!$B$10),Mortality!$A$2:$E$104,5,FALSE)</x:f>
        <x:v>17.296790022132885</x:v>
      </x:c>
      <x:c r="M803" s="37" t="n">
        <x:f>1+Assumptions!$B$13*Assumptions!$B$14*Assumptions!$B$15</x:f>
        <x:v>1.31875</x:v>
      </x:c>
      <x:c r="N803" s="37" t="n">
        <x:f>IF(B803="Pensioner",1,1/(1+Assumptions!$B$6)^G803)</x:f>
        <x:v>0.38882652444221566</x:v>
      </x:c>
      <x:c r="O803" s="50" t="n">
        <x:f>J803*K803*L803*M803*N803</x:f>
        <x:v>2754452.720801223</x:v>
      </x:c>
    </x:row>
    <x:row r="804">
      <x:c r="A804" s="42" t="str">
        <x:f>Members!A804</x:f>
        <x:v>P0001</x:v>
      </x:c>
      <x:c r="B804" s="42" t="str">
        <x:f>Members!B804</x:f>
        <x:v>Pensioner</x:v>
      </x:c>
      <x:c r="C804" s="42" t="n">
        <x:f>Members!C804</x:f>
        <x:v>76</x:v>
      </x:c>
      <x:c r="D804" s="44" t="n">
        <x:f>Members!D804</x:f>
        <x:v>23.1</x:v>
      </x:c>
      <x:c r="E804" s="48" t="n">
        <x:f>Members!E804</x:f>
        <x:v>0</x:v>
      </x:c>
      <x:c r="F804" s="48" t="n">
        <x:f>Members!F804</x:f>
        <x:v>407000</x:v>
      </x:c>
      <x:c r="G804" s="46" t="n">
        <x:f>MAX(0,Assumptions!$B$10-C804)</x:f>
        <x:v>0</x:v>
      </x:c>
      <x:c r="H804" s="50" t="n">
        <x:f>IF(B804="Active",E804*(1+Assumptions!$B$7)^G804,E804)</x:f>
        <x:v>0</x:v>
      </x:c>
      <x:c r="I804" s="50" t="n">
        <x:f>IF(B804="Active",MIN(Assumptions!$B$12,D804+G804),IF(B804="Deferred",MIN(Assumptions!$B$12,D804),D804))</x:f>
        <x:v>23.1</x:v>
      </x:c>
      <x:c r="J804" s="50" t="n">
        <x:f>IF(B804="Active",H804*I804*Assumptions!$B$11,IF(B804="Deferred",E804*I804*Assumptions!$B$11*(1+Assumptions!$B$9)^G804,F804))</x:f>
        <x:v>407000</x:v>
      </x:c>
      <x:c r="K804" s="37" t="n">
        <x:f>IF(B804="Pensioner",1,VLOOKUP(Assumptions!$B$10,Mortality!$A$2:$F$104,6,FALSE)/VLOOKUP(C804,Mortality!$A$2:$F$104,6,FALSE))</x:f>
        <x:v>1</x:v>
      </x:c>
      <x:c r="L804" s="37" t="n">
        <x:f>VLOOKUP(IF(B804="Pensioner",C804,Assumptions!$B$10),Mortality!$A$2:$E$104,5,FALSE)</x:f>
        <x:v>10.201355966192867</x:v>
      </x:c>
      <x:c r="M804" s="37" t="n">
        <x:f>1+Assumptions!$B$13*Assumptions!$B$14*Assumptions!$B$15</x:f>
        <x:v>1.31875</x:v>
      </x:c>
      <x:c r="N804" s="37" t="n">
        <x:f>IF(B804="Pensioner",1,1/(1+Assumptions!$B$6)^G804)</x:f>
        <x:v>1</x:v>
      </x:c>
      <x:c r="O804" s="50" t="n">
        <x:f>J804*K804*L804*M804*N804</x:f>
        <x:v>5475386.539429655</x:v>
      </x:c>
    </x:row>
    <x:row r="805">
      <x:c r="A805" s="42" t="str">
        <x:f>Members!A805</x:f>
        <x:v>A0243</x:v>
      </x:c>
      <x:c r="B805" s="42" t="str">
        <x:f>Members!B805</x:f>
        <x:v>Active</x:v>
      </x:c>
      <x:c r="C805" s="42" t="n">
        <x:f>Members!C805</x:f>
        <x:v>37</x:v>
      </x:c>
      <x:c r="D805" s="44" t="n">
        <x:f>Members!D805</x:f>
        <x:v>4.8</x:v>
      </x:c>
      <x:c r="E805" s="48" t="n">
        <x:f>Members!E805</x:f>
        <x:v>584000</x:v>
      </x:c>
      <x:c r="F805" s="48" t="n">
        <x:f>Members!F805</x:f>
        <x:v>0</x:v>
      </x:c>
      <x:c r="G805" s="46" t="n">
        <x:f>MAX(0,Assumptions!$B$10-C805)</x:f>
        <x:v>23</x:v>
      </x:c>
      <x:c r="H805" s="50" t="n">
        <x:f>IF(B805="Active",E805*(1+Assumptions!$B$7)^G805,E805)</x:f>
        <x:v>2000872.515527161</x:v>
      </x:c>
      <x:c r="I805" s="50" t="n">
        <x:f>IF(B805="Active",MIN(Assumptions!$B$12,D805+G805),IF(B805="Deferred",MIN(Assumptions!$B$12,D805),D805))</x:f>
        <x:v>27.8</x:v>
      </x:c>
      <x:c r="J805" s="50" t="n">
        <x:f>IF(B805="Active",H805*I805*Assumptions!$B$11,IF(B805="Deferred",E805*I805*Assumptions!$B$11*(1+Assumptions!$B$9)^G805,F805))</x:f>
        <x:v>927070.9321942513</x:v>
      </x:c>
      <x:c r="K805" s="37" t="n">
        <x:f>IF(B805="Pensioner",1,VLOOKUP(Assumptions!$B$10,Mortality!$A$2:$F$104,6,FALSE)/VLOOKUP(C805,Mortality!$A$2:$F$104,6,FALSE))</x:f>
        <x:v>0.9727356141265188</x:v>
      </x:c>
      <x:c r="L805" s="37" t="n">
        <x:f>VLOOKUP(IF(B805="Pensioner",C805,Assumptions!$B$10),Mortality!$A$2:$E$104,5,FALSE)</x:f>
        <x:v>17.296790022132885</x:v>
      </x:c>
      <x:c r="M805" s="37" t="n">
        <x:f>1+Assumptions!$B$13*Assumptions!$B$14*Assumptions!$B$15</x:f>
        <x:v>1.31875</x:v>
      </x:c>
      <x:c r="N805" s="37" t="n">
        <x:f>IF(B805="Pensioner",1,1/(1+Assumptions!$B$6)^G805)</x:f>
        <x:v>0.23494111264898151</x:v>
      </x:c>
      <x:c r="O805" s="50" t="n">
        <x:f>J805*K805*L805*M805*N805</x:f>
        <x:v>4832755.101999185</x:v>
      </x:c>
    </x:row>
    <x:row r="806">
      <x:c r="A806" s="42" t="str">
        <x:f>Members!A806</x:f>
        <x:v>A0612</x:v>
      </x:c>
      <x:c r="B806" s="42" t="str">
        <x:f>Members!B806</x:f>
        <x:v>Active</x:v>
      </x:c>
      <x:c r="C806" s="42" t="n">
        <x:f>Members!C806</x:f>
        <x:v>24</x:v>
      </x:c>
      <x:c r="D806" s="44" t="n">
        <x:f>Members!D806</x:f>
        <x:v>1.8</x:v>
      </x:c>
      <x:c r="E806" s="48" t="n">
        <x:f>Members!E806</x:f>
        <x:v>487000</x:v>
      </x:c>
      <x:c r="F806" s="48" t="n">
        <x:f>Members!F806</x:f>
        <x:v>0</x:v>
      </x:c>
      <x:c r="G806" s="46" t="n">
        <x:f>MAX(0,Assumptions!$B$10-C806)</x:f>
        <x:v>36</x:v>
      </x:c>
      <x:c r="H806" s="50" t="n">
        <x:f>IF(B806="Active",E806*(1+Assumptions!$B$7)^G806,E806)</x:f>
        <x:v>3346705.5816452745</x:v>
      </x:c>
      <x:c r="I806" s="50" t="n">
        <x:f>IF(B806="Active",MIN(Assumptions!$B$12,D806+G806),IF(B806="Deferred",MIN(Assumptions!$B$12,D806),D806))</x:f>
        <x:v>37.8</x:v>
      </x:c>
      <x:c r="J806" s="50" t="n">
        <x:f>IF(B806="Active",H806*I806*Assumptions!$B$11,IF(B806="Deferred",E806*I806*Assumptions!$B$11*(1+Assumptions!$B$9)^G806,F806))</x:f>
        <x:v>2108424.516436523</x:v>
      </x:c>
      <x:c r="K806" s="37" t="n">
        <x:f>IF(B806="Pensioner",1,VLOOKUP(Assumptions!$B$10,Mortality!$A$2:$F$104,6,FALSE)/VLOOKUP(C806,Mortality!$A$2:$F$104,6,FALSE))</x:f>
        <x:v>0.9687108670060764</x:v>
      </x:c>
      <x:c r="L806" s="37" t="n">
        <x:f>VLOOKUP(IF(B806="Pensioner",C806,Assumptions!$B$10),Mortality!$A$2:$E$104,5,FALSE)</x:f>
        <x:v>17.296790022132885</x:v>
      </x:c>
      <x:c r="M806" s="37" t="n">
        <x:f>1+Assumptions!$B$13*Assumptions!$B$14*Assumptions!$B$15</x:f>
        <x:v>1.31875</x:v>
      </x:c>
      <x:c r="N806" s="37" t="n">
        <x:f>IF(B806="Pensioner",1,1/(1+Assumptions!$B$6)^G806)</x:f>
        <x:v>0.10361296939205883</x:v>
      </x:c>
      <x:c r="O806" s="50" t="n">
        <x:f>J806*K806*L806*M806*N806</x:f>
        <x:v>4827189.355444476</x:v>
      </x:c>
    </x:row>
    <x:row r="807">
      <x:c r="A807" s="42" t="str">
        <x:f>Members!A807</x:f>
        <x:v>A0557</x:v>
      </x:c>
      <x:c r="B807" s="42" t="str">
        <x:f>Members!B807</x:f>
        <x:v>Active</x:v>
      </x:c>
      <x:c r="C807" s="42" t="n">
        <x:f>Members!C807</x:f>
        <x:v>35</x:v>
      </x:c>
      <x:c r="D807" s="44" t="n">
        <x:f>Members!D807</x:f>
        <x:v>11.3</x:v>
      </x:c>
      <x:c r="E807" s="48" t="n">
        <x:f>Members!E807</x:f>
        <x:v>828000</x:v>
      </x:c>
      <x:c r="F807" s="48" t="n">
        <x:f>Members!F807</x:f>
        <x:v>0</x:v>
      </x:c>
      <x:c r="G807" s="46" t="n">
        <x:f>MAX(0,Assumptions!$B$10-C807)</x:f>
        <x:v>25</x:v>
      </x:c>
      <x:c r="H807" s="50" t="n">
        <x:f>IF(B807="Active",E807*(1+Assumptions!$B$7)^G807,E807)</x:f>
        <x:v>3157488.8646581233</x:v>
      </x:c>
      <x:c r="I807" s="50" t="n">
        <x:f>IF(B807="Active",MIN(Assumptions!$B$12,D807+G807),IF(B807="Deferred",MIN(Assumptions!$B$12,D807),D807))</x:f>
        <x:v>36.3</x:v>
      </x:c>
      <x:c r="J807" s="50" t="n">
        <x:f>IF(B807="Active",H807*I807*Assumptions!$B$11,IF(B807="Deferred",E807*I807*Assumptions!$B$11*(1+Assumptions!$B$9)^G807,F807))</x:f>
        <x:v>1910280.7631181644</x:v>
      </x:c>
      <x:c r="K807" s="37" t="n">
        <x:f>IF(B807="Pensioner",1,VLOOKUP(Assumptions!$B$10,Mortality!$A$2:$F$104,6,FALSE)/VLOOKUP(C807,Mortality!$A$2:$F$104,6,FALSE))</x:f>
        <x:v>0.9719740765386753</x:v>
      </x:c>
      <x:c r="L807" s="37" t="n">
        <x:f>VLOOKUP(IF(B807="Pensioner",C807,Assumptions!$B$10),Mortality!$A$2:$E$104,5,FALSE)</x:f>
        <x:v>17.296790022132885</x:v>
      </x:c>
      <x:c r="M807" s="37" t="n">
        <x:f>1+Assumptions!$B$13*Assumptions!$B$14*Assumptions!$B$15</x:f>
        <x:v>1.31875</x:v>
      </x:c>
      <x:c r="N807" s="37" t="n">
        <x:f>IF(B807="Pensioner",1,1/(1+Assumptions!$B$6)^G807)</x:f>
        <x:v>0.20713801287132758</x:v>
      </x:c>
      <x:c r="O807" s="50" t="n">
        <x:f>J807*K807*L807*M807*N807</x:f>
        <x:v>8772829.235592542</x:v>
      </x:c>
    </x:row>
    <x:row r="808">
      <x:c r="A808" s="42" t="str">
        <x:f>Members!A808</x:f>
        <x:v>P0099</x:v>
      </x:c>
      <x:c r="B808" s="42" t="str">
        <x:f>Members!B808</x:f>
        <x:v>Pensioner</x:v>
      </x:c>
      <x:c r="C808" s="42" t="n">
        <x:f>Members!C808</x:f>
        <x:v>66</x:v>
      </x:c>
      <x:c r="D808" s="44" t="n">
        <x:f>Members!D808</x:f>
        <x:v>39.2</x:v>
      </x:c>
      <x:c r="E808" s="48" t="n">
        <x:f>Members!E808</x:f>
        <x:v>0</x:v>
      </x:c>
      <x:c r="F808" s="48" t="n">
        <x:f>Members!F808</x:f>
        <x:v>181000</x:v>
      </x:c>
      <x:c r="G808" s="46" t="n">
        <x:f>MAX(0,Assumptions!$B$10-C808)</x:f>
        <x:v>0</x:v>
      </x:c>
      <x:c r="H808" s="50" t="n">
        <x:f>IF(B808="Active",E808*(1+Assumptions!$B$7)^G808,E808)</x:f>
        <x:v>0</x:v>
      </x:c>
      <x:c r="I808" s="50" t="n">
        <x:f>IF(B808="Active",MIN(Assumptions!$B$12,D808+G808),IF(B808="Deferred",MIN(Assumptions!$B$12,D808),D808))</x:f>
        <x:v>39.2</x:v>
      </x:c>
      <x:c r="J808" s="50" t="n">
        <x:f>IF(B808="Active",H808*I808*Assumptions!$B$11,IF(B808="Deferred",E808*I808*Assumptions!$B$11*(1+Assumptions!$B$9)^G808,F808))</x:f>
        <x:v>181000</x:v>
      </x:c>
      <x:c r="K808" s="37" t="n">
        <x:f>IF(B808="Pensioner",1,VLOOKUP(Assumptions!$B$10,Mortality!$A$2:$F$104,6,FALSE)/VLOOKUP(C808,Mortality!$A$2:$F$104,6,FALSE))</x:f>
        <x:v>1</x:v>
      </x:c>
      <x:c r="L808" s="37" t="n">
        <x:f>VLOOKUP(IF(B808="Pensioner",C808,Assumptions!$B$10),Mortality!$A$2:$E$104,5,FALSE)</x:f>
        <x:v>14.759005103694845</x:v>
      </x:c>
      <x:c r="M808" s="37" t="n">
        <x:f>1+Assumptions!$B$13*Assumptions!$B$14*Assumptions!$B$15</x:f>
        <x:v>1.31875</x:v>
      </x:c>
      <x:c r="N808" s="37" t="n">
        <x:f>IF(B808="Pensioner",1,1/(1+Assumptions!$B$6)^G808)</x:f>
        <x:v>1</x:v>
      </x:c>
      <x:c r="O808" s="50" t="n">
        <x:f>J808*K808*L808*M808*N808</x:f>
        <x:v>3522882.2744700615</x:v>
      </x:c>
    </x:row>
    <x:row r="809">
      <x:c r="A809" s="42" t="str">
        <x:f>Members!A809</x:f>
        <x:v>D0074</x:v>
      </x:c>
      <x:c r="B809" s="42" t="str">
        <x:f>Members!B809</x:f>
        <x:v>Deferred</x:v>
      </x:c>
      <x:c r="C809" s="42" t="n">
        <x:f>Members!C809</x:f>
        <x:v>53</x:v>
      </x:c>
      <x:c r="D809" s="44" t="n">
        <x:f>Members!D809</x:f>
        <x:v>21.4</x:v>
      </x:c>
      <x:c r="E809" s="48" t="n">
        <x:f>Members!E809</x:f>
        <x:v>1038000</x:v>
      </x:c>
      <x:c r="F809" s="48" t="n">
        <x:f>Members!F809</x:f>
        <x:v>0</x:v>
      </x:c>
      <x:c r="G809" s="46" t="n">
        <x:f>MAX(0,Assumptions!$B$10-C809)</x:f>
        <x:v>7</x:v>
      </x:c>
      <x:c r="H809" s="50" t="n">
        <x:f>IF(B809="Active",E809*(1+Assumptions!$B$7)^G809,E809)</x:f>
        <x:v>1038000</x:v>
      </x:c>
      <x:c r="I809" s="50" t="n">
        <x:f>IF(B809="Active",MIN(Assumptions!$B$12,D809+G809),IF(B809="Deferred",MIN(Assumptions!$B$12,D809),D809))</x:f>
        <x:v>21.4</x:v>
      </x:c>
      <x:c r="J809" s="50" t="n">
        <x:f>IF(B809="Active",H809*I809*Assumptions!$B$11,IF(B809="Deferred",E809*I809*Assumptions!$B$11*(1+Assumptions!$B$9)^G809,F809))</x:f>
        <x:v>487184.2633086928</x:v>
      </x:c>
      <x:c r="K809" s="37" t="n">
        <x:f>IF(B809="Pensioner",1,VLOOKUP(Assumptions!$B$10,Mortality!$A$2:$F$104,6,FALSE)/VLOOKUP(C809,Mortality!$A$2:$F$104,6,FALSE))</x:f>
        <x:v>0.9850300017431317</x:v>
      </x:c>
      <x:c r="L809" s="37" t="n">
        <x:f>VLOOKUP(IF(B809="Pensioner",C809,Assumptions!$B$10),Mortality!$A$2:$E$104,5,FALSE)</x:f>
        <x:v>17.296790022132885</x:v>
      </x:c>
      <x:c r="M809" s="37" t="n">
        <x:f>1+Assumptions!$B$13*Assumptions!$B$14*Assumptions!$B$15</x:f>
        <x:v>1.31875</x:v>
      </x:c>
      <x:c r="N809" s="37" t="n">
        <x:f>IF(B809="Pensioner",1,1/(1+Assumptions!$B$6)^G809)</x:f>
        <x:v>0.6435062148347594</x:v>
      </x:c>
      <x:c r="O809" s="50" t="n">
        <x:f>J809*K809*L809*M809*N809</x:f>
        <x:v>7044066.403280427</x:v>
      </x:c>
    </x:row>
    <x:row r="810">
      <x:c r="A810" s="42" t="str">
        <x:f>Members!A810</x:f>
        <x:v>A0043</x:v>
      </x:c>
      <x:c r="B810" s="42" t="str">
        <x:f>Members!B810</x:f>
        <x:v>Active</x:v>
      </x:c>
      <x:c r="C810" s="42" t="n">
        <x:f>Members!C810</x:f>
        <x:v>33</x:v>
      </x:c>
      <x:c r="D810" s="44" t="n">
        <x:f>Members!D810</x:f>
        <x:v>11.3</x:v>
      </x:c>
      <x:c r="E810" s="48" t="n">
        <x:f>Members!E810</x:f>
        <x:v>641000</x:v>
      </x:c>
      <x:c r="F810" s="48" t="n">
        <x:f>Members!F810</x:f>
        <x:v>0</x:v>
      </x:c>
      <x:c r="G810" s="46" t="n">
        <x:f>MAX(0,Assumptions!$B$10-C810)</x:f>
        <x:v>27</x:v>
      </x:c>
      <x:c r="H810" s="50" t="n">
        <x:f>IF(B810="Active",E810*(1+Assumptions!$B$7)^G810,E810)</x:f>
        <x:v>2720661.0530660567</x:v>
      </x:c>
      <x:c r="I810" s="50" t="n">
        <x:f>IF(B810="Active",MIN(Assumptions!$B$12,D810+G810),IF(B810="Deferred",MIN(Assumptions!$B$12,D810),D810))</x:f>
        <x:v>38.3</x:v>
      </x:c>
      <x:c r="J810" s="50" t="n">
        <x:f>IF(B810="Active",H810*I810*Assumptions!$B$11,IF(B810="Deferred",E810*I810*Assumptions!$B$11*(1+Assumptions!$B$9)^G810,F810))</x:f>
        <x:v>1736688.6388738325</x:v>
      </x:c>
      <x:c r="K810" s="37" t="n">
        <x:f>IF(B810="Pensioner",1,VLOOKUP(Assumptions!$B$10,Mortality!$A$2:$F$104,6,FALSE)/VLOOKUP(C810,Mortality!$A$2:$F$104,6,FALSE))</x:f>
        <x:v>0.9712826176321353</x:v>
      </x:c>
      <x:c r="L810" s="37" t="n">
        <x:f>VLOOKUP(IF(B810="Pensioner",C810,Assumptions!$B$10),Mortality!$A$2:$E$104,5,FALSE)</x:f>
        <x:v>17.296790022132885</x:v>
      </x:c>
      <x:c r="M810" s="37" t="n">
        <x:f>1+Assumptions!$B$13*Assumptions!$B$14*Assumptions!$B$15</x:f>
        <x:v>1.31875</x:v>
      </x:c>
      <x:c r="N810" s="37" t="n">
        <x:f>IF(B810="Pensioner",1,1/(1+Assumptions!$B$6)^G810)</x:f>
        <x:v>0.1826251518625737</x:v>
      </x:c>
      <x:c r="O810" s="50" t="n">
        <x:f>J810*K810*L810*M810*N810</x:f>
        <x:v>7026776.7512028245</x:v>
      </x:c>
    </x:row>
    <x:row r="811">
      <x:c r="A811" s="42" t="str">
        <x:f>Members!A811</x:f>
        <x:v>A0105</x:v>
      </x:c>
      <x:c r="B811" s="42" t="str">
        <x:f>Members!B811</x:f>
        <x:v>Active</x:v>
      </x:c>
      <x:c r="C811" s="42" t="n">
        <x:f>Members!C811</x:f>
        <x:v>52</x:v>
      </x:c>
      <x:c r="D811" s="44" t="n">
        <x:f>Members!D811</x:f>
        <x:v>16.9</x:v>
      </x:c>
      <x:c r="E811" s="48" t="n">
        <x:f>Members!E811</x:f>
        <x:v>1875000</x:v>
      </x:c>
      <x:c r="F811" s="48" t="n">
        <x:f>Members!F811</x:f>
        <x:v>0</x:v>
      </x:c>
      <x:c r="G811" s="46" t="n">
        <x:f>MAX(0,Assumptions!$B$10-C811)</x:f>
        <x:v>8</x:v>
      </x:c>
      <x:c r="H811" s="50" t="n">
        <x:f>IF(B811="Active",E811*(1+Assumptions!$B$7)^G811,E811)</x:f>
        <x:v>2877537.2156177866</x:v>
      </x:c>
      <x:c r="I811" s="50" t="n">
        <x:f>IF(B811="Active",MIN(Assumptions!$B$12,D811+G811),IF(B811="Deferred",MIN(Assumptions!$B$12,D811),D811))</x:f>
        <x:v>24.9</x:v>
      </x:c>
      <x:c r="J811" s="50" t="n">
        <x:f>IF(B811="Active",H811*I811*Assumptions!$B$11,IF(B811="Deferred",E811*I811*Assumptions!$B$11*(1+Assumptions!$B$9)^G811,F811))</x:f>
        <x:v>1194177.9444813812</x:v>
      </x:c>
      <x:c r="K811" s="37" t="n">
        <x:f>IF(B811="Pensioner",1,VLOOKUP(Assumptions!$B$10,Mortality!$A$2:$F$104,6,FALSE)/VLOOKUP(C811,Mortality!$A$2:$F$104,6,FALSE))</x:f>
        <x:v>0.9836527516879843</x:v>
      </x:c>
      <x:c r="L811" s="37" t="n">
        <x:f>VLOOKUP(IF(B811="Pensioner",C811,Assumptions!$B$10),Mortality!$A$2:$E$104,5,FALSE)</x:f>
        <x:v>17.296790022132885</x:v>
      </x:c>
      <x:c r="M811" s="37" t="n">
        <x:f>1+Assumptions!$B$13*Assumptions!$B$14*Assumptions!$B$15</x:f>
        <x:v>1.31875</x:v>
      </x:c>
      <x:c r="N811" s="37" t="n">
        <x:f>IF(B811="Pensioner",1,1/(1+Assumptions!$B$6)^G811)</x:f>
        <x:v>0.6042311876382719</x:v>
      </x:c>
      <x:c r="O811" s="50" t="n">
        <x:f>J811*K811*L811*M811*N811</x:f>
        <x:v>16189818.526544448</x:v>
      </x:c>
    </x:row>
    <x:row r="812">
      <x:c r="A812" s="42" t="str">
        <x:f>Members!A812</x:f>
        <x:v>A0132</x:v>
      </x:c>
      <x:c r="B812" s="42" t="str">
        <x:f>Members!B812</x:f>
        <x:v>Active</x:v>
      </x:c>
      <x:c r="C812" s="42" t="n">
        <x:f>Members!C812</x:f>
        <x:v>45</x:v>
      </x:c>
      <x:c r="D812" s="44" t="n">
        <x:f>Members!D812</x:f>
        <x:v>8.5</x:v>
      </x:c>
      <x:c r="E812" s="48" t="n">
        <x:f>Members!E812</x:f>
        <x:v>813000</x:v>
      </x:c>
      <x:c r="F812" s="48" t="n">
        <x:f>Members!F812</x:f>
        <x:v>0</x:v>
      </x:c>
      <x:c r="G812" s="46" t="n">
        <x:f>MAX(0,Assumptions!$B$10-C812)</x:f>
        <x:v>15</x:v>
      </x:c>
      <x:c r="H812" s="50" t="n">
        <x:f>IF(B812="Active",E812*(1+Assumptions!$B$7)^G812,E812)</x:f>
        <x:v>1815003.3881894532</x:v>
      </x:c>
      <x:c r="I812" s="50" t="n">
        <x:f>IF(B812="Active",MIN(Assumptions!$B$12,D812+G812),IF(B812="Deferred",MIN(Assumptions!$B$12,D812),D812))</x:f>
        <x:v>23.5</x:v>
      </x:c>
      <x:c r="J812" s="50" t="n">
        <x:f>IF(B812="Active",H812*I812*Assumptions!$B$11,IF(B812="Deferred",E812*I812*Assumptions!$B$11*(1+Assumptions!$B$9)^G812,F812))</x:f>
        <x:v>710876.3270408692</x:v>
      </x:c>
      <x:c r="K812" s="37" t="n">
        <x:f>IF(B812="Pensioner",1,VLOOKUP(Assumptions!$B$10,Mortality!$A$2:$F$104,6,FALSE)/VLOOKUP(C812,Mortality!$A$2:$F$104,6,FALSE))</x:f>
        <x:v>0.9769349478194655</x:v>
      </x:c>
      <x:c r="L812" s="37" t="n">
        <x:f>VLOOKUP(IF(B812="Pensioner",C812,Assumptions!$B$10),Mortality!$A$2:$E$104,5,FALSE)</x:f>
        <x:v>17.296790022132885</x:v>
      </x:c>
      <x:c r="M812" s="37" t="n">
        <x:f>1+Assumptions!$B$13*Assumptions!$B$14*Assumptions!$B$15</x:f>
        <x:v>1.31875</x:v>
      </x:c>
      <x:c r="N812" s="37" t="n">
        <x:f>IF(B812="Pensioner",1,1/(1+Assumptions!$B$6)^G812)</x:f>
        <x:v>0.38882652444221566</x:v>
      </x:c>
      <x:c r="O812" s="50" t="n">
        <x:f>J812*K812*L812*M812*N812</x:f>
        <x:v>6159473.159976322</x:v>
      </x:c>
    </x:row>
    <x:row r="813">
      <x:c r="A813" s="42" t="str">
        <x:f>Members!A813</x:f>
        <x:v>A0550</x:v>
      </x:c>
      <x:c r="B813" s="42" t="str">
        <x:f>Members!B813</x:f>
        <x:v>Active</x:v>
      </x:c>
      <x:c r="C813" s="42" t="n">
        <x:f>Members!C813</x:f>
        <x:v>26</x:v>
      </x:c>
      <x:c r="D813" s="44" t="n">
        <x:f>Members!D813</x:f>
        <x:v>2.8</x:v>
      </x:c>
      <x:c r="E813" s="48" t="n">
        <x:f>Members!E813</x:f>
        <x:v>383000</x:v>
      </x:c>
      <x:c r="F813" s="48" t="n">
        <x:f>Members!F813</x:f>
        <x:v>0</x:v>
      </x:c>
      <x:c r="G813" s="46" t="n">
        <x:f>MAX(0,Assumptions!$B$10-C813)</x:f>
        <x:v>34</x:v>
      </x:c>
      <x:c r="H813" s="50" t="n">
        <x:f>IF(B813="Active",E813*(1+Assumptions!$B$7)^G813,E813)</x:f>
        <x:v>2364734.576300385</x:v>
      </x:c>
      <x:c r="I813" s="50" t="n">
        <x:f>IF(B813="Active",MIN(Assumptions!$B$12,D813+G813),IF(B813="Deferred",MIN(Assumptions!$B$12,D813),D813))</x:f>
        <x:v>36.8</x:v>
      </x:c>
      <x:c r="J813" s="50" t="n">
        <x:f>IF(B813="Active",H813*I813*Assumptions!$B$11,IF(B813="Deferred",E813*I813*Assumptions!$B$11*(1+Assumptions!$B$9)^G813,F813))</x:f>
        <x:v>1450370.5401309025</x:v>
      </x:c>
      <x:c r="K813" s="37" t="n">
        <x:f>IF(B813="Pensioner",1,VLOOKUP(Assumptions!$B$10,Mortality!$A$2:$F$104,6,FALSE)/VLOOKUP(C813,Mortality!$A$2:$F$104,6,FALSE))</x:f>
        <x:v>0.9692291629189255</x:v>
      </x:c>
      <x:c r="L813" s="37" t="n">
        <x:f>VLOOKUP(IF(B813="Pensioner",C813,Assumptions!$B$10),Mortality!$A$2:$E$104,5,FALSE)</x:f>
        <x:v>17.296790022132885</x:v>
      </x:c>
      <x:c r="M813" s="37" t="n">
        <x:f>1+Assumptions!$B$13*Assumptions!$B$14*Assumptions!$B$15</x:f>
        <x:v>1.31875</x:v>
      </x:c>
      <x:c r="N813" s="37" t="n">
        <x:f>IF(B813="Pensioner",1,1/(1+Assumptions!$B$6)^G813)</x:f>
        <x:v>0.11752042020870793</x:v>
      </x:c>
      <x:c r="O813" s="50" t="n">
        <x:f>J813*K813*L813*M813*N813</x:f>
        <x:v>3768311.228430879</x:v>
      </x:c>
    </x:row>
    <x:row r="814">
      <x:c r="A814" s="42" t="str">
        <x:f>Members!A814</x:f>
        <x:v>A0167</x:v>
      </x:c>
      <x:c r="B814" s="42" t="str">
        <x:f>Members!B814</x:f>
        <x:v>Active</x:v>
      </x:c>
      <x:c r="C814" s="42" t="n">
        <x:f>Members!C814</x:f>
        <x:v>58</x:v>
      </x:c>
      <x:c r="D814" s="44" t="n">
        <x:f>Members!D814</x:f>
        <x:v>25.9</x:v>
      </x:c>
      <x:c r="E814" s="48" t="n">
        <x:f>Members!E814</x:f>
        <x:v>1841000</x:v>
      </x:c>
      <x:c r="F814" s="48" t="n">
        <x:f>Members!F814</x:f>
        <x:v>0</x:v>
      </x:c>
      <x:c r="G814" s="46" t="n">
        <x:f>MAX(0,Assumptions!$B$10-C814)</x:f>
        <x:v>2</x:v>
      </x:c>
      <x:c r="H814" s="50" t="n">
        <x:f>IF(B814="Active",E814*(1+Assumptions!$B$7)^G814,E814)</x:f>
        <x:v>2049079.025</x:v>
      </x:c>
      <x:c r="I814" s="50" t="n">
        <x:f>IF(B814="Active",MIN(Assumptions!$B$12,D814+G814),IF(B814="Deferred",MIN(Assumptions!$B$12,D814),D814))</x:f>
        <x:v>27.9</x:v>
      </x:c>
      <x:c r="J814" s="50" t="n">
        <x:f>IF(B814="Active",H814*I814*Assumptions!$B$11,IF(B814="Deferred",E814*I814*Assumptions!$B$11*(1+Assumptions!$B$9)^G814,F814))</x:f>
        <x:v>952821.7466249998</x:v>
      </x:c>
      <x:c r="K814" s="37" t="n">
        <x:f>IF(B814="Pensioner",1,VLOOKUP(Assumptions!$B$10,Mortality!$A$2:$F$104,6,FALSE)/VLOOKUP(C814,Mortality!$A$2:$F$104,6,FALSE))</x:f>
        <x:v>0.9945213044203837</x:v>
      </x:c>
      <x:c r="L814" s="37" t="n">
        <x:f>VLOOKUP(IF(B814="Pensioner",C814,Assumptions!$B$10),Mortality!$A$2:$E$104,5,FALSE)</x:f>
        <x:v>17.296790022132885</x:v>
      </x:c>
      <x:c r="M814" s="37" t="n">
        <x:f>1+Assumptions!$B$13*Assumptions!$B$14*Assumptions!$B$15</x:f>
        <x:v>1.31875</x:v>
      </x:c>
      <x:c r="N814" s="37" t="n">
        <x:f>IF(B814="Pensioner",1,1/(1+Assumptions!$B$6)^G814)</x:f>
        <x:v>0.8816592827701736</x:v>
      </x:c>
      <x:c r="O814" s="50" t="n">
        <x:f>J814*K814*L814*M814*N814</x:f>
        <x:v>19056999.47106552</x:v>
      </x:c>
    </x:row>
    <x:row r="815">
      <x:c r="A815" s="42" t="str">
        <x:f>Members!A815</x:f>
        <x:v>A0193</x:v>
      </x:c>
      <x:c r="B815" s="42" t="str">
        <x:f>Members!B815</x:f>
        <x:v>Active</x:v>
      </x:c>
      <x:c r="C815" s="42" t="n">
        <x:f>Members!C815</x:f>
        <x:v>48</x:v>
      </x:c>
      <x:c r="D815" s="44" t="n">
        <x:f>Members!D815</x:f>
        <x:v>14.5</x:v>
      </x:c>
      <x:c r="E815" s="48" t="n">
        <x:f>Members!E815</x:f>
        <x:v>1453000</x:v>
      </x:c>
      <x:c r="F815" s="48" t="n">
        <x:f>Members!F815</x:f>
        <x:v>0</x:v>
      </x:c>
      <x:c r="G815" s="46" t="n">
        <x:f>MAX(0,Assumptions!$B$10-C815)</x:f>
        <x:v>12</x:v>
      </x:c>
      <x:c r="H815" s="50" t="n">
        <x:f>IF(B815="Active",E815*(1+Assumptions!$B$7)^G815,E815)</x:f>
        <x:v>2762454.476807838</x:v>
      </x:c>
      <x:c r="I815" s="50" t="n">
        <x:f>IF(B815="Active",MIN(Assumptions!$B$12,D815+G815),IF(B815="Deferred",MIN(Assumptions!$B$12,D815),D815))</x:f>
        <x:v>26.5</x:v>
      </x:c>
      <x:c r="J815" s="50" t="n">
        <x:f>IF(B815="Active",H815*I815*Assumptions!$B$11,IF(B815="Deferred",E815*I815*Assumptions!$B$11*(1+Assumptions!$B$9)^G815,F815))</x:f>
        <x:v>1220084.0605901284</x:v>
      </x:c>
      <x:c r="K815" s="37" t="n">
        <x:f>IF(B815="Pensioner",1,VLOOKUP(Assumptions!$B$10,Mortality!$A$2:$F$104,6,FALSE)/VLOOKUP(C815,Mortality!$A$2:$F$104,6,FALSE))</x:f>
        <x:v>0.9793037429736591</x:v>
      </x:c>
      <x:c r="L815" s="37" t="n">
        <x:f>VLOOKUP(IF(B815="Pensioner",C815,Assumptions!$B$10),Mortality!$A$2:$E$104,5,FALSE)</x:f>
        <x:v>17.296790022132885</x:v>
      </x:c>
      <x:c r="M815" s="37" t="n">
        <x:f>1+Assumptions!$B$13*Assumptions!$B$14*Assumptions!$B$15</x:f>
        <x:v>1.31875</x:v>
      </x:c>
      <x:c r="N815" s="37" t="n">
        <x:f>IF(B815="Pensioner",1,1/(1+Assumptions!$B$6)^G815)</x:f>
        <x:v>0.4696828543900276</x:v>
      </x:c>
      <x:c r="O815" s="50" t="n">
        <x:f>J815*K815*L815*M815*N815</x:f>
        <x:v>12800881.004869364</x:v>
      </x:c>
    </x:row>
    <x:row r="816">
      <x:c r="A816" s="42" t="str">
        <x:f>Members!A816</x:f>
        <x:v>P0130</x:v>
      </x:c>
      <x:c r="B816" s="42" t="str">
        <x:f>Members!B816</x:f>
        <x:v>Pensioner</x:v>
      </x:c>
      <x:c r="C816" s="42" t="n">
        <x:f>Members!C816</x:f>
        <x:v>74</x:v>
      </x:c>
      <x:c r="D816" s="44" t="n">
        <x:f>Members!D816</x:f>
        <x:v>36.5</x:v>
      </x:c>
      <x:c r="E816" s="48" t="n">
        <x:f>Members!E816</x:f>
        <x:v>0</x:v>
      </x:c>
      <x:c r="F816" s="48" t="n">
        <x:f>Members!F816</x:f>
        <x:v>389000</x:v>
      </x:c>
      <x:c r="G816" s="46" t="n">
        <x:f>MAX(0,Assumptions!$B$10-C816)</x:f>
        <x:v>0</x:v>
      </x:c>
      <x:c r="H816" s="50" t="n">
        <x:f>IF(B816="Active",E816*(1+Assumptions!$B$7)^G816,E816)</x:f>
        <x:v>0</x:v>
      </x:c>
      <x:c r="I816" s="50" t="n">
        <x:f>IF(B816="Active",MIN(Assumptions!$B$12,D816+G816),IF(B816="Deferred",MIN(Assumptions!$B$12,D816),D816))</x:f>
        <x:v>36.5</x:v>
      </x:c>
      <x:c r="J816" s="50" t="n">
        <x:f>IF(B816="Active",H816*I816*Assumptions!$B$11,IF(B816="Deferred",E816*I816*Assumptions!$B$11*(1+Assumptions!$B$9)^G816,F816))</x:f>
        <x:v>389000</x:v>
      </x:c>
      <x:c r="K816" s="37" t="n">
        <x:f>IF(B816="Pensioner",1,VLOOKUP(Assumptions!$B$10,Mortality!$A$2:$F$104,6,FALSE)/VLOOKUP(C816,Mortality!$A$2:$F$104,6,FALSE))</x:f>
        <x:v>1</x:v>
      </x:c>
      <x:c r="L816" s="37" t="n">
        <x:f>VLOOKUP(IF(B816="Pensioner",C816,Assumptions!$B$10),Mortality!$A$2:$E$104,5,FALSE)</x:f>
        <x:v>11.124346929912107</x:v>
      </x:c>
      <x:c r="M816" s="37" t="n">
        <x:f>1+Assumptions!$B$13*Assumptions!$B$14*Assumptions!$B$15</x:f>
        <x:v>1.31875</x:v>
      </x:c>
      <x:c r="N816" s="37" t="n">
        <x:f>IF(B816="Pensioner",1,1/(1+Assumptions!$B$6)^G816)</x:f>
        <x:v>1</x:v>
      </x:c>
      <x:c r="O816" s="50" t="n">
        <x:f>J816*K816*L816*M816*N816</x:f>
        <x:v>5706720.4478766</x:v>
      </x:c>
    </x:row>
    <x:row r="817">
      <x:c r="A817" s="42" t="str">
        <x:f>Members!A817</x:f>
        <x:v>A0010</x:v>
      </x:c>
      <x:c r="B817" s="42" t="str">
        <x:f>Members!B817</x:f>
        <x:v>Active</x:v>
      </x:c>
      <x:c r="C817" s="42" t="n">
        <x:f>Members!C817</x:f>
        <x:v>47</x:v>
      </x:c>
      <x:c r="D817" s="44" t="n">
        <x:f>Members!D817</x:f>
        <x:v>5.3</x:v>
      </x:c>
      <x:c r="E817" s="48" t="n">
        <x:f>Members!E817</x:f>
        <x:v>1471000</x:v>
      </x:c>
      <x:c r="F817" s="48" t="n">
        <x:f>Members!F817</x:f>
        <x:v>0</x:v>
      </x:c>
      <x:c r="G817" s="46" t="n">
        <x:f>MAX(0,Assumptions!$B$10-C817)</x:f>
        <x:v>13</x:v>
      </x:c>
      <x:c r="H817" s="50" t="n">
        <x:f>IF(B817="Active",E817*(1+Assumptions!$B$7)^G817,E817)</x:f>
        <x:v>2950493.4031868326</x:v>
      </x:c>
      <x:c r="I817" s="50" t="n">
        <x:f>IF(B817="Active",MIN(Assumptions!$B$12,D817+G817),IF(B817="Deferred",MIN(Assumptions!$B$12,D817),D817))</x:f>
        <x:v>18.3</x:v>
      </x:c>
      <x:c r="J817" s="50" t="n">
        <x:f>IF(B817="Active",H817*I817*Assumptions!$B$11,IF(B817="Deferred",E817*I817*Assumptions!$B$11*(1+Assumptions!$B$9)^G817,F817))</x:f>
        <x:v>899900.487971984</x:v>
      </x:c>
      <x:c r="K817" s="37" t="n">
        <x:f>IF(B817="Pensioner",1,VLOOKUP(Assumptions!$B$10,Mortality!$A$2:$F$104,6,FALSE)/VLOOKUP(C817,Mortality!$A$2:$F$104,6,FALSE))</x:f>
        <x:v>0.9784451675747989</x:v>
      </x:c>
      <x:c r="L817" s="37" t="n">
        <x:f>VLOOKUP(IF(B817="Pensioner",C817,Assumptions!$B$10),Mortality!$A$2:$E$104,5,FALSE)</x:f>
        <x:v>17.296790022132885</x:v>
      </x:c>
      <x:c r="M817" s="37" t="n">
        <x:f>1+Assumptions!$B$13*Assumptions!$B$14*Assumptions!$B$15</x:f>
        <x:v>1.31875</x:v>
      </x:c>
      <x:c r="N817" s="37" t="n">
        <x:f>IF(B817="Pensioner",1,1/(1+Assumptions!$B$6)^G817)</x:f>
        <x:v>0.4410167646854719</x:v>
      </x:c>
      <x:c r="O817" s="50" t="n">
        <x:f>J817*K817*L817*M817*N817</x:f>
        <x:v>8857559.223107958</x:v>
      </x:c>
    </x:row>
    <x:row r="818">
      <x:c r="A818" s="42" t="str">
        <x:f>Members!A818</x:f>
        <x:v>A0419</x:v>
      </x:c>
      <x:c r="B818" s="42" t="str">
        <x:f>Members!B818</x:f>
        <x:v>Active</x:v>
      </x:c>
      <x:c r="C818" s="42" t="n">
        <x:f>Members!C818</x:f>
        <x:v>26</x:v>
      </x:c>
      <x:c r="D818" s="44" t="n">
        <x:f>Members!D818</x:f>
        <x:v>2</x:v>
      </x:c>
      <x:c r="E818" s="48" t="n">
        <x:f>Members!E818</x:f>
        <x:v>348000</x:v>
      </x:c>
      <x:c r="F818" s="48" t="n">
        <x:f>Members!F818</x:f>
        <x:v>0</x:v>
      </x:c>
      <x:c r="G818" s="46" t="n">
        <x:f>MAX(0,Assumptions!$B$10-C818)</x:f>
        <x:v>34</x:v>
      </x:c>
      <x:c r="H818" s="50" t="n">
        <x:f>IF(B818="Active",E818*(1+Assumptions!$B$7)^G818,E818)</x:f>
        <x:v>2148636.116325154</x:v>
      </x:c>
      <x:c r="I818" s="50" t="n">
        <x:f>IF(B818="Active",MIN(Assumptions!$B$12,D818+G818),IF(B818="Deferred",MIN(Assumptions!$B$12,D818),D818))</x:f>
        <x:v>36</x:v>
      </x:c>
      <x:c r="J818" s="50" t="n">
        <x:f>IF(B818="Active",H818*I818*Assumptions!$B$11,IF(B818="Deferred",E818*I818*Assumptions!$B$11*(1+Assumptions!$B$9)^G818,F818))</x:f>
        <x:v>1289181.6697950924</x:v>
      </x:c>
      <x:c r="K818" s="37" t="n">
        <x:f>IF(B818="Pensioner",1,VLOOKUP(Assumptions!$B$10,Mortality!$A$2:$F$104,6,FALSE)/VLOOKUP(C818,Mortality!$A$2:$F$104,6,FALSE))</x:f>
        <x:v>0.9692291629189255</x:v>
      </x:c>
      <x:c r="L818" s="37" t="n">
        <x:f>VLOOKUP(IF(B818="Pensioner",C818,Assumptions!$B$10),Mortality!$A$2:$E$104,5,FALSE)</x:f>
        <x:v>17.296790022132885</x:v>
      </x:c>
      <x:c r="M818" s="37" t="n">
        <x:f>1+Assumptions!$B$13*Assumptions!$B$14*Assumptions!$B$15</x:f>
        <x:v>1.31875</x:v>
      </x:c>
      <x:c r="N818" s="37" t="n">
        <x:f>IF(B818="Pensioner",1,1/(1+Assumptions!$B$6)^G818)</x:f>
        <x:v>0.11752042020870793</x:v>
      </x:c>
      <x:c r="O818" s="50" t="n">
        <x:f>J818*K818*L818*M818*N818</x:f>
        <x:v>3349514.9186756485</x:v>
      </x:c>
    </x:row>
    <x:row r="819">
      <x:c r="A819" s="42" t="str">
        <x:f>Members!A819</x:f>
        <x:v>A0448</x:v>
      </x:c>
      <x:c r="B819" s="42" t="str">
        <x:f>Members!B819</x:f>
        <x:v>Active</x:v>
      </x:c>
      <x:c r="C819" s="42" t="n">
        <x:f>Members!C819</x:f>
        <x:v>40</x:v>
      </x:c>
      <x:c r="D819" s="44" t="n">
        <x:f>Members!D819</x:f>
        <x:v>2.5</x:v>
      </x:c>
      <x:c r="E819" s="48" t="n">
        <x:f>Members!E819</x:f>
        <x:v>1107000</x:v>
      </x:c>
      <x:c r="F819" s="48" t="n">
        <x:f>Members!F819</x:f>
        <x:v>0</x:v>
      </x:c>
      <x:c r="G819" s="46" t="n">
        <x:f>MAX(0,Assumptions!$B$10-C819)</x:f>
        <x:v>20</x:v>
      </x:c>
      <x:c r="H819" s="50" t="n">
        <x:f>IF(B819="Active",E819*(1+Assumptions!$B$7)^G819,E819)</x:f>
        <x:v>3229957.5420987266</x:v>
      </x:c>
      <x:c r="I819" s="50" t="n">
        <x:f>IF(B819="Active",MIN(Assumptions!$B$12,D819+G819),IF(B819="Deferred",MIN(Assumptions!$B$12,D819),D819))</x:f>
        <x:v>22.5</x:v>
      </x:c>
      <x:c r="J819" s="50" t="n">
        <x:f>IF(B819="Active",H819*I819*Assumptions!$B$11,IF(B819="Deferred",E819*I819*Assumptions!$B$11*(1+Assumptions!$B$9)^G819,F819))</x:f>
        <x:v>1211234.0782870227</x:v>
      </x:c>
      <x:c r="K819" s="37" t="n">
        <x:f>IF(B819="Pensioner",1,VLOOKUP(Assumptions!$B$10,Mortality!$A$2:$F$104,6,FALSE)/VLOOKUP(C819,Mortality!$A$2:$F$104,6,FALSE))</x:f>
        <x:v>0.9740511243198767</x:v>
      </x:c>
      <x:c r="L819" s="37" t="n">
        <x:f>VLOOKUP(IF(B819="Pensioner",C819,Assumptions!$B$10),Mortality!$A$2:$E$104,5,FALSE)</x:f>
        <x:v>17.296790022132885</x:v>
      </x:c>
      <x:c r="M819" s="37" t="n">
        <x:f>1+Assumptions!$B$13*Assumptions!$B$14*Assumptions!$B$15</x:f>
        <x:v>1.31875</x:v>
      </x:c>
      <x:c r="N819" s="37" t="n">
        <x:f>IF(B819="Pensioner",1,1/(1+Assumptions!$B$6)^G819)</x:f>
        <x:v>0.2837970289214199</x:v>
      </x:c>
      <x:c r="O819" s="50" t="n">
        <x:f>J819*K819*L819*M819*N819</x:f>
        <x:v>7637402.229504201</x:v>
      </x:c>
    </x:row>
    <x:row r="820">
      <x:c r="A820" s="42" t="str">
        <x:f>Members!A820</x:f>
        <x:v>A0503</x:v>
      </x:c>
      <x:c r="B820" s="42" t="str">
        <x:f>Members!B820</x:f>
        <x:v>Active</x:v>
      </x:c>
      <x:c r="C820" s="42" t="n">
        <x:f>Members!C820</x:f>
        <x:v>57</x:v>
      </x:c>
      <x:c r="D820" s="44" t="n">
        <x:f>Members!D820</x:f>
        <x:v>11.3</x:v>
      </x:c>
      <x:c r="E820" s="48" t="n">
        <x:f>Members!E820</x:f>
        <x:v>2416000</x:v>
      </x:c>
      <x:c r="F820" s="48" t="n">
        <x:f>Members!F820</x:f>
        <x:v>0</x:v>
      </x:c>
      <x:c r="G820" s="46" t="n">
        <x:f>MAX(0,Assumptions!$B$10-C820)</x:f>
        <x:v>3</x:v>
      </x:c>
      <x:c r="H820" s="50" t="n">
        <x:f>IF(B820="Active",E820*(1+Assumptions!$B$7)^G820,E820)</x:f>
        <x:v>2836967.1619999995</x:v>
      </x:c>
      <x:c r="I820" s="50" t="n">
        <x:f>IF(B820="Active",MIN(Assumptions!$B$12,D820+G820),IF(B820="Deferred",MIN(Assumptions!$B$12,D820),D820))</x:f>
        <x:v>14.3</x:v>
      </x:c>
      <x:c r="J820" s="50" t="n">
        <x:f>IF(B820="Active",H820*I820*Assumptions!$B$11,IF(B820="Deferred",E820*I820*Assumptions!$B$11*(1+Assumptions!$B$9)^G820,F820))</x:f>
        <x:v>676143.8402766666</x:v>
      </x:c>
      <x:c r="K820" s="37" t="n">
        <x:f>IF(B820="Pensioner",1,VLOOKUP(Assumptions!$B$10,Mortality!$A$2:$F$104,6,FALSE)/VLOOKUP(C820,Mortality!$A$2:$F$104,6,FALSE))</x:f>
        <x:v>0.9922003892921417</x:v>
      </x:c>
      <x:c r="L820" s="37" t="n">
        <x:f>VLOOKUP(IF(B820="Pensioner",C820,Assumptions!$B$10),Mortality!$A$2:$E$104,5,FALSE)</x:f>
        <x:v>17.296790022132885</x:v>
      </x:c>
      <x:c r="M820" s="37" t="n">
        <x:f>1+Assumptions!$B$13*Assumptions!$B$14*Assumptions!$B$15</x:f>
        <x:v>1.31875</x:v>
      </x:c>
      <x:c r="N820" s="37" t="n">
        <x:f>IF(B820="Pensioner",1,1/(1+Assumptions!$B$6)^G820)</x:f>
        <x:v>0.8278490918029799</x:v>
      </x:c>
      <x:c r="O820" s="50" t="n">
        <x:f>J820*K820*L820*M820*N820</x:f>
        <x:v>12668279.936165411</x:v>
      </x:c>
    </x:row>
    <x:row r="821">
      <x:c r="A821" s="42" t="str">
        <x:f>Members!A821</x:f>
        <x:v>P0121</x:v>
      </x:c>
      <x:c r="B821" s="42" t="str">
        <x:f>Members!B821</x:f>
        <x:v>Pensioner</x:v>
      </x:c>
      <x:c r="C821" s="42" t="n">
        <x:f>Members!C821</x:f>
        <x:v>75</x:v>
      </x:c>
      <x:c r="D821" s="44" t="n">
        <x:f>Members!D821</x:f>
        <x:v>24.3</x:v>
      </x:c>
      <x:c r="E821" s="48" t="n">
        <x:f>Members!E821</x:f>
        <x:v>0</x:v>
      </x:c>
      <x:c r="F821" s="48" t="n">
        <x:f>Members!F821</x:f>
        <x:v>311000</x:v>
      </x:c>
      <x:c r="G821" s="46" t="n">
        <x:f>MAX(0,Assumptions!$B$10-C821)</x:f>
        <x:v>0</x:v>
      </x:c>
      <x:c r="H821" s="50" t="n">
        <x:f>IF(B821="Active",E821*(1+Assumptions!$B$7)^G821,E821)</x:f>
        <x:v>0</x:v>
      </x:c>
      <x:c r="I821" s="50" t="n">
        <x:f>IF(B821="Active",MIN(Assumptions!$B$12,D821+G821),IF(B821="Deferred",MIN(Assumptions!$B$12,D821),D821))</x:f>
        <x:v>24.3</x:v>
      </x:c>
      <x:c r="J821" s="50" t="n">
        <x:f>IF(B821="Active",H821*I821*Assumptions!$B$11,IF(B821="Deferred",E821*I821*Assumptions!$B$11*(1+Assumptions!$B$9)^G821,F821))</x:f>
        <x:v>311000</x:v>
      </x:c>
      <x:c r="K821" s="37" t="n">
        <x:f>IF(B821="Pensioner",1,VLOOKUP(Assumptions!$B$10,Mortality!$A$2:$F$104,6,FALSE)/VLOOKUP(C821,Mortality!$A$2:$F$104,6,FALSE))</x:f>
        <x:v>1</x:v>
      </x:c>
      <x:c r="L821" s="37" t="n">
        <x:f>VLOOKUP(IF(B821="Pensioner",C821,Assumptions!$B$10),Mortality!$A$2:$E$104,5,FALSE)</x:f>
        <x:v>10.662474804432929</x:v>
      </x:c>
      <x:c r="M821" s="37" t="n">
        <x:f>1+Assumptions!$B$13*Assumptions!$B$14*Assumptions!$B$15</x:f>
        <x:v>1.31875</x:v>
      </x:c>
      <x:c r="N821" s="37" t="n">
        <x:f>IF(B821="Pensioner",1,1/(1+Assumptions!$B$6)^G821)</x:f>
        <x:v>1</x:v>
      </x:c>
      <x:c r="O821" s="50" t="n">
        <x:f>J821*K821*L821*M821*N821</x:f>
        <x:v>4373014.119635583</x:v>
      </x:c>
    </x:row>
    <x:row r="822">
      <x:c r="A822" s="42" t="str">
        <x:f>Members!A822</x:f>
        <x:v>D0077</x:v>
      </x:c>
      <x:c r="B822" s="42" t="str">
        <x:f>Members!B822</x:f>
        <x:v>Deferred</x:v>
      </x:c>
      <x:c r="C822" s="42" t="n">
        <x:f>Members!C822</x:f>
        <x:v>37</x:v>
      </x:c>
      <x:c r="D822" s="44" t="n">
        <x:f>Members!D822</x:f>
        <x:v>5.6</x:v>
      </x:c>
      <x:c r="E822" s="48" t="n">
        <x:f>Members!E822</x:f>
        <x:v>435000</x:v>
      </x:c>
      <x:c r="F822" s="48" t="n">
        <x:f>Members!F822</x:f>
        <x:v>0</x:v>
      </x:c>
      <x:c r="G822" s="46" t="n">
        <x:f>MAX(0,Assumptions!$B$10-C822)</x:f>
        <x:v>23</x:v>
      </x:c>
      <x:c r="H822" s="50" t="n">
        <x:f>IF(B822="Active",E822*(1+Assumptions!$B$7)^G822,E822)</x:f>
        <x:v>435000</x:v>
      </x:c>
      <x:c r="I822" s="50" t="n">
        <x:f>IF(B822="Active",MIN(Assumptions!$B$12,D822+G822),IF(B822="Deferred",MIN(Assumptions!$B$12,D822),D822))</x:f>
        <x:v>5.6</x:v>
      </x:c>
      <x:c r="J822" s="50" t="n">
        <x:f>IF(B822="Active",H822*I822*Assumptions!$B$11,IF(B822="Deferred",E822*I822*Assumptions!$B$11*(1+Assumptions!$B$9)^G822,F822))</x:f>
        <x:v>100067.45105250496</x:v>
      </x:c>
      <x:c r="K822" s="37" t="n">
        <x:f>IF(B822="Pensioner",1,VLOOKUP(Assumptions!$B$10,Mortality!$A$2:$F$104,6,FALSE)/VLOOKUP(C822,Mortality!$A$2:$F$104,6,FALSE))</x:f>
        <x:v>0.9727356141265188</x:v>
      </x:c>
      <x:c r="L822" s="37" t="n">
        <x:f>VLOOKUP(IF(B822="Pensioner",C822,Assumptions!$B$10),Mortality!$A$2:$E$104,5,FALSE)</x:f>
        <x:v>17.296790022132885</x:v>
      </x:c>
      <x:c r="M822" s="37" t="n">
        <x:f>1+Assumptions!$B$13*Assumptions!$B$14*Assumptions!$B$15</x:f>
        <x:v>1.31875</x:v>
      </x:c>
      <x:c r="N822" s="37" t="n">
        <x:f>IF(B822="Pensioner",1,1/(1+Assumptions!$B$6)^G822)</x:f>
        <x:v>0.23494111264898151</x:v>
      </x:c>
      <x:c r="O822" s="50" t="n">
        <x:f>J822*K822*L822*M822*N822</x:f>
        <x:v>521644.5342250435</x:v>
      </x:c>
    </x:row>
    <x:row r="823">
      <x:c r="A823" s="42" t="str">
        <x:f>Members!A823</x:f>
        <x:v>A0260</x:v>
      </x:c>
      <x:c r="B823" s="42" t="str">
        <x:f>Members!B823</x:f>
        <x:v>Active</x:v>
      </x:c>
      <x:c r="C823" s="42" t="n">
        <x:f>Members!C823</x:f>
        <x:v>53</x:v>
      </x:c>
      <x:c r="D823" s="44" t="n">
        <x:f>Members!D823</x:f>
        <x:v>1</x:v>
      </x:c>
      <x:c r="E823" s="48" t="n">
        <x:f>Members!E823</x:f>
        <x:v>1435000</x:v>
      </x:c>
      <x:c r="F823" s="48" t="n">
        <x:f>Members!F823</x:f>
        <x:v>0</x:v>
      </x:c>
      <x:c r="G823" s="46" t="n">
        <x:f>MAX(0,Assumptions!$B$10-C823)</x:f>
        <x:v>7</x:v>
      </x:c>
      <x:c r="H823" s="50" t="n">
        <x:f>IF(B823="Active",E823*(1+Assumptions!$B$7)^G823,E823)</x:f>
        <x:v>2087464.5962269946</x:v>
      </x:c>
      <x:c r="I823" s="50" t="n">
        <x:f>IF(B823="Active",MIN(Assumptions!$B$12,D823+G823),IF(B823="Deferred",MIN(Assumptions!$B$12,D823),D823))</x:f>
        <x:v>8</x:v>
      </x:c>
      <x:c r="J823" s="50" t="n">
        <x:f>IF(B823="Active",H823*I823*Assumptions!$B$11,IF(B823="Deferred",E823*I823*Assumptions!$B$11*(1+Assumptions!$B$9)^G823,F823))</x:f>
        <x:v>278328.61283026595</x:v>
      </x:c>
      <x:c r="K823" s="37" t="n">
        <x:f>IF(B823="Pensioner",1,VLOOKUP(Assumptions!$B$10,Mortality!$A$2:$F$104,6,FALSE)/VLOOKUP(C823,Mortality!$A$2:$F$104,6,FALSE))</x:f>
        <x:v>0.9850300017431317</x:v>
      </x:c>
      <x:c r="L823" s="37" t="n">
        <x:f>VLOOKUP(IF(B823="Pensioner",C823,Assumptions!$B$10),Mortality!$A$2:$E$104,5,FALSE)</x:f>
        <x:v>17.296790022132885</x:v>
      </x:c>
      <x:c r="M823" s="37" t="n">
        <x:f>1+Assumptions!$B$13*Assumptions!$B$14*Assumptions!$B$15</x:f>
        <x:v>1.31875</x:v>
      </x:c>
      <x:c r="N823" s="37" t="n">
        <x:f>IF(B823="Pensioner",1,1/(1+Assumptions!$B$6)^G823)</x:f>
        <x:v>0.6435062148347594</x:v>
      </x:c>
      <x:c r="O823" s="50" t="n">
        <x:f>J823*K823*L823*M823*N823</x:f>
        <x:v>4024278.652586641</x:v>
      </x:c>
    </x:row>
    <x:row r="824">
      <x:c r="A824" s="42" t="str">
        <x:f>Members!A824</x:f>
        <x:v>P0025</x:v>
      </x:c>
      <x:c r="B824" s="42" t="str">
        <x:f>Members!B824</x:f>
        <x:v>Pensioner</x:v>
      </x:c>
      <x:c r="C824" s="42" t="n">
        <x:f>Members!C824</x:f>
        <x:v>86</x:v>
      </x:c>
      <x:c r="D824" s="44" t="n">
        <x:f>Members!D824</x:f>
        <x:v>26</x:v>
      </x:c>
      <x:c r="E824" s="48" t="n">
        <x:f>Members!E824</x:f>
        <x:v>0</x:v>
      </x:c>
      <x:c r="F824" s="48" t="n">
        <x:f>Members!F824</x:f>
        <x:v>387000</x:v>
      </x:c>
      <x:c r="G824" s="46" t="n">
        <x:f>MAX(0,Assumptions!$B$10-C824)</x:f>
        <x:v>0</x:v>
      </x:c>
      <x:c r="H824" s="50" t="n">
        <x:f>IF(B824="Active",E824*(1+Assumptions!$B$7)^G824,E824)</x:f>
        <x:v>0</x:v>
      </x:c>
      <x:c r="I824" s="50" t="n">
        <x:f>IF(B824="Active",MIN(Assumptions!$B$12,D824+G824),IF(B824="Deferred",MIN(Assumptions!$B$12,D824),D824))</x:f>
        <x:v>26</x:v>
      </x:c>
      <x:c r="J824" s="50" t="n">
        <x:f>IF(B824="Active",H824*I824*Assumptions!$B$11,IF(B824="Deferred",E824*I824*Assumptions!$B$11*(1+Assumptions!$B$9)^G824,F824))</x:f>
        <x:v>387000</x:v>
      </x:c>
      <x:c r="K824" s="37" t="n">
        <x:f>IF(B824="Pensioner",1,VLOOKUP(Assumptions!$B$10,Mortality!$A$2:$F$104,6,FALSE)/VLOOKUP(C824,Mortality!$A$2:$F$104,6,FALSE))</x:f>
        <x:v>1</x:v>
      </x:c>
      <x:c r="L824" s="37" t="n">
        <x:f>VLOOKUP(IF(B824="Pensioner",C824,Assumptions!$B$10),Mortality!$A$2:$E$104,5,FALSE)</x:f>
        <x:v>5.822832972912483</x:v>
      </x:c>
      <x:c r="M824" s="37" t="n">
        <x:f>1+Assumptions!$B$13*Assumptions!$B$14*Assumptions!$B$15</x:f>
        <x:v>1.31875</x:v>
      </x:c>
      <x:c r="N824" s="37" t="n">
        <x:f>IF(B824="Pensioner",1,1/(1+Assumptions!$B$6)^G824)</x:f>
        <x:v>1</x:v>
      </x:c>
      <x:c r="O824" s="50" t="n">
        <x:f>J824*K824*L824*M824*N824</x:f>
        <x:v>2971719.200431967</x:v>
      </x:c>
    </x:row>
    <x:row r="825">
      <x:c r="A825" s="42" t="str">
        <x:f>Members!A825</x:f>
        <x:v>A0476</x:v>
      </x:c>
      <x:c r="B825" s="42" t="str">
        <x:f>Members!B825</x:f>
        <x:v>Active</x:v>
      </x:c>
      <x:c r="C825" s="42" t="n">
        <x:f>Members!C825</x:f>
        <x:v>49</x:v>
      </x:c>
      <x:c r="D825" s="44" t="n">
        <x:f>Members!D825</x:f>
        <x:v>3.8</x:v>
      </x:c>
      <x:c r="E825" s="48" t="n">
        <x:f>Members!E825</x:f>
        <x:v>1466000</x:v>
      </x:c>
      <x:c r="F825" s="48" t="n">
        <x:f>Members!F825</x:f>
        <x:v>0</x:v>
      </x:c>
      <x:c r="G825" s="46" t="n">
        <x:f>MAX(0,Assumptions!$B$10-C825)</x:f>
        <x:v>11</x:v>
      </x:c>
      <x:c r="H825" s="50" t="n">
        <x:f>IF(B825="Active",E825*(1+Assumptions!$B$7)^G825,E825)</x:f>
        <x:v>2641867.463623417</x:v>
      </x:c>
      <x:c r="I825" s="50" t="n">
        <x:f>IF(B825="Active",MIN(Assumptions!$B$12,D825+G825),IF(B825="Deferred",MIN(Assumptions!$B$12,D825),D825))</x:f>
        <x:v>14.8</x:v>
      </x:c>
      <x:c r="J825" s="50" t="n">
        <x:f>IF(B825="Active",H825*I825*Assumptions!$B$11,IF(B825="Deferred",E825*I825*Assumptions!$B$11*(1+Assumptions!$B$9)^G825,F825))</x:f>
        <x:v>651660.6410271096</x:v>
      </x:c>
      <x:c r="K825" s="37" t="n">
        <x:f>IF(B825="Pensioner",1,VLOOKUP(Assumptions!$B$10,Mortality!$A$2:$F$104,6,FALSE)/VLOOKUP(C825,Mortality!$A$2:$F$104,6,FALSE))</x:f>
        <x:v>0.9802429662359576</x:v>
      </x:c>
      <x:c r="L825" s="37" t="n">
        <x:f>VLOOKUP(IF(B825="Pensioner",C825,Assumptions!$B$10),Mortality!$A$2:$E$104,5,FALSE)</x:f>
        <x:v>17.296790022132885</x:v>
      </x:c>
      <x:c r="M825" s="37" t="n">
        <x:f>1+Assumptions!$B$13*Assumptions!$B$14*Assumptions!$B$15</x:f>
        <x:v>1.31875</x:v>
      </x:c>
      <x:c r="N825" s="37" t="n">
        <x:f>IF(B825="Pensioner",1,1/(1+Assumptions!$B$6)^G825)</x:f>
        <x:v>0.5002122399253793</x:v>
      </x:c>
      <x:c r="O825" s="50" t="n">
        <x:f>J825*K825*L825*M825*N825</x:f>
        <x:v>7288489.397241604</x:v>
      </x:c>
    </x:row>
    <x:row r="826">
      <x:c r="A826" s="42" t="str">
        <x:f>Members!A826</x:f>
        <x:v>A0055</x:v>
      </x:c>
      <x:c r="B826" s="42" t="str">
        <x:f>Members!B826</x:f>
        <x:v>Active</x:v>
      </x:c>
      <x:c r="C826" s="42" t="n">
        <x:f>Members!C826</x:f>
        <x:v>44</x:v>
      </x:c>
      <x:c r="D826" s="44" t="n">
        <x:f>Members!D826</x:f>
        <x:v>3.2</x:v>
      </x:c>
      <x:c r="E826" s="48" t="n">
        <x:f>Members!E826</x:f>
        <x:v>1105000</x:v>
      </x:c>
      <x:c r="F826" s="48" t="n">
        <x:f>Members!F826</x:f>
        <x:v>0</x:v>
      </x:c>
      <x:c r="G826" s="46" t="n">
        <x:f>MAX(0,Assumptions!$B$10-C826)</x:f>
        <x:v>16</x:v>
      </x:c>
      <x:c r="H826" s="50" t="n">
        <x:f>IF(B826="Active",E826*(1+Assumptions!$B$7)^G826,E826)</x:f>
        <x:v>2602565.282738696</x:v>
      </x:c>
      <x:c r="I826" s="50" t="n">
        <x:f>IF(B826="Active",MIN(Assumptions!$B$12,D826+G826),IF(B826="Deferred",MIN(Assumptions!$B$12,D826),D826))</x:f>
        <x:v>19.2</x:v>
      </x:c>
      <x:c r="J826" s="50" t="n">
        <x:f>IF(B826="Active",H826*I826*Assumptions!$B$11,IF(B826="Deferred",E826*I826*Assumptions!$B$11*(1+Assumptions!$B$9)^G826,F826))</x:f>
        <x:v>832820.8904763827</x:v>
      </x:c>
      <x:c r="K826" s="37" t="n">
        <x:f>IF(B826="Pensioner",1,VLOOKUP(Assumptions!$B$10,Mortality!$A$2:$F$104,6,FALSE)/VLOOKUP(C826,Mortality!$A$2:$F$104,6,FALSE))</x:f>
        <x:v>0.9762682212178733</x:v>
      </x:c>
      <x:c r="L826" s="37" t="n">
        <x:f>VLOOKUP(IF(B826="Pensioner",C826,Assumptions!$B$10),Mortality!$A$2:$E$104,5,FALSE)</x:f>
        <x:v>17.296790022132885</x:v>
      </x:c>
      <x:c r="M826" s="37" t="n">
        <x:f>1+Assumptions!$B$13*Assumptions!$B$14*Assumptions!$B$15</x:f>
        <x:v>1.31875</x:v>
      </x:c>
      <x:c r="N826" s="37" t="n">
        <x:f>IF(B826="Pensioner",1,1/(1+Assumptions!$B$6)^G826)</x:f>
        <x:v>0.3650953281147565</x:v>
      </x:c>
      <x:c r="O826" s="50" t="n">
        <x:f>J826*K826*L826*M826*N826</x:f>
        <x:v>6771034.469337127</x:v>
      </x:c>
    </x:row>
    <x:row r="827">
      <x:c r="A827" s="42" t="str">
        <x:f>Members!A827</x:f>
        <x:v>A0187</x:v>
      </x:c>
      <x:c r="B827" s="42" t="str">
        <x:f>Members!B827</x:f>
        <x:v>Active</x:v>
      </x:c>
      <x:c r="C827" s="42" t="n">
        <x:f>Members!C827</x:f>
        <x:v>42</x:v>
      </x:c>
      <x:c r="D827" s="44" t="n">
        <x:f>Members!D827</x:f>
        <x:v>17.1</x:v>
      </x:c>
      <x:c r="E827" s="48" t="n">
        <x:f>Members!E827</x:f>
        <x:v>1079000</x:v>
      </x:c>
      <x:c r="F827" s="48" t="n">
        <x:f>Members!F827</x:f>
        <x:v>0</x:v>
      </x:c>
      <x:c r="G827" s="46" t="n">
        <x:f>MAX(0,Assumptions!$B$10-C827)</x:f>
        <x:v>18</x:v>
      </x:c>
      <x:c r="H827" s="50" t="n">
        <x:f>IF(B827="Active",E827*(1+Assumptions!$B$7)^G827,E827)</x:f>
        <x:v>2828562.100906819</x:v>
      </x:c>
      <x:c r="I827" s="50" t="n">
        <x:f>IF(B827="Active",MIN(Assumptions!$B$12,D827+G827),IF(B827="Deferred",MIN(Assumptions!$B$12,D827),D827))</x:f>
        <x:v>35.1</x:v>
      </x:c>
      <x:c r="J827" s="50" t="n">
        <x:f>IF(B827="Active",H827*I827*Assumptions!$B$11,IF(B827="Deferred",E827*I827*Assumptions!$B$11*(1+Assumptions!$B$9)^G827,F827))</x:f>
        <x:v>1654708.829030489</x:v>
      </x:c>
      <x:c r="K827" s="37" t="n">
        <x:f>IF(B827="Pensioner",1,VLOOKUP(Assumptions!$B$10,Mortality!$A$2:$F$104,6,FALSE)/VLOOKUP(C827,Mortality!$A$2:$F$104,6,FALSE))</x:f>
        <x:v>0.9750799707838386</x:v>
      </x:c>
      <x:c r="L827" s="37" t="n">
        <x:f>VLOOKUP(IF(B827="Pensioner",C827,Assumptions!$B$10),Mortality!$A$2:$E$104,5,FALSE)</x:f>
        <x:v>17.296790022132885</x:v>
      </x:c>
      <x:c r="M827" s="37" t="n">
        <x:f>1+Assumptions!$B$13*Assumptions!$B$14*Assumptions!$B$15</x:f>
        <x:v>1.31875</x:v>
      </x:c>
      <x:c r="N827" s="37" t="n">
        <x:f>IF(B827="Pensioner",1,1/(1+Assumptions!$B$6)^G827)</x:f>
        <x:v>0.3218896851283974</x:v>
      </x:c>
      <x:c r="O827" s="50" t="n">
        <x:f>J827*K827*L827*M827*N827</x:f>
        <x:v>11846685.679539656</x:v>
      </x:c>
    </x:row>
    <x:row r="828">
      <x:c r="A828" s="42" t="str">
        <x:f>Members!A828</x:f>
        <x:v>A0467</x:v>
      </x:c>
      <x:c r="B828" s="42" t="str">
        <x:f>Members!B828</x:f>
        <x:v>Active</x:v>
      </x:c>
      <x:c r="C828" s="42" t="n">
        <x:f>Members!C828</x:f>
        <x:v>34</x:v>
      </x:c>
      <x:c r="D828" s="44" t="n">
        <x:f>Members!D828</x:f>
        <x:v>7.9</x:v>
      </x:c>
      <x:c r="E828" s="48" t="n">
        <x:f>Members!E828</x:f>
        <x:v>505000</x:v>
      </x:c>
      <x:c r="F828" s="48" t="n">
        <x:f>Members!F828</x:f>
        <x:v>0</x:v>
      </x:c>
      <x:c r="G828" s="46" t="n">
        <x:f>MAX(0,Assumptions!$B$10-C828)</x:f>
        <x:v>26</x:v>
      </x:c>
      <x:c r="H828" s="50" t="n">
        <x:f>IF(B828="Active",E828*(1+Assumptions!$B$7)^G828,E828)</x:f>
        <x:v>2031680.1085365117</x:v>
      </x:c>
      <x:c r="I828" s="50" t="n">
        <x:f>IF(B828="Active",MIN(Assumptions!$B$12,D828+G828),IF(B828="Deferred",MIN(Assumptions!$B$12,D828),D828))</x:f>
        <x:v>33.9</x:v>
      </x:c>
      <x:c r="J828" s="50" t="n">
        <x:f>IF(B828="Active",H828*I828*Assumptions!$B$11,IF(B828="Deferred",E828*I828*Assumptions!$B$11*(1+Assumptions!$B$9)^G828,F828))</x:f>
        <x:v>1147899.261323129</x:v>
      </x:c>
      <x:c r="K828" s="37" t="n">
        <x:f>IF(B828="Pensioner",1,VLOOKUP(Assumptions!$B$10,Mortality!$A$2:$F$104,6,FALSE)/VLOOKUP(C828,Mortality!$A$2:$F$104,6,FALSE))</x:f>
        <x:v>0.9716205819233391</x:v>
      </x:c>
      <x:c r="L828" s="37" t="n">
        <x:f>VLOOKUP(IF(B828="Pensioner",C828,Assumptions!$B$10),Mortality!$A$2:$E$104,5,FALSE)</x:f>
        <x:v>17.296790022132885</x:v>
      </x:c>
      <x:c r="M828" s="37" t="n">
        <x:f>1+Assumptions!$B$13*Assumptions!$B$14*Assumptions!$B$15</x:f>
        <x:v>1.31875</x:v>
      </x:c>
      <x:c r="N828" s="37" t="n">
        <x:f>IF(B828="Pensioner",1,1/(1+Assumptions!$B$6)^G828)</x:f>
        <x:v>0.19449578673364096</x:v>
      </x:c>
      <x:c r="O828" s="50" t="n">
        <x:f>J828*K828*L828*M828*N828</x:f>
        <x:v>4948102.256392347</x:v>
      </x:c>
    </x:row>
    <x:row r="829">
      <x:c r="A829" s="42" t="str">
        <x:f>Members!A829</x:f>
        <x:v>P0140</x:v>
      </x:c>
      <x:c r="B829" s="42" t="str">
        <x:f>Members!B829</x:f>
        <x:v>Pensioner</x:v>
      </x:c>
      <x:c r="C829" s="42" t="n">
        <x:f>Members!C829</x:f>
        <x:v>60</x:v>
      </x:c>
      <x:c r="D829" s="44" t="n">
        <x:f>Members!D829</x:f>
        <x:v>25.1</x:v>
      </x:c>
      <x:c r="E829" s="48" t="n">
        <x:f>Members!E829</x:f>
        <x:v>0</x:v>
      </x:c>
      <x:c r="F829" s="48" t="n">
        <x:f>Members!F829</x:f>
        <x:v>200000</x:v>
      </x:c>
      <x:c r="G829" s="46" t="n">
        <x:f>MAX(0,Assumptions!$B$10-C829)</x:f>
        <x:v>0</x:v>
      </x:c>
      <x:c r="H829" s="50" t="n">
        <x:f>IF(B829="Active",E829*(1+Assumptions!$B$7)^G829,E829)</x:f>
        <x:v>0</x:v>
      </x:c>
      <x:c r="I829" s="50" t="n">
        <x:f>IF(B829="Active",MIN(Assumptions!$B$12,D829+G829),IF(B829="Deferred",MIN(Assumptions!$B$12,D829),D829))</x:f>
        <x:v>25.1</x:v>
      </x:c>
      <x:c r="J829" s="50" t="n">
        <x:f>IF(B829="Active",H829*I829*Assumptions!$B$11,IF(B829="Deferred",E829*I829*Assumptions!$B$11*(1+Assumptions!$B$9)^G829,F829))</x:f>
        <x:v>200000</x:v>
      </x:c>
      <x:c r="K829" s="37" t="n">
        <x:f>IF(B829="Pensioner",1,VLOOKUP(Assumptions!$B$10,Mortality!$A$2:$F$104,6,FALSE)/VLOOKUP(C829,Mortality!$A$2:$F$104,6,FALSE))</x:f>
        <x:v>1</x:v>
      </x:c>
      <x:c r="L829" s="37" t="n">
        <x:f>VLOOKUP(IF(B829="Pensioner",C829,Assumptions!$B$10),Mortality!$A$2:$E$104,5,FALSE)</x:f>
        <x:v>17.296790022132885</x:v>
      </x:c>
      <x:c r="M829" s="37" t="n">
        <x:f>1+Assumptions!$B$13*Assumptions!$B$14*Assumptions!$B$15</x:f>
        <x:v>1.31875</x:v>
      </x:c>
      <x:c r="N829" s="37" t="n">
        <x:f>IF(B829="Pensioner",1,1/(1+Assumptions!$B$6)^G829)</x:f>
        <x:v>1</x:v>
      </x:c>
      <x:c r="O829" s="50" t="n">
        <x:f>J829*K829*L829*M829*N829</x:f>
        <x:v>4562028.368337549</x:v>
      </x:c>
    </x:row>
    <x:row r="830">
      <x:c r="A830" s="42" t="str">
        <x:f>Members!A830</x:f>
        <x:v>A0069</x:v>
      </x:c>
      <x:c r="B830" s="42" t="str">
        <x:f>Members!B830</x:f>
        <x:v>Active</x:v>
      </x:c>
      <x:c r="C830" s="42" t="n">
        <x:f>Members!C830</x:f>
        <x:v>53</x:v>
      </x:c>
      <x:c r="D830" s="44" t="n">
        <x:f>Members!D830</x:f>
        <x:v>11.7</x:v>
      </x:c>
      <x:c r="E830" s="48" t="n">
        <x:f>Members!E830</x:f>
        <x:v>1129000</x:v>
      </x:c>
      <x:c r="F830" s="48" t="n">
        <x:f>Members!F830</x:f>
        <x:v>0</x:v>
      </x:c>
      <x:c r="G830" s="46" t="n">
        <x:f>MAX(0,Assumptions!$B$10-C830)</x:f>
        <x:v>7</x:v>
      </x:c>
      <x:c r="H830" s="50" t="n">
        <x:f>IF(B830="Active",E830*(1+Assumptions!$B$7)^G830,E830)</x:f>
        <x:v>1642332.7729200537</x:v>
      </x:c>
      <x:c r="I830" s="50" t="n">
        <x:f>IF(B830="Active",MIN(Assumptions!$B$12,D830+G830),IF(B830="Deferred",MIN(Assumptions!$B$12,D830),D830))</x:f>
        <x:v>18.7</x:v>
      </x:c>
      <x:c r="J830" s="50" t="n">
        <x:f>IF(B830="Active",H830*I830*Assumptions!$B$11,IF(B830="Deferred",E830*I830*Assumptions!$B$11*(1+Assumptions!$B$9)^G830,F830))</x:f>
        <x:v>511860.3808934167</x:v>
      </x:c>
      <x:c r="K830" s="37" t="n">
        <x:f>IF(B830="Pensioner",1,VLOOKUP(Assumptions!$B$10,Mortality!$A$2:$F$104,6,FALSE)/VLOOKUP(C830,Mortality!$A$2:$F$104,6,FALSE))</x:f>
        <x:v>0.9850300017431317</x:v>
      </x:c>
      <x:c r="L830" s="37" t="n">
        <x:f>VLOOKUP(IF(B830="Pensioner",C830,Assumptions!$B$10),Mortality!$A$2:$E$104,5,FALSE)</x:f>
        <x:v>17.296790022132885</x:v>
      </x:c>
      <x:c r="M830" s="37" t="n">
        <x:f>1+Assumptions!$B$13*Assumptions!$B$14*Assumptions!$B$15</x:f>
        <x:v>1.31875</x:v>
      </x:c>
      <x:c r="N830" s="37" t="n">
        <x:f>IF(B830="Pensioner",1,1/(1+Assumptions!$B$6)^G830)</x:f>
        <x:v>0.6435062148347594</x:v>
      </x:c>
      <x:c r="O830" s="50" t="n">
        <x:f>J830*K830*L830*M830*N830</x:f>
        <x:v>7400851.759320987</x:v>
      </x:c>
    </x:row>
    <x:row r="831">
      <x:c r="A831" s="42" t="str">
        <x:f>Members!A831</x:f>
        <x:v>A0489</x:v>
      </x:c>
      <x:c r="B831" s="42" t="str">
        <x:f>Members!B831</x:f>
        <x:v>Active</x:v>
      </x:c>
      <x:c r="C831" s="42" t="n">
        <x:f>Members!C831</x:f>
        <x:v>40</x:v>
      </x:c>
      <x:c r="D831" s="44" t="n">
        <x:f>Members!D831</x:f>
        <x:v>9.7</x:v>
      </x:c>
      <x:c r="E831" s="48" t="n">
        <x:f>Members!E831</x:f>
        <x:v>863000</x:v>
      </x:c>
      <x:c r="F831" s="48" t="n">
        <x:f>Members!F831</x:f>
        <x:v>0</x:v>
      </x:c>
      <x:c r="G831" s="46" t="n">
        <x:f>MAX(0,Assumptions!$B$10-C831)</x:f>
        <x:v>20</x:v>
      </x:c>
      <x:c r="H831" s="50" t="n">
        <x:f>IF(B831="Active",E831*(1+Assumptions!$B$7)^G831,E831)</x:f>
        <x:v>2518024.714391329</x:v>
      </x:c>
      <x:c r="I831" s="50" t="n">
        <x:f>IF(B831="Active",MIN(Assumptions!$B$12,D831+G831),IF(B831="Deferred",MIN(Assumptions!$B$12,D831),D831))</x:f>
        <x:v>29.7</x:v>
      </x:c>
      <x:c r="J831" s="50" t="n">
        <x:f>IF(B831="Active",H831*I831*Assumptions!$B$11,IF(B831="Deferred",E831*I831*Assumptions!$B$11*(1+Assumptions!$B$9)^G831,F831))</x:f>
        <x:v>1246422.2336237077</x:v>
      </x:c>
      <x:c r="K831" s="37" t="n">
        <x:f>IF(B831="Pensioner",1,VLOOKUP(Assumptions!$B$10,Mortality!$A$2:$F$104,6,FALSE)/VLOOKUP(C831,Mortality!$A$2:$F$104,6,FALSE))</x:f>
        <x:v>0.9740511243198767</x:v>
      </x:c>
      <x:c r="L831" s="37" t="n">
        <x:f>VLOOKUP(IF(B831="Pensioner",C831,Assumptions!$B$10),Mortality!$A$2:$E$104,5,FALSE)</x:f>
        <x:v>17.296790022132885</x:v>
      </x:c>
      <x:c r="M831" s="37" t="n">
        <x:f>1+Assumptions!$B$13*Assumptions!$B$14*Assumptions!$B$15</x:f>
        <x:v>1.31875</x:v>
      </x:c>
      <x:c r="N831" s="37" t="n">
        <x:f>IF(B831="Pensioner",1,1/(1+Assumptions!$B$6)^G831)</x:f>
        <x:v>0.2837970289214199</x:v>
      </x:c>
      <x:c r="O831" s="50" t="n">
        <x:f>J831*K831*L831*M831*N831</x:f>
        <x:v>7859280.147933155</x:v>
      </x:c>
    </x:row>
    <x:row r="832">
      <x:c r="A832" s="42" t="str">
        <x:f>Members!A832</x:f>
        <x:v>P0229</x:v>
      </x:c>
      <x:c r="B832" s="42" t="str">
        <x:f>Members!B832</x:f>
        <x:v>Pensioner</x:v>
      </x:c>
      <x:c r="C832" s="42" t="n">
        <x:f>Members!C832</x:f>
        <x:v>82</x:v>
      </x:c>
      <x:c r="D832" s="44" t="n">
        <x:f>Members!D832</x:f>
        <x:v>39.2</x:v>
      </x:c>
      <x:c r="E832" s="48" t="n">
        <x:f>Members!E832</x:f>
        <x:v>0</x:v>
      </x:c>
      <x:c r="F832" s="48" t="n">
        <x:f>Members!F832</x:f>
        <x:v>749000</x:v>
      </x:c>
      <x:c r="G832" s="46" t="n">
        <x:f>MAX(0,Assumptions!$B$10-C832)</x:f>
        <x:v>0</x:v>
      </x:c>
      <x:c r="H832" s="50" t="n">
        <x:f>IF(B832="Active",E832*(1+Assumptions!$B$7)^G832,E832)</x:f>
        <x:v>0</x:v>
      </x:c>
      <x:c r="I832" s="50" t="n">
        <x:f>IF(B832="Active",MIN(Assumptions!$B$12,D832+G832),IF(B832="Deferred",MIN(Assumptions!$B$12,D832),D832))</x:f>
        <x:v>39.2</x:v>
      </x:c>
      <x:c r="J832" s="50" t="n">
        <x:f>IF(B832="Active",H832*I832*Assumptions!$B$11,IF(B832="Deferred",E832*I832*Assumptions!$B$11*(1+Assumptions!$B$9)^G832,F832))</x:f>
        <x:v>749000</x:v>
      </x:c>
      <x:c r="K832" s="37" t="n">
        <x:f>IF(B832="Pensioner",1,VLOOKUP(Assumptions!$B$10,Mortality!$A$2:$F$104,6,FALSE)/VLOOKUP(C832,Mortality!$A$2:$F$104,6,FALSE))</x:f>
        <x:v>1</x:v>
      </x:c>
      <x:c r="L832" s="37" t="n">
        <x:f>VLOOKUP(IF(B832="Pensioner",C832,Assumptions!$B$10),Mortality!$A$2:$E$104,5,FALSE)</x:f>
        <x:v>7.498462430808598</x:v>
      </x:c>
      <x:c r="M832" s="37" t="n">
        <x:f>1+Assumptions!$B$13*Assumptions!$B$14*Assumptions!$B$15</x:f>
        <x:v>1.31875</x:v>
      </x:c>
      <x:c r="N832" s="37" t="n">
        <x:f>IF(B832="Pensioner",1,1/(1+Assumptions!$B$6)^G832)</x:f>
        <x:v>1</x:v>
      </x:c>
      <x:c r="O832" s="50" t="n">
        <x:f>J832*K832*L832*M832*N832</x:f>
        <x:v>7406559.400641</x:v>
      </x:c>
    </x:row>
    <x:row r="833">
      <x:c r="A833" s="42" t="str">
        <x:f>Members!A833</x:f>
        <x:v>A0573</x:v>
      </x:c>
      <x:c r="B833" s="42" t="str">
        <x:f>Members!B833</x:f>
        <x:v>Active</x:v>
      </x:c>
      <x:c r="C833" s="42" t="n">
        <x:f>Members!C833</x:f>
        <x:v>23</x:v>
      </x:c>
      <x:c r="D833" s="44" t="n">
        <x:f>Members!D833</x:f>
        <x:v>1</x:v>
      </x:c>
      <x:c r="E833" s="48" t="n">
        <x:f>Members!E833</x:f>
        <x:v>498000</x:v>
      </x:c>
      <x:c r="F833" s="48" t="n">
        <x:f>Members!F833</x:f>
        <x:v>0</x:v>
      </x:c>
      <x:c r="G833" s="46" t="n">
        <x:f>MAX(0,Assumptions!$B$10-C833)</x:f>
        <x:v>37</x:v>
      </x:c>
      <x:c r="H833" s="50" t="n">
        <x:f>IF(B833="Active",E833*(1+Assumptions!$B$7)^G833,E833)</x:f>
        <x:v>3610524.939508441</x:v>
      </x:c>
      <x:c r="I833" s="50" t="n">
        <x:f>IF(B833="Active",MIN(Assumptions!$B$12,D833+G833),IF(B833="Deferred",MIN(Assumptions!$B$12,D833),D833))</x:f>
        <x:v>38</x:v>
      </x:c>
      <x:c r="J833" s="50" t="n">
        <x:f>IF(B833="Active",H833*I833*Assumptions!$B$11,IF(B833="Deferred",E833*I833*Assumptions!$B$11*(1+Assumptions!$B$9)^G833,F833))</x:f>
        <x:v>2286665.7950220127</x:v>
      </x:c>
      <x:c r="K833" s="37" t="n">
        <x:f>IF(B833="Pensioner",1,VLOOKUP(Assumptions!$B$10,Mortality!$A$2:$F$104,6,FALSE)/VLOOKUP(C833,Mortality!$A$2:$F$104,6,FALSE))</x:f>
        <x:v>0.9684592752197081</x:v>
      </x:c>
      <x:c r="L833" s="37" t="n">
        <x:f>VLOOKUP(IF(B833="Pensioner",C833,Assumptions!$B$10),Mortality!$A$2:$E$104,5,FALSE)</x:f>
        <x:v>17.296790022132885</x:v>
      </x:c>
      <x:c r="M833" s="37" t="n">
        <x:f>1+Assumptions!$B$13*Assumptions!$B$14*Assumptions!$B$15</x:f>
        <x:v>1.31875</x:v>
      </x:c>
      <x:c r="N833" s="37" t="n">
        <x:f>IF(B833="Pensioner",1,1/(1+Assumptions!$B$6)^G833)</x:f>
        <x:v>0.09728917313808341</x:v>
      </x:c>
      <x:c r="O833" s="50" t="n">
        <x:f>J833*K833*L833*M833*N833</x:f>
        <x:v>4914468.509020521</x:v>
      </x:c>
    </x:row>
    <x:row r="834">
      <x:c r="A834" s="42" t="str">
        <x:f>Members!A834</x:f>
        <x:v>P0086</x:v>
      </x:c>
      <x:c r="B834" s="42" t="str">
        <x:f>Members!B834</x:f>
        <x:v>Pensioner</x:v>
      </x:c>
      <x:c r="C834" s="42" t="n">
        <x:f>Members!C834</x:f>
        <x:v>69</x:v>
      </x:c>
      <x:c r="D834" s="44" t="n">
        <x:f>Members!D834</x:f>
        <x:v>28</x:v>
      </x:c>
      <x:c r="E834" s="48" t="n">
        <x:f>Members!E834</x:f>
        <x:v>0</x:v>
      </x:c>
      <x:c r="F834" s="48" t="n">
        <x:f>Members!F834</x:f>
        <x:v>419000</x:v>
      </x:c>
      <x:c r="G834" s="46" t="n">
        <x:f>MAX(0,Assumptions!$B$10-C834)</x:f>
        <x:v>0</x:v>
      </x:c>
      <x:c r="H834" s="50" t="n">
        <x:f>IF(B834="Active",E834*(1+Assumptions!$B$7)^G834,E834)</x:f>
        <x:v>0</x:v>
      </x:c>
      <x:c r="I834" s="50" t="n">
        <x:f>IF(B834="Active",MIN(Assumptions!$B$12,D834+G834),IF(B834="Deferred",MIN(Assumptions!$B$12,D834),D834))</x:f>
        <x:v>28</x:v>
      </x:c>
      <x:c r="J834" s="50" t="n">
        <x:f>IF(B834="Active",H834*I834*Assumptions!$B$11,IF(B834="Deferred",E834*I834*Assumptions!$B$11*(1+Assumptions!$B$9)^G834,F834))</x:f>
        <x:v>419000</x:v>
      </x:c>
      <x:c r="K834" s="37" t="n">
        <x:f>IF(B834="Pensioner",1,VLOOKUP(Assumptions!$B$10,Mortality!$A$2:$F$104,6,FALSE)/VLOOKUP(C834,Mortality!$A$2:$F$104,6,FALSE))</x:f>
        <x:v>1</x:v>
      </x:c>
      <x:c r="L834" s="37" t="n">
        <x:f>VLOOKUP(IF(B834="Pensioner",C834,Assumptions!$B$10),Mortality!$A$2:$E$104,5,FALSE)</x:f>
        <x:v>13.418448528291036</x:v>
      </x:c>
      <x:c r="M834" s="37" t="n">
        <x:f>1+Assumptions!$B$13*Assumptions!$B$14*Assumptions!$B$15</x:f>
        <x:v>1.31875</x:v>
      </x:c>
      <x:c r="N834" s="37" t="n">
        <x:f>IF(B834="Pensioner",1,1/(1+Assumptions!$B$6)^G834)</x:f>
        <x:v>1</x:v>
      </x:c>
      <x:c r="O834" s="50" t="n">
        <x:f>J834*K834*L834*M834*N834</x:f>
        <x:v>7414447.599610514</x:v>
      </x:c>
    </x:row>
    <x:row r="835">
      <x:c r="A835" s="42" t="str">
        <x:f>Members!A835</x:f>
        <x:v>A0227</x:v>
      </x:c>
      <x:c r="B835" s="42" t="str">
        <x:f>Members!B835</x:f>
        <x:v>Active</x:v>
      </x:c>
      <x:c r="C835" s="42" t="n">
        <x:f>Members!C835</x:f>
        <x:v>46</x:v>
      </x:c>
      <x:c r="D835" s="44" t="n">
        <x:f>Members!D835</x:f>
        <x:v>16.9</x:v>
      </x:c>
      <x:c r="E835" s="48" t="n">
        <x:f>Members!E835</x:f>
        <x:v>1092000</x:v>
      </x:c>
      <x:c r="F835" s="48" t="n">
        <x:f>Members!F835</x:f>
        <x:v>0</x:v>
      </x:c>
      <x:c r="G835" s="46" t="n">
        <x:f>MAX(0,Assumptions!$B$10-C835)</x:f>
        <x:v>14</x:v>
      </x:c>
      <x:c r="H835" s="50" t="n">
        <x:f>IF(B835="Active",E835*(1+Assumptions!$B$7)^G835,E835)</x:f>
        <x:v>2310771.876325916</x:v>
      </x:c>
      <x:c r="I835" s="50" t="n">
        <x:f>IF(B835="Active",MIN(Assumptions!$B$12,D835+G835),IF(B835="Deferred",MIN(Assumptions!$B$12,D835),D835))</x:f>
        <x:v>30.9</x:v>
      </x:c>
      <x:c r="J835" s="50" t="n">
        <x:f>IF(B835="Active",H835*I835*Assumptions!$B$11,IF(B835="Deferred",E835*I835*Assumptions!$B$11*(1+Assumptions!$B$9)^G835,F835))</x:f>
        <x:v>1190047.5163078466</x:v>
      </x:c>
      <x:c r="K835" s="37" t="n">
        <x:f>IF(B835="Pensioner",1,VLOOKUP(Assumptions!$B$10,Mortality!$A$2:$F$104,6,FALSE)/VLOOKUP(C835,Mortality!$A$2:$F$104,6,FALSE))</x:f>
        <x:v>0.9776582328304806</x:v>
      </x:c>
      <x:c r="L835" s="37" t="n">
        <x:f>VLOOKUP(IF(B835="Pensioner",C835,Assumptions!$B$10),Mortality!$A$2:$E$104,5,FALSE)</x:f>
        <x:v>17.296790022132885</x:v>
      </x:c>
      <x:c r="M835" s="37" t="n">
        <x:f>1+Assumptions!$B$13*Assumptions!$B$14*Assumptions!$B$15</x:f>
        <x:v>1.31875</x:v>
      </x:c>
      <x:c r="N835" s="37" t="n">
        <x:f>IF(B835="Pensioner",1,1/(1+Assumptions!$B$6)^G835)</x:f>
        <x:v>0.41410024853095956</x:v>
      </x:c>
      <x:c r="O835" s="50" t="n">
        <x:f>J835*K835*L835*M835*N835</x:f>
        <x:v>10989674.797451533</x:v>
      </x:c>
    </x:row>
    <x:row r="836">
      <x:c r="A836" s="42" t="str">
        <x:f>Members!A836</x:f>
        <x:v>A0065</x:v>
      </x:c>
      <x:c r="B836" s="42" t="str">
        <x:f>Members!B836</x:f>
        <x:v>Active</x:v>
      </x:c>
      <x:c r="C836" s="42" t="n">
        <x:f>Members!C836</x:f>
        <x:v>38</x:v>
      </x:c>
      <x:c r="D836" s="44" t="n">
        <x:f>Members!D836</x:f>
        <x:v>6.1</x:v>
      </x:c>
      <x:c r="E836" s="48" t="n">
        <x:f>Members!E836</x:f>
        <x:v>737000</x:v>
      </x:c>
      <x:c r="F836" s="48" t="n">
        <x:f>Members!F836</x:f>
        <x:v>0</x:v>
      </x:c>
      <x:c r="G836" s="46" t="n">
        <x:f>MAX(0,Assumptions!$B$10-C836)</x:f>
        <x:v>22</x:v>
      </x:c>
      <x:c r="H836" s="50" t="n">
        <x:f>IF(B836="Active",E836*(1+Assumptions!$B$7)^G836,E836)</x:f>
        <x:v>2393434.791831977</x:v>
      </x:c>
      <x:c r="I836" s="50" t="n">
        <x:f>IF(B836="Active",MIN(Assumptions!$B$12,D836+G836),IF(B836="Deferred",MIN(Assumptions!$B$12,D836),D836))</x:f>
        <x:v>28.1</x:v>
      </x:c>
      <x:c r="J836" s="50" t="n">
        <x:f>IF(B836="Active",H836*I836*Assumptions!$B$11,IF(B836="Deferred",E836*I836*Assumptions!$B$11*(1+Assumptions!$B$9)^G836,F836))</x:f>
        <x:v>1120925.2941746425</x:v>
      </x:c>
      <x:c r="K836" s="37" t="n">
        <x:f>IF(B836="Pensioner",1,VLOOKUP(Assumptions!$B$10,Mortality!$A$2:$F$104,6,FALSE)/VLOOKUP(C836,Mortality!$A$2:$F$104,6,FALSE))</x:f>
        <x:v>0.9731482688168002</x:v>
      </x:c>
      <x:c r="L836" s="37" t="n">
        <x:f>VLOOKUP(IF(B836="Pensioner",C836,Assumptions!$B$10),Mortality!$A$2:$E$104,5,FALSE)</x:f>
        <x:v>17.296790022132885</x:v>
      </x:c>
      <x:c r="M836" s="37" t="n">
        <x:f>1+Assumptions!$B$13*Assumptions!$B$14*Assumptions!$B$15</x:f>
        <x:v>1.31875</x:v>
      </x:c>
      <x:c r="N836" s="37" t="n">
        <x:f>IF(B836="Pensioner",1,1/(1+Assumptions!$B$6)^G836)</x:f>
        <x:v>0.25021228497116527</x:v>
      </x:c>
      <x:c r="O836" s="50" t="n">
        <x:f>J836*K836*L836*M836*N836</x:f>
        <x:v>6225758.906582716</x:v>
      </x:c>
    </x:row>
    <x:row r="837">
      <x:c r="A837" s="42" t="str">
        <x:f>Members!A837</x:f>
        <x:v>A0196</x:v>
      </x:c>
      <x:c r="B837" s="42" t="str">
        <x:f>Members!B837</x:f>
        <x:v>Active</x:v>
      </x:c>
      <x:c r="C837" s="42" t="n">
        <x:f>Members!C837</x:f>
        <x:v>49</x:v>
      </x:c>
      <x:c r="D837" s="44" t="n">
        <x:f>Members!D837</x:f>
        <x:v>19.6</x:v>
      </x:c>
      <x:c r="E837" s="48" t="n">
        <x:f>Members!E837</x:f>
        <x:v>1697000</x:v>
      </x:c>
      <x:c r="F837" s="48" t="n">
        <x:f>Members!F837</x:f>
        <x:v>0</x:v>
      </x:c>
      <x:c r="G837" s="46" t="n">
        <x:f>MAX(0,Assumptions!$B$10-C837)</x:f>
        <x:v>11</x:v>
      </x:c>
      <x:c r="H837" s="50" t="n">
        <x:f>IF(B837="Active",E837*(1+Assumptions!$B$7)^G837,E837)</x:f>
        <x:v>3058150.8088464793</x:v>
      </x:c>
      <x:c r="I837" s="50" t="n">
        <x:f>IF(B837="Active",MIN(Assumptions!$B$12,D837+G837),IF(B837="Deferred",MIN(Assumptions!$B$12,D837),D837))</x:f>
        <x:v>30.6</x:v>
      </x:c>
      <x:c r="J837" s="50" t="n">
        <x:f>IF(B837="Active",H837*I837*Assumptions!$B$11,IF(B837="Deferred",E837*I837*Assumptions!$B$11*(1+Assumptions!$B$9)^G837,F837))</x:f>
        <x:v>1559656.9125117045</x:v>
      </x:c>
      <x:c r="K837" s="37" t="n">
        <x:f>IF(B837="Pensioner",1,VLOOKUP(Assumptions!$B$10,Mortality!$A$2:$F$104,6,FALSE)/VLOOKUP(C837,Mortality!$A$2:$F$104,6,FALSE))</x:f>
        <x:v>0.9802429662359576</x:v>
      </x:c>
      <x:c r="L837" s="37" t="n">
        <x:f>VLOOKUP(IF(B837="Pensioner",C837,Assumptions!$B$10),Mortality!$A$2:$E$104,5,FALSE)</x:f>
        <x:v>17.296790022132885</x:v>
      </x:c>
      <x:c r="M837" s="37" t="n">
        <x:f>1+Assumptions!$B$13*Assumptions!$B$14*Assumptions!$B$15</x:f>
        <x:v>1.31875</x:v>
      </x:c>
      <x:c r="N837" s="37" t="n">
        <x:f>IF(B837="Pensioner",1,1/(1+Assumptions!$B$6)^G837)</x:f>
        <x:v>0.5002122399253793</x:v>
      </x:c>
      <x:c r="O837" s="50" t="n">
        <x:f>J837*K837*L837*M837*N837</x:f>
        <x:v>17443961.09646775</x:v>
      </x:c>
    </x:row>
    <x:row r="838">
      <x:c r="A838" s="42" t="str">
        <x:f>Members!A838</x:f>
        <x:v>A0454</x:v>
      </x:c>
      <x:c r="B838" s="42" t="str">
        <x:f>Members!B838</x:f>
        <x:v>Active</x:v>
      </x:c>
      <x:c r="C838" s="42" t="n">
        <x:f>Members!C838</x:f>
        <x:v>24</x:v>
      </x:c>
      <x:c r="D838" s="44" t="n">
        <x:f>Members!D838</x:f>
        <x:v>1</x:v>
      </x:c>
      <x:c r="E838" s="48" t="n">
        <x:f>Members!E838</x:f>
        <x:v>496000</x:v>
      </x:c>
      <x:c r="F838" s="48" t="n">
        <x:f>Members!F838</x:f>
        <x:v>0</x:v>
      </x:c>
      <x:c r="G838" s="46" t="n">
        <x:f>MAX(0,Assumptions!$B$10-C838)</x:f>
        <x:v>36</x:v>
      </x:c>
      <x:c r="H838" s="50" t="n">
        <x:f>IF(B838="Active",E838*(1+Assumptions!$B$7)^G838,E838)</x:f>
        <x:v>3408554.3500945712</x:v>
      </x:c>
      <x:c r="I838" s="50" t="n">
        <x:f>IF(B838="Active",MIN(Assumptions!$B$12,D838+G838),IF(B838="Deferred",MIN(Assumptions!$B$12,D838),D838))</x:f>
        <x:v>37</x:v>
      </x:c>
      <x:c r="J838" s="50" t="n">
        <x:f>IF(B838="Active",H838*I838*Assumptions!$B$11,IF(B838="Deferred",E838*I838*Assumptions!$B$11*(1+Assumptions!$B$9)^G838,F838))</x:f>
        <x:v>2101941.8492249856</x:v>
      </x:c>
      <x:c r="K838" s="37" t="n">
        <x:f>IF(B838="Pensioner",1,VLOOKUP(Assumptions!$B$10,Mortality!$A$2:$F$104,6,FALSE)/VLOOKUP(C838,Mortality!$A$2:$F$104,6,FALSE))</x:f>
        <x:v>0.9687108670060764</x:v>
      </x:c>
      <x:c r="L838" s="37" t="n">
        <x:f>VLOOKUP(IF(B838="Pensioner",C838,Assumptions!$B$10),Mortality!$A$2:$E$104,5,FALSE)</x:f>
        <x:v>17.296790022132885</x:v>
      </x:c>
      <x:c r="M838" s="37" t="n">
        <x:f>1+Assumptions!$B$13*Assumptions!$B$14*Assumptions!$B$15</x:f>
        <x:v>1.31875</x:v>
      </x:c>
      <x:c r="N838" s="37" t="n">
        <x:f>IF(B838="Pensioner",1,1/(1+Assumptions!$B$6)^G838)</x:f>
        <x:v>0.10361296939205883</x:v>
      </x:c>
      <x:c r="O838" s="50" t="n">
        <x:f>J838*K838*L838*M838*N838</x:f>
        <x:v>4812347.438214586</x:v>
      </x:c>
    </x:row>
    <x:row r="839">
      <x:c r="A839" s="42" t="str">
        <x:f>Members!A839</x:f>
        <x:v>D0119</x:v>
      </x:c>
      <x:c r="B839" s="42" t="str">
        <x:f>Members!B839</x:f>
        <x:v>Deferred</x:v>
      </x:c>
      <x:c r="C839" s="42" t="n">
        <x:f>Members!C839</x:f>
        <x:v>48</x:v>
      </x:c>
      <x:c r="D839" s="44" t="n">
        <x:f>Members!D839</x:f>
        <x:v>16.6</x:v>
      </x:c>
      <x:c r="E839" s="48" t="n">
        <x:f>Members!E839</x:f>
        <x:v>808000</x:v>
      </x:c>
      <x:c r="F839" s="48" t="n">
        <x:f>Members!F839</x:f>
        <x:v>0</x:v>
      </x:c>
      <x:c r="G839" s="46" t="n">
        <x:f>MAX(0,Assumptions!$B$10-C839)</x:f>
        <x:v>12</x:v>
      </x:c>
      <x:c r="H839" s="50" t="n">
        <x:f>IF(B839="Active",E839*(1+Assumptions!$B$7)^G839,E839)</x:f>
        <x:v>808000</x:v>
      </x:c>
      <x:c r="I839" s="50" t="n">
        <x:f>IF(B839="Active",MIN(Assumptions!$B$12,D839+G839),IF(B839="Deferred",MIN(Assumptions!$B$12,D839),D839))</x:f>
        <x:v>16.6</x:v>
      </x:c>
      <x:c r="J839" s="50" t="n">
        <x:f>IF(B839="Active",H839*I839*Assumptions!$B$11,IF(B839="Deferred",E839*I839*Assumptions!$B$11*(1+Assumptions!$B$9)^G839,F839))</x:f>
        <x:v>357905.4156867434</x:v>
      </x:c>
      <x:c r="K839" s="37" t="n">
        <x:f>IF(B839="Pensioner",1,VLOOKUP(Assumptions!$B$10,Mortality!$A$2:$F$104,6,FALSE)/VLOOKUP(C839,Mortality!$A$2:$F$104,6,FALSE))</x:f>
        <x:v>0.9793037429736591</x:v>
      </x:c>
      <x:c r="L839" s="37" t="n">
        <x:f>VLOOKUP(IF(B839="Pensioner",C839,Assumptions!$B$10),Mortality!$A$2:$E$104,5,FALSE)</x:f>
        <x:v>17.296790022132885</x:v>
      </x:c>
      <x:c r="M839" s="37" t="n">
        <x:f>1+Assumptions!$B$13*Assumptions!$B$14*Assumptions!$B$15</x:f>
        <x:v>1.31875</x:v>
      </x:c>
      <x:c r="N839" s="37" t="n">
        <x:f>IF(B839="Pensioner",1,1/(1+Assumptions!$B$6)^G839)</x:f>
        <x:v>0.4696828543900276</x:v>
      </x:c>
      <x:c r="O839" s="50" t="n">
        <x:f>J839*K839*L839*M839*N839</x:f>
        <x:v>3755072.9373419834</x:v>
      </x:c>
    </x:row>
    <x:row r="840">
      <x:c r="A840" s="42" t="str">
        <x:f>Members!A840</x:f>
        <x:v>P0117</x:v>
      </x:c>
      <x:c r="B840" s="42" t="str">
        <x:f>Members!B840</x:f>
        <x:v>Pensioner</x:v>
      </x:c>
      <x:c r="C840" s="42" t="n">
        <x:f>Members!C840</x:f>
        <x:v>81</x:v>
      </x:c>
      <x:c r="D840" s="44" t="n">
        <x:f>Members!D840</x:f>
        <x:v>27.6</x:v>
      </x:c>
      <x:c r="E840" s="48" t="n">
        <x:f>Members!E840</x:f>
        <x:v>0</x:v>
      </x:c>
      <x:c r="F840" s="48" t="n">
        <x:f>Members!F840</x:f>
        <x:v>613000</x:v>
      </x:c>
      <x:c r="G840" s="46" t="n">
        <x:f>MAX(0,Assumptions!$B$10-C840)</x:f>
        <x:v>0</x:v>
      </x:c>
      <x:c r="H840" s="50" t="n">
        <x:f>IF(B840="Active",E840*(1+Assumptions!$B$7)^G840,E840)</x:f>
        <x:v>0</x:v>
      </x:c>
      <x:c r="I840" s="50" t="n">
        <x:f>IF(B840="Active",MIN(Assumptions!$B$12,D840+G840),IF(B840="Deferred",MIN(Assumptions!$B$12,D840),D840))</x:f>
        <x:v>27.6</x:v>
      </x:c>
      <x:c r="J840" s="50" t="n">
        <x:f>IF(B840="Active",H840*I840*Assumptions!$B$11,IF(B840="Deferred",E840*I840*Assumptions!$B$11*(1+Assumptions!$B$9)^G840,F840))</x:f>
        <x:v>613000</x:v>
      </x:c>
      <x:c r="K840" s="37" t="n">
        <x:f>IF(B840="Pensioner",1,VLOOKUP(Assumptions!$B$10,Mortality!$A$2:$F$104,6,FALSE)/VLOOKUP(C840,Mortality!$A$2:$F$104,6,FALSE))</x:f>
        <x:v>1</x:v>
      </x:c>
      <x:c r="L840" s="37" t="n">
        <x:f>VLOOKUP(IF(B840="Pensioner",C840,Assumptions!$B$10),Mortality!$A$2:$E$104,5,FALSE)</x:f>
        <x:v>7.936897714048503</x:v>
      </x:c>
      <x:c r="M840" s="37" t="n">
        <x:f>1+Assumptions!$B$13*Assumptions!$B$14*Assumptions!$B$15</x:f>
        <x:v>1.31875</x:v>
      </x:c>
      <x:c r="N840" s="37" t="n">
        <x:f>IF(B840="Pensioner",1,1/(1+Assumptions!$B$6)^G840)</x:f>
        <x:v>1</x:v>
      </x:c>
      <x:c r="O840" s="50" t="n">
        <x:f>J840*K840*L840*M840*N840</x:f>
        <x:v>6416138.506426097</x:v>
      </x:c>
    </x:row>
    <x:row r="841">
      <x:c r="A841" s="42" t="str">
        <x:f>Members!A841</x:f>
        <x:v>P0011</x:v>
      </x:c>
      <x:c r="B841" s="42" t="str">
        <x:f>Members!B841</x:f>
        <x:v>Pensioner</x:v>
      </x:c>
      <x:c r="C841" s="42" t="n">
        <x:f>Members!C841</x:f>
        <x:v>61</x:v>
      </x:c>
      <x:c r="D841" s="44" t="n">
        <x:f>Members!D841</x:f>
        <x:v>34.1</x:v>
      </x:c>
      <x:c r="E841" s="48" t="n">
        <x:f>Members!E841</x:f>
        <x:v>0</x:v>
      </x:c>
      <x:c r="F841" s="48" t="n">
        <x:f>Members!F841</x:f>
        <x:v>226000</x:v>
      </x:c>
      <x:c r="G841" s="46" t="n">
        <x:f>MAX(0,Assumptions!$B$10-C841)</x:f>
        <x:v>0</x:v>
      </x:c>
      <x:c r="H841" s="50" t="n">
        <x:f>IF(B841="Active",E841*(1+Assumptions!$B$7)^G841,E841)</x:f>
        <x:v>0</x:v>
      </x:c>
      <x:c r="I841" s="50" t="n">
        <x:f>IF(B841="Active",MIN(Assumptions!$B$12,D841+G841),IF(B841="Deferred",MIN(Assumptions!$B$12,D841),D841))</x:f>
        <x:v>34.1</x:v>
      </x:c>
      <x:c r="J841" s="50" t="n">
        <x:f>IF(B841="Active",H841*I841*Assumptions!$B$11,IF(B841="Deferred",E841*I841*Assumptions!$B$11*(1+Assumptions!$B$9)^G841,F841))</x:f>
        <x:v>226000</x:v>
      </x:c>
      <x:c r="K841" s="37" t="n">
        <x:f>IF(B841="Pensioner",1,VLOOKUP(Assumptions!$B$10,Mortality!$A$2:$F$104,6,FALSE)/VLOOKUP(C841,Mortality!$A$2:$F$104,6,FALSE))</x:f>
        <x:v>1</x:v>
      </x:c>
      <x:c r="L841" s="37" t="n">
        <x:f>VLOOKUP(IF(B841="Pensioner",C841,Assumptions!$B$10),Mortality!$A$2:$E$104,5,FALSE)</x:f>
        <x:v>16.889485221588366</x:v>
      </x:c>
      <x:c r="M841" s="37" t="n">
        <x:f>1+Assumptions!$B$13*Assumptions!$B$14*Assumptions!$B$15</x:f>
        <x:v>1.31875</x:v>
      </x:c>
      <x:c r="N841" s="37" t="n">
        <x:f>IF(B841="Pensioner",1,1/(1+Assumptions!$B$6)^G841)</x:f>
        <x:v>1</x:v>
      </x:c>
      <x:c r="O841" s="50" t="n">
        <x:f>J841*K841*L841*M841*N841</x:f>
        <x:v>5033699.951729143</x:v>
      </x:c>
    </x:row>
    <x:row r="842">
      <x:c r="A842" s="42" t="str">
        <x:f>Members!A842</x:f>
        <x:v>A0144</x:v>
      </x:c>
      <x:c r="B842" s="42" t="str">
        <x:f>Members!B842</x:f>
        <x:v>Active</x:v>
      </x:c>
      <x:c r="C842" s="42" t="n">
        <x:f>Members!C842</x:f>
        <x:v>44</x:v>
      </x:c>
      <x:c r="D842" s="44" t="n">
        <x:f>Members!D842</x:f>
        <x:v>8.1</x:v>
      </x:c>
      <x:c r="E842" s="48" t="n">
        <x:f>Members!E842</x:f>
        <x:v>1178000</x:v>
      </x:c>
      <x:c r="F842" s="48" t="n">
        <x:f>Members!F842</x:f>
        <x:v>0</x:v>
      </x:c>
      <x:c r="G842" s="46" t="n">
        <x:f>MAX(0,Assumptions!$B$10-C842)</x:f>
        <x:v>16</x:v>
      </x:c>
      <x:c r="H842" s="50" t="n">
        <x:f>IF(B842="Active",E842*(1+Assumptions!$B$7)^G842,E842)</x:f>
        <x:v>2774499.459788401</x:v>
      </x:c>
      <x:c r="I842" s="50" t="n">
        <x:f>IF(B842="Active",MIN(Assumptions!$B$12,D842+G842),IF(B842="Deferred",MIN(Assumptions!$B$12,D842),D842))</x:f>
        <x:v>24.1</x:v>
      </x:c>
      <x:c r="J842" s="50" t="n">
        <x:f>IF(B842="Active",H842*I842*Assumptions!$B$11,IF(B842="Deferred",E842*I842*Assumptions!$B$11*(1+Assumptions!$B$9)^G842,F842))</x:f>
        <x:v>1114423.9496816746</x:v>
      </x:c>
      <x:c r="K842" s="37" t="n">
        <x:f>IF(B842="Pensioner",1,VLOOKUP(Assumptions!$B$10,Mortality!$A$2:$F$104,6,FALSE)/VLOOKUP(C842,Mortality!$A$2:$F$104,6,FALSE))</x:f>
        <x:v>0.9762682212178733</x:v>
      </x:c>
      <x:c r="L842" s="37" t="n">
        <x:f>VLOOKUP(IF(B842="Pensioner",C842,Assumptions!$B$10),Mortality!$A$2:$E$104,5,FALSE)</x:f>
        <x:v>17.296790022132885</x:v>
      </x:c>
      <x:c r="M842" s="37" t="n">
        <x:f>1+Assumptions!$B$13*Assumptions!$B$14*Assumptions!$B$15</x:f>
        <x:v>1.31875</x:v>
      </x:c>
      <x:c r="N842" s="37" t="n">
        <x:f>IF(B842="Pensioner",1,1/(1+Assumptions!$B$6)^G842)</x:f>
        <x:v>0.3650953281147565</x:v>
      </x:c>
      <x:c r="O842" s="50" t="n">
        <x:f>J842*K842*L842*M842*N842</x:f>
        <x:v>9060535.179939065</x:v>
      </x:c>
    </x:row>
    <x:row r="843">
      <x:c r="A843" s="42" t="str">
        <x:f>Members!A843</x:f>
        <x:v>P0147</x:v>
      </x:c>
      <x:c r="B843" s="42" t="str">
        <x:f>Members!B843</x:f>
        <x:v>Pensioner</x:v>
      </x:c>
      <x:c r="C843" s="42" t="n">
        <x:f>Members!C843</x:f>
        <x:v>85</x:v>
      </x:c>
      <x:c r="D843" s="44" t="n">
        <x:f>Members!D843</x:f>
        <x:v>32.3</x:v>
      </x:c>
      <x:c r="E843" s="48" t="n">
        <x:f>Members!E843</x:f>
        <x:v>0</x:v>
      </x:c>
      <x:c r="F843" s="48" t="n">
        <x:f>Members!F843</x:f>
        <x:v>431000</x:v>
      </x:c>
      <x:c r="G843" s="46" t="n">
        <x:f>MAX(0,Assumptions!$B$10-C843)</x:f>
        <x:v>0</x:v>
      </x:c>
      <x:c r="H843" s="50" t="n">
        <x:f>IF(B843="Active",E843*(1+Assumptions!$B$7)^G843,E843)</x:f>
        <x:v>0</x:v>
      </x:c>
      <x:c r="I843" s="50" t="n">
        <x:f>IF(B843="Active",MIN(Assumptions!$B$12,D843+G843),IF(B843="Deferred",MIN(Assumptions!$B$12,D843),D843))</x:f>
        <x:v>32.3</x:v>
      </x:c>
      <x:c r="J843" s="50" t="n">
        <x:f>IF(B843="Active",H843*I843*Assumptions!$B$11,IF(B843="Deferred",E843*I843*Assumptions!$B$11*(1+Assumptions!$B$9)^G843,F843))</x:f>
        <x:v>431000</x:v>
      </x:c>
      <x:c r="K843" s="37" t="n">
        <x:f>IF(B843="Pensioner",1,VLOOKUP(Assumptions!$B$10,Mortality!$A$2:$F$104,6,FALSE)/VLOOKUP(C843,Mortality!$A$2:$F$104,6,FALSE))</x:f>
        <x:v>1</x:v>
      </x:c>
      <x:c r="L843" s="37" t="n">
        <x:f>VLOOKUP(IF(B843="Pensioner",C843,Assumptions!$B$10),Mortality!$A$2:$E$104,5,FALSE)</x:f>
        <x:v>6.2282827560748935</x:v>
      </x:c>
      <x:c r="M843" s="37" t="n">
        <x:f>1+Assumptions!$B$13*Assumptions!$B$14*Assumptions!$B$15</x:f>
        <x:v>1.31875</x:v>
      </x:c>
      <x:c r="N843" s="37" t="n">
        <x:f>IF(B843="Pensioner",1,1/(1+Assumptions!$B$6)^G843)</x:f>
        <x:v>1</x:v>
      </x:c>
      <x:c r="O843" s="50" t="n">
        <x:f>J843*K843*L843*M843*N843</x:f>
        <x:v>3540039.1382512935</x:v>
      </x:c>
    </x:row>
    <x:row r="844">
      <x:c r="A844" s="42" t="str">
        <x:f>Members!A844</x:f>
        <x:v>A0220</x:v>
      </x:c>
      <x:c r="B844" s="42" t="str">
        <x:f>Members!B844</x:f>
        <x:v>Active</x:v>
      </x:c>
      <x:c r="C844" s="42" t="n">
        <x:f>Members!C844</x:f>
        <x:v>32</x:v>
      </x:c>
      <x:c r="D844" s="44" t="n">
        <x:f>Members!D844</x:f>
        <x:v>2.1</x:v>
      </x:c>
      <x:c r="E844" s="48" t="n">
        <x:f>Members!E844</x:f>
        <x:v>538000</x:v>
      </x:c>
      <x:c r="F844" s="48" t="n">
        <x:f>Members!F844</x:f>
        <x:v>0</x:v>
      </x:c>
      <x:c r="G844" s="46" t="n">
        <x:f>MAX(0,Assumptions!$B$10-C844)</x:f>
        <x:v>28</x:v>
      </x:c>
      <x:c r="H844" s="50" t="n">
        <x:f>IF(B844="Active",E844*(1+Assumptions!$B$7)^G844,E844)</x:f>
        <x:v>2409079.5742742014</x:v>
      </x:c>
      <x:c r="I844" s="50" t="n">
        <x:f>IF(B844="Active",MIN(Assumptions!$B$12,D844+G844),IF(B844="Deferred",MIN(Assumptions!$B$12,D844),D844))</x:f>
        <x:v>30.1</x:v>
      </x:c>
      <x:c r="J844" s="50" t="n">
        <x:f>IF(B844="Active",H844*I844*Assumptions!$B$11,IF(B844="Deferred",E844*I844*Assumptions!$B$11*(1+Assumptions!$B$9)^G844,F844))</x:f>
        <x:v>1208554.919760891</x:v>
      </x:c>
      <x:c r="K844" s="37" t="n">
        <x:f>IF(B844="Pensioner",1,VLOOKUP(Assumptions!$B$10,Mortality!$A$2:$F$104,6,FALSE)/VLOOKUP(C844,Mortality!$A$2:$F$104,6,FALSE))</x:f>
        <x:v>0.9709584687664957</x:v>
      </x:c>
      <x:c r="L844" s="37" t="n">
        <x:f>VLOOKUP(IF(B844="Pensioner",C844,Assumptions!$B$10),Mortality!$A$2:$E$104,5,FALSE)</x:f>
        <x:v>17.296790022132885</x:v>
      </x:c>
      <x:c r="M844" s="37" t="n">
        <x:f>1+Assumptions!$B$13*Assumptions!$B$14*Assumptions!$B$15</x:f>
        <x:v>1.31875</x:v>
      </x:c>
      <x:c r="N844" s="37" t="n">
        <x:f>IF(B844="Pensioner",1,1/(1+Assumptions!$B$6)^G844)</x:f>
        <x:v>0.17147901583340255</x:v>
      </x:c>
      <x:c r="O844" s="50" t="n">
        <x:f>J844*K844*L844*M844*N844</x:f>
        <x:v>4589929.477791495</x:v>
      </x:c>
    </x:row>
    <x:row r="845">
      <x:c r="A845" s="42" t="str">
        <x:f>Members!A845</x:f>
        <x:v>P0225</x:v>
      </x:c>
      <x:c r="B845" s="42" t="str">
        <x:f>Members!B845</x:f>
        <x:v>Pensioner</x:v>
      </x:c>
      <x:c r="C845" s="42" t="n">
        <x:f>Members!C845</x:f>
        <x:v>86</x:v>
      </x:c>
      <x:c r="D845" s="44" t="n">
        <x:f>Members!D845</x:f>
        <x:v>17</x:v>
      </x:c>
      <x:c r="E845" s="48" t="n">
        <x:f>Members!E845</x:f>
        <x:v>0</x:v>
      </x:c>
      <x:c r="F845" s="48" t="n">
        <x:f>Members!F845</x:f>
        <x:v>744000</x:v>
      </x:c>
      <x:c r="G845" s="46" t="n">
        <x:f>MAX(0,Assumptions!$B$10-C845)</x:f>
        <x:v>0</x:v>
      </x:c>
      <x:c r="H845" s="50" t="n">
        <x:f>IF(B845="Active",E845*(1+Assumptions!$B$7)^G845,E845)</x:f>
        <x:v>0</x:v>
      </x:c>
      <x:c r="I845" s="50" t="n">
        <x:f>IF(B845="Active",MIN(Assumptions!$B$12,D845+G845),IF(B845="Deferred",MIN(Assumptions!$B$12,D845),D845))</x:f>
        <x:v>17</x:v>
      </x:c>
      <x:c r="J845" s="50" t="n">
        <x:f>IF(B845="Active",H845*I845*Assumptions!$B$11,IF(B845="Deferred",E845*I845*Assumptions!$B$11*(1+Assumptions!$B$9)^G845,F845))</x:f>
        <x:v>744000</x:v>
      </x:c>
      <x:c r="K845" s="37" t="n">
        <x:f>IF(B845="Pensioner",1,VLOOKUP(Assumptions!$B$10,Mortality!$A$2:$F$104,6,FALSE)/VLOOKUP(C845,Mortality!$A$2:$F$104,6,FALSE))</x:f>
        <x:v>1</x:v>
      </x:c>
      <x:c r="L845" s="37" t="n">
        <x:f>VLOOKUP(IF(B845="Pensioner",C845,Assumptions!$B$10),Mortality!$A$2:$E$104,5,FALSE)</x:f>
        <x:v>5.822832972912483</x:v>
      </x:c>
      <x:c r="M845" s="37" t="n">
        <x:f>1+Assumptions!$B$13*Assumptions!$B$14*Assumptions!$B$15</x:f>
        <x:v>1.31875</x:v>
      </x:c>
      <x:c r="N845" s="37" t="n">
        <x:f>IF(B845="Pensioner",1,1/(1+Assumptions!$B$6)^G845)</x:f>
        <x:v>1</x:v>
      </x:c>
      <x:c r="O845" s="50" t="n">
        <x:f>J845*K845*L845*M845*N845</x:f>
        <x:v>5713072.571373084</x:v>
      </x:c>
    </x:row>
    <x:row r="846">
      <x:c r="A846" s="42" t="str">
        <x:f>Members!A846</x:f>
        <x:v>A0433</x:v>
      </x:c>
      <x:c r="B846" s="42" t="str">
        <x:f>Members!B846</x:f>
        <x:v>Active</x:v>
      </x:c>
      <x:c r="C846" s="42" t="n">
        <x:f>Members!C846</x:f>
        <x:v>28</x:v>
      </x:c>
      <x:c r="D846" s="44" t="n">
        <x:f>Members!D846</x:f>
        <x:v>4.3</x:v>
      </x:c>
      <x:c r="E846" s="48" t="n">
        <x:f>Members!E846</x:f>
        <x:v>521000</x:v>
      </x:c>
      <x:c r="F846" s="48" t="n">
        <x:f>Members!F846</x:f>
        <x:v>0</x:v>
      </x:c>
      <x:c r="G846" s="46" t="n">
        <x:f>MAX(0,Assumptions!$B$10-C846)</x:f>
        <x:v>32</x:v>
      </x:c>
      <x:c r="H846" s="50" t="n">
        <x:f>IF(B846="Active",E846*(1+Assumptions!$B$7)^G846,E846)</x:f>
        <x:v>2890123.7014210396</x:v>
      </x:c>
      <x:c r="I846" s="50" t="n">
        <x:f>IF(B846="Active",MIN(Assumptions!$B$12,D846+G846),IF(B846="Deferred",MIN(Assumptions!$B$12,D846),D846))</x:f>
        <x:v>36.3</x:v>
      </x:c>
      <x:c r="J846" s="50" t="n">
        <x:f>IF(B846="Active",H846*I846*Assumptions!$B$11,IF(B846="Deferred",E846*I846*Assumptions!$B$11*(1+Assumptions!$B$9)^G846,F846))</x:f>
        <x:v>1748524.8393597286</x:v>
      </x:c>
      <x:c r="K846" s="37" t="n">
        <x:f>IF(B846="Pensioner",1,VLOOKUP(Assumptions!$B$10,Mortality!$A$2:$F$104,6,FALSE)/VLOOKUP(C846,Mortality!$A$2:$F$104,6,FALSE))</x:f>
        <x:v>0.9697719614347323</x:v>
      </x:c>
      <x:c r="L846" s="37" t="n">
        <x:f>VLOOKUP(IF(B846="Pensioner",C846,Assumptions!$B$10),Mortality!$A$2:$E$104,5,FALSE)</x:f>
        <x:v>17.296790022132885</x:v>
      </x:c>
      <x:c r="M846" s="37" t="n">
        <x:f>1+Assumptions!$B$13*Assumptions!$B$14*Assumptions!$B$15</x:f>
        <x:v>1.31875</x:v>
      </x:c>
      <x:c r="N846" s="37" t="n">
        <x:f>IF(B846="Pensioner",1,1/(1+Assumptions!$B$6)^G846)</x:f>
        <x:v>0.13329459861122173</x:v>
      </x:c>
      <x:c r="O846" s="50" t="n">
        <x:f>J846*K846*L846*M846*N846</x:f>
        <x:v>5155632.666257414</x:v>
      </x:c>
    </x:row>
    <x:row r="847">
      <x:c r="A847" s="42" t="str">
        <x:f>Members!A847</x:f>
        <x:v>P0113</x:v>
      </x:c>
      <x:c r="B847" s="42" t="str">
        <x:f>Members!B847</x:f>
        <x:v>Pensioner</x:v>
      </x:c>
      <x:c r="C847" s="42" t="n">
        <x:f>Members!C847</x:f>
        <x:v>79</x:v>
      </x:c>
      <x:c r="D847" s="44" t="n">
        <x:f>Members!D847</x:f>
        <x:v>15.8</x:v>
      </x:c>
      <x:c r="E847" s="48" t="n">
        <x:f>Members!E847</x:f>
        <x:v>0</x:v>
      </x:c>
      <x:c r="F847" s="48" t="n">
        <x:f>Members!F847</x:f>
        <x:v>331000</x:v>
      </x:c>
      <x:c r="G847" s="46" t="n">
        <x:f>MAX(0,Assumptions!$B$10-C847)</x:f>
        <x:v>0</x:v>
      </x:c>
      <x:c r="H847" s="50" t="n">
        <x:f>IF(B847="Active",E847*(1+Assumptions!$B$7)^G847,E847)</x:f>
        <x:v>0</x:v>
      </x:c>
      <x:c r="I847" s="50" t="n">
        <x:f>IF(B847="Active",MIN(Assumptions!$B$12,D847+G847),IF(B847="Deferred",MIN(Assumptions!$B$12,D847),D847))</x:f>
        <x:v>15.8</x:v>
      </x:c>
      <x:c r="J847" s="50" t="n">
        <x:f>IF(B847="Active",H847*I847*Assumptions!$B$11,IF(B847="Deferred",E847*I847*Assumptions!$B$11*(1+Assumptions!$B$9)^G847,F847))</x:f>
        <x:v>331000</x:v>
      </x:c>
      <x:c r="K847" s="37" t="n">
        <x:f>IF(B847="Pensioner",1,VLOOKUP(Assumptions!$B$10,Mortality!$A$2:$F$104,6,FALSE)/VLOOKUP(C847,Mortality!$A$2:$F$104,6,FALSE))</x:f>
        <x:v>1</x:v>
      </x:c>
      <x:c r="L847" s="37" t="n">
        <x:f>VLOOKUP(IF(B847="Pensioner",C847,Assumptions!$B$10),Mortality!$A$2:$E$104,5,FALSE)</x:f>
        <x:v>8.83093256291476</x:v>
      </x:c>
      <x:c r="M847" s="37" t="n">
        <x:f>1+Assumptions!$B$13*Assumptions!$B$14*Assumptions!$B$15</x:f>
        <x:v>1.31875</x:v>
      </x:c>
      <x:c r="N847" s="37" t="n">
        <x:f>IF(B847="Pensioner",1,1/(1+Assumptions!$B$6)^G847)</x:f>
        <x:v>1</x:v>
      </x:c>
      <x:c r="O847" s="50" t="n">
        <x:f>J847*K847*L847*M847*N847</x:f>
        <x:v>3854757.2570408117</x:v>
      </x:c>
    </x:row>
    <x:row r="848">
      <x:c r="A848" s="42" t="str">
        <x:f>Members!A848</x:f>
        <x:v>A0210</x:v>
      </x:c>
      <x:c r="B848" s="42" t="str">
        <x:f>Members!B848</x:f>
        <x:v>Active</x:v>
      </x:c>
      <x:c r="C848" s="42" t="n">
        <x:f>Members!C848</x:f>
        <x:v>23</x:v>
      </x:c>
      <x:c r="D848" s="44" t="n">
        <x:f>Members!D848</x:f>
        <x:v>1</x:v>
      </x:c>
      <x:c r="E848" s="48" t="n">
        <x:f>Members!E848</x:f>
        <x:v>440000</x:v>
      </x:c>
      <x:c r="F848" s="48" t="n">
        <x:f>Members!F848</x:f>
        <x:v>0</x:v>
      </x:c>
      <x:c r="G848" s="46" t="n">
        <x:f>MAX(0,Assumptions!$B$10-C848)</x:f>
        <x:v>37</x:v>
      </x:c>
      <x:c r="H848" s="50" t="n">
        <x:f>IF(B848="Active",E848*(1+Assumptions!$B$7)^G848,E848)</x:f>
        <x:v>3190022.0349070565</x:v>
      </x:c>
      <x:c r="I848" s="50" t="n">
        <x:f>IF(B848="Active",MIN(Assumptions!$B$12,D848+G848),IF(B848="Deferred",MIN(Assumptions!$B$12,D848),D848))</x:f>
        <x:v>38</x:v>
      </x:c>
      <x:c r="J848" s="50" t="n">
        <x:f>IF(B848="Active",H848*I848*Assumptions!$B$11,IF(B848="Deferred",E848*I848*Assumptions!$B$11*(1+Assumptions!$B$9)^G848,F848))</x:f>
        <x:v>2020347.288774469</x:v>
      </x:c>
      <x:c r="K848" s="37" t="n">
        <x:f>IF(B848="Pensioner",1,VLOOKUP(Assumptions!$B$10,Mortality!$A$2:$F$104,6,FALSE)/VLOOKUP(C848,Mortality!$A$2:$F$104,6,FALSE))</x:f>
        <x:v>0.9684592752197081</x:v>
      </x:c>
      <x:c r="L848" s="37" t="n">
        <x:f>VLOOKUP(IF(B848="Pensioner",C848,Assumptions!$B$10),Mortality!$A$2:$E$104,5,FALSE)</x:f>
        <x:v>17.296790022132885</x:v>
      </x:c>
      <x:c r="M848" s="37" t="n">
        <x:f>1+Assumptions!$B$13*Assumptions!$B$14*Assumptions!$B$15</x:f>
        <x:v>1.31875</x:v>
      </x:c>
      <x:c r="N848" s="37" t="n">
        <x:f>IF(B848="Pensioner",1,1/(1+Assumptions!$B$6)^G848)</x:f>
        <x:v>0.09728917313808341</x:v>
      </x:c>
      <x:c r="O848" s="50" t="n">
        <x:f>J848*K848*L848*M848*N848</x:f>
        <x:v>4342100.690700862</x:v>
      </x:c>
    </x:row>
    <x:row r="849">
      <x:c r="A849" s="42" t="str">
        <x:f>Members!A849</x:f>
        <x:v>A0346</x:v>
      </x:c>
      <x:c r="B849" s="42" t="str">
        <x:f>Members!B849</x:f>
        <x:v>Active</x:v>
      </x:c>
      <x:c r="C849" s="42" t="n">
        <x:f>Members!C849</x:f>
        <x:v>36</x:v>
      </x:c>
      <x:c r="D849" s="44" t="n">
        <x:f>Members!D849</x:f>
        <x:v>14.8</x:v>
      </x:c>
      <x:c r="E849" s="48" t="n">
        <x:f>Members!E849</x:f>
        <x:v>578000</x:v>
      </x:c>
      <x:c r="F849" s="48" t="n">
        <x:f>Members!F849</x:f>
        <x:v>0</x:v>
      </x:c>
      <x:c r="G849" s="46" t="n">
        <x:f>MAX(0,Assumptions!$B$10-C849)</x:f>
        <x:v>24</x:v>
      </x:c>
      <x:c r="H849" s="50" t="n">
        <x:f>IF(B849="Active",E849*(1+Assumptions!$B$7)^G849,E849)</x:f>
        <x:v>2089232.9644577182</x:v>
      </x:c>
      <x:c r="I849" s="50" t="n">
        <x:f>IF(B849="Active",MIN(Assumptions!$B$12,D849+G849),IF(B849="Deferred",MIN(Assumptions!$B$12,D849),D849))</x:f>
        <x:v>38.8</x:v>
      </x:c>
      <x:c r="J849" s="50" t="n">
        <x:f>IF(B849="Active",H849*I849*Assumptions!$B$11,IF(B849="Deferred",E849*I849*Assumptions!$B$11*(1+Assumptions!$B$9)^G849,F849))</x:f>
        <x:v>1351037.317015991</x:v>
      </x:c>
      <x:c r="K849" s="37" t="n">
        <x:f>IF(B849="Pensioner",1,VLOOKUP(Assumptions!$B$10,Mortality!$A$2:$F$104,6,FALSE)/VLOOKUP(C849,Mortality!$A$2:$F$104,6,FALSE))</x:f>
        <x:v>0.9723450305541352</x:v>
      </x:c>
      <x:c r="L849" s="37" t="n">
        <x:f>VLOOKUP(IF(B849="Pensioner",C849,Assumptions!$B$10),Mortality!$A$2:$E$104,5,FALSE)</x:f>
        <x:v>17.296790022132885</x:v>
      </x:c>
      <x:c r="M849" s="37" t="n">
        <x:f>1+Assumptions!$B$13*Assumptions!$B$14*Assumptions!$B$15</x:f>
        <x:v>1.31875</x:v>
      </x:c>
      <x:c r="N849" s="37" t="n">
        <x:f>IF(B849="Pensioner",1,1/(1+Assumptions!$B$6)^G849)</x:f>
        <x:v>0.22060198370796386</x:v>
      </x:c>
      <x:c r="O849" s="50" t="n">
        <x:f>J849*K849*L849*M849*N849</x:f>
        <x:v>6610360.476308733</x:v>
      </x:c>
    </x:row>
    <x:row r="850">
      <x:c r="A850" s="42" t="str">
        <x:f>Members!A850</x:f>
        <x:v>A0348</x:v>
      </x:c>
      <x:c r="B850" s="42" t="str">
        <x:f>Members!B850</x:f>
        <x:v>Active</x:v>
      </x:c>
      <x:c r="C850" s="42" t="n">
        <x:f>Members!C850</x:f>
        <x:v>27</x:v>
      </x:c>
      <x:c r="D850" s="44" t="n">
        <x:f>Members!D850</x:f>
        <x:v>3.1</x:v>
      </x:c>
      <x:c r="E850" s="48" t="n">
        <x:f>Members!E850</x:f>
        <x:v>544000</x:v>
      </x:c>
      <x:c r="F850" s="48" t="n">
        <x:f>Members!F850</x:f>
        <x:v>0</x:v>
      </x:c>
      <x:c r="G850" s="46" t="n">
        <x:f>MAX(0,Assumptions!$B$10-C850)</x:f>
        <x:v>33</x:v>
      </x:c>
      <x:c r="H850" s="50" t="n">
        <x:f>IF(B850="Active",E850*(1+Assumptions!$B$7)^G850,E850)</x:f>
        <x:v>3183684.8267170116</x:v>
      </x:c>
      <x:c r="I850" s="50" t="n">
        <x:f>IF(B850="Active",MIN(Assumptions!$B$12,D850+G850),IF(B850="Deferred",MIN(Assumptions!$B$12,D850),D850))</x:f>
        <x:v>36.1</x:v>
      </x:c>
      <x:c r="J850" s="50" t="n">
        <x:f>IF(B850="Active",H850*I850*Assumptions!$B$11,IF(B850="Deferred",E850*I850*Assumptions!$B$11*(1+Assumptions!$B$9)^G850,F850))</x:f>
        <x:v>1915517.0374080688</x:v>
      </x:c>
      <x:c r="K850" s="37" t="n">
        <x:f>IF(B850="Pensioner",1,VLOOKUP(Assumptions!$B$10,Mortality!$A$2:$F$104,6,FALSE)/VLOOKUP(C850,Mortality!$A$2:$F$104,6,FALSE))</x:f>
        <x:v>0.9694971330284515</x:v>
      </x:c>
      <x:c r="L850" s="37" t="n">
        <x:f>VLOOKUP(IF(B850="Pensioner",C850,Assumptions!$B$10),Mortality!$A$2:$E$104,5,FALSE)</x:f>
        <x:v>17.296790022132885</x:v>
      </x:c>
      <x:c r="M850" s="37" t="n">
        <x:f>1+Assumptions!$B$13*Assumptions!$B$14*Assumptions!$B$15</x:f>
        <x:v>1.31875</x:v>
      </x:c>
      <x:c r="N850" s="37" t="n">
        <x:f>IF(B850="Pensioner",1,1/(1+Assumptions!$B$6)^G850)</x:f>
        <x:v>0.12515924752227392</x:v>
      </x:c>
      <x:c r="O850" s="50" t="n">
        <x:f>J850*K850*L850*M850*N850</x:f>
        <x:v>5301801.669835043</x:v>
      </x:c>
    </x:row>
    <x:row r="851">
      <x:c r="A851" s="42" t="str">
        <x:f>Members!A851</x:f>
        <x:v>A0392</x:v>
      </x:c>
      <x:c r="B851" s="42" t="str">
        <x:f>Members!B851</x:f>
        <x:v>Active</x:v>
      </x:c>
      <x:c r="C851" s="42" t="n">
        <x:f>Members!C851</x:f>
        <x:v>52</x:v>
      </x:c>
      <x:c r="D851" s="44" t="n">
        <x:f>Members!D851</x:f>
        <x:v>12.4</x:v>
      </x:c>
      <x:c r="E851" s="48" t="n">
        <x:f>Members!E851</x:f>
        <x:v>1322000</x:v>
      </x:c>
      <x:c r="F851" s="48" t="n">
        <x:f>Members!F851</x:f>
        <x:v>0</x:v>
      </x:c>
      <x:c r="G851" s="46" t="n">
        <x:f>MAX(0,Assumptions!$B$10-C851)</x:f>
        <x:v>8</x:v>
      </x:c>
      <x:c r="H851" s="50" t="n">
        <x:f>IF(B851="Active",E851*(1+Assumptions!$B$7)^G851,E851)</x:f>
        <x:v>2028855.572824914</x:v>
      </x:c>
      <x:c r="I851" s="50" t="n">
        <x:f>IF(B851="Active",MIN(Assumptions!$B$12,D851+G851),IF(B851="Deferred",MIN(Assumptions!$B$12,D851),D851))</x:f>
        <x:v>20.4</x:v>
      </x:c>
      <x:c r="J851" s="50" t="n">
        <x:f>IF(B851="Active",H851*I851*Assumptions!$B$11,IF(B851="Deferred",E851*I851*Assumptions!$B$11*(1+Assumptions!$B$9)^G851,F851))</x:f>
        <x:v>689810.8947604707</x:v>
      </x:c>
      <x:c r="K851" s="37" t="n">
        <x:f>IF(B851="Pensioner",1,VLOOKUP(Assumptions!$B$10,Mortality!$A$2:$F$104,6,FALSE)/VLOOKUP(C851,Mortality!$A$2:$F$104,6,FALSE))</x:f>
        <x:v>0.9836527516879843</x:v>
      </x:c>
      <x:c r="L851" s="37" t="n">
        <x:f>VLOOKUP(IF(B851="Pensioner",C851,Assumptions!$B$10),Mortality!$A$2:$E$104,5,FALSE)</x:f>
        <x:v>17.296790022132885</x:v>
      </x:c>
      <x:c r="M851" s="37" t="n">
        <x:f>1+Assumptions!$B$13*Assumptions!$B$14*Assumptions!$B$15</x:f>
        <x:v>1.31875</x:v>
      </x:c>
      <x:c r="N851" s="37" t="n">
        <x:f>IF(B851="Pensioner",1,1/(1+Assumptions!$B$6)^G851)</x:f>
        <x:v>0.6042311876382719</x:v>
      </x:c>
      <x:c r="O851" s="50" t="n">
        <x:f>J851*K851*L851*M851*N851</x:f>
        <x:v>9351967.397669012</x:v>
      </x:c>
    </x:row>
    <x:row r="852">
      <x:c r="A852" s="42" t="str">
        <x:f>Members!A852</x:f>
        <x:v>A0176</x:v>
      </x:c>
      <x:c r="B852" s="42" t="str">
        <x:f>Members!B852</x:f>
        <x:v>Active</x:v>
      </x:c>
      <x:c r="C852" s="42" t="n">
        <x:f>Members!C852</x:f>
        <x:v>39</x:v>
      </x:c>
      <x:c r="D852" s="44" t="n">
        <x:f>Members!D852</x:f>
        <x:v>2.3</x:v>
      </x:c>
      <x:c r="E852" s="48" t="n">
        <x:f>Members!E852</x:f>
        <x:v>812000</x:v>
      </x:c>
      <x:c r="F852" s="48" t="n">
        <x:f>Members!F852</x:f>
        <x:v>0</x:v>
      </x:c>
      <x:c r="G852" s="46" t="n">
        <x:f>MAX(0,Assumptions!$B$10-C852)</x:f>
        <x:v>21</x:v>
      </x:c>
      <x:c r="H852" s="50" t="n">
        <x:f>IF(B852="Active",E852*(1+Assumptions!$B$7)^G852,E852)</x:f>
        <x:v>2499526.131900899</x:v>
      </x:c>
      <x:c r="I852" s="50" t="n">
        <x:f>IF(B852="Active",MIN(Assumptions!$B$12,D852+G852),IF(B852="Deferred",MIN(Assumptions!$B$12,D852),D852))</x:f>
        <x:v>23.3</x:v>
      </x:c>
      <x:c r="J852" s="50" t="n">
        <x:f>IF(B852="Active",H852*I852*Assumptions!$B$11,IF(B852="Deferred",E852*I852*Assumptions!$B$11*(1+Assumptions!$B$9)^G852,F852))</x:f>
        <x:v>970649.3145548492</x:v>
      </x:c>
      <x:c r="K852" s="37" t="n">
        <x:f>IF(B852="Pensioner",1,VLOOKUP(Assumptions!$B$10,Mortality!$A$2:$F$104,6,FALSE)/VLOOKUP(C852,Mortality!$A$2:$F$104,6,FALSE))</x:f>
        <x:v>0.973585741778878</x:v>
      </x:c>
      <x:c r="L852" s="37" t="n">
        <x:f>VLOOKUP(IF(B852="Pensioner",C852,Assumptions!$B$10),Mortality!$A$2:$E$104,5,FALSE)</x:f>
        <x:v>17.296790022132885</x:v>
      </x:c>
      <x:c r="M852" s="37" t="n">
        <x:f>1+Assumptions!$B$13*Assumptions!$B$14*Assumptions!$B$15</x:f>
        <x:v>1.31875</x:v>
      </x:c>
      <x:c r="N852" s="37" t="n">
        <x:f>IF(B852="Pensioner",1,1/(1+Assumptions!$B$6)^G852)</x:f>
        <x:v>0.26647608349429097</x:v>
      </x:c>
      <x:c r="O852" s="50" t="n">
        <x:f>J852*K852*L852*M852*N852</x:f>
        <x:v>5744110.419683902</x:v>
      </x:c>
    </x:row>
    <x:row r="853">
      <x:c r="A853" s="42" t="str">
        <x:f>Members!A853</x:f>
        <x:v>A0005</x:v>
      </x:c>
      <x:c r="B853" s="42" t="str">
        <x:f>Members!B853</x:f>
        <x:v>Active</x:v>
      </x:c>
      <x:c r="C853" s="42" t="n">
        <x:f>Members!C853</x:f>
        <x:v>35</x:v>
      </x:c>
      <x:c r="D853" s="44" t="n">
        <x:f>Members!D853</x:f>
        <x:v>5.5</x:v>
      </x:c>
      <x:c r="E853" s="48" t="n">
        <x:f>Members!E853</x:f>
        <x:v>545000</x:v>
      </x:c>
      <x:c r="F853" s="48" t="n">
        <x:f>Members!F853</x:f>
        <x:v>0</x:v>
      </x:c>
      <x:c r="G853" s="46" t="n">
        <x:f>MAX(0,Assumptions!$B$10-C853)</x:f>
        <x:v>25</x:v>
      </x:c>
      <x:c r="H853" s="50" t="n">
        <x:f>IF(B853="Active",E853*(1+Assumptions!$B$7)^G853,E853)</x:f>
        <x:v>2078298.8299984024</x:v>
      </x:c>
      <x:c r="I853" s="50" t="n">
        <x:f>IF(B853="Active",MIN(Assumptions!$B$12,D853+G853),IF(B853="Deferred",MIN(Assumptions!$B$12,D853),D853))</x:f>
        <x:v>30.5</x:v>
      </x:c>
      <x:c r="J853" s="50" t="n">
        <x:f>IF(B853="Active",H853*I853*Assumptions!$B$11,IF(B853="Deferred",E853*I853*Assumptions!$B$11*(1+Assumptions!$B$9)^G853,F853))</x:f>
        <x:v>1056468.5719158545</x:v>
      </x:c>
      <x:c r="K853" s="37" t="n">
        <x:f>IF(B853="Pensioner",1,VLOOKUP(Assumptions!$B$10,Mortality!$A$2:$F$104,6,FALSE)/VLOOKUP(C853,Mortality!$A$2:$F$104,6,FALSE))</x:f>
        <x:v>0.9719740765386753</x:v>
      </x:c>
      <x:c r="L853" s="37" t="n">
        <x:f>VLOOKUP(IF(B853="Pensioner",C853,Assumptions!$B$10),Mortality!$A$2:$E$104,5,FALSE)</x:f>
        <x:v>17.296790022132885</x:v>
      </x:c>
      <x:c r="M853" s="37" t="n">
        <x:f>1+Assumptions!$B$13*Assumptions!$B$14*Assumptions!$B$15</x:f>
        <x:v>1.31875</x:v>
      </x:c>
      <x:c r="N853" s="37" t="n">
        <x:f>IF(B853="Pensioner",1,1/(1+Assumptions!$B$6)^G853)</x:f>
        <x:v>0.20713801287132758</x:v>
      </x:c>
      <x:c r="O853" s="50" t="n">
        <x:f>J853*K853*L853*M853*N853</x:f>
        <x:v>4851757.162156382</x:v>
      </x:c>
    </x:row>
    <x:row r="854">
      <x:c r="A854" s="42" t="str">
        <x:f>Members!A854</x:f>
        <x:v>A0333</x:v>
      </x:c>
      <x:c r="B854" s="42" t="str">
        <x:f>Members!B854</x:f>
        <x:v>Active</x:v>
      </x:c>
      <x:c r="C854" s="42" t="n">
        <x:f>Members!C854</x:f>
        <x:v>27</x:v>
      </x:c>
      <x:c r="D854" s="44" t="n">
        <x:f>Members!D854</x:f>
        <x:v>2.3</x:v>
      </x:c>
      <x:c r="E854" s="48" t="n">
        <x:f>Members!E854</x:f>
        <x:v>537000</x:v>
      </x:c>
      <x:c r="F854" s="48" t="n">
        <x:f>Members!F854</x:f>
        <x:v>0</x:v>
      </x:c>
      <x:c r="G854" s="46" t="n">
        <x:f>MAX(0,Assumptions!$B$10-C854)</x:f>
        <x:v>33</x:v>
      </x:c>
      <x:c r="H854" s="50" t="n">
        <x:f>IF(B854="Active",E854*(1+Assumptions!$B$7)^G854,E854)</x:f>
        <x:v>3142718.2940202854</x:v>
      </x:c>
      <x:c r="I854" s="50" t="n">
        <x:f>IF(B854="Active",MIN(Assumptions!$B$12,D854+G854),IF(B854="Deferred",MIN(Assumptions!$B$12,D854),D854))</x:f>
        <x:v>35.3</x:v>
      </x:c>
      <x:c r="J854" s="50" t="n">
        <x:f>IF(B854="Active",H854*I854*Assumptions!$B$11,IF(B854="Deferred",E854*I854*Assumptions!$B$11*(1+Assumptions!$B$9)^G854,F854))</x:f>
        <x:v>1848965.929648601</x:v>
      </x:c>
      <x:c r="K854" s="37" t="n">
        <x:f>IF(B854="Pensioner",1,VLOOKUP(Assumptions!$B$10,Mortality!$A$2:$F$104,6,FALSE)/VLOOKUP(C854,Mortality!$A$2:$F$104,6,FALSE))</x:f>
        <x:v>0.9694971330284515</x:v>
      </x:c>
      <x:c r="L854" s="37" t="n">
        <x:f>VLOOKUP(IF(B854="Pensioner",C854,Assumptions!$B$10),Mortality!$A$2:$E$104,5,FALSE)</x:f>
        <x:v>17.296790022132885</x:v>
      </x:c>
      <x:c r="M854" s="37" t="n">
        <x:f>1+Assumptions!$B$13*Assumptions!$B$14*Assumptions!$B$15</x:f>
        <x:v>1.31875</x:v>
      </x:c>
      <x:c r="N854" s="37" t="n">
        <x:f>IF(B854="Pensioner",1,1/(1+Assumptions!$B$6)^G854)</x:f>
        <x:v>0.12515924752227392</x:v>
      </x:c>
      <x:c r="O854" s="50" t="n">
        <x:f>J854*K854*L854*M854*N854</x:f>
        <x:v>5117600.345932462</x:v>
      </x:c>
    </x:row>
    <x:row r="855">
      <x:c r="A855" s="42" t="str">
        <x:f>Members!A855</x:f>
        <x:v>P0131</x:v>
      </x:c>
      <x:c r="B855" s="42" t="str">
        <x:f>Members!B855</x:f>
        <x:v>Pensioner</x:v>
      </x:c>
      <x:c r="C855" s="42" t="n">
        <x:f>Members!C855</x:f>
        <x:v>63</x:v>
      </x:c>
      <x:c r="D855" s="44" t="n">
        <x:f>Members!D855</x:f>
        <x:v>27.9</x:v>
      </x:c>
      <x:c r="E855" s="48" t="n">
        <x:f>Members!E855</x:f>
        <x:v>0</x:v>
      </x:c>
      <x:c r="F855" s="48" t="n">
        <x:f>Members!F855</x:f>
        <x:v>393000</x:v>
      </x:c>
      <x:c r="G855" s="46" t="n">
        <x:f>MAX(0,Assumptions!$B$10-C855)</x:f>
        <x:v>0</x:v>
      </x:c>
      <x:c r="H855" s="50" t="n">
        <x:f>IF(B855="Active",E855*(1+Assumptions!$B$7)^G855,E855)</x:f>
        <x:v>0</x:v>
      </x:c>
      <x:c r="I855" s="50" t="n">
        <x:f>IF(B855="Active",MIN(Assumptions!$B$12,D855+G855),IF(B855="Deferred",MIN(Assumptions!$B$12,D855),D855))</x:f>
        <x:v>27.9</x:v>
      </x:c>
      <x:c r="J855" s="50" t="n">
        <x:f>IF(B855="Active",H855*I855*Assumptions!$B$11,IF(B855="Deferred",E855*I855*Assumptions!$B$11*(1+Assumptions!$B$9)^G855,F855))</x:f>
        <x:v>393000</x:v>
      </x:c>
      <x:c r="K855" s="37" t="n">
        <x:f>IF(B855="Pensioner",1,VLOOKUP(Assumptions!$B$10,Mortality!$A$2:$F$104,6,FALSE)/VLOOKUP(C855,Mortality!$A$2:$F$104,6,FALSE))</x:f>
        <x:v>1</x:v>
      </x:c>
      <x:c r="L855" s="37" t="n">
        <x:f>VLOOKUP(IF(B855="Pensioner",C855,Assumptions!$B$10),Mortality!$A$2:$E$104,5,FALSE)</x:f>
        <x:v>16.055191398346196</x:v>
      </x:c>
      <x:c r="M855" s="37" t="n">
        <x:f>1+Assumptions!$B$13*Assumptions!$B$14*Assumptions!$B$15</x:f>
        <x:v>1.31875</x:v>
      </x:c>
      <x:c r="N855" s="37" t="n">
        <x:f>IF(B855="Pensioner",1,1/(1+Assumptions!$B$6)^G855)</x:f>
        <x:v>1</x:v>
      </x:c>
      <x:c r="O855" s="50" t="n">
        <x:f>J855*K855*L855*M855*N855</x:f>
        <x:v>8320903.977031635</x:v>
      </x:c>
    </x:row>
    <x:row r="856">
      <x:c r="A856" s="42" t="str">
        <x:f>Members!A856</x:f>
        <x:v>P0042</x:v>
      </x:c>
      <x:c r="B856" s="42" t="str">
        <x:f>Members!B856</x:f>
        <x:v>Pensioner</x:v>
      </x:c>
      <x:c r="C856" s="42" t="n">
        <x:f>Members!C856</x:f>
        <x:v>85</x:v>
      </x:c>
      <x:c r="D856" s="44" t="n">
        <x:f>Members!D856</x:f>
        <x:v>35.3</x:v>
      </x:c>
      <x:c r="E856" s="48" t="n">
        <x:f>Members!E856</x:f>
        <x:v>0</x:v>
      </x:c>
      <x:c r="F856" s="48" t="n">
        <x:f>Members!F856</x:f>
        <x:v>500000</x:v>
      </x:c>
      <x:c r="G856" s="46" t="n">
        <x:f>MAX(0,Assumptions!$B$10-C856)</x:f>
        <x:v>0</x:v>
      </x:c>
      <x:c r="H856" s="50" t="n">
        <x:f>IF(B856="Active",E856*(1+Assumptions!$B$7)^G856,E856)</x:f>
        <x:v>0</x:v>
      </x:c>
      <x:c r="I856" s="50" t="n">
        <x:f>IF(B856="Active",MIN(Assumptions!$B$12,D856+G856),IF(B856="Deferred",MIN(Assumptions!$B$12,D856),D856))</x:f>
        <x:v>35.3</x:v>
      </x:c>
      <x:c r="J856" s="50" t="n">
        <x:f>IF(B856="Active",H856*I856*Assumptions!$B$11,IF(B856="Deferred",E856*I856*Assumptions!$B$11*(1+Assumptions!$B$9)^G856,F856))</x:f>
        <x:v>500000</x:v>
      </x:c>
      <x:c r="K856" s="37" t="n">
        <x:f>IF(B856="Pensioner",1,VLOOKUP(Assumptions!$B$10,Mortality!$A$2:$F$104,6,FALSE)/VLOOKUP(C856,Mortality!$A$2:$F$104,6,FALSE))</x:f>
        <x:v>1</x:v>
      </x:c>
      <x:c r="L856" s="37" t="n">
        <x:f>VLOOKUP(IF(B856="Pensioner",C856,Assumptions!$B$10),Mortality!$A$2:$E$104,5,FALSE)</x:f>
        <x:v>6.2282827560748935</x:v>
      </x:c>
      <x:c r="M856" s="37" t="n">
        <x:f>1+Assumptions!$B$13*Assumptions!$B$14*Assumptions!$B$15</x:f>
        <x:v>1.31875</x:v>
      </x:c>
      <x:c r="N856" s="37" t="n">
        <x:f>IF(B856="Pensioner",1,1/(1+Assumptions!$B$6)^G856)</x:f>
        <x:v>1</x:v>
      </x:c>
      <x:c r="O856" s="50" t="n">
        <x:f>J856*K856*L856*M856*N856</x:f>
        <x:v>4106773.942286883</x:v>
      </x:c>
    </x:row>
    <x:row r="857">
      <x:c r="A857" s="42" t="str">
        <x:f>Members!A857</x:f>
        <x:v>A0372</x:v>
      </x:c>
      <x:c r="B857" s="42" t="str">
        <x:f>Members!B857</x:f>
        <x:v>Active</x:v>
      </x:c>
      <x:c r="C857" s="42" t="n">
        <x:f>Members!C857</x:f>
        <x:v>37</x:v>
      </x:c>
      <x:c r="D857" s="44" t="n">
        <x:f>Members!D857</x:f>
        <x:v>10.3</x:v>
      </x:c>
      <x:c r="E857" s="48" t="n">
        <x:f>Members!E857</x:f>
        <x:v>791000</x:v>
      </x:c>
      <x:c r="F857" s="48" t="n">
        <x:f>Members!F857</x:f>
        <x:v>0</x:v>
      </x:c>
      <x:c r="G857" s="46" t="n">
        <x:f>MAX(0,Assumptions!$B$10-C857)</x:f>
        <x:v>23</x:v>
      </x:c>
      <x:c r="H857" s="50" t="n">
        <x:f>IF(B857="Active",E857*(1+Assumptions!$B$7)^G857,E857)</x:f>
        <x:v>2710085.890037644</x:v>
      </x:c>
      <x:c r="I857" s="50" t="n">
        <x:f>IF(B857="Active",MIN(Assumptions!$B$12,D857+G857),IF(B857="Deferred",MIN(Assumptions!$B$12,D857),D857))</x:f>
        <x:v>33.3</x:v>
      </x:c>
      <x:c r="J857" s="50" t="n">
        <x:f>IF(B857="Active",H857*I857*Assumptions!$B$11,IF(B857="Deferred",E857*I857*Assumptions!$B$11*(1+Assumptions!$B$9)^G857,F857))</x:f>
        <x:v>1504097.6689708922</x:v>
      </x:c>
      <x:c r="K857" s="37" t="n">
        <x:f>IF(B857="Pensioner",1,VLOOKUP(Assumptions!$B$10,Mortality!$A$2:$F$104,6,FALSE)/VLOOKUP(C857,Mortality!$A$2:$F$104,6,FALSE))</x:f>
        <x:v>0.9727356141265188</x:v>
      </x:c>
      <x:c r="L857" s="37" t="n">
        <x:f>VLOOKUP(IF(B857="Pensioner",C857,Assumptions!$B$10),Mortality!$A$2:$E$104,5,FALSE)</x:f>
        <x:v>17.296790022132885</x:v>
      </x:c>
      <x:c r="M857" s="37" t="n">
        <x:f>1+Assumptions!$B$13*Assumptions!$B$14*Assumptions!$B$15</x:f>
        <x:v>1.31875</x:v>
      </x:c>
      <x:c r="N857" s="37" t="n">
        <x:f>IF(B857="Pensioner",1,1/(1+Assumptions!$B$6)^G857)</x:f>
        <x:v>0.23494111264898151</x:v>
      </x:c>
      <x:c r="O857" s="50" t="n">
        <x:f>J857*K857*L857*M857*N857</x:f>
        <x:v>7840754.608085462</x:v>
      </x:c>
    </x:row>
    <x:row r="858">
      <x:c r="A858" s="42" t="str">
        <x:f>Members!A858</x:f>
        <x:v>A0056</x:v>
      </x:c>
      <x:c r="B858" s="42" t="str">
        <x:f>Members!B858</x:f>
        <x:v>Active</x:v>
      </x:c>
      <x:c r="C858" s="42" t="n">
        <x:f>Members!C858</x:f>
        <x:v>55</x:v>
      </x:c>
      <x:c r="D858" s="44" t="n">
        <x:f>Members!D858</x:f>
        <x:v>23.5</x:v>
      </x:c>
      <x:c r="E858" s="48" t="n">
        <x:f>Members!E858</x:f>
        <x:v>1764000</x:v>
      </x:c>
      <x:c r="F858" s="48" t="n">
        <x:f>Members!F858</x:f>
        <x:v>0</x:v>
      </x:c>
      <x:c r="G858" s="46" t="n">
        <x:f>MAX(0,Assumptions!$B$10-C858)</x:f>
        <x:v>5</x:v>
      </x:c>
      <x:c r="H858" s="50" t="n">
        <x:f>IF(B858="Active",E858*(1+Assumptions!$B$7)^G858,E858)</x:f>
        <x:v>2305477.451306137</x:v>
      </x:c>
      <x:c r="I858" s="50" t="n">
        <x:f>IF(B858="Active",MIN(Assumptions!$B$12,D858+G858),IF(B858="Deferred",MIN(Assumptions!$B$12,D858),D858))</x:f>
        <x:v>28.5</x:v>
      </x:c>
      <x:c r="J858" s="50" t="n">
        <x:f>IF(B858="Active",H858*I858*Assumptions!$B$11,IF(B858="Deferred",E858*I858*Assumptions!$B$11*(1+Assumptions!$B$9)^G858,F858))</x:f>
        <x:v>1095101.789370415</x:v>
      </x:c>
      <x:c r="K858" s="37" t="n">
        <x:f>IF(B858="Pensioner",1,VLOOKUP(Assumptions!$B$10,Mortality!$A$2:$F$104,6,FALSE)/VLOOKUP(C858,Mortality!$A$2:$F$104,6,FALSE))</x:f>
        <x:v>0.9882419087499175</x:v>
      </x:c>
      <x:c r="L858" s="37" t="n">
        <x:f>VLOOKUP(IF(B858="Pensioner",C858,Assumptions!$B$10),Mortality!$A$2:$E$104,5,FALSE)</x:f>
        <x:v>17.296790022132885</x:v>
      </x:c>
      <x:c r="M858" s="37" t="n">
        <x:f>1+Assumptions!$B$13*Assumptions!$B$14*Assumptions!$B$15</x:f>
        <x:v>1.31875</x:v>
      </x:c>
      <x:c r="N858" s="37" t="n">
        <x:f>IF(B858="Pensioner",1,1/(1+Assumptions!$B$6)^G858)</x:f>
        <x:v>0.7298808365209549</x:v>
      </x:c>
      <x:c r="O858" s="50" t="n">
        <x:f>J858*K858*L858*M858*N858</x:f>
        <x:v>18017631.600995917</x:v>
      </x:c>
    </x:row>
    <x:row r="859">
      <x:c r="A859" s="42" t="str">
        <x:f>Members!A859</x:f>
        <x:v>D0015</x:v>
      </x:c>
      <x:c r="B859" s="42" t="str">
        <x:f>Members!B859</x:f>
        <x:v>Deferred</x:v>
      </x:c>
      <x:c r="C859" s="42" t="n">
        <x:f>Members!C859</x:f>
        <x:v>31</x:v>
      </x:c>
      <x:c r="D859" s="44" t="n">
        <x:f>Members!D859</x:f>
        <x:v>2.4</x:v>
      </x:c>
      <x:c r="E859" s="48" t="n">
        <x:f>Members!E859</x:f>
        <x:v>467000</x:v>
      </x:c>
      <x:c r="F859" s="48" t="n">
        <x:f>Members!F859</x:f>
        <x:v>0</x:v>
      </x:c>
      <x:c r="G859" s="46" t="n">
        <x:f>MAX(0,Assumptions!$B$10-C859)</x:f>
        <x:v>29</x:v>
      </x:c>
      <x:c r="H859" s="50" t="n">
        <x:f>IF(B859="Active",E859*(1+Assumptions!$B$7)^G859,E859)</x:f>
        <x:v>467000</x:v>
      </x:c>
      <x:c r="I859" s="50" t="n">
        <x:f>IF(B859="Active",MIN(Assumptions!$B$12,D859+G859),IF(B859="Deferred",MIN(Assumptions!$B$12,D859),D859))</x:f>
        <x:v>2.4</x:v>
      </x:c>
      <x:c r="J859" s="50" t="n">
        <x:f>IF(B859="Active",H859*I859*Assumptions!$B$11,IF(B859="Deferred",E859*I859*Assumptions!$B$11*(1+Assumptions!$B$9)^G859,F859))</x:f>
        <x:v>58256.40912241778</x:v>
      </x:c>
      <x:c r="K859" s="37" t="n">
        <x:f>IF(B859="Pensioner",1,VLOOKUP(Assumptions!$B$10,Mortality!$A$2:$F$104,6,FALSE)/VLOOKUP(C859,Mortality!$A$2:$F$104,6,FALSE))</x:f>
        <x:v>0.9706466107295209</x:v>
      </x:c>
      <x:c r="L859" s="37" t="n">
        <x:f>VLOOKUP(IF(B859="Pensioner",C859,Assumptions!$B$10),Mortality!$A$2:$E$104,5,FALSE)</x:f>
        <x:v>17.296790022132885</x:v>
      </x:c>
      <x:c r="M859" s="37" t="n">
        <x:f>1+Assumptions!$B$13*Assumptions!$B$14*Assumptions!$B$15</x:f>
        <x:v>1.31875</x:v>
      </x:c>
      <x:c r="N859" s="37" t="n">
        <x:f>IF(B859="Pensioner",1,1/(1+Assumptions!$B$6)^G859)</x:f>
        <x:v>0.16101316040695074</x:v>
      </x:c>
      <x:c r="O859" s="50" t="n">
        <x:f>J859*K859*L859*M859*N859</x:f>
        <x:v>207679.77968399896</x:v>
      </x:c>
    </x:row>
    <x:row r="860">
      <x:c r="A860" s="42" t="str">
        <x:f>Members!A860</x:f>
        <x:v>A0616</x:v>
      </x:c>
      <x:c r="B860" s="42" t="str">
        <x:f>Members!B860</x:f>
        <x:v>Active</x:v>
      </x:c>
      <x:c r="C860" s="42" t="n">
        <x:f>Members!C860</x:f>
        <x:v>36</x:v>
      </x:c>
      <x:c r="D860" s="44" t="n">
        <x:f>Members!D860</x:f>
        <x:v>12.8</x:v>
      </x:c>
      <x:c r="E860" s="48" t="n">
        <x:f>Members!E860</x:f>
        <x:v>704000</x:v>
      </x:c>
      <x:c r="F860" s="48" t="n">
        <x:f>Members!F860</x:f>
        <x:v>0</x:v>
      </x:c>
      <x:c r="G860" s="46" t="n">
        <x:f>MAX(0,Assumptions!$B$10-C860)</x:f>
        <x:v>24</x:v>
      </x:c>
      <x:c r="H860" s="50" t="n">
        <x:f>IF(B860="Active",E860*(1+Assumptions!$B$7)^G860,E860)</x:f>
        <x:v>2544671.292349885</x:v>
      </x:c>
      <x:c r="I860" s="50" t="n">
        <x:f>IF(B860="Active",MIN(Assumptions!$B$12,D860+G860),IF(B860="Deferred",MIN(Assumptions!$B$12,D860),D860))</x:f>
        <x:v>36.8</x:v>
      </x:c>
      <x:c r="J860" s="50" t="n">
        <x:f>IF(B860="Active",H860*I860*Assumptions!$B$11,IF(B860="Deferred",E860*I860*Assumptions!$B$11*(1+Assumptions!$B$9)^G860,F860))</x:f>
        <x:v>1560731.725974596</x:v>
      </x:c>
      <x:c r="K860" s="37" t="n">
        <x:f>IF(B860="Pensioner",1,VLOOKUP(Assumptions!$B$10,Mortality!$A$2:$F$104,6,FALSE)/VLOOKUP(C860,Mortality!$A$2:$F$104,6,FALSE))</x:f>
        <x:v>0.9723450305541352</x:v>
      </x:c>
      <x:c r="L860" s="37" t="n">
        <x:f>VLOOKUP(IF(B860="Pensioner",C860,Assumptions!$B$10),Mortality!$A$2:$E$104,5,FALSE)</x:f>
        <x:v>17.296790022132885</x:v>
      </x:c>
      <x:c r="M860" s="37" t="n">
        <x:f>1+Assumptions!$B$13*Assumptions!$B$14*Assumptions!$B$15</x:f>
        <x:v>1.31875</x:v>
      </x:c>
      <x:c r="N860" s="37" t="n">
        <x:f>IF(B860="Pensioner",1,1/(1+Assumptions!$B$6)^G860)</x:f>
        <x:v>0.22060198370796386</x:v>
      </x:c>
      <x:c r="O860" s="50" t="n">
        <x:f>J860*K860*L860*M860*N860</x:f>
        <x:v>7636354.070730281</x:v>
      </x:c>
    </x:row>
    <x:row r="861">
      <x:c r="A861" s="42" t="str">
        <x:f>Members!A861</x:f>
        <x:v>A0504</x:v>
      </x:c>
      <x:c r="B861" s="42" t="str">
        <x:f>Members!B861</x:f>
        <x:v>Active</x:v>
      </x:c>
      <x:c r="C861" s="42" t="n">
        <x:f>Members!C861</x:f>
        <x:v>46</x:v>
      </x:c>
      <x:c r="D861" s="44" t="n">
        <x:f>Members!D861</x:f>
        <x:v>13.9</x:v>
      </x:c>
      <x:c r="E861" s="48" t="n">
        <x:f>Members!E861</x:f>
        <x:v>1429000</x:v>
      </x:c>
      <x:c r="F861" s="48" t="n">
        <x:f>Members!F861</x:f>
        <x:v>0</x:v>
      </x:c>
      <x:c r="G861" s="46" t="n">
        <x:f>MAX(0,Assumptions!$B$10-C861)</x:f>
        <x:v>14</x:v>
      </x:c>
      <x:c r="H861" s="50" t="n">
        <x:f>IF(B861="Active",E861*(1+Assumptions!$B$7)^G861,E861)</x:f>
        <x:v>3023894.6989649576</x:v>
      </x:c>
      <x:c r="I861" s="50" t="n">
        <x:f>IF(B861="Active",MIN(Assumptions!$B$12,D861+G861),IF(B861="Deferred",MIN(Assumptions!$B$12,D861),D861))</x:f>
        <x:v>27.9</x:v>
      </x:c>
      <x:c r="J861" s="50" t="n">
        <x:f>IF(B861="Active",H861*I861*Assumptions!$B$11,IF(B861="Deferred",E861*I861*Assumptions!$B$11*(1+Assumptions!$B$9)^G861,F861))</x:f>
        <x:v>1406111.0350187053</x:v>
      </x:c>
      <x:c r="K861" s="37" t="n">
        <x:f>IF(B861="Pensioner",1,VLOOKUP(Assumptions!$B$10,Mortality!$A$2:$F$104,6,FALSE)/VLOOKUP(C861,Mortality!$A$2:$F$104,6,FALSE))</x:f>
        <x:v>0.9776582328304806</x:v>
      </x:c>
      <x:c r="L861" s="37" t="n">
        <x:f>VLOOKUP(IF(B861="Pensioner",C861,Assumptions!$B$10),Mortality!$A$2:$E$104,5,FALSE)</x:f>
        <x:v>17.296790022132885</x:v>
      </x:c>
      <x:c r="M861" s="37" t="n">
        <x:f>1+Assumptions!$B$13*Assumptions!$B$14*Assumptions!$B$15</x:f>
        <x:v>1.31875</x:v>
      </x:c>
      <x:c r="N861" s="37" t="n">
        <x:f>IF(B861="Pensioner",1,1/(1+Assumptions!$B$6)^G861)</x:f>
        <x:v>0.41410024853095956</x:v>
      </x:c>
      <x:c r="O861" s="50" t="n">
        <x:f>J861*K861*L861*M861*N861</x:f>
        <x:v>12984946.22458939</x:v>
      </x:c>
    </x:row>
    <x:row r="862">
      <x:c r="A862" s="42" t="str">
        <x:f>Members!A862</x:f>
        <x:v>A0213</x:v>
      </x:c>
      <x:c r="B862" s="42" t="str">
        <x:f>Members!B862</x:f>
        <x:v>Active</x:v>
      </x:c>
      <x:c r="C862" s="42" t="n">
        <x:f>Members!C862</x:f>
        <x:v>32</x:v>
      </x:c>
      <x:c r="D862" s="44" t="n">
        <x:f>Members!D862</x:f>
        <x:v>7.6</x:v>
      </x:c>
      <x:c r="E862" s="48" t="n">
        <x:f>Members!E862</x:f>
        <x:v>716000</x:v>
      </x:c>
      <x:c r="F862" s="48" t="n">
        <x:f>Members!F862</x:f>
        <x:v>0</x:v>
      </x:c>
      <x:c r="G862" s="46" t="n">
        <x:f>MAX(0,Assumptions!$B$10-C862)</x:f>
        <x:v>28</x:v>
      </x:c>
      <x:c r="H862" s="50" t="n">
        <x:f>IF(B862="Active",E862*(1+Assumptions!$B$7)^G862,E862)</x:f>
        <x:v>3206135.641599123</x:v>
      </x:c>
      <x:c r="I862" s="50" t="n">
        <x:f>IF(B862="Active",MIN(Assumptions!$B$12,D862+G862),IF(B862="Deferred",MIN(Assumptions!$B$12,D862),D862))</x:f>
        <x:v>35.6</x:v>
      </x:c>
      <x:c r="J862" s="50" t="n">
        <x:f>IF(B862="Active",H862*I862*Assumptions!$B$11,IF(B862="Deferred",E862*I862*Assumptions!$B$11*(1+Assumptions!$B$9)^G862,F862))</x:f>
        <x:v>1902307.147348813</x:v>
      </x:c>
      <x:c r="K862" s="37" t="n">
        <x:f>IF(B862="Pensioner",1,VLOOKUP(Assumptions!$B$10,Mortality!$A$2:$F$104,6,FALSE)/VLOOKUP(C862,Mortality!$A$2:$F$104,6,FALSE))</x:f>
        <x:v>0.9709584687664957</x:v>
      </x:c>
      <x:c r="L862" s="37" t="n">
        <x:f>VLOOKUP(IF(B862="Pensioner",C862,Assumptions!$B$10),Mortality!$A$2:$E$104,5,FALSE)</x:f>
        <x:v>17.296790022132885</x:v>
      </x:c>
      <x:c r="M862" s="37" t="n">
        <x:f>1+Assumptions!$B$13*Assumptions!$B$14*Assumptions!$B$15</x:f>
        <x:v>1.31875</x:v>
      </x:c>
      <x:c r="N862" s="37" t="n">
        <x:f>IF(B862="Pensioner",1,1/(1+Assumptions!$B$6)^G862)</x:f>
        <x:v>0.17147901583340255</x:v>
      </x:c>
      <x:c r="O862" s="50" t="n">
        <x:f>J862*K862*L862*M862*N862</x:f>
        <x:v>7224707.382894325</x:v>
      </x:c>
    </x:row>
    <x:row r="863">
      <x:c r="A863" s="42" t="str">
        <x:f>Members!A863</x:f>
        <x:v>A0487</x:v>
      </x:c>
      <x:c r="B863" s="42" t="str">
        <x:f>Members!B863</x:f>
        <x:v>Active</x:v>
      </x:c>
      <x:c r="C863" s="42" t="n">
        <x:f>Members!C863</x:f>
        <x:v>42</x:v>
      </x:c>
      <x:c r="D863" s="44" t="n">
        <x:f>Members!D863</x:f>
        <x:v>2.3</x:v>
      </x:c>
      <x:c r="E863" s="48" t="n">
        <x:f>Members!E863</x:f>
        <x:v>952000</x:v>
      </x:c>
      <x:c r="F863" s="48" t="n">
        <x:f>Members!F863</x:f>
        <x:v>0</x:v>
      </x:c>
      <x:c r="G863" s="46" t="n">
        <x:f>MAX(0,Assumptions!$B$10-C863)</x:f>
        <x:v>18</x:v>
      </x:c>
      <x:c r="H863" s="50" t="n">
        <x:f>IF(B863="Active",E863*(1+Assumptions!$B$7)^G863,E863)</x:f>
        <x:v>2495635.8851374346</x:v>
      </x:c>
      <x:c r="I863" s="50" t="n">
        <x:f>IF(B863="Active",MIN(Assumptions!$B$12,D863+G863),IF(B863="Deferred",MIN(Assumptions!$B$12,D863),D863))</x:f>
        <x:v>20.3</x:v>
      </x:c>
      <x:c r="J863" s="50" t="n">
        <x:f>IF(B863="Active",H863*I863*Assumptions!$B$11,IF(B863="Deferred",E863*I863*Assumptions!$B$11*(1+Assumptions!$B$9)^G863,F863))</x:f>
        <x:v>844356.8078048321</x:v>
      </x:c>
      <x:c r="K863" s="37" t="n">
        <x:f>IF(B863="Pensioner",1,VLOOKUP(Assumptions!$B$10,Mortality!$A$2:$F$104,6,FALSE)/VLOOKUP(C863,Mortality!$A$2:$F$104,6,FALSE))</x:f>
        <x:v>0.9750799707838386</x:v>
      </x:c>
      <x:c r="L863" s="37" t="n">
        <x:f>VLOOKUP(IF(B863="Pensioner",C863,Assumptions!$B$10),Mortality!$A$2:$E$104,5,FALSE)</x:f>
        <x:v>17.296790022132885</x:v>
      </x:c>
      <x:c r="M863" s="37" t="n">
        <x:f>1+Assumptions!$B$13*Assumptions!$B$14*Assumptions!$B$15</x:f>
        <x:v>1.31875</x:v>
      </x:c>
      <x:c r="N863" s="37" t="n">
        <x:f>IF(B863="Pensioner",1,1/(1+Assumptions!$B$6)^G863)</x:f>
        <x:v>0.3218896851283974</x:v>
      </x:c>
      <x:c r="O863" s="50" t="n">
        <x:f>J863*K863*L863*M863*N863</x:f>
        <x:v>6045069.397075788</x:v>
      </x:c>
    </x:row>
    <x:row r="864">
      <x:c r="A864" s="42" t="str">
        <x:f>Members!A864</x:f>
        <x:v>A0249</x:v>
      </x:c>
      <x:c r="B864" s="42" t="str">
        <x:f>Members!B864</x:f>
        <x:v>Active</x:v>
      </x:c>
      <x:c r="C864" s="42" t="n">
        <x:f>Members!C864</x:f>
        <x:v>34</x:v>
      </x:c>
      <x:c r="D864" s="44" t="n">
        <x:f>Members!D864</x:f>
        <x:v>2.7</x:v>
      </x:c>
      <x:c r="E864" s="48" t="n">
        <x:f>Members!E864</x:f>
        <x:v>807000</x:v>
      </x:c>
      <x:c r="F864" s="48" t="n">
        <x:f>Members!F864</x:f>
        <x:v>0</x:v>
      </x:c>
      <x:c r="G864" s="46" t="n">
        <x:f>MAX(0,Assumptions!$B$10-C864)</x:f>
        <x:v>26</x:v>
      </x:c>
      <x:c r="H864" s="50" t="n">
        <x:f>IF(B864="Active",E864*(1+Assumptions!$B$7)^G864,E864)</x:f>
        <x:v>3246665.0447306237</x:v>
      </x:c>
      <x:c r="I864" s="50" t="n">
        <x:f>IF(B864="Active",MIN(Assumptions!$B$12,D864+G864),IF(B864="Deferred",MIN(Assumptions!$B$12,D864),D864))</x:f>
        <x:v>28.7</x:v>
      </x:c>
      <x:c r="J864" s="50" t="n">
        <x:f>IF(B864="Active",H864*I864*Assumptions!$B$11,IF(B864="Deferred",E864*I864*Assumptions!$B$11*(1+Assumptions!$B$9)^G864,F864))</x:f>
        <x:v>1552988.1130628148</x:v>
      </x:c>
      <x:c r="K864" s="37" t="n">
        <x:f>IF(B864="Pensioner",1,VLOOKUP(Assumptions!$B$10,Mortality!$A$2:$F$104,6,FALSE)/VLOOKUP(C864,Mortality!$A$2:$F$104,6,FALSE))</x:f>
        <x:v>0.9716205819233391</x:v>
      </x:c>
      <x:c r="L864" s="37" t="n">
        <x:f>VLOOKUP(IF(B864="Pensioner",C864,Assumptions!$B$10),Mortality!$A$2:$E$104,5,FALSE)</x:f>
        <x:v>17.296790022132885</x:v>
      </x:c>
      <x:c r="M864" s="37" t="n">
        <x:f>1+Assumptions!$B$13*Assumptions!$B$14*Assumptions!$B$15</x:f>
        <x:v>1.31875</x:v>
      </x:c>
      <x:c r="N864" s="37" t="n">
        <x:f>IF(B864="Pensioner",1,1/(1+Assumptions!$B$6)^G864)</x:f>
        <x:v>0.19449578673364096</x:v>
      </x:c>
      <x:c r="O864" s="50" t="n">
        <x:f>J864*K864*L864*M864*N864</x:f>
        <x:v>6694266.862354478</x:v>
      </x:c>
    </x:row>
    <x:row r="865">
      <x:c r="A865" s="42" t="str">
        <x:f>Members!A865</x:f>
        <x:v>A0241</x:v>
      </x:c>
      <x:c r="B865" s="42" t="str">
        <x:f>Members!B865</x:f>
        <x:v>Active</x:v>
      </x:c>
      <x:c r="C865" s="42" t="n">
        <x:f>Members!C865</x:f>
        <x:v>43</x:v>
      </x:c>
      <x:c r="D865" s="44" t="n">
        <x:f>Members!D865</x:f>
        <x:v>19.8</x:v>
      </x:c>
      <x:c r="E865" s="48" t="n">
        <x:f>Members!E865</x:f>
        <x:v>1250000</x:v>
      </x:c>
      <x:c r="F865" s="48" t="n">
        <x:f>Members!F865</x:f>
        <x:v>0</x:v>
      </x:c>
      <x:c r="G865" s="46" t="n">
        <x:f>MAX(0,Assumptions!$B$10-C865)</x:f>
        <x:v>17</x:v>
      </x:c>
      <x:c r="H865" s="50" t="n">
        <x:f>IF(B865="Active",E865*(1+Assumptions!$B$7)^G865,E865)</x:f>
        <x:v>3106002.6847164296</x:v>
      </x:c>
      <x:c r="I865" s="50" t="n">
        <x:f>IF(B865="Active",MIN(Assumptions!$B$12,D865+G865),IF(B865="Deferred",MIN(Assumptions!$B$12,D865),D865))</x:f>
        <x:v>36.8</x:v>
      </x:c>
      <x:c r="J865" s="50" t="n">
        <x:f>IF(B865="Active",H865*I865*Assumptions!$B$11,IF(B865="Deferred",E865*I865*Assumptions!$B$11*(1+Assumptions!$B$9)^G865,F865))</x:f>
        <x:v>1905014.97995941</x:v>
      </x:c>
      <x:c r="K865" s="37" t="n">
        <x:f>IF(B865="Pensioner",1,VLOOKUP(Assumptions!$B$10,Mortality!$A$2:$F$104,6,FALSE)/VLOOKUP(C865,Mortality!$A$2:$F$104,6,FALSE))</x:f>
        <x:v>0.975651758424938</x:v>
      </x:c>
      <x:c r="L865" s="37" t="n">
        <x:f>VLOOKUP(IF(B865="Pensioner",C865,Assumptions!$B$10),Mortality!$A$2:$E$104,5,FALSE)</x:f>
        <x:v>17.296790022132885</x:v>
      </x:c>
      <x:c r="M865" s="37" t="n">
        <x:f>1+Assumptions!$B$13*Assumptions!$B$14*Assumptions!$B$15</x:f>
        <x:v>1.31875</x:v>
      </x:c>
      <x:c r="N865" s="37" t="n">
        <x:f>IF(B865="Pensioner",1,1/(1+Assumptions!$B$6)^G865)</x:f>
        <x:v>0.34281251466174323</x:v>
      </x:c>
      <x:c r="O865" s="50" t="n">
        <x:f>J865*K865*L865*M865*N865</x:f>
        <x:v>14533756.523386933</x:v>
      </x:c>
    </x:row>
    <x:row r="866">
      <x:c r="A866" s="42" t="str">
        <x:f>Members!A866</x:f>
        <x:v>A0174</x:v>
      </x:c>
      <x:c r="B866" s="42" t="str">
        <x:f>Members!B866</x:f>
        <x:v>Active</x:v>
      </x:c>
      <x:c r="C866" s="42" t="n">
        <x:f>Members!C866</x:f>
        <x:v>56</x:v>
      </x:c>
      <x:c r="D866" s="44" t="n">
        <x:f>Members!D866</x:f>
        <x:v>8.3</x:v>
      </x:c>
      <x:c r="E866" s="48" t="n">
        <x:f>Members!E866</x:f>
        <x:v>1558000</x:v>
      </x:c>
      <x:c r="F866" s="48" t="n">
        <x:f>Members!F866</x:f>
        <x:v>0</x:v>
      </x:c>
      <x:c r="G866" s="46" t="n">
        <x:f>MAX(0,Assumptions!$B$10-C866)</x:f>
        <x:v>4</x:v>
      </x:c>
      <x:c r="H866" s="50" t="n">
        <x:f>IF(B866="Active",E866*(1+Assumptions!$B$7)^G866,E866)</x:f>
        <x:v>1930088.8056737497</x:v>
      </x:c>
      <x:c r="I866" s="50" t="n">
        <x:f>IF(B866="Active",MIN(Assumptions!$B$12,D866+G866),IF(B866="Deferred",MIN(Assumptions!$B$12,D866),D866))</x:f>
        <x:v>12.3</x:v>
      </x:c>
      <x:c r="J866" s="50" t="n">
        <x:f>IF(B866="Active",H866*I866*Assumptions!$B$11,IF(B866="Deferred",E866*I866*Assumptions!$B$11*(1+Assumptions!$B$9)^G866,F866))</x:f>
        <x:v>395668.20516311866</x:v>
      </x:c>
      <x:c r="K866" s="37" t="n">
        <x:f>IF(B866="Pensioner",1,VLOOKUP(Assumptions!$B$10,Mortality!$A$2:$F$104,6,FALSE)/VLOOKUP(C866,Mortality!$A$2:$F$104,6,FALSE))</x:f>
        <x:v>0.990116255810422</x:v>
      </x:c>
      <x:c r="L866" s="37" t="n">
        <x:f>VLOOKUP(IF(B866="Pensioner",C866,Assumptions!$B$10),Mortality!$A$2:$E$104,5,FALSE)</x:f>
        <x:v>17.296790022132885</x:v>
      </x:c>
      <x:c r="M866" s="37" t="n">
        <x:f>1+Assumptions!$B$13*Assumptions!$B$14*Assumptions!$B$15</x:f>
        <x:v>1.31875</x:v>
      </x:c>
      <x:c r="N866" s="37" t="n">
        <x:f>IF(B866="Pensioner",1,1/(1+Assumptions!$B$6)^G866)</x:f>
        <x:v>0.777323090894817</x:v>
      </x:c>
      <x:c r="O866" s="50" t="n">
        <x:f>J866*K866*L866*M866*N866</x:f>
        <x:v>6946193.840485598</x:v>
      </x:c>
    </x:row>
    <x:row r="867">
      <x:c r="A867" s="42" t="str">
        <x:f>Members!A867</x:f>
        <x:v>A0493</x:v>
      </x:c>
      <x:c r="B867" s="42" t="str">
        <x:f>Members!B867</x:f>
        <x:v>Active</x:v>
      </x:c>
      <x:c r="C867" s="42" t="n">
        <x:f>Members!C867</x:f>
        <x:v>39</x:v>
      </x:c>
      <x:c r="D867" s="44" t="n">
        <x:f>Members!D867</x:f>
        <x:v>8.5</x:v>
      </x:c>
      <x:c r="E867" s="48" t="n">
        <x:f>Members!E867</x:f>
        <x:v>950000</x:v>
      </x:c>
      <x:c r="F867" s="48" t="n">
        <x:f>Members!F867</x:f>
        <x:v>0</x:v>
      </x:c>
      <x:c r="G867" s="46" t="n">
        <x:f>MAX(0,Assumptions!$B$10-C867)</x:f>
        <x:v>21</x:v>
      </x:c>
      <x:c r="H867" s="50" t="n">
        <x:f>IF(B867="Active",E867*(1+Assumptions!$B$7)^G867,E867)</x:f>
        <x:v>2924322.4449579483</x:v>
      </x:c>
      <x:c r="I867" s="50" t="n">
        <x:f>IF(B867="Active",MIN(Assumptions!$B$12,D867+G867),IF(B867="Deferred",MIN(Assumptions!$B$12,D867),D867))</x:f>
        <x:v>29.5</x:v>
      </x:c>
      <x:c r="J867" s="50" t="n">
        <x:f>IF(B867="Active",H867*I867*Assumptions!$B$11,IF(B867="Deferred",E867*I867*Assumptions!$B$11*(1+Assumptions!$B$9)^G867,F867))</x:f>
        <x:v>1437791.8687709912</x:v>
      </x:c>
      <x:c r="K867" s="37" t="n">
        <x:f>IF(B867="Pensioner",1,VLOOKUP(Assumptions!$B$10,Mortality!$A$2:$F$104,6,FALSE)/VLOOKUP(C867,Mortality!$A$2:$F$104,6,FALSE))</x:f>
        <x:v>0.973585741778878</x:v>
      </x:c>
      <x:c r="L867" s="37" t="n">
        <x:f>VLOOKUP(IF(B867="Pensioner",C867,Assumptions!$B$10),Mortality!$A$2:$E$104,5,FALSE)</x:f>
        <x:v>17.296790022132885</x:v>
      </x:c>
      <x:c r="M867" s="37" t="n">
        <x:f>1+Assumptions!$B$13*Assumptions!$B$14*Assumptions!$B$15</x:f>
        <x:v>1.31875</x:v>
      </x:c>
      <x:c r="N867" s="37" t="n">
        <x:f>IF(B867="Pensioner",1,1/(1+Assumptions!$B$6)^G867)</x:f>
        <x:v>0.26647608349429097</x:v>
      </x:c>
      <x:c r="O867" s="50" t="n">
        <x:f>J867*K867*L867*M867*N867</x:f>
        <x:v>8508567.544326589</x:v>
      </x:c>
    </x:row>
    <x:row r="868">
      <x:c r="A868" s="42" t="str">
        <x:f>Members!A868</x:f>
        <x:v>P0238</x:v>
      </x:c>
      <x:c r="B868" s="42" t="str">
        <x:f>Members!B868</x:f>
        <x:v>Pensioner</x:v>
      </x:c>
      <x:c r="C868" s="42" t="n">
        <x:f>Members!C868</x:f>
        <x:v>75</x:v>
      </x:c>
      <x:c r="D868" s="44" t="n">
        <x:f>Members!D868</x:f>
        <x:v>29.1</x:v>
      </x:c>
      <x:c r="E868" s="48" t="n">
        <x:f>Members!E868</x:f>
        <x:v>0</x:v>
      </x:c>
      <x:c r="F868" s="48" t="n">
        <x:f>Members!F868</x:f>
        <x:v>497000</x:v>
      </x:c>
      <x:c r="G868" s="46" t="n">
        <x:f>MAX(0,Assumptions!$B$10-C868)</x:f>
        <x:v>0</x:v>
      </x:c>
      <x:c r="H868" s="50" t="n">
        <x:f>IF(B868="Active",E868*(1+Assumptions!$B$7)^G868,E868)</x:f>
        <x:v>0</x:v>
      </x:c>
      <x:c r="I868" s="50" t="n">
        <x:f>IF(B868="Active",MIN(Assumptions!$B$12,D868+G868),IF(B868="Deferred",MIN(Assumptions!$B$12,D868),D868))</x:f>
        <x:v>29.1</x:v>
      </x:c>
      <x:c r="J868" s="50" t="n">
        <x:f>IF(B868="Active",H868*I868*Assumptions!$B$11,IF(B868="Deferred",E868*I868*Assumptions!$B$11*(1+Assumptions!$B$9)^G868,F868))</x:f>
        <x:v>497000</x:v>
      </x:c>
      <x:c r="K868" s="37" t="n">
        <x:f>IF(B868="Pensioner",1,VLOOKUP(Assumptions!$B$10,Mortality!$A$2:$F$104,6,FALSE)/VLOOKUP(C868,Mortality!$A$2:$F$104,6,FALSE))</x:f>
        <x:v>1</x:v>
      </x:c>
      <x:c r="L868" s="37" t="n">
        <x:f>VLOOKUP(IF(B868="Pensioner",C868,Assumptions!$B$10),Mortality!$A$2:$E$104,5,FALSE)</x:f>
        <x:v>10.662474804432929</x:v>
      </x:c>
      <x:c r="M868" s="37" t="n">
        <x:f>1+Assumptions!$B$13*Assumptions!$B$14*Assumptions!$B$15</x:f>
        <x:v>1.31875</x:v>
      </x:c>
      <x:c r="N868" s="37" t="n">
        <x:f>IF(B868="Pensioner",1,1/(1+Assumptions!$B$6)^G868)</x:f>
        <x:v>1</x:v>
      </x:c>
      <x:c r="O868" s="50" t="n">
        <x:f>J868*K868*L868*M868*N868</x:f>
        <x:v>6988385.908227926</x:v>
      </x:c>
    </x:row>
    <x:row r="869">
      <x:c r="A869" s="42" t="str">
        <x:f>Members!A869</x:f>
        <x:v>P0243</x:v>
      </x:c>
      <x:c r="B869" s="42" t="str">
        <x:f>Members!B869</x:f>
        <x:v>Pensioner</x:v>
      </x:c>
      <x:c r="C869" s="42" t="n">
        <x:f>Members!C869</x:f>
        <x:v>72</x:v>
      </x:c>
      <x:c r="D869" s="44" t="n">
        <x:f>Members!D869</x:f>
        <x:v>31.9</x:v>
      </x:c>
      <x:c r="E869" s="48" t="n">
        <x:f>Members!E869</x:f>
        <x:v>0</x:v>
      </x:c>
      <x:c r="F869" s="48" t="n">
        <x:f>Members!F869</x:f>
        <x:v>211000</x:v>
      </x:c>
      <x:c r="G869" s="46" t="n">
        <x:f>MAX(0,Assumptions!$B$10-C869)</x:f>
        <x:v>0</x:v>
      </x:c>
      <x:c r="H869" s="50" t="n">
        <x:f>IF(B869="Active",E869*(1+Assumptions!$B$7)^G869,E869)</x:f>
        <x:v>0</x:v>
      </x:c>
      <x:c r="I869" s="50" t="n">
        <x:f>IF(B869="Active",MIN(Assumptions!$B$12,D869+G869),IF(B869="Deferred",MIN(Assumptions!$B$12,D869),D869))</x:f>
        <x:v>31.9</x:v>
      </x:c>
      <x:c r="J869" s="50" t="n">
        <x:f>IF(B869="Active",H869*I869*Assumptions!$B$11,IF(B869="Deferred",E869*I869*Assumptions!$B$11*(1+Assumptions!$B$9)^G869,F869))</x:f>
        <x:v>211000</x:v>
      </x:c>
      <x:c r="K869" s="37" t="n">
        <x:f>IF(B869="Pensioner",1,VLOOKUP(Assumptions!$B$10,Mortality!$A$2:$F$104,6,FALSE)/VLOOKUP(C869,Mortality!$A$2:$F$104,6,FALSE))</x:f>
        <x:v>1</x:v>
      </x:c>
      <x:c r="L869" s="37" t="n">
        <x:f>VLOOKUP(IF(B869="Pensioner",C869,Assumptions!$B$10),Mortality!$A$2:$E$104,5,FALSE)</x:f>
        <x:v>12.047202362945457</x:v>
      </x:c>
      <x:c r="M869" s="37" t="n">
        <x:f>1+Assumptions!$B$13*Assumptions!$B$14*Assumptions!$B$15</x:f>
        <x:v>1.31875</x:v>
      </x:c>
      <x:c r="N869" s="37" t="n">
        <x:f>IF(B869="Pensioner",1,1/(1+Assumptions!$B$6)^G869)</x:f>
        <x:v>1</x:v>
      </x:c>
      <x:c r="O869" s="50" t="n">
        <x:f>J869*K869*L869*M869*N869</x:f>
        <x:v>3352209.3525043423</x:v>
      </x:c>
    </x:row>
    <x:row r="870">
      <x:c r="A870" s="42" t="str">
        <x:f>Members!A870</x:f>
        <x:v>A0535</x:v>
      </x:c>
      <x:c r="B870" s="42" t="str">
        <x:f>Members!B870</x:f>
        <x:v>Active</x:v>
      </x:c>
      <x:c r="C870" s="42" t="n">
        <x:f>Members!C870</x:f>
        <x:v>26</x:v>
      </x:c>
      <x:c r="D870" s="44" t="n">
        <x:f>Members!D870</x:f>
        <x:v>1</x:v>
      </x:c>
      <x:c r="E870" s="48" t="n">
        <x:f>Members!E870</x:f>
        <x:v>465000</x:v>
      </x:c>
      <x:c r="F870" s="48" t="n">
        <x:f>Members!F870</x:f>
        <x:v>0</x:v>
      </x:c>
      <x:c r="G870" s="46" t="n">
        <x:f>MAX(0,Assumptions!$B$10-C870)</x:f>
        <x:v>34</x:v>
      </x:c>
      <x:c r="H870" s="50" t="n">
        <x:f>IF(B870="Active",E870*(1+Assumptions!$B$7)^G870,E870)</x:f>
        <x:v>2871022.396813783</x:v>
      </x:c>
      <x:c r="I870" s="50" t="n">
        <x:f>IF(B870="Active",MIN(Assumptions!$B$12,D870+G870),IF(B870="Deferred",MIN(Assumptions!$B$12,D870),D870))</x:f>
        <x:v>35</x:v>
      </x:c>
      <x:c r="J870" s="50" t="n">
        <x:f>IF(B870="Active",H870*I870*Assumptions!$B$11,IF(B870="Deferred",E870*I870*Assumptions!$B$11*(1+Assumptions!$B$9)^G870,F870))</x:f>
        <x:v>1674763.0648080402</x:v>
      </x:c>
      <x:c r="K870" s="37" t="n">
        <x:f>IF(B870="Pensioner",1,VLOOKUP(Assumptions!$B$10,Mortality!$A$2:$F$104,6,FALSE)/VLOOKUP(C870,Mortality!$A$2:$F$104,6,FALSE))</x:f>
        <x:v>0.9692291629189255</x:v>
      </x:c>
      <x:c r="L870" s="37" t="n">
        <x:f>VLOOKUP(IF(B870="Pensioner",C870,Assumptions!$B$10),Mortality!$A$2:$E$104,5,FALSE)</x:f>
        <x:v>17.296790022132885</x:v>
      </x:c>
      <x:c r="M870" s="37" t="n">
        <x:f>1+Assumptions!$B$13*Assumptions!$B$14*Assumptions!$B$15</x:f>
        <x:v>1.31875</x:v>
      </x:c>
      <x:c r="N870" s="37" t="n">
        <x:f>IF(B870="Pensioner",1,1/(1+Assumptions!$B$6)^G870)</x:f>
        <x:v>0.11752042020870793</x:v>
      </x:c>
      <x:c r="O870" s="50" t="n">
        <x:f>J870*K870*L870*M870*N870</x:f>
        <x:v>4351321.464036253</x:v>
      </x:c>
    </x:row>
    <x:row r="871">
      <x:c r="A871" s="42" t="str">
        <x:f>Members!A871</x:f>
        <x:v>A0469</x:v>
      </x:c>
      <x:c r="B871" s="42" t="str">
        <x:f>Members!B871</x:f>
        <x:v>Active</x:v>
      </x:c>
      <x:c r="C871" s="42" t="n">
        <x:f>Members!C871</x:f>
        <x:v>57</x:v>
      </x:c>
      <x:c r="D871" s="44" t="n">
        <x:f>Members!D871</x:f>
        <x:v>23.7</x:v>
      </x:c>
      <x:c r="E871" s="48" t="n">
        <x:f>Members!E871</x:f>
        <x:v>1416000</x:v>
      </x:c>
      <x:c r="F871" s="48" t="n">
        <x:f>Members!F871</x:f>
        <x:v>0</x:v>
      </x:c>
      <x:c r="G871" s="46" t="n">
        <x:f>MAX(0,Assumptions!$B$10-C871)</x:f>
        <x:v>3</x:v>
      </x:c>
      <x:c r="H871" s="50" t="n">
        <x:f>IF(B871="Active",E871*(1+Assumptions!$B$7)^G871,E871)</x:f>
        <x:v>1662725.7869999998</x:v>
      </x:c>
      <x:c r="I871" s="50" t="n">
        <x:f>IF(B871="Active",MIN(Assumptions!$B$12,D871+G871),IF(B871="Deferred",MIN(Assumptions!$B$12,D871),D871))</x:f>
        <x:v>26.7</x:v>
      </x:c>
      <x:c r="J871" s="50" t="n">
        <x:f>IF(B871="Active",H871*I871*Assumptions!$B$11,IF(B871="Deferred",E871*I871*Assumptions!$B$11*(1+Assumptions!$B$9)^G871,F871))</x:f>
        <x:v>739912.9752149999</x:v>
      </x:c>
      <x:c r="K871" s="37" t="n">
        <x:f>IF(B871="Pensioner",1,VLOOKUP(Assumptions!$B$10,Mortality!$A$2:$F$104,6,FALSE)/VLOOKUP(C871,Mortality!$A$2:$F$104,6,FALSE))</x:f>
        <x:v>0.9922003892921417</x:v>
      </x:c>
      <x:c r="L871" s="37" t="n">
        <x:f>VLOOKUP(IF(B871="Pensioner",C871,Assumptions!$B$10),Mortality!$A$2:$E$104,5,FALSE)</x:f>
        <x:v>17.296790022132885</x:v>
      </x:c>
      <x:c r="M871" s="37" t="n">
        <x:f>1+Assumptions!$B$13*Assumptions!$B$14*Assumptions!$B$15</x:f>
        <x:v>1.31875</x:v>
      </x:c>
      <x:c r="N871" s="37" t="n">
        <x:f>IF(B871="Pensioner",1,1/(1+Assumptions!$B$6)^G871)</x:f>
        <x:v>0.8278490918029799</x:v>
      </x:c>
      <x:c r="O871" s="50" t="n">
        <x:f>J871*K871*L871*M871*N871</x:f>
        <x:v>13863063.064494075</x:v>
      </x:c>
    </x:row>
    <x:row r="872">
      <x:c r="A872" s="42" t="str">
        <x:f>Members!A872</x:f>
        <x:v>P0043</x:v>
      </x:c>
      <x:c r="B872" s="42" t="str">
        <x:f>Members!B872</x:f>
        <x:v>Pensioner</x:v>
      </x:c>
      <x:c r="C872" s="42" t="n">
        <x:f>Members!C872</x:f>
        <x:v>84</x:v>
      </x:c>
      <x:c r="D872" s="44" t="n">
        <x:f>Members!D872</x:f>
        <x:v>12.6</x:v>
      </x:c>
      <x:c r="E872" s="48" t="n">
        <x:f>Members!E872</x:f>
        <x:v>0</x:v>
      </x:c>
      <x:c r="F872" s="48" t="n">
        <x:f>Members!F872</x:f>
        <x:v>673000</x:v>
      </x:c>
      <x:c r="G872" s="46" t="n">
        <x:f>MAX(0,Assumptions!$B$10-C872)</x:f>
        <x:v>0</x:v>
      </x:c>
      <x:c r="H872" s="50" t="n">
        <x:f>IF(B872="Active",E872*(1+Assumptions!$B$7)^G872,E872)</x:f>
        <x:v>0</x:v>
      </x:c>
      <x:c r="I872" s="50" t="n">
        <x:f>IF(B872="Active",MIN(Assumptions!$B$12,D872+G872),IF(B872="Deferred",MIN(Assumptions!$B$12,D872),D872))</x:f>
        <x:v>12.6</x:v>
      </x:c>
      <x:c r="J872" s="50" t="n">
        <x:f>IF(B872="Active",H872*I872*Assumptions!$B$11,IF(B872="Deferred",E872*I872*Assumptions!$B$11*(1+Assumptions!$B$9)^G872,F872))</x:f>
        <x:v>673000</x:v>
      </x:c>
      <x:c r="K872" s="37" t="n">
        <x:f>IF(B872="Pensioner",1,VLOOKUP(Assumptions!$B$10,Mortality!$A$2:$F$104,6,FALSE)/VLOOKUP(C872,Mortality!$A$2:$F$104,6,FALSE))</x:f>
        <x:v>1</x:v>
      </x:c>
      <x:c r="L872" s="37" t="n">
        <x:f>VLOOKUP(IF(B872="Pensioner",C872,Assumptions!$B$10),Mortality!$A$2:$E$104,5,FALSE)</x:f>
        <x:v>6.643272096517531</x:v>
      </x:c>
      <x:c r="M872" s="37" t="n">
        <x:f>1+Assumptions!$B$13*Assumptions!$B$14*Assumptions!$B$15</x:f>
        <x:v>1.31875</x:v>
      </x:c>
      <x:c r="N872" s="37" t="n">
        <x:f>IF(B872="Pensioner",1,1/(1+Assumptions!$B$6)^G872)</x:f>
        <x:v>1</x:v>
      </x:c>
      <x:c r="O872" s="50" t="n">
        <x:f>J872*K872*L872*M872*N872</x:f>
        <x:v>5896028.547011119</x:v>
      </x:c>
    </x:row>
    <x:row r="873">
      <x:c r="A873" s="42" t="str">
        <x:f>Members!A873</x:f>
        <x:v>A0576</x:v>
      </x:c>
      <x:c r="B873" s="42" t="str">
        <x:f>Members!B873</x:f>
        <x:v>Active</x:v>
      </x:c>
      <x:c r="C873" s="42" t="n">
        <x:f>Members!C873</x:f>
        <x:v>35</x:v>
      </x:c>
      <x:c r="D873" s="44" t="n">
        <x:f>Members!D873</x:f>
        <x:v>3</x:v>
      </x:c>
      <x:c r="E873" s="48" t="n">
        <x:f>Members!E873</x:f>
        <x:v>526000</x:v>
      </x:c>
      <x:c r="F873" s="48" t="n">
        <x:f>Members!F873</x:f>
        <x:v>0</x:v>
      </x:c>
      <x:c r="G873" s="46" t="n">
        <x:f>MAX(0,Assumptions!$B$10-C873)</x:f>
        <x:v>25</x:v>
      </x:c>
      <x:c r="H873" s="50" t="n">
        <x:f>IF(B873="Active",E873*(1+Assumptions!$B$7)^G873,E873)</x:f>
        <x:v>2005844.375374605</x:v>
      </x:c>
      <x:c r="I873" s="50" t="n">
        <x:f>IF(B873="Active",MIN(Assumptions!$B$12,D873+G873),IF(B873="Deferred",MIN(Assumptions!$B$12,D873),D873))</x:f>
        <x:v>28</x:v>
      </x:c>
      <x:c r="J873" s="50" t="n">
        <x:f>IF(B873="Active",H873*I873*Assumptions!$B$11,IF(B873="Deferred",E873*I873*Assumptions!$B$11*(1+Assumptions!$B$9)^G873,F873))</x:f>
        <x:v>936060.708508149</x:v>
      </x:c>
      <x:c r="K873" s="37" t="n">
        <x:f>IF(B873="Pensioner",1,VLOOKUP(Assumptions!$B$10,Mortality!$A$2:$F$104,6,FALSE)/VLOOKUP(C873,Mortality!$A$2:$F$104,6,FALSE))</x:f>
        <x:v>0.9719740765386753</x:v>
      </x:c>
      <x:c r="L873" s="37" t="n">
        <x:f>VLOOKUP(IF(B873="Pensioner",C873,Assumptions!$B$10),Mortality!$A$2:$E$104,5,FALSE)</x:f>
        <x:v>17.296790022132885</x:v>
      </x:c>
      <x:c r="M873" s="37" t="n">
        <x:f>1+Assumptions!$B$13*Assumptions!$B$14*Assumptions!$B$15</x:f>
        <x:v>1.31875</x:v>
      </x:c>
      <x:c r="N873" s="37" t="n">
        <x:f>IF(B873="Pensioner",1,1/(1+Assumptions!$B$6)^G873)</x:f>
        <x:v>0.20713801287132758</x:v>
      </x:c>
      <x:c r="O873" s="50" t="n">
        <x:f>J873*K873*L873*M873*N873</x:f>
        <x:v>4298792.569363164</x:v>
      </x:c>
    </x:row>
    <x:row r="874">
      <x:c r="A874" s="42" t="str">
        <x:f>Members!A874</x:f>
        <x:v>P0028</x:v>
      </x:c>
      <x:c r="B874" s="42" t="str">
        <x:f>Members!B874</x:f>
        <x:v>Pensioner</x:v>
      </x:c>
      <x:c r="C874" s="42" t="n">
        <x:f>Members!C874</x:f>
        <x:v>86</x:v>
      </x:c>
      <x:c r="D874" s="44" t="n">
        <x:f>Members!D874</x:f>
        <x:v>20.4</x:v>
      </x:c>
      <x:c r="E874" s="48" t="n">
        <x:f>Members!E874</x:f>
        <x:v>0</x:v>
      </x:c>
      <x:c r="F874" s="48" t="n">
        <x:f>Members!F874</x:f>
        <x:v>659000</x:v>
      </x:c>
      <x:c r="G874" s="46" t="n">
        <x:f>MAX(0,Assumptions!$B$10-C874)</x:f>
        <x:v>0</x:v>
      </x:c>
      <x:c r="H874" s="50" t="n">
        <x:f>IF(B874="Active",E874*(1+Assumptions!$B$7)^G874,E874)</x:f>
        <x:v>0</x:v>
      </x:c>
      <x:c r="I874" s="50" t="n">
        <x:f>IF(B874="Active",MIN(Assumptions!$B$12,D874+G874),IF(B874="Deferred",MIN(Assumptions!$B$12,D874),D874))</x:f>
        <x:v>20.4</x:v>
      </x:c>
      <x:c r="J874" s="50" t="n">
        <x:f>IF(B874="Active",H874*I874*Assumptions!$B$11,IF(B874="Deferred",E874*I874*Assumptions!$B$11*(1+Assumptions!$B$9)^G874,F874))</x:f>
        <x:v>659000</x:v>
      </x:c>
      <x:c r="K874" s="37" t="n">
        <x:f>IF(B874="Pensioner",1,VLOOKUP(Assumptions!$B$10,Mortality!$A$2:$F$104,6,FALSE)/VLOOKUP(C874,Mortality!$A$2:$F$104,6,FALSE))</x:f>
        <x:v>1</x:v>
      </x:c>
      <x:c r="L874" s="37" t="n">
        <x:f>VLOOKUP(IF(B874="Pensioner",C874,Assumptions!$B$10),Mortality!$A$2:$E$104,5,FALSE)</x:f>
        <x:v>5.822832972912483</x:v>
      </x:c>
      <x:c r="M874" s="37" t="n">
        <x:f>1+Assumptions!$B$13*Assumptions!$B$14*Assumptions!$B$15</x:f>
        <x:v>1.31875</x:v>
      </x:c>
      <x:c r="N874" s="37" t="n">
        <x:f>IF(B874="Pensioner",1,1/(1+Assumptions!$B$6)^G874)</x:f>
        <x:v>1</x:v>
      </x:c>
      <x:c r="O874" s="50" t="n">
        <x:f>J874*K874*L874*M874*N874</x:f>
        <x:v>5060369.387815675</x:v>
      </x:c>
    </x:row>
    <x:row r="875">
      <x:c r="A875" s="42" t="str">
        <x:f>Members!A875</x:f>
        <x:v>D0067</x:v>
      </x:c>
      <x:c r="B875" s="42" t="str">
        <x:f>Members!B875</x:f>
        <x:v>Deferred</x:v>
      </x:c>
      <x:c r="C875" s="42" t="n">
        <x:f>Members!C875</x:f>
        <x:v>31</x:v>
      </x:c>
      <x:c r="D875" s="44" t="n">
        <x:f>Members!D875</x:f>
        <x:v>5</x:v>
      </x:c>
      <x:c r="E875" s="48" t="n">
        <x:f>Members!E875</x:f>
        <x:v>536000</x:v>
      </x:c>
      <x:c r="F875" s="48" t="n">
        <x:f>Members!F875</x:f>
        <x:v>0</x:v>
      </x:c>
      <x:c r="G875" s="46" t="n">
        <x:f>MAX(0,Assumptions!$B$10-C875)</x:f>
        <x:v>29</x:v>
      </x:c>
      <x:c r="H875" s="50" t="n">
        <x:f>IF(B875="Active",E875*(1+Assumptions!$B$7)^G875,E875)</x:f>
        <x:v>536000</x:v>
      </x:c>
      <x:c r="I875" s="50" t="n">
        <x:f>IF(B875="Active",MIN(Assumptions!$B$12,D875+G875),IF(B875="Deferred",MIN(Assumptions!$B$12,D875),D875))</x:f>
        <x:v>5</x:v>
      </x:c>
      <x:c r="J875" s="50" t="n">
        <x:f>IF(B875="Active",H875*I875*Assumptions!$B$11,IF(B875="Deferred",E875*I875*Assumptions!$B$11*(1+Assumptions!$B$9)^G875,F875))</x:f>
        <x:v>139299.764853747</x:v>
      </x:c>
      <x:c r="K875" s="37" t="n">
        <x:f>IF(B875="Pensioner",1,VLOOKUP(Assumptions!$B$10,Mortality!$A$2:$F$104,6,FALSE)/VLOOKUP(C875,Mortality!$A$2:$F$104,6,FALSE))</x:f>
        <x:v>0.9706466107295209</x:v>
      </x:c>
      <x:c r="L875" s="37" t="n">
        <x:f>VLOOKUP(IF(B875="Pensioner",C875,Assumptions!$B$10),Mortality!$A$2:$E$104,5,FALSE)</x:f>
        <x:v>17.296790022132885</x:v>
      </x:c>
      <x:c r="M875" s="37" t="n">
        <x:f>1+Assumptions!$B$13*Assumptions!$B$14*Assumptions!$B$15</x:f>
        <x:v>1.31875</x:v>
      </x:c>
      <x:c r="N875" s="37" t="n">
        <x:f>IF(B875="Pensioner",1,1/(1+Assumptions!$B$6)^G875)</x:f>
        <x:v>0.16101316040695074</x:v>
      </x:c>
      <x:c r="O875" s="50" t="n">
        <x:f>J875*K875*L875*M875*N875</x:f>
        <x:v>496593.3347190554</x:v>
      </x:c>
    </x:row>
    <x:row r="876">
      <x:c r="A876" s="42" t="str">
        <x:f>Members!A876</x:f>
        <x:v>P0039</x:v>
      </x:c>
      <x:c r="B876" s="42" t="str">
        <x:f>Members!B876</x:f>
        <x:v>Pensioner</x:v>
      </x:c>
      <x:c r="C876" s="42" t="n">
        <x:f>Members!C876</x:f>
        <x:v>63</x:v>
      </x:c>
      <x:c r="D876" s="44" t="n">
        <x:f>Members!D876</x:f>
        <x:v>30.2</x:v>
      </x:c>
      <x:c r="E876" s="48" t="n">
        <x:f>Members!E876</x:f>
        <x:v>0</x:v>
      </x:c>
      <x:c r="F876" s="48" t="n">
        <x:f>Members!F876</x:f>
        <x:v>144000</x:v>
      </x:c>
      <x:c r="G876" s="46" t="n">
        <x:f>MAX(0,Assumptions!$B$10-C876)</x:f>
        <x:v>0</x:v>
      </x:c>
      <x:c r="H876" s="50" t="n">
        <x:f>IF(B876="Active",E876*(1+Assumptions!$B$7)^G876,E876)</x:f>
        <x:v>0</x:v>
      </x:c>
      <x:c r="I876" s="50" t="n">
        <x:f>IF(B876="Active",MIN(Assumptions!$B$12,D876+G876),IF(B876="Deferred",MIN(Assumptions!$B$12,D876),D876))</x:f>
        <x:v>30.2</x:v>
      </x:c>
      <x:c r="J876" s="50" t="n">
        <x:f>IF(B876="Active",H876*I876*Assumptions!$B$11,IF(B876="Deferred",E876*I876*Assumptions!$B$11*(1+Assumptions!$B$9)^G876,F876))</x:f>
        <x:v>144000</x:v>
      </x:c>
      <x:c r="K876" s="37" t="n">
        <x:f>IF(B876="Pensioner",1,VLOOKUP(Assumptions!$B$10,Mortality!$A$2:$F$104,6,FALSE)/VLOOKUP(C876,Mortality!$A$2:$F$104,6,FALSE))</x:f>
        <x:v>1</x:v>
      </x:c>
      <x:c r="L876" s="37" t="n">
        <x:f>VLOOKUP(IF(B876="Pensioner",C876,Assumptions!$B$10),Mortality!$A$2:$E$104,5,FALSE)</x:f>
        <x:v>16.055191398346196</x:v>
      </x:c>
      <x:c r="M876" s="37" t="n">
        <x:f>1+Assumptions!$B$13*Assumptions!$B$14*Assumptions!$B$15</x:f>
        <x:v>1.31875</x:v>
      </x:c>
      <x:c r="N876" s="37" t="n">
        <x:f>IF(B876="Pensioner",1,1/(1+Assumptions!$B$6)^G876)</x:f>
        <x:v>1</x:v>
      </x:c>
      <x:c r="O876" s="50" t="n">
        <x:f>J876*K876*L876*M876*N876</x:f>
        <x:v>3048880.8465459426</x:v>
      </x:c>
    </x:row>
    <x:row r="877">
      <x:c r="A877" s="42" t="str">
        <x:f>Members!A877</x:f>
        <x:v>A0027</x:v>
      </x:c>
      <x:c r="B877" s="42" t="str">
        <x:f>Members!B877</x:f>
        <x:v>Active</x:v>
      </x:c>
      <x:c r="C877" s="42" t="n">
        <x:f>Members!C877</x:f>
        <x:v>53</x:v>
      </x:c>
      <x:c r="D877" s="44" t="n">
        <x:f>Members!D877</x:f>
        <x:v>28.1</x:v>
      </x:c>
      <x:c r="E877" s="48" t="n">
        <x:f>Members!E877</x:f>
        <x:v>1154000</x:v>
      </x:c>
      <x:c r="F877" s="48" t="n">
        <x:f>Members!F877</x:f>
        <x:v>0</x:v>
      </x:c>
      <x:c r="G877" s="46" t="n">
        <x:f>MAX(0,Assumptions!$B$10-C877)</x:f>
        <x:v>7</x:v>
      </x:c>
      <x:c r="H877" s="50" t="n">
        <x:f>IF(B877="Active",E877*(1+Assumptions!$B$7)^G877,E877)</x:f>
        <x:v>1678699.7519483985</x:v>
      </x:c>
      <x:c r="I877" s="50" t="n">
        <x:f>IF(B877="Active",MIN(Assumptions!$B$12,D877+G877),IF(B877="Deferred",MIN(Assumptions!$B$12,D877),D877))</x:f>
        <x:v>35.1</x:v>
      </x:c>
      <x:c r="J877" s="50" t="n">
        <x:f>IF(B877="Active",H877*I877*Assumptions!$B$11,IF(B877="Deferred",E877*I877*Assumptions!$B$11*(1+Assumptions!$B$9)^G877,F877))</x:f>
        <x:v>982039.3548898132</x:v>
      </x:c>
      <x:c r="K877" s="37" t="n">
        <x:f>IF(B877="Pensioner",1,VLOOKUP(Assumptions!$B$10,Mortality!$A$2:$F$104,6,FALSE)/VLOOKUP(C877,Mortality!$A$2:$F$104,6,FALSE))</x:f>
        <x:v>0.9850300017431317</x:v>
      </x:c>
      <x:c r="L877" s="37" t="n">
        <x:f>VLOOKUP(IF(B877="Pensioner",C877,Assumptions!$B$10),Mortality!$A$2:$E$104,5,FALSE)</x:f>
        <x:v>17.296790022132885</x:v>
      </x:c>
      <x:c r="M877" s="37" t="n">
        <x:f>1+Assumptions!$B$13*Assumptions!$B$14*Assumptions!$B$15</x:f>
        <x:v>1.31875</x:v>
      </x:c>
      <x:c r="N877" s="37" t="n">
        <x:f>IF(B877="Pensioner",1,1/(1+Assumptions!$B$6)^G877)</x:f>
        <x:v>0.6435062148347594</x:v>
      </x:c>
      <x:c r="O877" s="50" t="n">
        <x:f>J877*K877*L877*M877*N877</x:f>
        <x:v>14199043.25213266</x:v>
      </x:c>
    </x:row>
    <x:row r="878">
      <x:c r="A878" s="42" t="str">
        <x:f>Members!A878</x:f>
        <x:v>A0608</x:v>
      </x:c>
      <x:c r="B878" s="42" t="str">
        <x:f>Members!B878</x:f>
        <x:v>Active</x:v>
      </x:c>
      <x:c r="C878" s="42" t="n">
        <x:f>Members!C878</x:f>
        <x:v>50</x:v>
      </x:c>
      <x:c r="D878" s="44" t="n">
        <x:f>Members!D878</x:f>
        <x:v>15.1</x:v>
      </x:c>
      <x:c r="E878" s="48" t="n">
        <x:f>Members!E878</x:f>
        <x:v>1424000</x:v>
      </x:c>
      <x:c r="F878" s="48" t="n">
        <x:f>Members!F878</x:f>
        <x:v>0</x:v>
      </x:c>
      <x:c r="G878" s="46" t="n">
        <x:f>MAX(0,Assumptions!$B$10-C878)</x:f>
        <x:v>10</x:v>
      </x:c>
      <x:c r="H878" s="50" t="n">
        <x:f>IF(B878="Active",E878*(1+Assumptions!$B$7)^G878,E878)</x:f>
        <x:v>2432397.7086955165</x:v>
      </x:c>
      <x:c r="I878" s="50" t="n">
        <x:f>IF(B878="Active",MIN(Assumptions!$B$12,D878+G878),IF(B878="Deferred",MIN(Assumptions!$B$12,D878),D878))</x:f>
        <x:v>25.1</x:v>
      </x:c>
      <x:c r="J878" s="50" t="n">
        <x:f>IF(B878="Active",H878*I878*Assumptions!$B$11,IF(B878="Deferred",E878*I878*Assumptions!$B$11*(1+Assumptions!$B$9)^G878,F878))</x:f>
        <x:v>1017553.0414709578</x:v>
      </x:c>
      <x:c r="K878" s="37" t="n">
        <x:f>IF(B878="Pensioner",1,VLOOKUP(Assumptions!$B$10,Mortality!$A$2:$F$104,6,FALSE)/VLOOKUP(C878,Mortality!$A$2:$F$104,6,FALSE))</x:f>
        <x:v>0.9812729933582415</x:v>
      </x:c>
      <x:c r="L878" s="37" t="n">
        <x:f>VLOOKUP(IF(B878="Pensioner",C878,Assumptions!$B$10),Mortality!$A$2:$E$104,5,FALSE)</x:f>
        <x:v>17.296790022132885</x:v>
      </x:c>
      <x:c r="M878" s="37" t="n">
        <x:f>1+Assumptions!$B$13*Assumptions!$B$14*Assumptions!$B$15</x:f>
        <x:v>1.31875</x:v>
      </x:c>
      <x:c r="N878" s="37" t="n">
        <x:f>IF(B878="Pensioner",1,1/(1+Assumptions!$B$6)^G878)</x:f>
        <x:v>0.5327260355205289</x:v>
      </x:c>
      <x:c r="O878" s="50" t="n">
        <x:f>J878*K878*L878*M878*N878</x:f>
        <x:v>12133296.518856453</x:v>
      </x:c>
    </x:row>
    <x:row r="879">
      <x:c r="A879" s="42" t="str">
        <x:f>Members!A879</x:f>
        <x:v>D0099</x:v>
      </x:c>
      <x:c r="B879" s="42" t="str">
        <x:f>Members!B879</x:f>
        <x:v>Deferred</x:v>
      </x:c>
      <x:c r="C879" s="42" t="n">
        <x:f>Members!C879</x:f>
        <x:v>53</x:v>
      </x:c>
      <x:c r="D879" s="44" t="n">
        <x:f>Members!D879</x:f>
        <x:v>8.2</x:v>
      </x:c>
      <x:c r="E879" s="48" t="n">
        <x:f>Members!E879</x:f>
        <x:v>1093000</x:v>
      </x:c>
      <x:c r="F879" s="48" t="n">
        <x:f>Members!F879</x:f>
        <x:v>0</x:v>
      </x:c>
      <x:c r="G879" s="46" t="n">
        <x:f>MAX(0,Assumptions!$B$10-C879)</x:f>
        <x:v>7</x:v>
      </x:c>
      <x:c r="H879" s="50" t="n">
        <x:f>IF(B879="Active",E879*(1+Assumptions!$B$7)^G879,E879)</x:f>
        <x:v>1093000</x:v>
      </x:c>
      <x:c r="I879" s="50" t="n">
        <x:f>IF(B879="Active",MIN(Assumptions!$B$12,D879+G879),IF(B879="Deferred",MIN(Assumptions!$B$12,D879),D879))</x:f>
        <x:v>8.2</x:v>
      </x:c>
      <x:c r="J879" s="50" t="n">
        <x:f>IF(B879="Active",H879*I879*Assumptions!$B$11,IF(B879="Deferred",E879*I879*Assumptions!$B$11*(1+Assumptions!$B$9)^G879,F879))</x:f>
        <x:v>196569.5027429857</x:v>
      </x:c>
      <x:c r="K879" s="37" t="n">
        <x:f>IF(B879="Pensioner",1,VLOOKUP(Assumptions!$B$10,Mortality!$A$2:$F$104,6,FALSE)/VLOOKUP(C879,Mortality!$A$2:$F$104,6,FALSE))</x:f>
        <x:v>0.9850300017431317</x:v>
      </x:c>
      <x:c r="L879" s="37" t="n">
        <x:f>VLOOKUP(IF(B879="Pensioner",C879,Assumptions!$B$10),Mortality!$A$2:$E$104,5,FALSE)</x:f>
        <x:v>17.296790022132885</x:v>
      </x:c>
      <x:c r="M879" s="37" t="n">
        <x:f>1+Assumptions!$B$13*Assumptions!$B$14*Assumptions!$B$15</x:f>
        <x:v>1.31875</x:v>
      </x:c>
      <x:c r="N879" s="37" t="n">
        <x:f>IF(B879="Pensioner",1,1/(1+Assumptions!$B$6)^G879)</x:f>
        <x:v>0.6435062148347594</x:v>
      </x:c>
      <x:c r="O879" s="50" t="n">
        <x:f>J879*K879*L879*M879*N879</x:f>
        <x:v>2842145.640701976</x:v>
      </x:c>
    </x:row>
    <x:row r="880">
      <x:c r="A880" s="42" t="str">
        <x:f>Members!A880</x:f>
        <x:v>A0474</x:v>
      </x:c>
      <x:c r="B880" s="42" t="str">
        <x:f>Members!B880</x:f>
        <x:v>Active</x:v>
      </x:c>
      <x:c r="C880" s="42" t="n">
        <x:f>Members!C880</x:f>
        <x:v>28</x:v>
      </x:c>
      <x:c r="D880" s="44" t="n">
        <x:f>Members!D880</x:f>
        <x:v>4.2</x:v>
      </x:c>
      <x:c r="E880" s="48" t="n">
        <x:f>Members!E880</x:f>
        <x:v>623000</x:v>
      </x:c>
      <x:c r="F880" s="48" t="n">
        <x:f>Members!F880</x:f>
        <x:v>0</x:v>
      </x:c>
      <x:c r="G880" s="46" t="n">
        <x:f>MAX(0,Assumptions!$B$10-C880)</x:f>
        <x:v>32</x:v>
      </x:c>
      <x:c r="H880" s="50" t="n">
        <x:f>IF(B880="Active",E880*(1+Assumptions!$B$7)^G880,E880)</x:f>
        <x:v>3455944.4644631627</x:v>
      </x:c>
      <x:c r="I880" s="50" t="n">
        <x:f>IF(B880="Active",MIN(Assumptions!$B$12,D880+G880),IF(B880="Deferred",MIN(Assumptions!$B$12,D880),D880))</x:f>
        <x:v>36.2</x:v>
      </x:c>
      <x:c r="J880" s="50" t="n">
        <x:f>IF(B880="Active",H880*I880*Assumptions!$B$11,IF(B880="Deferred",E880*I880*Assumptions!$B$11*(1+Assumptions!$B$9)^G880,F880))</x:f>
        <x:v>2085086.4935594418</x:v>
      </x:c>
      <x:c r="K880" s="37" t="n">
        <x:f>IF(B880="Pensioner",1,VLOOKUP(Assumptions!$B$10,Mortality!$A$2:$F$104,6,FALSE)/VLOOKUP(C880,Mortality!$A$2:$F$104,6,FALSE))</x:f>
        <x:v>0.9697719614347323</x:v>
      </x:c>
      <x:c r="L880" s="37" t="n">
        <x:f>VLOOKUP(IF(B880="Pensioner",C880,Assumptions!$B$10),Mortality!$A$2:$E$104,5,FALSE)</x:f>
        <x:v>17.296790022132885</x:v>
      </x:c>
      <x:c r="M880" s="37" t="n">
        <x:f>1+Assumptions!$B$13*Assumptions!$B$14*Assumptions!$B$15</x:f>
        <x:v>1.31875</x:v>
      </x:c>
      <x:c r="N880" s="37" t="n">
        <x:f>IF(B880="Pensioner",1,1/(1+Assumptions!$B$6)^G880)</x:f>
        <x:v>0.13329459861122173</x:v>
      </x:c>
      <x:c r="O880" s="50" t="n">
        <x:f>J880*K880*L880*M880*N880</x:f>
        <x:v>6148005.333515067</x:v>
      </x:c>
    </x:row>
    <x:row r="881">
      <x:c r="A881" s="42" t="str">
        <x:f>Members!A881</x:f>
        <x:v>A0302</x:v>
      </x:c>
      <x:c r="B881" s="42" t="str">
        <x:f>Members!B881</x:f>
        <x:v>Active</x:v>
      </x:c>
      <x:c r="C881" s="42" t="n">
        <x:f>Members!C881</x:f>
        <x:v>45</x:v>
      </x:c>
      <x:c r="D881" s="44" t="n">
        <x:f>Members!D881</x:f>
        <x:v>5.8</x:v>
      </x:c>
      <x:c r="E881" s="48" t="n">
        <x:f>Members!E881</x:f>
        <x:v>855000</x:v>
      </x:c>
      <x:c r="F881" s="48" t="n">
        <x:f>Members!F881</x:f>
        <x:v>0</x:v>
      </x:c>
      <x:c r="G881" s="46" t="n">
        <x:f>MAX(0,Assumptions!$B$10-C881)</x:f>
        <x:v>15</x:v>
      </x:c>
      <x:c r="H881" s="50" t="n">
        <x:f>IF(B881="Active",E881*(1+Assumptions!$B$7)^G881,E881)</x:f>
        <x:v>1908767.400863447</x:v>
      </x:c>
      <x:c r="I881" s="50" t="n">
        <x:f>IF(B881="Active",MIN(Assumptions!$B$12,D881+G881),IF(B881="Deferred",MIN(Assumptions!$B$12,D881),D881))</x:f>
        <x:v>20.8</x:v>
      </x:c>
      <x:c r="J881" s="50" t="n">
        <x:f>IF(B881="Active",H881*I881*Assumptions!$B$11,IF(B881="Deferred",E881*I881*Assumptions!$B$11*(1+Assumptions!$B$9)^G881,F881))</x:f>
        <x:v>661706.0322993284</x:v>
      </x:c>
      <x:c r="K881" s="37" t="n">
        <x:f>IF(B881="Pensioner",1,VLOOKUP(Assumptions!$B$10,Mortality!$A$2:$F$104,6,FALSE)/VLOOKUP(C881,Mortality!$A$2:$F$104,6,FALSE))</x:f>
        <x:v>0.9769349478194655</x:v>
      </x:c>
      <x:c r="L881" s="37" t="n">
        <x:f>VLOOKUP(IF(B881="Pensioner",C881,Assumptions!$B$10),Mortality!$A$2:$E$104,5,FALSE)</x:f>
        <x:v>17.296790022132885</x:v>
      </x:c>
      <x:c r="M881" s="37" t="n">
        <x:f>1+Assumptions!$B$13*Assumptions!$B$14*Assumptions!$B$15</x:f>
        <x:v>1.31875</x:v>
      </x:c>
      <x:c r="N881" s="37" t="n">
        <x:f>IF(B881="Pensioner",1,1/(1+Assumptions!$B$6)^G881)</x:f>
        <x:v>0.38882652444221566</x:v>
      </x:c>
      <x:c r="O881" s="50" t="n">
        <x:f>J881*K881*L881*M881*N881</x:f>
        <x:v>5733431.246343668</x:v>
      </x:c>
    </x:row>
    <x:row r="882">
      <x:c r="A882" s="42" t="str">
        <x:f>Members!A882</x:f>
        <x:v>P0041</x:v>
      </x:c>
      <x:c r="B882" s="42" t="str">
        <x:f>Members!B882</x:f>
        <x:v>Pensioner</x:v>
      </x:c>
      <x:c r="C882" s="42" t="n">
        <x:f>Members!C882</x:f>
        <x:v>84</x:v>
      </x:c>
      <x:c r="D882" s="44" t="n">
        <x:f>Members!D882</x:f>
        <x:v>12.4</x:v>
      </x:c>
      <x:c r="E882" s="48" t="n">
        <x:f>Members!E882</x:f>
        <x:v>0</x:v>
      </x:c>
      <x:c r="F882" s="48" t="n">
        <x:f>Members!F882</x:f>
        <x:v>658000</x:v>
      </x:c>
      <x:c r="G882" s="46" t="n">
        <x:f>MAX(0,Assumptions!$B$10-C882)</x:f>
        <x:v>0</x:v>
      </x:c>
      <x:c r="H882" s="50" t="n">
        <x:f>IF(B882="Active",E882*(1+Assumptions!$B$7)^G882,E882)</x:f>
        <x:v>0</x:v>
      </x:c>
      <x:c r="I882" s="50" t="n">
        <x:f>IF(B882="Active",MIN(Assumptions!$B$12,D882+G882),IF(B882="Deferred",MIN(Assumptions!$B$12,D882),D882))</x:f>
        <x:v>12.4</x:v>
      </x:c>
      <x:c r="J882" s="50" t="n">
        <x:f>IF(B882="Active",H882*I882*Assumptions!$B$11,IF(B882="Deferred",E882*I882*Assumptions!$B$11*(1+Assumptions!$B$9)^G882,F882))</x:f>
        <x:v>658000</x:v>
      </x:c>
      <x:c r="K882" s="37" t="n">
        <x:f>IF(B882="Pensioner",1,VLOOKUP(Assumptions!$B$10,Mortality!$A$2:$F$104,6,FALSE)/VLOOKUP(C882,Mortality!$A$2:$F$104,6,FALSE))</x:f>
        <x:v>1</x:v>
      </x:c>
      <x:c r="L882" s="37" t="n">
        <x:f>VLOOKUP(IF(B882="Pensioner",C882,Assumptions!$B$10),Mortality!$A$2:$E$104,5,FALSE)</x:f>
        <x:v>6.643272096517531</x:v>
      </x:c>
      <x:c r="M882" s="37" t="n">
        <x:f>1+Assumptions!$B$13*Assumptions!$B$14*Assumptions!$B$15</x:f>
        <x:v>1.31875</x:v>
      </x:c>
      <x:c r="N882" s="37" t="n">
        <x:f>IF(B882="Pensioner",1,1/(1+Assumptions!$B$6)^G882)</x:f>
        <x:v>1</x:v>
      </x:c>
      <x:c r="O882" s="50" t="n">
        <x:f>J882*K882*L882*M882*N882</x:f>
        <x:v>5764616.320851882</x:v>
      </x:c>
    </x:row>
    <x:row r="883">
      <x:c r="A883" s="42" t="str">
        <x:f>Members!A883</x:f>
        <x:v>A0461</x:v>
      </x:c>
      <x:c r="B883" s="42" t="str">
        <x:f>Members!B883</x:f>
        <x:v>Active</x:v>
      </x:c>
      <x:c r="C883" s="42" t="n">
        <x:f>Members!C883</x:f>
        <x:v>36</x:v>
      </x:c>
      <x:c r="D883" s="44" t="n">
        <x:f>Members!D883</x:f>
        <x:v>10.5</x:v>
      </x:c>
      <x:c r="E883" s="48" t="n">
        <x:f>Members!E883</x:f>
        <x:v>619000</x:v>
      </x:c>
      <x:c r="F883" s="48" t="n">
        <x:f>Members!F883</x:f>
        <x:v>0</x:v>
      </x:c>
      <x:c r="G883" s="46" t="n">
        <x:f>MAX(0,Assumptions!$B$10-C883)</x:f>
        <x:v>24</x:v>
      </x:c>
      <x:c r="H883" s="50" t="n">
        <x:f>IF(B883="Active",E883*(1+Assumptions!$B$7)^G883,E883)</x:f>
        <x:v>2237431.150517868</x:v>
      </x:c>
      <x:c r="I883" s="50" t="n">
        <x:f>IF(B883="Active",MIN(Assumptions!$B$12,D883+G883),IF(B883="Deferred",MIN(Assumptions!$B$12,D883),D883))</x:f>
        <x:v>34.5</x:v>
      </x:c>
      <x:c r="J883" s="50" t="n">
        <x:f>IF(B883="Active",H883*I883*Assumptions!$B$11,IF(B883="Deferred",E883*I883*Assumptions!$B$11*(1+Assumptions!$B$9)^G883,F883))</x:f>
        <x:v>1286522.911547774</x:v>
      </x:c>
      <x:c r="K883" s="37" t="n">
        <x:f>IF(B883="Pensioner",1,VLOOKUP(Assumptions!$B$10,Mortality!$A$2:$F$104,6,FALSE)/VLOOKUP(C883,Mortality!$A$2:$F$104,6,FALSE))</x:f>
        <x:v>0.9723450305541352</x:v>
      </x:c>
      <x:c r="L883" s="37" t="n">
        <x:f>VLOOKUP(IF(B883="Pensioner",C883,Assumptions!$B$10),Mortality!$A$2:$E$104,5,FALSE)</x:f>
        <x:v>17.296790022132885</x:v>
      </x:c>
      <x:c r="M883" s="37" t="n">
        <x:f>1+Assumptions!$B$13*Assumptions!$B$14*Assumptions!$B$15</x:f>
        <x:v>1.31875</x:v>
      </x:c>
      <x:c r="N883" s="37" t="n">
        <x:f>IF(B883="Pensioner",1,1/(1+Assumptions!$B$6)^G883)</x:f>
        <x:v>0.22060198370796386</x:v>
      </x:c>
      <x:c r="O883" s="50" t="n">
        <x:f>J883*K883*L883*M883*N883</x:f>
        <x:v>6294704.150100379</x:v>
      </x:c>
    </x:row>
    <x:row r="884">
      <x:c r="A884" s="42" t="str">
        <x:f>Members!A884</x:f>
        <x:v>A0291</x:v>
      </x:c>
      <x:c r="B884" s="42" t="str">
        <x:f>Members!B884</x:f>
        <x:v>Active</x:v>
      </x:c>
      <x:c r="C884" s="42" t="n">
        <x:f>Members!C884</x:f>
        <x:v>50</x:v>
      </x:c>
      <x:c r="D884" s="44" t="n">
        <x:f>Members!D884</x:f>
        <x:v>21.2</x:v>
      </x:c>
      <x:c r="E884" s="48" t="n">
        <x:f>Members!E884</x:f>
        <x:v>1345000</x:v>
      </x:c>
      <x:c r="F884" s="48" t="n">
        <x:f>Members!F884</x:f>
        <x:v>0</x:v>
      </x:c>
      <x:c r="G884" s="46" t="n">
        <x:f>MAX(0,Assumptions!$B$10-C884)</x:f>
        <x:v>10</x:v>
      </x:c>
      <x:c r="H884" s="50" t="n">
        <x:f>IF(B884="Active",E884*(1+Assumptions!$B$7)^G884,E884)</x:f>
        <x:v>2297454.2964855824</x:v>
      </x:c>
      <x:c r="I884" s="50" t="n">
        <x:f>IF(B884="Active",MIN(Assumptions!$B$12,D884+G884),IF(B884="Deferred",MIN(Assumptions!$B$12,D884),D884))</x:f>
        <x:v>31.2</x:v>
      </x:c>
      <x:c r="J884" s="50" t="n">
        <x:f>IF(B884="Active",H884*I884*Assumptions!$B$11,IF(B884="Deferred",E884*I884*Assumptions!$B$11*(1+Assumptions!$B$9)^G884,F884))</x:f>
        <x:v>1194676.234172503</x:v>
      </x:c>
      <x:c r="K884" s="37" t="n">
        <x:f>IF(B884="Pensioner",1,VLOOKUP(Assumptions!$B$10,Mortality!$A$2:$F$104,6,FALSE)/VLOOKUP(C884,Mortality!$A$2:$F$104,6,FALSE))</x:f>
        <x:v>0.9812729933582415</x:v>
      </x:c>
      <x:c r="L884" s="37" t="n">
        <x:f>VLOOKUP(IF(B884="Pensioner",C884,Assumptions!$B$10),Mortality!$A$2:$E$104,5,FALSE)</x:f>
        <x:v>17.296790022132885</x:v>
      </x:c>
      <x:c r="M884" s="37" t="n">
        <x:f>1+Assumptions!$B$13*Assumptions!$B$14*Assumptions!$B$15</x:f>
        <x:v>1.31875</x:v>
      </x:c>
      <x:c r="N884" s="37" t="n">
        <x:f>IF(B884="Pensioner",1,1/(1+Assumptions!$B$6)^G884)</x:f>
        <x:v>0.5327260355205289</x:v>
      </x:c>
      <x:c r="O884" s="50" t="n">
        <x:f>J884*K884*L884*M884*N884</x:f>
        <x:v>14245312.433336657</x:v>
      </x:c>
    </x:row>
    <x:row r="885">
      <x:c r="A885" s="42" t="str">
        <x:f>Members!A885</x:f>
        <x:v>A0491</x:v>
      </x:c>
      <x:c r="B885" s="42" t="str">
        <x:f>Members!B885</x:f>
        <x:v>Active</x:v>
      </x:c>
      <x:c r="C885" s="42" t="n">
        <x:f>Members!C885</x:f>
        <x:v>34</x:v>
      </x:c>
      <x:c r="D885" s="44" t="n">
        <x:f>Members!D885</x:f>
        <x:v>5.7</x:v>
      </x:c>
      <x:c r="E885" s="48" t="n">
        <x:f>Members!E885</x:f>
        <x:v>546000</x:v>
      </x:c>
      <x:c r="F885" s="48" t="n">
        <x:f>Members!F885</x:f>
        <x:v>0</x:v>
      </x:c>
      <x:c r="G885" s="46" t="n">
        <x:f>MAX(0,Assumptions!$B$10-C885)</x:f>
        <x:v>26</x:v>
      </x:c>
      <x:c r="H885" s="50" t="n">
        <x:f>IF(B885="Active",E885*(1+Assumptions!$B$7)^G885,E885)</x:f>
        <x:v>2196628.3945761095</x:v>
      </x:c>
      <x:c r="I885" s="50" t="n">
        <x:f>IF(B885="Active",MIN(Assumptions!$B$12,D885+G885),IF(B885="Deferred",MIN(Assumptions!$B$12,D885),D885))</x:f>
        <x:v>31.7</x:v>
      </x:c>
      <x:c r="J885" s="50" t="n">
        <x:f>IF(B885="Active",H885*I885*Assumptions!$B$11,IF(B885="Deferred",E885*I885*Assumptions!$B$11*(1+Assumptions!$B$9)^G885,F885))</x:f>
        <x:v>1160552.0018010444</x:v>
      </x:c>
      <x:c r="K885" s="37" t="n">
        <x:f>IF(B885="Pensioner",1,VLOOKUP(Assumptions!$B$10,Mortality!$A$2:$F$104,6,FALSE)/VLOOKUP(C885,Mortality!$A$2:$F$104,6,FALSE))</x:f>
        <x:v>0.9716205819233391</x:v>
      </x:c>
      <x:c r="L885" s="37" t="n">
        <x:f>VLOOKUP(IF(B885="Pensioner",C885,Assumptions!$B$10),Mortality!$A$2:$E$104,5,FALSE)</x:f>
        <x:v>17.296790022132885</x:v>
      </x:c>
      <x:c r="M885" s="37" t="n">
        <x:f>1+Assumptions!$B$13*Assumptions!$B$14*Assumptions!$B$15</x:f>
        <x:v>1.31875</x:v>
      </x:c>
      <x:c r="N885" s="37" t="n">
        <x:f>IF(B885="Pensioner",1,1/(1+Assumptions!$B$6)^G885)</x:f>
        <x:v>0.19449578673364096</x:v>
      </x:c>
      <x:c r="O885" s="50" t="n">
        <x:f>J885*K885*L885*M885*N885</x:f>
        <x:v>5002642.803474985</x:v>
      </x:c>
    </x:row>
    <x:row r="886">
      <x:c r="A886" s="42" t="str">
        <x:f>Members!A886</x:f>
        <x:v>D0088</x:v>
      </x:c>
      <x:c r="B886" s="42" t="str">
        <x:f>Members!B886</x:f>
        <x:v>Deferred</x:v>
      </x:c>
      <x:c r="C886" s="42" t="n">
        <x:f>Members!C886</x:f>
        <x:v>34</x:v>
      </x:c>
      <x:c r="D886" s="44" t="n">
        <x:f>Members!D886</x:f>
        <x:v>3</x:v>
      </x:c>
      <x:c r="E886" s="48" t="n">
        <x:f>Members!E886</x:f>
        <x:v>425000</x:v>
      </x:c>
      <x:c r="F886" s="48" t="n">
        <x:f>Members!F886</x:f>
        <x:v>0</x:v>
      </x:c>
      <x:c r="G886" s="46" t="n">
        <x:f>MAX(0,Assumptions!$B$10-C886)</x:f>
        <x:v>26</x:v>
      </x:c>
      <x:c r="H886" s="50" t="n">
        <x:f>IF(B886="Active",E886*(1+Assumptions!$B$7)^G886,E886)</x:f>
        <x:v>425000</x:v>
      </x:c>
      <x:c r="I886" s="50" t="n">
        <x:f>IF(B886="Active",MIN(Assumptions!$B$12,D886+G886),IF(B886="Deferred",MIN(Assumptions!$B$12,D886),D886))</x:f>
        <x:v>3</x:v>
      </x:c>
      <x:c r="J886" s="50" t="n">
        <x:f>IF(B886="Active",H886*I886*Assumptions!$B$11,IF(B886="Deferred",E886*I886*Assumptions!$B$11*(1+Assumptions!$B$9)^G886,F886))</x:f>
        <x:v>58914.98292587205</x:v>
      </x:c>
      <x:c r="K886" s="37" t="n">
        <x:f>IF(B886="Pensioner",1,VLOOKUP(Assumptions!$B$10,Mortality!$A$2:$F$104,6,FALSE)/VLOOKUP(C886,Mortality!$A$2:$F$104,6,FALSE))</x:f>
        <x:v>0.9716205819233391</x:v>
      </x:c>
      <x:c r="L886" s="37" t="n">
        <x:f>VLOOKUP(IF(B886="Pensioner",C886,Assumptions!$B$10),Mortality!$A$2:$E$104,5,FALSE)</x:f>
        <x:v>17.296790022132885</x:v>
      </x:c>
      <x:c r="M886" s="37" t="n">
        <x:f>1+Assumptions!$B$13*Assumptions!$B$14*Assumptions!$B$15</x:f>
        <x:v>1.31875</x:v>
      </x:c>
      <x:c r="N886" s="37" t="n">
        <x:f>IF(B886="Pensioner",1,1/(1+Assumptions!$B$6)^G886)</x:f>
        <x:v>0.19449578673364096</x:v>
      </x:c>
      <x:c r="O886" s="50" t="n">
        <x:f>J886*K886*L886*M886*N886</x:f>
        <x:v>253957.2676567505</x:v>
      </x:c>
    </x:row>
    <x:row r="887">
      <x:c r="A887" s="42" t="str">
        <x:f>Members!A887</x:f>
        <x:v>A0356</x:v>
      </x:c>
      <x:c r="B887" s="42" t="str">
        <x:f>Members!B887</x:f>
        <x:v>Active</x:v>
      </x:c>
      <x:c r="C887" s="42" t="n">
        <x:f>Members!C887</x:f>
        <x:v>45</x:v>
      </x:c>
      <x:c r="D887" s="44" t="n">
        <x:f>Members!D887</x:f>
        <x:v>18.1</x:v>
      </x:c>
      <x:c r="E887" s="48" t="n">
        <x:f>Members!E887</x:f>
        <x:v>1353000</x:v>
      </x:c>
      <x:c r="F887" s="48" t="n">
        <x:f>Members!F887</x:f>
        <x:v>0</x:v>
      </x:c>
      <x:c r="G887" s="46" t="n">
        <x:f>MAX(0,Assumptions!$B$10-C887)</x:f>
        <x:v>15</x:v>
      </x:c>
      <x:c r="H887" s="50" t="n">
        <x:f>IF(B887="Active",E887*(1+Assumptions!$B$7)^G887,E887)</x:f>
        <x:v>3020540.6939979456</x:v>
      </x:c>
      <x:c r="I887" s="50" t="n">
        <x:f>IF(B887="Active",MIN(Assumptions!$B$12,D887+G887),IF(B887="Deferred",MIN(Assumptions!$B$12,D887),D887))</x:f>
        <x:v>33.1</x:v>
      </x:c>
      <x:c r="J887" s="50" t="n">
        <x:f>IF(B887="Active",H887*I887*Assumptions!$B$11,IF(B887="Deferred",E887*I887*Assumptions!$B$11*(1+Assumptions!$B$9)^G887,F887))</x:f>
        <x:v>1666331.6161888666</x:v>
      </x:c>
      <x:c r="K887" s="37" t="n">
        <x:f>IF(B887="Pensioner",1,VLOOKUP(Assumptions!$B$10,Mortality!$A$2:$F$104,6,FALSE)/VLOOKUP(C887,Mortality!$A$2:$F$104,6,FALSE))</x:f>
        <x:v>0.9769349478194655</x:v>
      </x:c>
      <x:c r="L887" s="37" t="n">
        <x:f>VLOOKUP(IF(B887="Pensioner",C887,Assumptions!$B$10),Mortality!$A$2:$E$104,5,FALSE)</x:f>
        <x:v>17.296790022132885</x:v>
      </x:c>
      <x:c r="M887" s="37" t="n">
        <x:f>1+Assumptions!$B$13*Assumptions!$B$14*Assumptions!$B$15</x:f>
        <x:v>1.31875</x:v>
      </x:c>
      <x:c r="N887" s="37" t="n">
        <x:f>IF(B887="Pensioner",1,1/(1+Assumptions!$B$6)^G887)</x:f>
        <x:v>0.38882652444221566</x:v>
      </x:c>
      <x:c r="O887" s="50" t="n">
        <x:f>J887*K887*L887*M887*N887</x:f>
        <x:v>14438130.058796033</x:v>
      </x:c>
    </x:row>
    <x:row r="888">
      <x:c r="A888" s="42" t="str">
        <x:f>Members!A888</x:f>
        <x:v>D0058</x:v>
      </x:c>
      <x:c r="B888" s="42" t="str">
        <x:f>Members!B888</x:f>
        <x:v>Deferred</x:v>
      </x:c>
      <x:c r="C888" s="42" t="n">
        <x:f>Members!C888</x:f>
        <x:v>59</x:v>
      </x:c>
      <x:c r="D888" s="44" t="n">
        <x:f>Members!D888</x:f>
        <x:v>20.8</x:v>
      </x:c>
      <x:c r="E888" s="48" t="n">
        <x:f>Members!E888</x:f>
        <x:v>1560000</x:v>
      </x:c>
      <x:c r="F888" s="48" t="n">
        <x:f>Members!F888</x:f>
        <x:v>0</x:v>
      </x:c>
      <x:c r="G888" s="46" t="n">
        <x:f>MAX(0,Assumptions!$B$10-C888)</x:f>
        <x:v>1</x:v>
      </x:c>
      <x:c r="H888" s="50" t="n">
        <x:f>IF(B888="Active",E888*(1+Assumptions!$B$7)^G888,E888)</x:f>
        <x:v>1560000</x:v>
      </x:c>
      <x:c r="I888" s="50" t="n">
        <x:f>IF(B888="Active",MIN(Assumptions!$B$12,D888+G888),IF(B888="Deferred",MIN(Assumptions!$B$12,D888),D888))</x:f>
        <x:v>20.8</x:v>
      </x:c>
      <x:c r="J888" s="50" t="n">
        <x:f>IF(B888="Active",H888*I888*Assumptions!$B$11,IF(B888="Deferred",E888*I888*Assumptions!$B$11*(1+Assumptions!$B$9)^G888,F888))</x:f>
        <x:v>562432</x:v>
      </x:c>
      <x:c r="K888" s="37" t="n">
        <x:f>IF(B888="Pensioner",1,VLOOKUP(Assumptions!$B$10,Mortality!$A$2:$F$104,6,FALSE)/VLOOKUP(C888,Mortality!$A$2:$F$104,6,FALSE))</x:f>
        <x:v>0.9971096011831975</x:v>
      </x:c>
      <x:c r="L888" s="37" t="n">
        <x:f>VLOOKUP(IF(B888="Pensioner",C888,Assumptions!$B$10),Mortality!$A$2:$E$104,5,FALSE)</x:f>
        <x:v>17.296790022132885</x:v>
      </x:c>
      <x:c r="M888" s="37" t="n">
        <x:f>1+Assumptions!$B$13*Assumptions!$B$14*Assumptions!$B$15</x:f>
        <x:v>1.31875</x:v>
      </x:c>
      <x:c r="N888" s="37" t="n">
        <x:f>IF(B888="Pensioner",1,1/(1+Assumptions!$B$6)^G888)</x:f>
        <x:v>0.9389671361502347</x:v>
      </x:c>
      <x:c r="O888" s="50" t="n">
        <x:f>J888*K888*L888*M888*N888</x:f>
        <x:v>12011335.517032627</x:v>
      </x:c>
    </x:row>
    <x:row r="889">
      <x:c r="A889" s="42" t="str">
        <x:f>Members!A889</x:f>
        <x:v>A0423</x:v>
      </x:c>
      <x:c r="B889" s="42" t="str">
        <x:f>Members!B889</x:f>
        <x:v>Active</x:v>
      </x:c>
      <x:c r="C889" s="42" t="n">
        <x:f>Members!C889</x:f>
        <x:v>50</x:v>
      </x:c>
      <x:c r="D889" s="44" t="n">
        <x:f>Members!D889</x:f>
        <x:v>16.1</x:v>
      </x:c>
      <x:c r="E889" s="48" t="n">
        <x:f>Members!E889</x:f>
        <x:v>1407000</x:v>
      </x:c>
      <x:c r="F889" s="48" t="n">
        <x:f>Members!F889</x:f>
        <x:v>0</x:v>
      </x:c>
      <x:c r="G889" s="46" t="n">
        <x:f>MAX(0,Assumptions!$B$10-C889)</x:f>
        <x:v>10</x:v>
      </x:c>
      <x:c r="H889" s="50" t="n">
        <x:f>IF(B889="Active",E889*(1+Assumptions!$B$7)^G889,E889)</x:f>
        <x:v>2403359.252903505</x:v>
      </x:c>
      <x:c r="I889" s="50" t="n">
        <x:f>IF(B889="Active",MIN(Assumptions!$B$12,D889+G889),IF(B889="Deferred",MIN(Assumptions!$B$12,D889),D889))</x:f>
        <x:v>26.1</x:v>
      </x:c>
      <x:c r="J889" s="50" t="n">
        <x:f>IF(B889="Active",H889*I889*Assumptions!$B$11,IF(B889="Deferred",E889*I889*Assumptions!$B$11*(1+Assumptions!$B$9)^G889,F889))</x:f>
        <x:v>1045461.2750130248</x:v>
      </x:c>
      <x:c r="K889" s="37" t="n">
        <x:f>IF(B889="Pensioner",1,VLOOKUP(Assumptions!$B$10,Mortality!$A$2:$F$104,6,FALSE)/VLOOKUP(C889,Mortality!$A$2:$F$104,6,FALSE))</x:f>
        <x:v>0.9812729933582415</x:v>
      </x:c>
      <x:c r="L889" s="37" t="n">
        <x:f>VLOOKUP(IF(B889="Pensioner",C889,Assumptions!$B$10),Mortality!$A$2:$E$104,5,FALSE)</x:f>
        <x:v>17.296790022132885</x:v>
      </x:c>
      <x:c r="M889" s="37" t="n">
        <x:f>1+Assumptions!$B$13*Assumptions!$B$14*Assumptions!$B$15</x:f>
        <x:v>1.31875</x:v>
      </x:c>
      <x:c r="N889" s="37" t="n">
        <x:f>IF(B889="Pensioner",1,1/(1+Assumptions!$B$6)^G889)</x:f>
        <x:v>0.5327260355205289</x:v>
      </x:c>
      <x:c r="O889" s="50" t="n">
        <x:f>J889*K889*L889*M889*N889</x:f>
        <x:v>12466074.13248718</x:v>
      </x:c>
    </x:row>
    <x:row r="890">
      <x:c r="A890" s="42" t="str">
        <x:f>Members!A890</x:f>
        <x:v>A0602</x:v>
      </x:c>
      <x:c r="B890" s="42" t="str">
        <x:f>Members!B890</x:f>
        <x:v>Active</x:v>
      </x:c>
      <x:c r="C890" s="42" t="n">
        <x:f>Members!C890</x:f>
        <x:v>57</x:v>
      </x:c>
      <x:c r="D890" s="44" t="n">
        <x:f>Members!D890</x:f>
        <x:v>15.2</x:v>
      </x:c>
      <x:c r="E890" s="48" t="n">
        <x:f>Members!E890</x:f>
        <x:v>2266000</x:v>
      </x:c>
      <x:c r="F890" s="48" t="n">
        <x:f>Members!F890</x:f>
        <x:v>0</x:v>
      </x:c>
      <x:c r="G890" s="46" t="n">
        <x:f>MAX(0,Assumptions!$B$10-C890)</x:f>
        <x:v>3</x:v>
      </x:c>
      <x:c r="H890" s="50" t="n">
        <x:f>IF(B890="Active",E890*(1+Assumptions!$B$7)^G890,E890)</x:f>
        <x:v>2660830.9557499997</x:v>
      </x:c>
      <x:c r="I890" s="50" t="n">
        <x:f>IF(B890="Active",MIN(Assumptions!$B$12,D890+G890),IF(B890="Deferred",MIN(Assumptions!$B$12,D890),D890))</x:f>
        <x:v>18.2</x:v>
      </x:c>
      <x:c r="J890" s="50" t="n">
        <x:f>IF(B890="Active",H890*I890*Assumptions!$B$11,IF(B890="Deferred",E890*I890*Assumptions!$B$11*(1+Assumptions!$B$9)^G890,F890))</x:f>
        <x:v>807118.7232441665</x:v>
      </x:c>
      <x:c r="K890" s="37" t="n">
        <x:f>IF(B890="Pensioner",1,VLOOKUP(Assumptions!$B$10,Mortality!$A$2:$F$104,6,FALSE)/VLOOKUP(C890,Mortality!$A$2:$F$104,6,FALSE))</x:f>
        <x:v>0.9922003892921417</x:v>
      </x:c>
      <x:c r="L890" s="37" t="n">
        <x:f>VLOOKUP(IF(B890="Pensioner",C890,Assumptions!$B$10),Mortality!$A$2:$E$104,5,FALSE)</x:f>
        <x:v>17.296790022132885</x:v>
      </x:c>
      <x:c r="M890" s="37" t="n">
        <x:f>1+Assumptions!$B$13*Assumptions!$B$14*Assumptions!$B$15</x:f>
        <x:v>1.31875</x:v>
      </x:c>
      <x:c r="N890" s="37" t="n">
        <x:f>IF(B890="Pensioner",1,1/(1+Assumptions!$B$6)^G890)</x:f>
        <x:v>0.8278490918029799</x:v>
      </x:c>
      <x:c r="O890" s="50" t="n">
        <x:f>J890*K890*L890*M890*N890</x:f>
        <x:v>15122234.82446235</x:v>
      </x:c>
    </x:row>
    <x:row r="891">
      <x:c r="A891" s="42" t="str">
        <x:f>Members!A891</x:f>
        <x:v>P0198</x:v>
      </x:c>
      <x:c r="B891" s="42" t="str">
        <x:f>Members!B891</x:f>
        <x:v>Pensioner</x:v>
      </x:c>
      <x:c r="C891" s="42" t="n">
        <x:f>Members!C891</x:f>
        <x:v>86</x:v>
      </x:c>
      <x:c r="D891" s="44" t="n">
        <x:f>Members!D891</x:f>
        <x:v>34.8</x:v>
      </x:c>
      <x:c r="E891" s="48" t="n">
        <x:f>Members!E891</x:f>
        <x:v>0</x:v>
      </x:c>
      <x:c r="F891" s="48" t="n">
        <x:f>Members!F891</x:f>
        <x:v>482000</x:v>
      </x:c>
      <x:c r="G891" s="46" t="n">
        <x:f>MAX(0,Assumptions!$B$10-C891)</x:f>
        <x:v>0</x:v>
      </x:c>
      <x:c r="H891" s="50" t="n">
        <x:f>IF(B891="Active",E891*(1+Assumptions!$B$7)^G891,E891)</x:f>
        <x:v>0</x:v>
      </x:c>
      <x:c r="I891" s="50" t="n">
        <x:f>IF(B891="Active",MIN(Assumptions!$B$12,D891+G891),IF(B891="Deferred",MIN(Assumptions!$B$12,D891),D891))</x:f>
        <x:v>34.8</x:v>
      </x:c>
      <x:c r="J891" s="50" t="n">
        <x:f>IF(B891="Active",H891*I891*Assumptions!$B$11,IF(B891="Deferred",E891*I891*Assumptions!$B$11*(1+Assumptions!$B$9)^G891,F891))</x:f>
        <x:v>482000</x:v>
      </x:c>
      <x:c r="K891" s="37" t="n">
        <x:f>IF(B891="Pensioner",1,VLOOKUP(Assumptions!$B$10,Mortality!$A$2:$F$104,6,FALSE)/VLOOKUP(C891,Mortality!$A$2:$F$104,6,FALSE))</x:f>
        <x:v>1</x:v>
      </x:c>
      <x:c r="L891" s="37" t="n">
        <x:f>VLOOKUP(IF(B891="Pensioner",C891,Assumptions!$B$10),Mortality!$A$2:$E$104,5,FALSE)</x:f>
        <x:v>5.822832972912483</x:v>
      </x:c>
      <x:c r="M891" s="37" t="n">
        <x:f>1+Assumptions!$B$13*Assumptions!$B$14*Assumptions!$B$15</x:f>
        <x:v>1.31875</x:v>
      </x:c>
      <x:c r="N891" s="37" t="n">
        <x:f>IF(B891="Pensioner",1,1/(1+Assumptions!$B$6)^G891)</x:f>
        <x:v>1</x:v>
      </x:c>
      <x:c r="O891" s="50" t="n">
        <x:f>J891*K891*L891*M891*N891</x:f>
        <x:v>3701210.9938196586</x:v>
      </x:c>
    </x:row>
    <x:row r="892">
      <x:c r="A892" s="42" t="str">
        <x:f>Members!A892</x:f>
        <x:v>P0079</x:v>
      </x:c>
      <x:c r="B892" s="42" t="str">
        <x:f>Members!B892</x:f>
        <x:v>Pensioner</x:v>
      </x:c>
      <x:c r="C892" s="42" t="n">
        <x:f>Members!C892</x:f>
        <x:v>77</x:v>
      </x:c>
      <x:c r="D892" s="44" t="n">
        <x:f>Members!D892</x:f>
        <x:v>23.7</x:v>
      </x:c>
      <x:c r="E892" s="48" t="n">
        <x:f>Members!E892</x:f>
        <x:v>0</x:v>
      </x:c>
      <x:c r="F892" s="48" t="n">
        <x:f>Members!F892</x:f>
        <x:v>312000</x:v>
      </x:c>
      <x:c r="G892" s="46" t="n">
        <x:f>MAX(0,Assumptions!$B$10-C892)</x:f>
        <x:v>0</x:v>
      </x:c>
      <x:c r="H892" s="50" t="n">
        <x:f>IF(B892="Active",E892*(1+Assumptions!$B$7)^G892,E892)</x:f>
        <x:v>0</x:v>
      </x:c>
      <x:c r="I892" s="50" t="n">
        <x:f>IF(B892="Active",MIN(Assumptions!$B$12,D892+G892),IF(B892="Deferred",MIN(Assumptions!$B$12,D892),D892))</x:f>
        <x:v>23.7</x:v>
      </x:c>
      <x:c r="J892" s="50" t="n">
        <x:f>IF(B892="Active",H892*I892*Assumptions!$B$11,IF(B892="Deferred",E892*I892*Assumptions!$B$11*(1+Assumptions!$B$9)^G892,F892))</x:f>
        <x:v>312000</x:v>
      </x:c>
      <x:c r="K892" s="37" t="n">
        <x:f>IF(B892="Pensioner",1,VLOOKUP(Assumptions!$B$10,Mortality!$A$2:$F$104,6,FALSE)/VLOOKUP(C892,Mortality!$A$2:$F$104,6,FALSE))</x:f>
        <x:v>1</x:v>
      </x:c>
      <x:c r="L892" s="37" t="n">
        <x:f>VLOOKUP(IF(B892="Pensioner",C892,Assumptions!$B$10),Mortality!$A$2:$E$104,5,FALSE)</x:f>
        <x:v>9.741818456431972</x:v>
      </x:c>
      <x:c r="M892" s="37" t="n">
        <x:f>1+Assumptions!$B$13*Assumptions!$B$14*Assumptions!$B$15</x:f>
        <x:v>1.31875</x:v>
      </x:c>
      <x:c r="N892" s="37" t="n">
        <x:f>IF(B892="Pensioner",1,1/(1+Assumptions!$B$6)^G892)</x:f>
        <x:v>1</x:v>
      </x:c>
      <x:c r="O892" s="50" t="n">
        <x:f>J892*K892*L892*M892*N892</x:f>
        <x:v>4008271.203898935</x:v>
      </x:c>
    </x:row>
    <x:row r="893">
      <x:c r="A893" s="42" t="str">
        <x:f>Members!A893</x:f>
        <x:v>A0431</x:v>
      </x:c>
      <x:c r="B893" s="42" t="str">
        <x:f>Members!B893</x:f>
        <x:v>Active</x:v>
      </x:c>
      <x:c r="C893" s="42" t="n">
        <x:f>Members!C893</x:f>
        <x:v>42</x:v>
      </x:c>
      <x:c r="D893" s="44" t="n">
        <x:f>Members!D893</x:f>
        <x:v>4.6</x:v>
      </x:c>
      <x:c r="E893" s="48" t="n">
        <x:f>Members!E893</x:f>
        <x:v>1033000</x:v>
      </x:c>
      <x:c r="F893" s="48" t="n">
        <x:f>Members!F893</x:f>
        <x:v>0</x:v>
      </x:c>
      <x:c r="G893" s="46" t="n">
        <x:f>MAX(0,Assumptions!$B$10-C893)</x:f>
        <x:v>18</x:v>
      </x:c>
      <x:c r="H893" s="50" t="n">
        <x:f>IF(B893="Active",E893*(1+Assumptions!$B$7)^G893,E893)</x:f>
        <x:v>2707974.652675389</x:v>
      </x:c>
      <x:c r="I893" s="50" t="n">
        <x:f>IF(B893="Active",MIN(Assumptions!$B$12,D893+G893),IF(B893="Deferred",MIN(Assumptions!$B$12,D893),D893))</x:f>
        <x:v>22.6</x:v>
      </x:c>
      <x:c r="J893" s="50" t="n">
        <x:f>IF(B893="Active",H893*I893*Assumptions!$B$11,IF(B893="Deferred",E893*I893*Assumptions!$B$11*(1+Assumptions!$B$9)^G893,F893))</x:f>
        <x:v>1020003.7858410631</x:v>
      </x:c>
      <x:c r="K893" s="37" t="n">
        <x:f>IF(B893="Pensioner",1,VLOOKUP(Assumptions!$B$10,Mortality!$A$2:$F$104,6,FALSE)/VLOOKUP(C893,Mortality!$A$2:$F$104,6,FALSE))</x:f>
        <x:v>0.9750799707838386</x:v>
      </x:c>
      <x:c r="L893" s="37" t="n">
        <x:f>VLOOKUP(IF(B893="Pensioner",C893,Assumptions!$B$10),Mortality!$A$2:$E$104,5,FALSE)</x:f>
        <x:v>17.296790022132885</x:v>
      </x:c>
      <x:c r="M893" s="37" t="n">
        <x:f>1+Assumptions!$B$13*Assumptions!$B$14*Assumptions!$B$15</x:f>
        <x:v>1.31875</x:v>
      </x:c>
      <x:c r="N893" s="37" t="n">
        <x:f>IF(B893="Pensioner",1,1/(1+Assumptions!$B$6)^G893)</x:f>
        <x:v>0.3218896851283974</x:v>
      </x:c>
      <x:c r="O893" s="50" t="n">
        <x:f>J893*K893*L893*M893*N893</x:f>
        <x:v>7302592.474761557</x:v>
      </x:c>
    </x:row>
    <x:row r="894">
      <x:c r="A894" s="42" t="str">
        <x:f>Members!A894</x:f>
        <x:v>A0041</x:v>
      </x:c>
      <x:c r="B894" s="42" t="str">
        <x:f>Members!B894</x:f>
        <x:v>Active</x:v>
      </x:c>
      <x:c r="C894" s="42" t="n">
        <x:f>Members!C894</x:f>
        <x:v>54</x:v>
      </x:c>
      <x:c r="D894" s="44" t="n">
        <x:f>Members!D894</x:f>
        <x:v>19.5</x:v>
      </x:c>
      <x:c r="E894" s="48" t="n">
        <x:f>Members!E894</x:f>
        <x:v>1260000</x:v>
      </x:c>
      <x:c r="F894" s="48" t="n">
        <x:f>Members!F894</x:f>
        <x:v>0</x:v>
      </x:c>
      <x:c r="G894" s="46" t="n">
        <x:f>MAX(0,Assumptions!$B$10-C894)</x:f>
        <x:v>6</x:v>
      </x:c>
      <x:c r="H894" s="50" t="n">
        <x:f>IF(B894="Active",E894*(1+Assumptions!$B$7)^G894,E894)</x:f>
        <x:v>1737341.9365199818</x:v>
      </x:c>
      <x:c r="I894" s="50" t="n">
        <x:f>IF(B894="Active",MIN(Assumptions!$B$12,D894+G894),IF(B894="Deferred",MIN(Assumptions!$B$12,D894),D894))</x:f>
        <x:v>25.5</x:v>
      </x:c>
      <x:c r="J894" s="50" t="n">
        <x:f>IF(B894="Active",H894*I894*Assumptions!$B$11,IF(B894="Deferred",E894*I894*Assumptions!$B$11*(1+Assumptions!$B$9)^G894,F894))</x:f>
        <x:v>738370.3230209923</x:v>
      </x:c>
      <x:c r="K894" s="37" t="n">
        <x:f>IF(B894="Pensioner",1,VLOOKUP(Assumptions!$B$10,Mortality!$A$2:$F$104,6,FALSE)/VLOOKUP(C894,Mortality!$A$2:$F$104,6,FALSE))</x:f>
        <x:v>0.9865535119056937</x:v>
      </x:c>
      <x:c r="L894" s="37" t="n">
        <x:f>VLOOKUP(IF(B894="Pensioner",C894,Assumptions!$B$10),Mortality!$A$2:$E$104,5,FALSE)</x:f>
        <x:v>17.296790022132885</x:v>
      </x:c>
      <x:c r="M894" s="37" t="n">
        <x:f>1+Assumptions!$B$13*Assumptions!$B$14*Assumptions!$B$15</x:f>
        <x:v>1.31875</x:v>
      </x:c>
      <x:c r="N894" s="37" t="n">
        <x:f>IF(B894="Pensioner",1,1/(1+Assumptions!$B$6)^G894)</x:f>
        <x:v>0.6853341187990187</x:v>
      </x:c>
      <x:c r="O894" s="50" t="n">
        <x:f>J894*K894*L894*M894*N894</x:f>
        <x:v>11387416.857973743</x:v>
      </x:c>
    </x:row>
    <x:row r="895">
      <x:c r="A895" s="42" t="str">
        <x:f>Members!A895</x:f>
        <x:v>D0049</x:v>
      </x:c>
      <x:c r="B895" s="42" t="str">
        <x:f>Members!B895</x:f>
        <x:v>Deferred</x:v>
      </x:c>
      <x:c r="C895" s="42" t="n">
        <x:f>Members!C895</x:f>
        <x:v>37</x:v>
      </x:c>
      <x:c r="D895" s="44" t="n">
        <x:f>Members!D895</x:f>
        <x:v>8</x:v>
      </x:c>
      <x:c r="E895" s="48" t="n">
        <x:f>Members!E895</x:f>
        <x:v>595000</x:v>
      </x:c>
      <x:c r="F895" s="48" t="n">
        <x:f>Members!F895</x:f>
        <x:v>0</x:v>
      </x:c>
      <x:c r="G895" s="46" t="n">
        <x:f>MAX(0,Assumptions!$B$10-C895)</x:f>
        <x:v>23</x:v>
      </x:c>
      <x:c r="H895" s="50" t="n">
        <x:f>IF(B895="Active",E895*(1+Assumptions!$B$7)^G895,E895)</x:f>
        <x:v>595000</x:v>
      </x:c>
      <x:c r="I895" s="50" t="n">
        <x:f>IF(B895="Active",MIN(Assumptions!$B$12,D895+G895),IF(B895="Deferred",MIN(Assumptions!$B$12,D895),D895))</x:f>
        <x:v>8</x:v>
      </x:c>
      <x:c r="J895" s="50" t="n">
        <x:f>IF(B895="Active",H895*I895*Assumptions!$B$11,IF(B895="Deferred",E895*I895*Assumptions!$B$11*(1+Assumptions!$B$9)^G895,F895))</x:f>
        <x:v>195534.0997577683</x:v>
      </x:c>
      <x:c r="K895" s="37" t="n">
        <x:f>IF(B895="Pensioner",1,VLOOKUP(Assumptions!$B$10,Mortality!$A$2:$F$104,6,FALSE)/VLOOKUP(C895,Mortality!$A$2:$F$104,6,FALSE))</x:f>
        <x:v>0.9727356141265188</x:v>
      </x:c>
      <x:c r="L895" s="37" t="n">
        <x:f>VLOOKUP(IF(B895="Pensioner",C895,Assumptions!$B$10),Mortality!$A$2:$E$104,5,FALSE)</x:f>
        <x:v>17.296790022132885</x:v>
      </x:c>
      <x:c r="M895" s="37" t="n">
        <x:f>1+Assumptions!$B$13*Assumptions!$B$14*Assumptions!$B$15</x:f>
        <x:v>1.31875</x:v>
      </x:c>
      <x:c r="N895" s="37" t="n">
        <x:f>IF(B895="Pensioner",1,1/(1+Assumptions!$B$6)^G895)</x:f>
        <x:v>0.23494111264898151</x:v>
      </x:c>
      <x:c r="O895" s="50" t="n">
        <x:f>J895*K895*L895*M895*N895</x:f>
        <x:v>1019305.4117041079</x:v>
      </x:c>
    </x:row>
    <x:row r="896">
      <x:c r="A896" s="42" t="str">
        <x:f>Members!A896</x:f>
        <x:v>A0094</x:v>
      </x:c>
      <x:c r="B896" s="42" t="str">
        <x:f>Members!B896</x:f>
        <x:v>Active</x:v>
      </x:c>
      <x:c r="C896" s="42" t="n">
        <x:f>Members!C896</x:f>
        <x:v>47</x:v>
      </x:c>
      <x:c r="D896" s="44" t="n">
        <x:f>Members!D896</x:f>
        <x:v>12.2</x:v>
      </x:c>
      <x:c r="E896" s="48" t="n">
        <x:f>Members!E896</x:f>
        <x:v>1116000</x:v>
      </x:c>
      <x:c r="F896" s="48" t="n">
        <x:f>Members!F896</x:f>
        <x:v>0</x:v>
      </x:c>
      <x:c r="G896" s="46" t="n">
        <x:f>MAX(0,Assumptions!$B$10-C896)</x:f>
        <x:v>13</x:v>
      </x:c>
      <x:c r="H896" s="50" t="n">
        <x:f>IF(B896="Active",E896*(1+Assumptions!$B$7)^G896,E896)</x:f>
        <x:v>2238443.66958294</x:v>
      </x:c>
      <x:c r="I896" s="50" t="n">
        <x:f>IF(B896="Active",MIN(Assumptions!$B$12,D896+G896),IF(B896="Deferred",MIN(Assumptions!$B$12,D896),D896))</x:f>
        <x:v>25.2</x:v>
      </x:c>
      <x:c r="J896" s="50" t="n">
        <x:f>IF(B896="Active",H896*I896*Assumptions!$B$11,IF(B896="Deferred",E896*I896*Assumptions!$B$11*(1+Assumptions!$B$9)^G896,F896))</x:f>
        <x:v>940146.3412248348</x:v>
      </x:c>
      <x:c r="K896" s="37" t="n">
        <x:f>IF(B896="Pensioner",1,VLOOKUP(Assumptions!$B$10,Mortality!$A$2:$F$104,6,FALSE)/VLOOKUP(C896,Mortality!$A$2:$F$104,6,FALSE))</x:f>
        <x:v>0.9784451675747989</x:v>
      </x:c>
      <x:c r="L896" s="37" t="n">
        <x:f>VLOOKUP(IF(B896="Pensioner",C896,Assumptions!$B$10),Mortality!$A$2:$E$104,5,FALSE)</x:f>
        <x:v>17.296790022132885</x:v>
      </x:c>
      <x:c r="M896" s="37" t="n">
        <x:f>1+Assumptions!$B$13*Assumptions!$B$14*Assumptions!$B$15</x:f>
        <x:v>1.31875</x:v>
      </x:c>
      <x:c r="N896" s="37" t="n">
        <x:f>IF(B896="Pensioner",1,1/(1+Assumptions!$B$6)^G896)</x:f>
        <x:v>0.4410167646854719</x:v>
      </x:c>
      <x:c r="O896" s="50" t="n">
        <x:f>J896*K896*L896*M896*N896</x:f>
        <x:v>9253691.943821337</x:v>
      </x:c>
    </x:row>
    <x:row r="897">
      <x:c r="A897" s="42" t="str">
        <x:f>Members!A897</x:f>
        <x:v>A0355</x:v>
      </x:c>
      <x:c r="B897" s="42" t="str">
        <x:f>Members!B897</x:f>
        <x:v>Active</x:v>
      </x:c>
      <x:c r="C897" s="42" t="n">
        <x:f>Members!C897</x:f>
        <x:v>28</x:v>
      </x:c>
      <x:c r="D897" s="44" t="n">
        <x:f>Members!D897</x:f>
        <x:v>1.5</x:v>
      </x:c>
      <x:c r="E897" s="48" t="n">
        <x:f>Members!E897</x:f>
        <x:v>586000</x:v>
      </x:c>
      <x:c r="F897" s="48" t="n">
        <x:f>Members!F897</x:f>
        <x:v>0</x:v>
      </x:c>
      <x:c r="G897" s="46" t="n">
        <x:f>MAX(0,Assumptions!$B$10-C897)</x:f>
        <x:v>32</x:v>
      </x:c>
      <x:c r="H897" s="50" t="n">
        <x:f>IF(B897="Active",E897*(1+Assumptions!$B$7)^G897,E897)</x:f>
        <x:v>3250695.756300824</x:v>
      </x:c>
      <x:c r="I897" s="50" t="n">
        <x:f>IF(B897="Active",MIN(Assumptions!$B$12,D897+G897),IF(B897="Deferred",MIN(Assumptions!$B$12,D897),D897))</x:f>
        <x:v>33.5</x:v>
      </x:c>
      <x:c r="J897" s="50" t="n">
        <x:f>IF(B897="Active",H897*I897*Assumptions!$B$11,IF(B897="Deferred",E897*I897*Assumptions!$B$11*(1+Assumptions!$B$9)^G897,F897))</x:f>
        <x:v>1814971.7972679602</x:v>
      </x:c>
      <x:c r="K897" s="37" t="n">
        <x:f>IF(B897="Pensioner",1,VLOOKUP(Assumptions!$B$10,Mortality!$A$2:$F$104,6,FALSE)/VLOOKUP(C897,Mortality!$A$2:$F$104,6,FALSE))</x:f>
        <x:v>0.9697719614347323</x:v>
      </x:c>
      <x:c r="L897" s="37" t="n">
        <x:f>VLOOKUP(IF(B897="Pensioner",C897,Assumptions!$B$10),Mortality!$A$2:$E$104,5,FALSE)</x:f>
        <x:v>17.296790022132885</x:v>
      </x:c>
      <x:c r="M897" s="37" t="n">
        <x:f>1+Assumptions!$B$13*Assumptions!$B$14*Assumptions!$B$15</x:f>
        <x:v>1.31875</x:v>
      </x:c>
      <x:c r="N897" s="37" t="n">
        <x:f>IF(B897="Pensioner",1,1/(1+Assumptions!$B$6)^G897)</x:f>
        <x:v>0.13329459861122173</x:v>
      </x:c>
      <x:c r="O897" s="50" t="n">
        <x:f>J897*K897*L897*M897*N897</x:f>
        <x:v>5351555.594575981</x:v>
      </x:c>
    </x:row>
    <x:row r="898">
      <x:c r="A898" s="42" t="str">
        <x:f>Members!A898</x:f>
        <x:v>A0138</x:v>
      </x:c>
      <x:c r="B898" s="42" t="str">
        <x:f>Members!B898</x:f>
        <x:v>Active</x:v>
      </x:c>
      <x:c r="C898" s="42" t="n">
        <x:f>Members!C898</x:f>
        <x:v>44</x:v>
      </x:c>
      <x:c r="D898" s="44" t="n">
        <x:f>Members!D898</x:f>
        <x:v>7.3</x:v>
      </x:c>
      <x:c r="E898" s="48" t="n">
        <x:f>Members!E898</x:f>
        <x:v>1187000</x:v>
      </x:c>
      <x:c r="F898" s="48" t="n">
        <x:f>Members!F898</x:f>
        <x:v>0</x:v>
      </x:c>
      <x:c r="G898" s="46" t="n">
        <x:f>MAX(0,Assumptions!$B$10-C898)</x:f>
        <x:v>16</x:v>
      </x:c>
      <x:c r="H898" s="50" t="n">
        <x:f>IF(B898="Active",E898*(1+Assumptions!$B$7)^G898,E898)</x:f>
        <x:v>2795696.824082201</x:v>
      </x:c>
      <x:c r="I898" s="50" t="n">
        <x:f>IF(B898="Active",MIN(Assumptions!$B$12,D898+G898),IF(B898="Deferred",MIN(Assumptions!$B$12,D898),D898))</x:f>
        <x:v>23.3</x:v>
      </x:c>
      <x:c r="J898" s="50" t="n">
        <x:f>IF(B898="Active",H898*I898*Assumptions!$B$11,IF(B898="Deferred",E898*I898*Assumptions!$B$11*(1+Assumptions!$B$9)^G898,F898))</x:f>
        <x:v>1085662.2666852546</x:v>
      </x:c>
      <x:c r="K898" s="37" t="n">
        <x:f>IF(B898="Pensioner",1,VLOOKUP(Assumptions!$B$10,Mortality!$A$2:$F$104,6,FALSE)/VLOOKUP(C898,Mortality!$A$2:$F$104,6,FALSE))</x:f>
        <x:v>0.9762682212178733</x:v>
      </x:c>
      <x:c r="L898" s="37" t="n">
        <x:f>VLOOKUP(IF(B898="Pensioner",C898,Assumptions!$B$10),Mortality!$A$2:$E$104,5,FALSE)</x:f>
        <x:v>17.296790022132885</x:v>
      </x:c>
      <x:c r="M898" s="37" t="n">
        <x:f>1+Assumptions!$B$13*Assumptions!$B$14*Assumptions!$B$15</x:f>
        <x:v>1.31875</x:v>
      </x:c>
      <x:c r="N898" s="37" t="n">
        <x:f>IF(B898="Pensioner",1,1/(1+Assumptions!$B$6)^G898)</x:f>
        <x:v>0.3650953281147565</x:v>
      </x:c>
      <x:c r="O898" s="50" t="n">
        <x:f>J898*K898*L898*M898*N898</x:f>
        <x:v>8826695.768377822</x:v>
      </x:c>
    </x:row>
    <x:row r="899">
      <x:c r="A899" s="42" t="str">
        <x:f>Members!A899</x:f>
        <x:v>A0329</x:v>
      </x:c>
      <x:c r="B899" s="42" t="str">
        <x:f>Members!B899</x:f>
        <x:v>Active</x:v>
      </x:c>
      <x:c r="C899" s="42" t="n">
        <x:f>Members!C899</x:f>
        <x:v>29</x:v>
      </x:c>
      <x:c r="D899" s="44" t="n">
        <x:f>Members!D899</x:f>
        <x:v>2.9</x:v>
      </x:c>
      <x:c r="E899" s="48" t="n">
        <x:f>Members!E899</x:f>
        <x:v>482000</x:v>
      </x:c>
      <x:c r="F899" s="48" t="n">
        <x:f>Members!F899</x:f>
        <x:v>0</x:v>
      </x:c>
      <x:c r="G899" s="46" t="n">
        <x:f>MAX(0,Assumptions!$B$10-C899)</x:f>
        <x:v>31</x:v>
      </x:c>
      <x:c r="H899" s="50" t="n">
        <x:f>IF(B899="Active",E899*(1+Assumptions!$B$7)^G899,E899)</x:f>
        <x:v>2534389.069661772</x:v>
      </x:c>
      <x:c r="I899" s="50" t="n">
        <x:f>IF(B899="Active",MIN(Assumptions!$B$12,D899+G899),IF(B899="Deferred",MIN(Assumptions!$B$12,D899),D899))</x:f>
        <x:v>33.9</x:v>
      </x:c>
      <x:c r="J899" s="50" t="n">
        <x:f>IF(B899="Active",H899*I899*Assumptions!$B$11,IF(B899="Deferred",E899*I899*Assumptions!$B$11*(1+Assumptions!$B$9)^G899,F899))</x:f>
        <x:v>1431929.824358901</x:v>
      </x:c>
      <x:c r="K899" s="37" t="n">
        <x:f>IF(B899="Pensioner",1,VLOOKUP(Assumptions!$B$10,Mortality!$A$2:$F$104,6,FALSE)/VLOOKUP(C899,Mortality!$A$2:$F$104,6,FALSE))</x:f>
        <x:v>0.9700544954739736</x:v>
      </x:c>
      <x:c r="L899" s="37" t="n">
        <x:f>VLOOKUP(IF(B899="Pensioner",C899,Assumptions!$B$10),Mortality!$A$2:$E$104,5,FALSE)</x:f>
        <x:v>17.296790022132885</x:v>
      </x:c>
      <x:c r="M899" s="37" t="n">
        <x:f>1+Assumptions!$B$13*Assumptions!$B$14*Assumptions!$B$15</x:f>
        <x:v>1.31875</x:v>
      </x:c>
      <x:c r="N899" s="37" t="n">
        <x:f>IF(B899="Pensioner",1,1/(1+Assumptions!$B$6)^G899)</x:f>
        <x:v>0.1419587475209511</x:v>
      </x:c>
      <x:c r="O899" s="50" t="n">
        <x:f>J899*K899*L899*M899*N899</x:f>
        <x:v>4497881.528630196</x:v>
      </x:c>
    </x:row>
    <x:row r="900">
      <x:c r="A900" s="42" t="str">
        <x:f>Members!A900</x:f>
        <x:v>A0601</x:v>
      </x:c>
      <x:c r="B900" s="42" t="str">
        <x:f>Members!B900</x:f>
        <x:v>Active</x:v>
      </x:c>
      <x:c r="C900" s="42" t="n">
        <x:f>Members!C900</x:f>
        <x:v>59</x:v>
      </x:c>
      <x:c r="D900" s="44" t="n">
        <x:f>Members!D900</x:f>
        <x:v>11.1</x:v>
      </x:c>
      <x:c r="E900" s="48" t="n">
        <x:f>Members!E900</x:f>
        <x:v>2092000</x:v>
      </x:c>
      <x:c r="F900" s="48" t="n">
        <x:f>Members!F900</x:f>
        <x:v>0</x:v>
      </x:c>
      <x:c r="G900" s="46" t="n">
        <x:f>MAX(0,Assumptions!$B$10-C900)</x:f>
        <x:v>1</x:v>
      </x:c>
      <x:c r="H900" s="50" t="n">
        <x:f>IF(B900="Active",E900*(1+Assumptions!$B$7)^G900,E900)</x:f>
        <x:v>2207060</x:v>
      </x:c>
      <x:c r="I900" s="50" t="n">
        <x:f>IF(B900="Active",MIN(Assumptions!$B$12,D900+G900),IF(B900="Deferred",MIN(Assumptions!$B$12,D900),D900))</x:f>
        <x:v>12.1</x:v>
      </x:c>
      <x:c r="J900" s="50" t="n">
        <x:f>IF(B900="Active",H900*I900*Assumptions!$B$11,IF(B900="Deferred",E900*I900*Assumptions!$B$11*(1+Assumptions!$B$9)^G900,F900))</x:f>
        <x:v>445090.43333333335</x:v>
      </x:c>
      <x:c r="K900" s="37" t="n">
        <x:f>IF(B900="Pensioner",1,VLOOKUP(Assumptions!$B$10,Mortality!$A$2:$F$104,6,FALSE)/VLOOKUP(C900,Mortality!$A$2:$F$104,6,FALSE))</x:f>
        <x:v>0.9971096011831975</x:v>
      </x:c>
      <x:c r="L900" s="37" t="n">
        <x:f>VLOOKUP(IF(B900="Pensioner",C900,Assumptions!$B$10),Mortality!$A$2:$E$104,5,FALSE)</x:f>
        <x:v>17.296790022132885</x:v>
      </x:c>
      <x:c r="M900" s="37" t="n">
        <x:f>1+Assumptions!$B$13*Assumptions!$B$14*Assumptions!$B$15</x:f>
        <x:v>1.31875</x:v>
      </x:c>
      <x:c r="N900" s="37" t="n">
        <x:f>IF(B900="Pensioner",1,1/(1+Assumptions!$B$6)^G900)</x:f>
        <x:v>0.9389671361502347</x:v>
      </x:c>
      <x:c r="O900" s="50" t="n">
        <x:f>J900*K900*L900*M900*N900</x:f>
        <x:v>9505381.148633273</x:v>
      </x:c>
    </x:row>
    <x:row r="901">
      <x:c r="A901" s="42" t="str">
        <x:f>Members!A901</x:f>
        <x:v>A0375</x:v>
      </x:c>
      <x:c r="B901" s="42" t="str">
        <x:f>Members!B901</x:f>
        <x:v>Active</x:v>
      </x:c>
      <x:c r="C901" s="42" t="n">
        <x:f>Members!C901</x:f>
        <x:v>40</x:v>
      </x:c>
      <x:c r="D901" s="44" t="n">
        <x:f>Members!D901</x:f>
        <x:v>12.5</x:v>
      </x:c>
      <x:c r="E901" s="48" t="n">
        <x:f>Members!E901</x:f>
        <x:v>939000</x:v>
      </x:c>
      <x:c r="F901" s="48" t="n">
        <x:f>Members!F901</x:f>
        <x:v>0</x:v>
      </x:c>
      <x:c r="G901" s="46" t="n">
        <x:f>MAX(0,Assumptions!$B$10-C901)</x:f>
        <x:v>20</x:v>
      </x:c>
      <x:c r="H901" s="50" t="n">
        <x:f>IF(B901="Active",E901*(1+Assumptions!$B$7)^G901,E901)</x:f>
        <x:v>2739774.28367724</x:v>
      </x:c>
      <x:c r="I901" s="50" t="n">
        <x:f>IF(B901="Active",MIN(Assumptions!$B$12,D901+G901),IF(B901="Deferred",MIN(Assumptions!$B$12,D901),D901))</x:f>
        <x:v>32.5</x:v>
      </x:c>
      <x:c r="J901" s="50" t="n">
        <x:f>IF(B901="Active",H901*I901*Assumptions!$B$11,IF(B901="Deferred",E901*I901*Assumptions!$B$11*(1+Assumptions!$B$9)^G901,F901))</x:f>
        <x:v>1484044.403658505</x:v>
      </x:c>
      <x:c r="K901" s="37" t="n">
        <x:f>IF(B901="Pensioner",1,VLOOKUP(Assumptions!$B$10,Mortality!$A$2:$F$104,6,FALSE)/VLOOKUP(C901,Mortality!$A$2:$F$104,6,FALSE))</x:f>
        <x:v>0.9740511243198767</x:v>
      </x:c>
      <x:c r="L901" s="37" t="n">
        <x:f>VLOOKUP(IF(B901="Pensioner",C901,Assumptions!$B$10),Mortality!$A$2:$E$104,5,FALSE)</x:f>
        <x:v>17.296790022132885</x:v>
      </x:c>
      <x:c r="M901" s="37" t="n">
        <x:f>1+Assumptions!$B$13*Assumptions!$B$14*Assumptions!$B$15</x:f>
        <x:v>1.31875</x:v>
      </x:c>
      <x:c r="N901" s="37" t="n">
        <x:f>IF(B901="Pensioner",1,1/(1+Assumptions!$B$6)^G901)</x:f>
        <x:v>0.2837970289214199</x:v>
      </x:c>
      <x:c r="O901" s="50" t="n">
        <x:f>J901*K901*L901*M901*N901</x:f>
        <x:v>9357600.02163583</x:v>
      </x:c>
    </x:row>
    <x:row r="902">
      <x:c r="A902" s="42" t="str">
        <x:f>Members!A902</x:f>
        <x:v>A0292</x:v>
      </x:c>
      <x:c r="B902" s="42" t="str">
        <x:f>Members!B902</x:f>
        <x:v>Active</x:v>
      </x:c>
      <x:c r="C902" s="42" t="n">
        <x:f>Members!C902</x:f>
        <x:v>32</x:v>
      </x:c>
      <x:c r="D902" s="44" t="n">
        <x:f>Members!D902</x:f>
        <x:v>4.9</x:v>
      </x:c>
      <x:c r="E902" s="48" t="n">
        <x:f>Members!E902</x:f>
        <x:v>636000</x:v>
      </x:c>
      <x:c r="F902" s="48" t="n">
        <x:f>Members!F902</x:f>
        <x:v>0</x:v>
      </x:c>
      <x:c r="G902" s="46" t="n">
        <x:f>MAX(0,Assumptions!$B$10-C902)</x:f>
        <x:v>28</x:v>
      </x:c>
      <x:c r="H902" s="50" t="n">
        <x:f>IF(B902="Active",E902*(1+Assumptions!$B$7)^G902,E902)</x:f>
        <x:v>2847908.195610394</x:v>
      </x:c>
      <x:c r="I902" s="50" t="n">
        <x:f>IF(B902="Active",MIN(Assumptions!$B$12,D902+G902),IF(B902="Deferred",MIN(Assumptions!$B$12,D902),D902))</x:f>
        <x:v>32.9</x:v>
      </x:c>
      <x:c r="J902" s="50" t="n">
        <x:f>IF(B902="Active",H902*I902*Assumptions!$B$11,IF(B902="Deferred",E902*I902*Assumptions!$B$11*(1+Assumptions!$B$9)^G902,F902))</x:f>
        <x:v>1561602.9939263659</x:v>
      </x:c>
      <x:c r="K902" s="37" t="n">
        <x:f>IF(B902="Pensioner",1,VLOOKUP(Assumptions!$B$10,Mortality!$A$2:$F$104,6,FALSE)/VLOOKUP(C902,Mortality!$A$2:$F$104,6,FALSE))</x:f>
        <x:v>0.9709584687664957</x:v>
      </x:c>
      <x:c r="L902" s="37" t="n">
        <x:f>VLOOKUP(IF(B902="Pensioner",C902,Assumptions!$B$10),Mortality!$A$2:$E$104,5,FALSE)</x:f>
        <x:v>17.296790022132885</x:v>
      </x:c>
      <x:c r="M902" s="37" t="n">
        <x:f>1+Assumptions!$B$13*Assumptions!$B$14*Assumptions!$B$15</x:f>
        <x:v>1.31875</x:v>
      </x:c>
      <x:c r="N902" s="37" t="n">
        <x:f>IF(B902="Pensioner",1,1/(1+Assumptions!$B$6)^G902)</x:f>
        <x:v>0.17147901583340255</x:v>
      </x:c>
      <x:c r="O902" s="50" t="n">
        <x:f>J902*K902*L902*M902*N902</x:f>
        <x:v>5930758.707968504</x:v>
      </x:c>
    </x:row>
    <x:row r="903">
      <x:c r="A903" s="42" t="str">
        <x:f>Members!A903</x:f>
        <x:v>A0175</x:v>
      </x:c>
      <x:c r="B903" s="42" t="str">
        <x:f>Members!B903</x:f>
        <x:v>Active</x:v>
      </x:c>
      <x:c r="C903" s="42" t="n">
        <x:f>Members!C903</x:f>
        <x:v>29</x:v>
      </x:c>
      <x:c r="D903" s="44" t="n">
        <x:f>Members!D903</x:f>
        <x:v>2.9</x:v>
      </x:c>
      <x:c r="E903" s="48" t="n">
        <x:f>Members!E903</x:f>
        <x:v>495000</x:v>
      </x:c>
      <x:c r="F903" s="48" t="n">
        <x:f>Members!F903</x:f>
        <x:v>0</x:v>
      </x:c>
      <x:c r="G903" s="46" t="n">
        <x:f>MAX(0,Assumptions!$B$10-C903)</x:f>
        <x:v>31</x:v>
      </x:c>
      <x:c r="H903" s="50" t="n">
        <x:f>IF(B903="Active",E903*(1+Assumptions!$B$7)^G903,E903)</x:f>
        <x:v>2602743.96158211</x:v>
      </x:c>
      <x:c r="I903" s="50" t="n">
        <x:f>IF(B903="Active",MIN(Assumptions!$B$12,D903+G903),IF(B903="Deferred",MIN(Assumptions!$B$12,D903),D903))</x:f>
        <x:v>33.9</x:v>
      </x:c>
      <x:c r="J903" s="50" t="n">
        <x:f>IF(B903="Active",H903*I903*Assumptions!$B$11,IF(B903="Deferred",E903*I903*Assumptions!$B$11*(1+Assumptions!$B$9)^G903,F903))</x:f>
        <x:v>1470550.3382938919</x:v>
      </x:c>
      <x:c r="K903" s="37" t="n">
        <x:f>IF(B903="Pensioner",1,VLOOKUP(Assumptions!$B$10,Mortality!$A$2:$F$104,6,FALSE)/VLOOKUP(C903,Mortality!$A$2:$F$104,6,FALSE))</x:f>
        <x:v>0.9700544954739736</x:v>
      </x:c>
      <x:c r="L903" s="37" t="n">
        <x:f>VLOOKUP(IF(B903="Pensioner",C903,Assumptions!$B$10),Mortality!$A$2:$E$104,5,FALSE)</x:f>
        <x:v>17.296790022132885</x:v>
      </x:c>
      <x:c r="M903" s="37" t="n">
        <x:f>1+Assumptions!$B$13*Assumptions!$B$14*Assumptions!$B$15</x:f>
        <x:v>1.31875</x:v>
      </x:c>
      <x:c r="N903" s="37" t="n">
        <x:f>IF(B903="Pensioner",1,1/(1+Assumptions!$B$6)^G903)</x:f>
        <x:v>0.1419587475209511</x:v>
      </x:c>
      <x:c r="O903" s="50" t="n">
        <x:f>J903*K903*L903*M903*N903</x:f>
        <x:v>4619193.686041383</x:v>
      </x:c>
    </x:row>
    <x:row r="904">
      <x:c r="A904" s="42" t="str">
        <x:f>Members!A904</x:f>
        <x:v>A0217</x:v>
      </x:c>
      <x:c r="B904" s="42" t="str">
        <x:f>Members!B904</x:f>
        <x:v>Active</x:v>
      </x:c>
      <x:c r="C904" s="42" t="n">
        <x:f>Members!C904</x:f>
        <x:v>46</x:v>
      </x:c>
      <x:c r="D904" s="44" t="n">
        <x:f>Members!D904</x:f>
        <x:v>12.4</x:v>
      </x:c>
      <x:c r="E904" s="48" t="n">
        <x:f>Members!E904</x:f>
        <x:v>964000</x:v>
      </x:c>
      <x:c r="F904" s="48" t="n">
        <x:f>Members!F904</x:f>
        <x:v>0</x:v>
      </x:c>
      <x:c r="G904" s="46" t="n">
        <x:f>MAX(0,Assumptions!$B$10-C904)</x:f>
        <x:v>14</x:v>
      </x:c>
      <x:c r="H904" s="50" t="n">
        <x:f>IF(B904="Active",E904*(1+Assumptions!$B$7)^G904,E904)</x:f>
        <x:v>2039912.1692107902</x:v>
      </x:c>
      <x:c r="I904" s="50" t="n">
        <x:f>IF(B904="Active",MIN(Assumptions!$B$12,D904+G904),IF(B904="Deferred",MIN(Assumptions!$B$12,D904),D904))</x:f>
        <x:v>26.4</x:v>
      </x:c>
      <x:c r="J904" s="50" t="n">
        <x:f>IF(B904="Active",H904*I904*Assumptions!$B$11,IF(B904="Deferred",E904*I904*Assumptions!$B$11*(1+Assumptions!$B$9)^G904,F904))</x:f>
        <x:v>897561.3544527476</x:v>
      </x:c>
      <x:c r="K904" s="37" t="n">
        <x:f>IF(B904="Pensioner",1,VLOOKUP(Assumptions!$B$10,Mortality!$A$2:$F$104,6,FALSE)/VLOOKUP(C904,Mortality!$A$2:$F$104,6,FALSE))</x:f>
        <x:v>0.9776582328304806</x:v>
      </x:c>
      <x:c r="L904" s="37" t="n">
        <x:f>VLOOKUP(IF(B904="Pensioner",C904,Assumptions!$B$10),Mortality!$A$2:$E$104,5,FALSE)</x:f>
        <x:v>17.296790022132885</x:v>
      </x:c>
      <x:c r="M904" s="37" t="n">
        <x:f>1+Assumptions!$B$13*Assumptions!$B$14*Assumptions!$B$15</x:f>
        <x:v>1.31875</x:v>
      </x:c>
      <x:c r="N904" s="37" t="n">
        <x:f>IF(B904="Pensioner",1,1/(1+Assumptions!$B$6)^G904)</x:f>
        <x:v>0.41410024853095956</x:v>
      </x:c>
      <x:c r="O904" s="50" t="n">
        <x:f>J904*K904*L904*M904*N904</x:f>
        <x:v>8288666.848193468</x:v>
      </x:c>
    </x:row>
    <x:row r="905">
      <x:c r="A905" s="42" t="str">
        <x:f>Members!A905</x:f>
        <x:v>A0568</x:v>
      </x:c>
      <x:c r="B905" s="42" t="str">
        <x:f>Members!B905</x:f>
        <x:v>Active</x:v>
      </x:c>
      <x:c r="C905" s="42" t="n">
        <x:f>Members!C905</x:f>
        <x:v>24</x:v>
      </x:c>
      <x:c r="D905" s="44" t="n">
        <x:f>Members!D905</x:f>
        <x:v>1</x:v>
      </x:c>
      <x:c r="E905" s="48" t="n">
        <x:f>Members!E905</x:f>
        <x:v>506000</x:v>
      </x:c>
      <x:c r="F905" s="48" t="n">
        <x:f>Members!F905</x:f>
        <x:v>0</x:v>
      </x:c>
      <x:c r="G905" s="46" t="n">
        <x:f>MAX(0,Assumptions!$B$10-C905)</x:f>
        <x:v>36</x:v>
      </x:c>
      <x:c r="H905" s="50" t="n">
        <x:f>IF(B905="Active",E905*(1+Assumptions!$B$7)^G905,E905)</x:f>
        <x:v>3477275.2039271235</x:v>
      </x:c>
      <x:c r="I905" s="50" t="n">
        <x:f>IF(B905="Active",MIN(Assumptions!$B$12,D905+G905),IF(B905="Deferred",MIN(Assumptions!$B$12,D905),D905))</x:f>
        <x:v>37</x:v>
      </x:c>
      <x:c r="J905" s="50" t="n">
        <x:f>IF(B905="Active",H905*I905*Assumptions!$B$11,IF(B905="Deferred",E905*I905*Assumptions!$B$11*(1+Assumptions!$B$9)^G905,F905))</x:f>
        <x:v>2144319.7090883926</x:v>
      </x:c>
      <x:c r="K905" s="37" t="n">
        <x:f>IF(B905="Pensioner",1,VLOOKUP(Assumptions!$B$10,Mortality!$A$2:$F$104,6,FALSE)/VLOOKUP(C905,Mortality!$A$2:$F$104,6,FALSE))</x:f>
        <x:v>0.9687108670060764</x:v>
      </x:c>
      <x:c r="L905" s="37" t="n">
        <x:f>VLOOKUP(IF(B905="Pensioner",C905,Assumptions!$B$10),Mortality!$A$2:$E$104,5,FALSE)</x:f>
        <x:v>17.296790022132885</x:v>
      </x:c>
      <x:c r="M905" s="37" t="n">
        <x:f>1+Assumptions!$B$13*Assumptions!$B$14*Assumptions!$B$15</x:f>
        <x:v>1.31875</x:v>
      </x:c>
      <x:c r="N905" s="37" t="n">
        <x:f>IF(B905="Pensioner",1,1/(1+Assumptions!$B$6)^G905)</x:f>
        <x:v>0.10361296939205883</x:v>
      </x:c>
      <x:c r="O905" s="50" t="n">
        <x:f>J905*K905*L905*M905*N905</x:f>
        <x:v>4909370.572049558</x:v>
      </x:c>
    </x:row>
    <x:row r="906">
      <x:c r="A906" s="42" t="str">
        <x:f>Members!A906</x:f>
        <x:v>A0034</x:v>
      </x:c>
      <x:c r="B906" s="42" t="str">
        <x:f>Members!B906</x:f>
        <x:v>Active</x:v>
      </x:c>
      <x:c r="C906" s="42" t="n">
        <x:f>Members!C906</x:f>
        <x:v>42</x:v>
      </x:c>
      <x:c r="D906" s="44" t="n">
        <x:f>Members!D906</x:f>
        <x:v>15.7</x:v>
      </x:c>
      <x:c r="E906" s="48" t="n">
        <x:f>Members!E906</x:f>
        <x:v>1050000</x:v>
      </x:c>
      <x:c r="F906" s="48" t="n">
        <x:f>Members!F906</x:f>
        <x:v>0</x:v>
      </x:c>
      <x:c r="G906" s="46" t="n">
        <x:f>MAX(0,Assumptions!$B$10-C906)</x:f>
        <x:v>18</x:v>
      </x:c>
      <x:c r="H906" s="50" t="n">
        <x:f>IF(B906="Active",E906*(1+Assumptions!$B$7)^G906,E906)</x:f>
        <x:v>2752539.5791957</x:v>
      </x:c>
      <x:c r="I906" s="50" t="n">
        <x:f>IF(B906="Active",MIN(Assumptions!$B$12,D906+G906),IF(B906="Deferred",MIN(Assumptions!$B$12,D906),D906))</x:f>
        <x:v>33.7</x:v>
      </x:c>
      <x:c r="J906" s="50" t="n">
        <x:f>IF(B906="Active",H906*I906*Assumptions!$B$11,IF(B906="Deferred",E906*I906*Assumptions!$B$11*(1+Assumptions!$B$9)^G906,F906))</x:f>
        <x:v>1546009.7303149183</x:v>
      </x:c>
      <x:c r="K906" s="37" t="n">
        <x:f>IF(B906="Pensioner",1,VLOOKUP(Assumptions!$B$10,Mortality!$A$2:$F$104,6,FALSE)/VLOOKUP(C906,Mortality!$A$2:$F$104,6,FALSE))</x:f>
        <x:v>0.9750799707838386</x:v>
      </x:c>
      <x:c r="L906" s="37" t="n">
        <x:f>VLOOKUP(IF(B906="Pensioner",C906,Assumptions!$B$10),Mortality!$A$2:$E$104,5,FALSE)</x:f>
        <x:v>17.296790022132885</x:v>
      </x:c>
      <x:c r="M906" s="37" t="n">
        <x:f>1+Assumptions!$B$13*Assumptions!$B$14*Assumptions!$B$15</x:f>
        <x:v>1.31875</x:v>
      </x:c>
      <x:c r="N906" s="37" t="n">
        <x:f>IF(B906="Pensioner",1,1/(1+Assumptions!$B$6)^G906)</x:f>
        <x:v>0.3218896851283974</x:v>
      </x:c>
      <x:c r="O906" s="50" t="n">
        <x:f>J906*K906*L906*M906*N906</x:f>
        <x:v>11068467.763770686</x:v>
      </x:c>
    </x:row>
    <x:row r="907">
      <x:c r="A907" s="42" t="str">
        <x:f>Members!A907</x:f>
        <x:v>A0321</x:v>
      </x:c>
      <x:c r="B907" s="42" t="str">
        <x:f>Members!B907</x:f>
        <x:v>Active</x:v>
      </x:c>
      <x:c r="C907" s="42" t="n">
        <x:f>Members!C907</x:f>
        <x:v>54</x:v>
      </x:c>
      <x:c r="D907" s="44" t="n">
        <x:f>Members!D907</x:f>
        <x:v>16.8</x:v>
      </x:c>
      <x:c r="E907" s="48" t="n">
        <x:f>Members!E907</x:f>
        <x:v>1851000</x:v>
      </x:c>
      <x:c r="F907" s="48" t="n">
        <x:f>Members!F907</x:f>
        <x:v>0</x:v>
      </x:c>
      <x:c r="G907" s="46" t="n">
        <x:f>MAX(0,Assumptions!$B$10-C907)</x:f>
        <x:v>6</x:v>
      </x:c>
      <x:c r="H907" s="50" t="n">
        <x:f>IF(B907="Active",E907*(1+Assumptions!$B$7)^G907,E907)</x:f>
        <x:v>2552238.035316259</x:v>
      </x:c>
      <x:c r="I907" s="50" t="n">
        <x:f>IF(B907="Active",MIN(Assumptions!$B$12,D907+G907),IF(B907="Deferred",MIN(Assumptions!$B$12,D907),D907))</x:f>
        <x:v>22.8</x:v>
      </x:c>
      <x:c r="J907" s="50" t="n">
        <x:f>IF(B907="Active",H907*I907*Assumptions!$B$11,IF(B907="Deferred",E907*I907*Assumptions!$B$11*(1+Assumptions!$B$9)^G907,F907))</x:f>
        <x:v>969850.4534201785</x:v>
      </x:c>
      <x:c r="K907" s="37" t="n">
        <x:f>IF(B907="Pensioner",1,VLOOKUP(Assumptions!$B$10,Mortality!$A$2:$F$104,6,FALSE)/VLOOKUP(C907,Mortality!$A$2:$F$104,6,FALSE))</x:f>
        <x:v>0.9865535119056937</x:v>
      </x:c>
      <x:c r="L907" s="37" t="n">
        <x:f>VLOOKUP(IF(B907="Pensioner",C907,Assumptions!$B$10),Mortality!$A$2:$E$104,5,FALSE)</x:f>
        <x:v>17.296790022132885</x:v>
      </x:c>
      <x:c r="M907" s="37" t="n">
        <x:f>1+Assumptions!$B$13*Assumptions!$B$14*Assumptions!$B$15</x:f>
        <x:v>1.31875</x:v>
      </x:c>
      <x:c r="N907" s="37" t="n">
        <x:f>IF(B907="Pensioner",1,1/(1+Assumptions!$B$6)^G907)</x:f>
        <x:v>0.6853341187990187</x:v>
      </x:c>
      <x:c r="O907" s="50" t="n">
        <x:f>J907*K907*L907*M907*N907</x:f>
        <x:v>14957387.991711617</x:v>
      </x:c>
    </x:row>
    <x:row r="908">
      <x:c r="A908" s="42" t="str">
        <x:f>Members!A908</x:f>
        <x:v>A0239</x:v>
      </x:c>
      <x:c r="B908" s="42" t="str">
        <x:f>Members!B908</x:f>
        <x:v>Active</x:v>
      </x:c>
      <x:c r="C908" s="42" t="n">
        <x:f>Members!C908</x:f>
        <x:v>50</x:v>
      </x:c>
      <x:c r="D908" s="44" t="n">
        <x:f>Members!D908</x:f>
        <x:v>15.7</x:v>
      </x:c>
      <x:c r="E908" s="48" t="n">
        <x:f>Members!E908</x:f>
        <x:v>1332000</x:v>
      </x:c>
      <x:c r="F908" s="48" t="n">
        <x:f>Members!F908</x:f>
        <x:v>0</x:v>
      </x:c>
      <x:c r="G908" s="46" t="n">
        <x:f>MAX(0,Assumptions!$B$10-C908)</x:f>
        <x:v>10</x:v>
      </x:c>
      <x:c r="H908" s="50" t="n">
        <x:f>IF(B908="Active",E908*(1+Assumptions!$B$7)^G908,E908)</x:f>
        <x:v>2275248.4185269857</x:v>
      </x:c>
      <x:c r="I908" s="50" t="n">
        <x:f>IF(B908="Active",MIN(Assumptions!$B$12,D908+G908),IF(B908="Deferred",MIN(Assumptions!$B$12,D908),D908))</x:f>
        <x:v>25.7</x:v>
      </x:c>
      <x:c r="J908" s="50" t="n">
        <x:f>IF(B908="Active",H908*I908*Assumptions!$B$11,IF(B908="Deferred",E908*I908*Assumptions!$B$11*(1+Assumptions!$B$9)^G908,F908))</x:f>
        <x:v>974564.7392690588</x:v>
      </x:c>
      <x:c r="K908" s="37" t="n">
        <x:f>IF(B908="Pensioner",1,VLOOKUP(Assumptions!$B$10,Mortality!$A$2:$F$104,6,FALSE)/VLOOKUP(C908,Mortality!$A$2:$F$104,6,FALSE))</x:f>
        <x:v>0.9812729933582415</x:v>
      </x:c>
      <x:c r="L908" s="37" t="n">
        <x:f>VLOOKUP(IF(B908="Pensioner",C908,Assumptions!$B$10),Mortality!$A$2:$E$104,5,FALSE)</x:f>
        <x:v>17.296790022132885</x:v>
      </x:c>
      <x:c r="M908" s="37" t="n">
        <x:f>1+Assumptions!$B$13*Assumptions!$B$14*Assumptions!$B$15</x:f>
        <x:v>1.31875</x:v>
      </x:c>
      <x:c r="N908" s="37" t="n">
        <x:f>IF(B908="Pensioner",1,1/(1+Assumptions!$B$6)^G908)</x:f>
        <x:v>0.5327260355205289</x:v>
      </x:c>
      <x:c r="O908" s="50" t="n">
        <x:f>J908*K908*L908*M908*N908</x:f>
        <x:v>11620704.254669564</x:v>
      </x:c>
    </x:row>
    <x:row r="909">
      <x:c r="A909" s="42" t="str">
        <x:f>Members!A909</x:f>
        <x:v>A0354</x:v>
      </x:c>
      <x:c r="B909" s="42" t="str">
        <x:f>Members!B909</x:f>
        <x:v>Active</x:v>
      </x:c>
      <x:c r="C909" s="42" t="n">
        <x:f>Members!C909</x:f>
        <x:v>43</x:v>
      </x:c>
      <x:c r="D909" s="44" t="n">
        <x:f>Members!D909</x:f>
        <x:v>21.4</x:v>
      </x:c>
      <x:c r="E909" s="48" t="n">
        <x:f>Members!E909</x:f>
        <x:v>989000</x:v>
      </x:c>
      <x:c r="F909" s="48" t="n">
        <x:f>Members!F909</x:f>
        <x:v>0</x:v>
      </x:c>
      <x:c r="G909" s="46" t="n">
        <x:f>MAX(0,Assumptions!$B$10-C909)</x:f>
        <x:v>17</x:v>
      </x:c>
      <x:c r="H909" s="50" t="n">
        <x:f>IF(B909="Active",E909*(1+Assumptions!$B$7)^G909,E909)</x:f>
        <x:v>2457469.324147639</x:v>
      </x:c>
      <x:c r="I909" s="50" t="n">
        <x:f>IF(B909="Active",MIN(Assumptions!$B$12,D909+G909),IF(B909="Deferred",MIN(Assumptions!$B$12,D909),D909))</x:f>
        <x:v>38.4</x:v>
      </x:c>
      <x:c r="J909" s="50" t="n">
        <x:f>IF(B909="Active",H909*I909*Assumptions!$B$11,IF(B909="Deferred",E909*I909*Assumptions!$B$11*(1+Assumptions!$B$9)^G909,F909))</x:f>
        <x:v>1572780.3674544888</x:v>
      </x:c>
      <x:c r="K909" s="37" t="n">
        <x:f>IF(B909="Pensioner",1,VLOOKUP(Assumptions!$B$10,Mortality!$A$2:$F$104,6,FALSE)/VLOOKUP(C909,Mortality!$A$2:$F$104,6,FALSE))</x:f>
        <x:v>0.975651758424938</x:v>
      </x:c>
      <x:c r="L909" s="37" t="n">
        <x:f>VLOOKUP(IF(B909="Pensioner",C909,Assumptions!$B$10),Mortality!$A$2:$E$104,5,FALSE)</x:f>
        <x:v>17.296790022132885</x:v>
      </x:c>
      <x:c r="M909" s="37" t="n">
        <x:f>1+Assumptions!$B$13*Assumptions!$B$14*Assumptions!$B$15</x:f>
        <x:v>1.31875</x:v>
      </x:c>
      <x:c r="N909" s="37" t="n">
        <x:f>IF(B909="Pensioner",1,1/(1+Assumptions!$B$6)^G909)</x:f>
        <x:v>0.34281251466174323</x:v>
      </x:c>
      <x:c r="O909" s="50" t="n">
        <x:f>J909*K909*L909*M909*N909</x:f>
        <x:v>11999069.38570825</x:v>
      </x:c>
    </x:row>
    <x:row r="910">
      <x:c r="A910" s="42" t="str">
        <x:f>Members!A910</x:f>
        <x:v>D0081</x:v>
      </x:c>
      <x:c r="B910" s="42" t="str">
        <x:f>Members!B910</x:f>
        <x:v>Deferred</x:v>
      </x:c>
      <x:c r="C910" s="42" t="n">
        <x:f>Members!C910</x:f>
        <x:v>50</x:v>
      </x:c>
      <x:c r="D910" s="44" t="n">
        <x:f>Members!D910</x:f>
        <x:v>15.2</x:v>
      </x:c>
      <x:c r="E910" s="48" t="n">
        <x:f>Members!E910</x:f>
        <x:v>833000</x:v>
      </x:c>
      <x:c r="F910" s="48" t="n">
        <x:f>Members!F910</x:f>
        <x:v>0</x:v>
      </x:c>
      <x:c r="G910" s="46" t="n">
        <x:f>MAX(0,Assumptions!$B$10-C910)</x:f>
        <x:v>10</x:v>
      </x:c>
      <x:c r="H910" s="50" t="n">
        <x:f>IF(B910="Active",E910*(1+Assumptions!$B$7)^G910,E910)</x:f>
        <x:v>833000</x:v>
      </x:c>
      <x:c r="I910" s="50" t="n">
        <x:f>IF(B910="Active",MIN(Assumptions!$B$12,D910+G910),IF(B910="Deferred",MIN(Assumptions!$B$12,D910),D910))</x:f>
        <x:v>15.2</x:v>
      </x:c>
      <x:c r="J910" s="50" t="n">
        <x:f>IF(B910="Active",H910*I910*Assumptions!$B$11,IF(B910="Deferred",E910*I910*Assumptions!$B$11*(1+Assumptions!$B$9)^G910,F910))</x:f>
        <x:v>312371.01729870186</x:v>
      </x:c>
      <x:c r="K910" s="37" t="n">
        <x:f>IF(B910="Pensioner",1,VLOOKUP(Assumptions!$B$10,Mortality!$A$2:$F$104,6,FALSE)/VLOOKUP(C910,Mortality!$A$2:$F$104,6,FALSE))</x:f>
        <x:v>0.9812729933582415</x:v>
      </x:c>
      <x:c r="L910" s="37" t="n">
        <x:f>VLOOKUP(IF(B910="Pensioner",C910,Assumptions!$B$10),Mortality!$A$2:$E$104,5,FALSE)</x:f>
        <x:v>17.296790022132885</x:v>
      </x:c>
      <x:c r="M910" s="37" t="n">
        <x:f>1+Assumptions!$B$13*Assumptions!$B$14*Assumptions!$B$15</x:f>
        <x:v>1.31875</x:v>
      </x:c>
      <x:c r="N910" s="37" t="n">
        <x:f>IF(B910="Pensioner",1,1/(1+Assumptions!$B$6)^G910)</x:f>
        <x:v>0.5327260355205289</x:v>
      </x:c>
      <x:c r="O910" s="50" t="n">
        <x:f>J910*K910*L910*M910*N910</x:f>
        <x:v>3724710.1844470887</x:v>
      </x:c>
    </x:row>
    <x:row r="911">
      <x:c r="A911" s="42" t="str">
        <x:f>Members!A911</x:f>
        <x:v>P0179</x:v>
      </x:c>
      <x:c r="B911" s="42" t="str">
        <x:f>Members!B911</x:f>
        <x:v>Pensioner</x:v>
      </x:c>
      <x:c r="C911" s="42" t="n">
        <x:f>Members!C911</x:f>
        <x:v>84</x:v>
      </x:c>
      <x:c r="D911" s="44" t="n">
        <x:f>Members!D911</x:f>
        <x:v>27.8</x:v>
      </x:c>
      <x:c r="E911" s="48" t="n">
        <x:f>Members!E911</x:f>
        <x:v>0</x:v>
      </x:c>
      <x:c r="F911" s="48" t="n">
        <x:f>Members!F911</x:f>
        <x:v>363000</x:v>
      </x:c>
      <x:c r="G911" s="46" t="n">
        <x:f>MAX(0,Assumptions!$B$10-C911)</x:f>
        <x:v>0</x:v>
      </x:c>
      <x:c r="H911" s="50" t="n">
        <x:f>IF(B911="Active",E911*(1+Assumptions!$B$7)^G911,E911)</x:f>
        <x:v>0</x:v>
      </x:c>
      <x:c r="I911" s="50" t="n">
        <x:f>IF(B911="Active",MIN(Assumptions!$B$12,D911+G911),IF(B911="Deferred",MIN(Assumptions!$B$12,D911),D911))</x:f>
        <x:v>27.8</x:v>
      </x:c>
      <x:c r="J911" s="50" t="n">
        <x:f>IF(B911="Active",H911*I911*Assumptions!$B$11,IF(B911="Deferred",E911*I911*Assumptions!$B$11*(1+Assumptions!$B$9)^G911,F911))</x:f>
        <x:v>363000</x:v>
      </x:c>
      <x:c r="K911" s="37" t="n">
        <x:f>IF(B911="Pensioner",1,VLOOKUP(Assumptions!$B$10,Mortality!$A$2:$F$104,6,FALSE)/VLOOKUP(C911,Mortality!$A$2:$F$104,6,FALSE))</x:f>
        <x:v>1</x:v>
      </x:c>
      <x:c r="L911" s="37" t="n">
        <x:f>VLOOKUP(IF(B911="Pensioner",C911,Assumptions!$B$10),Mortality!$A$2:$E$104,5,FALSE)</x:f>
        <x:v>6.643272096517531</x:v>
      </x:c>
      <x:c r="M911" s="37" t="n">
        <x:f>1+Assumptions!$B$13*Assumptions!$B$14*Assumptions!$B$15</x:f>
        <x:v>1.31875</x:v>
      </x:c>
      <x:c r="N911" s="37" t="n">
        <x:f>IF(B911="Pensioner",1,1/(1+Assumptions!$B$6)^G911)</x:f>
        <x:v>1</x:v>
      </x:c>
      <x:c r="O911" s="50" t="n">
        <x:f>J911*K911*L911*M911*N911</x:f>
        <x:v>3180175.873053546</x:v>
      </x:c>
    </x:row>
    <x:row r="912">
      <x:c r="A912" s="42" t="str">
        <x:f>Members!A912</x:f>
        <x:v>A0496</x:v>
      </x:c>
      <x:c r="B912" s="42" t="str">
        <x:f>Members!B912</x:f>
        <x:v>Active</x:v>
      </x:c>
      <x:c r="C912" s="42" t="n">
        <x:f>Members!C912</x:f>
        <x:v>30</x:v>
      </x:c>
      <x:c r="D912" s="44" t="n">
        <x:f>Members!D912</x:f>
        <x:v>1.5</x:v>
      </x:c>
      <x:c r="E912" s="48" t="n">
        <x:f>Members!E912</x:f>
        <x:v>659000</x:v>
      </x:c>
      <x:c r="F912" s="48" t="n">
        <x:f>Members!F912</x:f>
        <x:v>0</x:v>
      </x:c>
      <x:c r="G912" s="46" t="n">
        <x:f>MAX(0,Assumptions!$B$10-C912)</x:f>
        <x:v>30</x:v>
      </x:c>
      <x:c r="H912" s="50" t="n">
        <x:f>IF(B912="Active",E912*(1+Assumptions!$B$7)^G912,E912)</x:f>
        <x:v>3284423.8990523447</x:v>
      </x:c>
      <x:c r="I912" s="50" t="n">
        <x:f>IF(B912="Active",MIN(Assumptions!$B$12,D912+G912),IF(B912="Deferred",MIN(Assumptions!$B$12,D912),D912))</x:f>
        <x:v>31.5</x:v>
      </x:c>
      <x:c r="J912" s="50" t="n">
        <x:f>IF(B912="Active",H912*I912*Assumptions!$B$11,IF(B912="Deferred",E912*I912*Assumptions!$B$11*(1+Assumptions!$B$9)^G912,F912))</x:f>
        <x:v>1724322.5470024808</x:v>
      </x:c>
      <x:c r="K912" s="37" t="n">
        <x:f>IF(B912="Pensioner",1,VLOOKUP(Assumptions!$B$10,Mortality!$A$2:$F$104,6,FALSE)/VLOOKUP(C912,Mortality!$A$2:$F$104,6,FALSE))</x:f>
        <x:v>0.9703456880318753</x:v>
      </x:c>
      <x:c r="L912" s="37" t="n">
        <x:f>VLOOKUP(IF(B912="Pensioner",C912,Assumptions!$B$10),Mortality!$A$2:$E$104,5,FALSE)</x:f>
        <x:v>17.296790022132885</x:v>
      </x:c>
      <x:c r="M912" s="37" t="n">
        <x:f>1+Assumptions!$B$13*Assumptions!$B$14*Assumptions!$B$15</x:f>
        <x:v>1.31875</x:v>
      </x:c>
      <x:c r="N912" s="37" t="n">
        <x:f>IF(B912="Pensioner",1,1/(1+Assumptions!$B$6)^G912)</x:f>
        <x:v>0.1511860661098129</x:v>
      </x:c>
      <x:c r="O912" s="50" t="n">
        <x:f>J912*K912*L912*M912*N912</x:f>
        <x:v>5770118.601992992</x:v>
      </x:c>
    </x:row>
    <x:row r="913">
      <x:c r="A913" s="42" t="str">
        <x:f>Members!A913</x:f>
        <x:v>A0617</x:v>
      </x:c>
      <x:c r="B913" s="42" t="str">
        <x:f>Members!B913</x:f>
        <x:v>Active</x:v>
      </x:c>
      <x:c r="C913" s="42" t="n">
        <x:f>Members!C913</x:f>
        <x:v>44</x:v>
      </x:c>
      <x:c r="D913" s="44" t="n">
        <x:f>Members!D913</x:f>
        <x:v>17.9</x:v>
      </x:c>
      <x:c r="E913" s="48" t="n">
        <x:f>Members!E913</x:f>
        <x:v>978000</x:v>
      </x:c>
      <x:c r="F913" s="48" t="n">
        <x:f>Members!F913</x:f>
        <x:v>0</x:v>
      </x:c>
      <x:c r="G913" s="46" t="n">
        <x:f>MAX(0,Assumptions!$B$10-C913)</x:f>
        <x:v>16</x:v>
      </x:c>
      <x:c r="H913" s="50" t="n">
        <x:f>IF(B913="Active",E913*(1+Assumptions!$B$7)^G913,E913)</x:f>
        <x:v>2303446.919926194</x:v>
      </x:c>
      <x:c r="I913" s="50" t="n">
        <x:f>IF(B913="Active",MIN(Assumptions!$B$12,D913+G913),IF(B913="Deferred",MIN(Assumptions!$B$12,D913),D913))</x:f>
        <x:v>33.9</x:v>
      </x:c>
      <x:c r="J913" s="50" t="n">
        <x:f>IF(B913="Active",H913*I913*Assumptions!$B$11,IF(B913="Deferred",E913*I913*Assumptions!$B$11*(1+Assumptions!$B$9)^G913,F913))</x:f>
        <x:v>1301447.5097582997</x:v>
      </x:c>
      <x:c r="K913" s="37" t="n">
        <x:f>IF(B913="Pensioner",1,VLOOKUP(Assumptions!$B$10,Mortality!$A$2:$F$104,6,FALSE)/VLOOKUP(C913,Mortality!$A$2:$F$104,6,FALSE))</x:f>
        <x:v>0.9762682212178733</x:v>
      </x:c>
      <x:c r="L913" s="37" t="n">
        <x:f>VLOOKUP(IF(B913="Pensioner",C913,Assumptions!$B$10),Mortality!$A$2:$E$104,5,FALSE)</x:f>
        <x:v>17.296790022132885</x:v>
      </x:c>
      <x:c r="M913" s="37" t="n">
        <x:f>1+Assumptions!$B$13*Assumptions!$B$14*Assumptions!$B$15</x:f>
        <x:v>1.31875</x:v>
      </x:c>
      <x:c r="N913" s="37" t="n">
        <x:f>IF(B913="Pensioner",1,1/(1+Assumptions!$B$6)^G913)</x:f>
        <x:v>0.3650953281147565</x:v>
      </x:c>
      <x:c r="O913" s="50" t="n">
        <x:f>J913*K913*L913*M913*N913</x:f>
        <x:v>10581081.778058868</x:v>
      </x:c>
    </x:row>
    <x:row r="914">
      <x:c r="A914" s="42" t="str">
        <x:f>Members!A914</x:f>
        <x:v>D0094</x:v>
      </x:c>
      <x:c r="B914" s="42" t="str">
        <x:f>Members!B914</x:f>
        <x:v>Deferred</x:v>
      </x:c>
      <x:c r="C914" s="42" t="n">
        <x:f>Members!C914</x:f>
        <x:v>38</x:v>
      </x:c>
      <x:c r="D914" s="44" t="n">
        <x:f>Members!D914</x:f>
        <x:v>6.9</x:v>
      </x:c>
      <x:c r="E914" s="48" t="n">
        <x:f>Members!E914</x:f>
        <x:v>481000</x:v>
      </x:c>
      <x:c r="F914" s="48" t="n">
        <x:f>Members!F914</x:f>
        <x:v>0</x:v>
      </x:c>
      <x:c r="G914" s="46" t="n">
        <x:f>MAX(0,Assumptions!$B$10-C914)</x:f>
        <x:v>22</x:v>
      </x:c>
      <x:c r="H914" s="50" t="n">
        <x:f>IF(B914="Active",E914*(1+Assumptions!$B$7)^G914,E914)</x:f>
        <x:v>481000</x:v>
      </x:c>
      <x:c r="I914" s="50" t="n">
        <x:f>IF(B914="Active",MIN(Assumptions!$B$12,D914+G914),IF(B914="Deferred",MIN(Assumptions!$B$12,D914),D914))</x:f>
        <x:v>6.9</x:v>
      </x:c>
      <x:c r="J914" s="50" t="n">
        <x:f>IF(B914="Active",H914*I914*Assumptions!$B$11,IF(B914="Deferred",E914*I914*Assumptions!$B$11*(1+Assumptions!$B$9)^G914,F914))</x:f>
        <x:v>131092.05795209625</x:v>
      </x:c>
      <x:c r="K914" s="37" t="n">
        <x:f>IF(B914="Pensioner",1,VLOOKUP(Assumptions!$B$10,Mortality!$A$2:$F$104,6,FALSE)/VLOOKUP(C914,Mortality!$A$2:$F$104,6,FALSE))</x:f>
        <x:v>0.9731482688168002</x:v>
      </x:c>
      <x:c r="L914" s="37" t="n">
        <x:f>VLOOKUP(IF(B914="Pensioner",C914,Assumptions!$B$10),Mortality!$A$2:$E$104,5,FALSE)</x:f>
        <x:v>17.296790022132885</x:v>
      </x:c>
      <x:c r="M914" s="37" t="n">
        <x:f>1+Assumptions!$B$13*Assumptions!$B$14*Assumptions!$B$15</x:f>
        <x:v>1.31875</x:v>
      </x:c>
      <x:c r="N914" s="37" t="n">
        <x:f>IF(B914="Pensioner",1,1/(1+Assumptions!$B$6)^G914)</x:f>
        <x:v>0.25021228497116527</x:v>
      </x:c>
      <x:c r="O914" s="50" t="n">
        <x:f>J914*K914*L914*M914*N914</x:f>
        <x:v>728101.642115646</x:v>
      </x:c>
    </x:row>
    <x:row r="915">
      <x:c r="A915" s="42" t="str">
        <x:f>Members!A915</x:f>
        <x:v>A0186</x:v>
      </x:c>
      <x:c r="B915" s="42" t="str">
        <x:f>Members!B915</x:f>
        <x:v>Active</x:v>
      </x:c>
      <x:c r="C915" s="42" t="n">
        <x:f>Members!C915</x:f>
        <x:v>48</x:v>
      </x:c>
      <x:c r="D915" s="44" t="n">
        <x:f>Members!D915</x:f>
        <x:v>6.5</x:v>
      </x:c>
      <x:c r="E915" s="48" t="n">
        <x:f>Members!E915</x:f>
        <x:v>1536000</x:v>
      </x:c>
      <x:c r="F915" s="48" t="n">
        <x:f>Members!F915</x:f>
        <x:v>0</x:v>
      </x:c>
      <x:c r="G915" s="46" t="n">
        <x:f>MAX(0,Assumptions!$B$10-C915)</x:f>
        <x:v>12</x:v>
      </x:c>
      <x:c r="H915" s="50" t="n">
        <x:f>IF(B915="Active",E915*(1+Assumptions!$B$7)^G915,E915)</x:f>
        <x:v>2920254.6981258355</x:v>
      </x:c>
      <x:c r="I915" s="50" t="n">
        <x:f>IF(B915="Active",MIN(Assumptions!$B$12,D915+G915),IF(B915="Deferred",MIN(Assumptions!$B$12,D915),D915))</x:f>
        <x:v>18.5</x:v>
      </x:c>
      <x:c r="J915" s="50" t="n">
        <x:f>IF(B915="Active",H915*I915*Assumptions!$B$11,IF(B915="Deferred",E915*I915*Assumptions!$B$11*(1+Assumptions!$B$9)^G915,F915))</x:f>
        <x:v>900411.865255466</x:v>
      </x:c>
      <x:c r="K915" s="37" t="n">
        <x:f>IF(B915="Pensioner",1,VLOOKUP(Assumptions!$B$10,Mortality!$A$2:$F$104,6,FALSE)/VLOOKUP(C915,Mortality!$A$2:$F$104,6,FALSE))</x:f>
        <x:v>0.9793037429736591</x:v>
      </x:c>
      <x:c r="L915" s="37" t="n">
        <x:f>VLOOKUP(IF(B915="Pensioner",C915,Assumptions!$B$10),Mortality!$A$2:$E$104,5,FALSE)</x:f>
        <x:v>17.296790022132885</x:v>
      </x:c>
      <x:c r="M915" s="37" t="n">
        <x:f>1+Assumptions!$B$13*Assumptions!$B$14*Assumptions!$B$15</x:f>
        <x:v>1.31875</x:v>
      </x:c>
      <x:c r="N915" s="37" t="n">
        <x:f>IF(B915="Pensioner",1,1/(1+Assumptions!$B$6)^G915)</x:f>
        <x:v>0.4696828543900276</x:v>
      </x:c>
      <x:c r="O915" s="50" t="n">
        <x:f>J915*K915*L915*M915*N915</x:f>
        <x:v>9446943.464643558</x:v>
      </x:c>
    </x:row>
    <x:row r="916">
      <x:c r="A916" s="42" t="str">
        <x:f>Members!A916</x:f>
        <x:v>A0262</x:v>
      </x:c>
      <x:c r="B916" s="42" t="str">
        <x:f>Members!B916</x:f>
        <x:v>Active</x:v>
      </x:c>
      <x:c r="C916" s="42" t="n">
        <x:f>Members!C916</x:f>
        <x:v>53</x:v>
      </x:c>
      <x:c r="D916" s="44" t="n">
        <x:f>Members!D916</x:f>
        <x:v>11</x:v>
      </x:c>
      <x:c r="E916" s="48" t="n">
        <x:f>Members!E916</x:f>
        <x:v>1814000</x:v>
      </x:c>
      <x:c r="F916" s="48" t="n">
        <x:f>Members!F916</x:f>
        <x:v>0</x:v>
      </x:c>
      <x:c r="G916" s="46" t="n">
        <x:f>MAX(0,Assumptions!$B$10-C916)</x:f>
        <x:v>7</x:v>
      </x:c>
      <x:c r="H916" s="50" t="n">
        <x:f>IF(B916="Active",E916*(1+Assumptions!$B$7)^G916,E916)</x:f>
        <x:v>2638787.9982967027</x:v>
      </x:c>
      <x:c r="I916" s="50" t="n">
        <x:f>IF(B916="Active",MIN(Assumptions!$B$12,D916+G916),IF(B916="Deferred",MIN(Assumptions!$B$12,D916),D916))</x:f>
        <x:v>18</x:v>
      </x:c>
      <x:c r="J916" s="50" t="n">
        <x:f>IF(B916="Active",H916*I916*Assumptions!$B$11,IF(B916="Deferred",E916*I916*Assumptions!$B$11*(1+Assumptions!$B$9)^G916,F916))</x:f>
        <x:v>791636.3994890109</x:v>
      </x:c>
      <x:c r="K916" s="37" t="n">
        <x:f>IF(B916="Pensioner",1,VLOOKUP(Assumptions!$B$10,Mortality!$A$2:$F$104,6,FALSE)/VLOOKUP(C916,Mortality!$A$2:$F$104,6,FALSE))</x:f>
        <x:v>0.9850300017431317</x:v>
      </x:c>
      <x:c r="L916" s="37" t="n">
        <x:f>VLOOKUP(IF(B916="Pensioner",C916,Assumptions!$B$10),Mortality!$A$2:$E$104,5,FALSE)</x:f>
        <x:v>17.296790022132885</x:v>
      </x:c>
      <x:c r="M916" s="37" t="n">
        <x:f>1+Assumptions!$B$13*Assumptions!$B$14*Assumptions!$B$15</x:f>
        <x:v>1.31875</x:v>
      </x:c>
      <x:c r="N916" s="37" t="n">
        <x:f>IF(B916="Pensioner",1,1/(1+Assumptions!$B$6)^G916)</x:f>
        <x:v>0.6435062148347594</x:v>
      </x:c>
      <x:c r="O916" s="50" t="n">
        <x:f>J916*K916*L916*M916*N916</x:f>
        <x:v>11446058.063088764</x:v>
      </x:c>
    </x:row>
    <x:row r="917">
      <x:c r="A917" s="42" t="str">
        <x:f>Members!A917</x:f>
        <x:v>P0049</x:v>
      </x:c>
      <x:c r="B917" s="42" t="str">
        <x:f>Members!B917</x:f>
        <x:v>Pensioner</x:v>
      </x:c>
      <x:c r="C917" s="42" t="n">
        <x:f>Members!C917</x:f>
        <x:v>63</x:v>
      </x:c>
      <x:c r="D917" s="44" t="n">
        <x:f>Members!D917</x:f>
        <x:v>33.7</x:v>
      </x:c>
      <x:c r="E917" s="48" t="n">
        <x:f>Members!E917</x:f>
        <x:v>0</x:v>
      </x:c>
      <x:c r="F917" s="48" t="n">
        <x:f>Members!F917</x:f>
        <x:v>185000</x:v>
      </x:c>
      <x:c r="G917" s="46" t="n">
        <x:f>MAX(0,Assumptions!$B$10-C917)</x:f>
        <x:v>0</x:v>
      </x:c>
      <x:c r="H917" s="50" t="n">
        <x:f>IF(B917="Active",E917*(1+Assumptions!$B$7)^G917,E917)</x:f>
        <x:v>0</x:v>
      </x:c>
      <x:c r="I917" s="50" t="n">
        <x:f>IF(B917="Active",MIN(Assumptions!$B$12,D917+G917),IF(B917="Deferred",MIN(Assumptions!$B$12,D917),D917))</x:f>
        <x:v>33.7</x:v>
      </x:c>
      <x:c r="J917" s="50" t="n">
        <x:f>IF(B917="Active",H917*I917*Assumptions!$B$11,IF(B917="Deferred",E917*I917*Assumptions!$B$11*(1+Assumptions!$B$9)^G917,F917))</x:f>
        <x:v>185000</x:v>
      </x:c>
      <x:c r="K917" s="37" t="n">
        <x:f>IF(B917="Pensioner",1,VLOOKUP(Assumptions!$B$10,Mortality!$A$2:$F$104,6,FALSE)/VLOOKUP(C917,Mortality!$A$2:$F$104,6,FALSE))</x:f>
        <x:v>1</x:v>
      </x:c>
      <x:c r="L917" s="37" t="n">
        <x:f>VLOOKUP(IF(B917="Pensioner",C917,Assumptions!$B$10),Mortality!$A$2:$E$104,5,FALSE)</x:f>
        <x:v>16.055191398346196</x:v>
      </x:c>
      <x:c r="M917" s="37" t="n">
        <x:f>1+Assumptions!$B$13*Assumptions!$B$14*Assumptions!$B$15</x:f>
        <x:v>1.31875</x:v>
      </x:c>
      <x:c r="N917" s="37" t="n">
        <x:f>IF(B917="Pensioner",1,1/(1+Assumptions!$B$6)^G917)</x:f>
        <x:v>1</x:v>
      </x:c>
      <x:c r="O917" s="50" t="n">
        <x:f>J917*K917*L917*M917*N917</x:f>
        <x:v>3916964.9764652736</x:v>
      </x:c>
    </x:row>
    <x:row r="918">
      <x:c r="A918" s="42" t="str">
        <x:f>Members!A918</x:f>
        <x:v>D0047</x:v>
      </x:c>
      <x:c r="B918" s="42" t="str">
        <x:f>Members!B918</x:f>
        <x:v>Deferred</x:v>
      </x:c>
      <x:c r="C918" s="42" t="n">
        <x:f>Members!C918</x:f>
        <x:v>50</x:v>
      </x:c>
      <x:c r="D918" s="44" t="n">
        <x:f>Members!D918</x:f>
        <x:v>4.9</x:v>
      </x:c>
      <x:c r="E918" s="48" t="n">
        <x:f>Members!E918</x:f>
        <x:v>953000</x:v>
      </x:c>
      <x:c r="F918" s="48" t="n">
        <x:f>Members!F918</x:f>
        <x:v>0</x:v>
      </x:c>
      <x:c r="G918" s="46" t="n">
        <x:f>MAX(0,Assumptions!$B$10-C918)</x:f>
        <x:v>10</x:v>
      </x:c>
      <x:c r="H918" s="50" t="n">
        <x:f>IF(B918="Active",E918*(1+Assumptions!$B$7)^G918,E918)</x:f>
        <x:v>953000</x:v>
      </x:c>
      <x:c r="I918" s="50" t="n">
        <x:f>IF(B918="Active",MIN(Assumptions!$B$12,D918+G918),IF(B918="Deferred",MIN(Assumptions!$B$12,D918),D918))</x:f>
        <x:v>4.9</x:v>
      </x:c>
      <x:c r="J918" s="50" t="n">
        <x:f>IF(B918="Active",H918*I918*Assumptions!$B$11,IF(B918="Deferred",E918*I918*Assumptions!$B$11*(1+Assumptions!$B$9)^G918,F918))</x:f>
        <x:v>115204.94562138655</x:v>
      </x:c>
      <x:c r="K918" s="37" t="n">
        <x:f>IF(B918="Pensioner",1,VLOOKUP(Assumptions!$B$10,Mortality!$A$2:$F$104,6,FALSE)/VLOOKUP(C918,Mortality!$A$2:$F$104,6,FALSE))</x:f>
        <x:v>0.9812729933582415</x:v>
      </x:c>
      <x:c r="L918" s="37" t="n">
        <x:f>VLOOKUP(IF(B918="Pensioner",C918,Assumptions!$B$10),Mortality!$A$2:$E$104,5,FALSE)</x:f>
        <x:v>17.296790022132885</x:v>
      </x:c>
      <x:c r="M918" s="37" t="n">
        <x:f>1+Assumptions!$B$13*Assumptions!$B$14*Assumptions!$B$15</x:f>
        <x:v>1.31875</x:v>
      </x:c>
      <x:c r="N918" s="37" t="n">
        <x:f>IF(B918="Pensioner",1,1/(1+Assumptions!$B$6)^G918)</x:f>
        <x:v>0.5327260355205289</x:v>
      </x:c>
      <x:c r="O918" s="50" t="n">
        <x:f>J918*K918*L918*M918*N918</x:f>
        <x:v>1373703.0982113294</x:v>
      </x:c>
    </x:row>
    <x:row r="919">
      <x:c r="A919" s="42" t="str">
        <x:f>Members!A919</x:f>
        <x:v>D0028</x:v>
      </x:c>
      <x:c r="B919" s="42" t="str">
        <x:f>Members!B919</x:f>
        <x:v>Deferred</x:v>
      </x:c>
      <x:c r="C919" s="42" t="n">
        <x:f>Members!C919</x:f>
        <x:v>51</x:v>
      </x:c>
      <x:c r="D919" s="44" t="n">
        <x:f>Members!D919</x:f>
        <x:v>24.1</x:v>
      </x:c>
      <x:c r="E919" s="48" t="n">
        <x:f>Members!E919</x:f>
        <x:v>816000</x:v>
      </x:c>
      <x:c r="F919" s="48" t="n">
        <x:f>Members!F919</x:f>
        <x:v>0</x:v>
      </x:c>
      <x:c r="G919" s="46" t="n">
        <x:f>MAX(0,Assumptions!$B$10-C919)</x:f>
        <x:v>9</x:v>
      </x:c>
      <x:c r="H919" s="50" t="n">
        <x:f>IF(B919="Active",E919*(1+Assumptions!$B$7)^G919,E919)</x:f>
        <x:v>816000</x:v>
      </x:c>
      <x:c r="I919" s="50" t="n">
        <x:f>IF(B919="Active",MIN(Assumptions!$B$12,D919+G919),IF(B919="Deferred",MIN(Assumptions!$B$12,D919),D919))</x:f>
        <x:v>24.1</x:v>
      </x:c>
      <x:c r="J919" s="50" t="n">
        <x:f>IF(B919="Active",H919*I919*Assumptions!$B$11,IF(B919="Deferred",E919*I919*Assumptions!$B$11*(1+Assumptions!$B$9)^G919,F919))</x:f>
        <x:v>466504.679639266</x:v>
      </x:c>
      <x:c r="K919" s="37" t="n">
        <x:f>IF(B919="Pensioner",1,VLOOKUP(Assumptions!$B$10,Mortality!$A$2:$F$104,6,FALSE)/VLOOKUP(C919,Mortality!$A$2:$F$104,6,FALSE))</x:f>
        <x:v>0.9824052797506154</x:v>
      </x:c>
      <x:c r="L919" s="37" t="n">
        <x:f>VLOOKUP(IF(B919="Pensioner",C919,Assumptions!$B$10),Mortality!$A$2:$E$104,5,FALSE)</x:f>
        <x:v>17.296790022132885</x:v>
      </x:c>
      <x:c r="M919" s="37" t="n">
        <x:f>1+Assumptions!$B$13*Assumptions!$B$14*Assumptions!$B$15</x:f>
        <x:v>1.31875</x:v>
      </x:c>
      <x:c r="N919" s="37" t="n">
        <x:f>IF(B919="Pensioner",1,1/(1+Assumptions!$B$6)^G919)</x:f>
        <x:v>0.5673532278293633</x:v>
      </x:c>
      <x:c r="O919" s="50" t="n">
        <x:f>J919*K919*L919*M919*N919</x:f>
        <x:v>5931003.883255056</x:v>
      </x:c>
    </x:row>
    <x:row r="920">
      <x:c r="A920" s="42" t="str">
        <x:f>Members!A920</x:f>
        <x:v>A0251</x:v>
      </x:c>
      <x:c r="B920" s="42" t="str">
        <x:f>Members!B920</x:f>
        <x:v>Active</x:v>
      </x:c>
      <x:c r="C920" s="42" t="n">
        <x:f>Members!C920</x:f>
        <x:v>59</x:v>
      </x:c>
      <x:c r="D920" s="44" t="n">
        <x:f>Members!D920</x:f>
        <x:v>11</x:v>
      </x:c>
      <x:c r="E920" s="48" t="n">
        <x:f>Members!E920</x:f>
        <x:v>1989000</x:v>
      </x:c>
      <x:c r="F920" s="48" t="n">
        <x:f>Members!F920</x:f>
        <x:v>0</x:v>
      </x:c>
      <x:c r="G920" s="46" t="n">
        <x:f>MAX(0,Assumptions!$B$10-C920)</x:f>
        <x:v>1</x:v>
      </x:c>
      <x:c r="H920" s="50" t="n">
        <x:f>IF(B920="Active",E920*(1+Assumptions!$B$7)^G920,E920)</x:f>
        <x:v>2098395</x:v>
      </x:c>
      <x:c r="I920" s="50" t="n">
        <x:f>IF(B920="Active",MIN(Assumptions!$B$12,D920+G920),IF(B920="Deferred",MIN(Assumptions!$B$12,D920),D920))</x:f>
        <x:v>12</x:v>
      </x:c>
      <x:c r="J920" s="50" t="n">
        <x:f>IF(B920="Active",H920*I920*Assumptions!$B$11,IF(B920="Deferred",E920*I920*Assumptions!$B$11*(1+Assumptions!$B$9)^G920,F920))</x:f>
        <x:v>419679</x:v>
      </x:c>
      <x:c r="K920" s="37" t="n">
        <x:f>IF(B920="Pensioner",1,VLOOKUP(Assumptions!$B$10,Mortality!$A$2:$F$104,6,FALSE)/VLOOKUP(C920,Mortality!$A$2:$F$104,6,FALSE))</x:f>
        <x:v>0.9971096011831975</x:v>
      </x:c>
      <x:c r="L920" s="37" t="n">
        <x:f>VLOOKUP(IF(B920="Pensioner",C920,Assumptions!$B$10),Mortality!$A$2:$E$104,5,FALSE)</x:f>
        <x:v>17.296790022132885</x:v>
      </x:c>
      <x:c r="M920" s="37" t="n">
        <x:f>1+Assumptions!$B$13*Assumptions!$B$14*Assumptions!$B$15</x:f>
        <x:v>1.31875</x:v>
      </x:c>
      <x:c r="N920" s="37" t="n">
        <x:f>IF(B920="Pensioner",1,1/(1+Assumptions!$B$6)^G920)</x:f>
        <x:v>0.9389671361502347</x:v>
      </x:c>
      <x:c r="O920" s="50" t="n">
        <x:f>J920*K920*L920*M920*N920</x:f>
        <x:v>8962692.873898951</x:v>
      </x:c>
    </x:row>
    <x:row r="921">
      <x:c r="A921" s="42" t="str">
        <x:f>Members!A921</x:f>
        <x:v>D0027</x:v>
      </x:c>
      <x:c r="B921" s="42" t="str">
        <x:f>Members!B921</x:f>
        <x:v>Deferred</x:v>
      </x:c>
      <x:c r="C921" s="42" t="n">
        <x:f>Members!C921</x:f>
        <x:v>45</x:v>
      </x:c>
      <x:c r="D921" s="44" t="n">
        <x:f>Members!D921</x:f>
        <x:v>7</x:v>
      </x:c>
      <x:c r="E921" s="48" t="n">
        <x:f>Members!E921</x:f>
        <x:v>662000</x:v>
      </x:c>
      <x:c r="F921" s="48" t="n">
        <x:f>Members!F921</x:f>
        <x:v>0</x:v>
      </x:c>
      <x:c r="G921" s="46" t="n">
        <x:f>MAX(0,Assumptions!$B$10-C921)</x:f>
        <x:v>15</x:v>
      </x:c>
      <x:c r="H921" s="50" t="n">
        <x:f>IF(B921="Active",E921*(1+Assumptions!$B$7)^G921,E921)</x:f>
        <x:v>662000</x:v>
      </x:c>
      <x:c r="I921" s="50" t="n">
        <x:f>IF(B921="Active",MIN(Assumptions!$B$12,D921+G921),IF(B921="Deferred",MIN(Assumptions!$B$12,D921),D921))</x:f>
        <x:v>7</x:v>
      </x:c>
      <x:c r="J921" s="50" t="n">
        <x:f>IF(B921="Active",H921*I921*Assumptions!$B$11,IF(B921="Deferred",E921*I921*Assumptions!$B$11*(1+Assumptions!$B$9)^G921,F921))</x:f>
        <x:v>139092.87007531754</x:v>
      </x:c>
      <x:c r="K921" s="37" t="n">
        <x:f>IF(B921="Pensioner",1,VLOOKUP(Assumptions!$B$10,Mortality!$A$2:$F$104,6,FALSE)/VLOOKUP(C921,Mortality!$A$2:$F$104,6,FALSE))</x:f>
        <x:v>0.9769349478194655</x:v>
      </x:c>
      <x:c r="L921" s="37" t="n">
        <x:f>VLOOKUP(IF(B921="Pensioner",C921,Assumptions!$B$10),Mortality!$A$2:$E$104,5,FALSE)</x:f>
        <x:v>17.296790022132885</x:v>
      </x:c>
      <x:c r="M921" s="37" t="n">
        <x:f>1+Assumptions!$B$13*Assumptions!$B$14*Assumptions!$B$15</x:f>
        <x:v>1.31875</x:v>
      </x:c>
      <x:c r="N921" s="37" t="n">
        <x:f>IF(B921="Pensioner",1,1/(1+Assumptions!$B$6)^G921)</x:f>
        <x:v>0.38882652444221566</x:v>
      </x:c>
      <x:c r="O921" s="50" t="n">
        <x:f>J921*K921*L921*M921*N921</x:f>
        <x:v>1205186.8480967681</x:v>
      </x:c>
    </x:row>
    <x:row r="922">
      <x:c r="A922" s="42" t="str">
        <x:f>Members!A922</x:f>
        <x:v>A0108</x:v>
      </x:c>
      <x:c r="B922" s="42" t="str">
        <x:f>Members!B922</x:f>
        <x:v>Active</x:v>
      </x:c>
      <x:c r="C922" s="42" t="n">
        <x:f>Members!C922</x:f>
        <x:v>44</x:v>
      </x:c>
      <x:c r="D922" s="44" t="n">
        <x:f>Members!D922</x:f>
        <x:v>18.7</x:v>
      </x:c>
      <x:c r="E922" s="48" t="n">
        <x:f>Members!E922</x:f>
        <x:v>1108000</x:v>
      </x:c>
      <x:c r="F922" s="48" t="n">
        <x:f>Members!F922</x:f>
        <x:v>0</x:v>
      </x:c>
      <x:c r="G922" s="46" t="n">
        <x:f>MAX(0,Assumptions!$B$10-C922)</x:f>
        <x:v>16</x:v>
      </x:c>
      <x:c r="H922" s="50" t="n">
        <x:f>IF(B922="Active",E922*(1+Assumptions!$B$7)^G922,E922)</x:f>
        <x:v>2609631.070836629</x:v>
      </x:c>
      <x:c r="I922" s="50" t="n">
        <x:f>IF(B922="Active",MIN(Assumptions!$B$12,D922+G922),IF(B922="Deferred",MIN(Assumptions!$B$12,D922),D922))</x:f>
        <x:v>34.7</x:v>
      </x:c>
      <x:c r="J922" s="50" t="n">
        <x:f>IF(B922="Active",H922*I922*Assumptions!$B$11,IF(B922="Deferred",E922*I922*Assumptions!$B$11*(1+Assumptions!$B$9)^G922,F922))</x:f>
        <x:v>1509236.6359671839</x:v>
      </x:c>
      <x:c r="K922" s="37" t="n">
        <x:f>IF(B922="Pensioner",1,VLOOKUP(Assumptions!$B$10,Mortality!$A$2:$F$104,6,FALSE)/VLOOKUP(C922,Mortality!$A$2:$F$104,6,FALSE))</x:f>
        <x:v>0.9762682212178733</x:v>
      </x:c>
      <x:c r="L922" s="37" t="n">
        <x:f>VLOOKUP(IF(B922="Pensioner",C922,Assumptions!$B$10),Mortality!$A$2:$E$104,5,FALSE)</x:f>
        <x:v>17.296790022132885</x:v>
      </x:c>
      <x:c r="M922" s="37" t="n">
        <x:f>1+Assumptions!$B$13*Assumptions!$B$14*Assumptions!$B$15</x:f>
        <x:v>1.31875</x:v>
      </x:c>
      <x:c r="N922" s="37" t="n">
        <x:f>IF(B922="Pensioner",1,1/(1+Assumptions!$B$6)^G922)</x:f>
        <x:v>0.3650953281147565</x:v>
      </x:c>
      <x:c r="O922" s="50" t="n">
        <x:f>J922*K922*L922*M922*N922</x:f>
        <x:v>12270457.4313389</x:v>
      </x:c>
    </x:row>
    <x:row r="923">
      <x:c r="A923" s="42" t="str">
        <x:f>Members!A923</x:f>
        <x:v>A0013</x:v>
      </x:c>
      <x:c r="B923" s="42" t="str">
        <x:f>Members!B923</x:f>
        <x:v>Active</x:v>
      </x:c>
      <x:c r="C923" s="42" t="n">
        <x:f>Members!C923</x:f>
        <x:v>38</x:v>
      </x:c>
      <x:c r="D923" s="44" t="n">
        <x:f>Members!D923</x:f>
        <x:v>12.4</x:v>
      </x:c>
      <x:c r="E923" s="48" t="n">
        <x:f>Members!E923</x:f>
        <x:v>605000</x:v>
      </x:c>
      <x:c r="F923" s="48" t="n">
        <x:f>Members!F923</x:f>
        <x:v>0</x:v>
      </x:c>
      <x:c r="G923" s="46" t="n">
        <x:f>MAX(0,Assumptions!$B$10-C923)</x:f>
        <x:v>22</x:v>
      </x:c>
      <x:c r="H923" s="50" t="n">
        <x:f>IF(B923="Active",E923*(1+Assumptions!$B$7)^G923,E923)</x:f>
        <x:v>1964759.9037426678</x:v>
      </x:c>
      <x:c r="I923" s="50" t="n">
        <x:f>IF(B923="Active",MIN(Assumptions!$B$12,D923+G923),IF(B923="Deferred",MIN(Assumptions!$B$12,D923),D923))</x:f>
        <x:v>34.4</x:v>
      </x:c>
      <x:c r="J923" s="50" t="n">
        <x:f>IF(B923="Active",H923*I923*Assumptions!$B$11,IF(B923="Deferred",E923*I923*Assumptions!$B$11*(1+Assumptions!$B$9)^G923,F923))</x:f>
        <x:v>1126462.3448124628</x:v>
      </x:c>
      <x:c r="K923" s="37" t="n">
        <x:f>IF(B923="Pensioner",1,VLOOKUP(Assumptions!$B$10,Mortality!$A$2:$F$104,6,FALSE)/VLOOKUP(C923,Mortality!$A$2:$F$104,6,FALSE))</x:f>
        <x:v>0.9731482688168002</x:v>
      </x:c>
      <x:c r="L923" s="37" t="n">
        <x:f>VLOOKUP(IF(B923="Pensioner",C923,Assumptions!$B$10),Mortality!$A$2:$E$104,5,FALSE)</x:f>
        <x:v>17.296790022132885</x:v>
      </x:c>
      <x:c r="M923" s="37" t="n">
        <x:f>1+Assumptions!$B$13*Assumptions!$B$14*Assumptions!$B$15</x:f>
        <x:v>1.31875</x:v>
      </x:c>
      <x:c r="N923" s="37" t="n">
        <x:f>IF(B923="Pensioner",1,1/(1+Assumptions!$B$6)^G923)</x:f>
        <x:v>0.25021228497116527</x:v>
      </x:c>
      <x:c r="O923" s="50" t="n">
        <x:f>J923*K923*L923*M923*N923</x:f>
        <x:v>6256512.376509534</x:v>
      </x:c>
    </x:row>
    <x:row r="924">
      <x:c r="A924" s="42" t="str">
        <x:f>Members!A924</x:f>
        <x:v>A0577</x:v>
      </x:c>
      <x:c r="B924" s="42" t="str">
        <x:f>Members!B924</x:f>
        <x:v>Active</x:v>
      </x:c>
      <x:c r="C924" s="42" t="n">
        <x:f>Members!C924</x:f>
        <x:v>29</x:v>
      </x:c>
      <x:c r="D924" s="44" t="n">
        <x:f>Members!D924</x:f>
        <x:v>1.9</x:v>
      </x:c>
      <x:c r="E924" s="48" t="n">
        <x:f>Members!E924</x:f>
        <x:v>519000</x:v>
      </x:c>
      <x:c r="F924" s="48" t="n">
        <x:f>Members!F924</x:f>
        <x:v>0</x:v>
      </x:c>
      <x:c r="G924" s="46" t="n">
        <x:f>MAX(0,Assumptions!$B$10-C924)</x:f>
        <x:v>31</x:v>
      </x:c>
      <x:c r="H924" s="50" t="n">
        <x:f>IF(B924="Active",E924*(1+Assumptions!$B$7)^G924,E924)</x:f>
        <x:v>2728937.608204273</x:v>
      </x:c>
      <x:c r="I924" s="50" t="n">
        <x:f>IF(B924="Active",MIN(Assumptions!$B$12,D924+G924),IF(B924="Deferred",MIN(Assumptions!$B$12,D924),D924))</x:f>
        <x:v>32.9</x:v>
      </x:c>
      <x:c r="J924" s="50" t="n">
        <x:f>IF(B924="Active",H924*I924*Assumptions!$B$11,IF(B924="Deferred",E924*I924*Assumptions!$B$11*(1+Assumptions!$B$9)^G924,F924))</x:f>
        <x:v>1496367.455165343</x:v>
      </x:c>
      <x:c r="K924" s="37" t="n">
        <x:f>IF(B924="Pensioner",1,VLOOKUP(Assumptions!$B$10,Mortality!$A$2:$F$104,6,FALSE)/VLOOKUP(C924,Mortality!$A$2:$F$104,6,FALSE))</x:f>
        <x:v>0.9700544954739736</x:v>
      </x:c>
      <x:c r="L924" s="37" t="n">
        <x:f>VLOOKUP(IF(B924="Pensioner",C924,Assumptions!$B$10),Mortality!$A$2:$E$104,5,FALSE)</x:f>
        <x:v>17.296790022132885</x:v>
      </x:c>
      <x:c r="M924" s="37" t="n">
        <x:f>1+Assumptions!$B$13*Assumptions!$B$14*Assumptions!$B$15</x:f>
        <x:v>1.31875</x:v>
      </x:c>
      <x:c r="N924" s="37" t="n">
        <x:f>IF(B924="Pensioner",1,1/(1+Assumptions!$B$6)^G924)</x:f>
        <x:v>0.1419587475209511</x:v>
      </x:c>
      <x:c r="O924" s="50" t="n">
        <x:f>J924*K924*L924*M924*N924</x:f>
        <x:v>4700288.674862205</x:v>
      </x:c>
    </x:row>
    <x:row r="925">
      <x:c r="A925" s="42" t="str">
        <x:f>Members!A925</x:f>
        <x:v>A0406</x:v>
      </x:c>
      <x:c r="B925" s="42" t="str">
        <x:f>Members!B925</x:f>
        <x:v>Active</x:v>
      </x:c>
      <x:c r="C925" s="42" t="n">
        <x:f>Members!C925</x:f>
        <x:v>31</x:v>
      </x:c>
      <x:c r="D925" s="44" t="n">
        <x:f>Members!D925</x:f>
        <x:v>2.7</x:v>
      </x:c>
      <x:c r="E925" s="48" t="n">
        <x:f>Members!E925</x:f>
        <x:v>615000</x:v>
      </x:c>
      <x:c r="F925" s="48" t="n">
        <x:f>Members!F925</x:f>
        <x:v>0</x:v>
      </x:c>
      <x:c r="G925" s="46" t="n">
        <x:f>MAX(0,Assumptions!$B$10-C925)</x:f>
        <x:v>29</x:v>
      </x:c>
      <x:c r="H925" s="50" t="n">
        <x:f>IF(B925="Active",E925*(1+Assumptions!$B$7)^G925,E925)</x:f>
        <x:v>2905336.5330454614</x:v>
      </x:c>
      <x:c r="I925" s="50" t="n">
        <x:f>IF(B925="Active",MIN(Assumptions!$B$12,D925+G925),IF(B925="Deferred",MIN(Assumptions!$B$12,D925),D925))</x:f>
        <x:v>31.7</x:v>
      </x:c>
      <x:c r="J925" s="50" t="n">
        <x:f>IF(B925="Active",H925*I925*Assumptions!$B$11,IF(B925="Deferred",E925*I925*Assumptions!$B$11*(1+Assumptions!$B$9)^G925,F925))</x:f>
        <x:v>1534986.1349590188</x:v>
      </x:c>
      <x:c r="K925" s="37" t="n">
        <x:f>IF(B925="Pensioner",1,VLOOKUP(Assumptions!$B$10,Mortality!$A$2:$F$104,6,FALSE)/VLOOKUP(C925,Mortality!$A$2:$F$104,6,FALSE))</x:f>
        <x:v>0.9706466107295209</x:v>
      </x:c>
      <x:c r="L925" s="37" t="n">
        <x:f>VLOOKUP(IF(B925="Pensioner",C925,Assumptions!$B$10),Mortality!$A$2:$E$104,5,FALSE)</x:f>
        <x:v>17.296790022132885</x:v>
      </x:c>
      <x:c r="M925" s="37" t="n">
        <x:f>1+Assumptions!$B$13*Assumptions!$B$14*Assumptions!$B$15</x:f>
        <x:v>1.31875</x:v>
      </x:c>
      <x:c r="N925" s="37" t="n">
        <x:f>IF(B925="Pensioner",1,1/(1+Assumptions!$B$6)^G925)</x:f>
        <x:v>0.16101316040695074</x:v>
      </x:c>
      <x:c r="O925" s="50" t="n">
        <x:f>J925*K925*L925*M925*N925</x:f>
        <x:v>5472111.774970516</x:v>
      </x:c>
    </x:row>
    <x:row r="926">
      <x:c r="A926" s="42" t="str">
        <x:f>Members!A926</x:f>
        <x:v>A0116</x:v>
      </x:c>
      <x:c r="B926" s="42" t="str">
        <x:f>Members!B926</x:f>
        <x:v>Active</x:v>
      </x:c>
      <x:c r="C926" s="42" t="n">
        <x:f>Members!C926</x:f>
        <x:v>37</x:v>
      </x:c>
      <x:c r="D926" s="44" t="n">
        <x:f>Members!D926</x:f>
        <x:v>7.5</x:v>
      </x:c>
      <x:c r="E926" s="48" t="n">
        <x:f>Members!E926</x:f>
        <x:v>967000</x:v>
      </x:c>
      <x:c r="F926" s="48" t="n">
        <x:f>Members!F926</x:f>
        <x:v>0</x:v>
      </x:c>
      <x:c r="G926" s="46" t="n">
        <x:f>MAX(0,Assumptions!$B$10-C926)</x:f>
        <x:v>23</x:v>
      </x:c>
      <x:c r="H926" s="50" t="n">
        <x:f>IF(B926="Active",E926*(1+Assumptions!$B$7)^G926,E926)</x:f>
        <x:v>3313088.5659499397</x:v>
      </x:c>
      <x:c r="I926" s="50" t="n">
        <x:f>IF(B926="Active",MIN(Assumptions!$B$12,D926+G926),IF(B926="Deferred",MIN(Assumptions!$B$12,D926),D926))</x:f>
        <x:v>30.5</x:v>
      </x:c>
      <x:c r="J926" s="50" t="n">
        <x:f>IF(B926="Active",H926*I926*Assumptions!$B$11,IF(B926="Deferred",E926*I926*Assumptions!$B$11*(1+Assumptions!$B$9)^G926,F926))</x:f>
        <x:v>1684153.3543578861</x:v>
      </x:c>
      <x:c r="K926" s="37" t="n">
        <x:f>IF(B926="Pensioner",1,VLOOKUP(Assumptions!$B$10,Mortality!$A$2:$F$104,6,FALSE)/VLOOKUP(C926,Mortality!$A$2:$F$104,6,FALSE))</x:f>
        <x:v>0.9727356141265188</x:v>
      </x:c>
      <x:c r="L926" s="37" t="n">
        <x:f>VLOOKUP(IF(B926="Pensioner",C926,Assumptions!$B$10),Mortality!$A$2:$E$104,5,FALSE)</x:f>
        <x:v>17.296790022132885</x:v>
      </x:c>
      <x:c r="M926" s="37" t="n">
        <x:f>1+Assumptions!$B$13*Assumptions!$B$14*Assumptions!$B$15</x:f>
        <x:v>1.31875</x:v>
      </x:c>
      <x:c r="N926" s="37" t="n">
        <x:f>IF(B926="Pensioner",1,1/(1+Assumptions!$B$6)^G926)</x:f>
        <x:v>0.23494111264898151</x:v>
      </x:c>
      <x:c r="O926" s="50" t="n">
        <x:f>J926*K926*L926*M926*N926</x:f>
        <x:v>8779372.142062495</x:v>
      </x:c>
    </x:row>
    <x:row r="927">
      <x:c r="A927" s="42" t="str">
        <x:f>Members!A927</x:f>
        <x:v>A0095</x:v>
      </x:c>
      <x:c r="B927" s="42" t="str">
        <x:f>Members!B927</x:f>
        <x:v>Active</x:v>
      </x:c>
      <x:c r="C927" s="42" t="n">
        <x:f>Members!C927</x:f>
        <x:v>37</x:v>
      </x:c>
      <x:c r="D927" s="44" t="n">
        <x:f>Members!D927</x:f>
        <x:v>1.7</x:v>
      </x:c>
      <x:c r="E927" s="48" t="n">
        <x:f>Members!E927</x:f>
        <x:v>878000</x:v>
      </x:c>
      <x:c r="F927" s="48" t="n">
        <x:f>Members!F927</x:f>
        <x:v>0</x:v>
      </x:c>
      <x:c r="G927" s="46" t="n">
        <x:f>MAX(0,Assumptions!$B$10-C927)</x:f>
        <x:v>23</x:v>
      </x:c>
      <x:c r="H927" s="50" t="n">
        <x:f>IF(B927="Active",E927*(1+Assumptions!$B$7)^G927,E927)</x:f>
        <x:v>3008161.0764261084</x:v>
      </x:c>
      <x:c r="I927" s="50" t="n">
        <x:f>IF(B927="Active",MIN(Assumptions!$B$12,D927+G927),IF(B927="Deferred",MIN(Assumptions!$B$12,D927),D927))</x:f>
        <x:v>24.7</x:v>
      </x:c>
      <x:c r="J927" s="50" t="n">
        <x:f>IF(B927="Active",H927*I927*Assumptions!$B$11,IF(B927="Deferred",E927*I927*Assumptions!$B$11*(1+Assumptions!$B$9)^G927,F927))</x:f>
        <x:v>1238359.643128748</x:v>
      </x:c>
      <x:c r="K927" s="37" t="n">
        <x:f>IF(B927="Pensioner",1,VLOOKUP(Assumptions!$B$10,Mortality!$A$2:$F$104,6,FALSE)/VLOOKUP(C927,Mortality!$A$2:$F$104,6,FALSE))</x:f>
        <x:v>0.9727356141265188</x:v>
      </x:c>
      <x:c r="L927" s="37" t="n">
        <x:f>VLOOKUP(IF(B927="Pensioner",C927,Assumptions!$B$10),Mortality!$A$2:$E$104,5,FALSE)</x:f>
        <x:v>17.296790022132885</x:v>
      </x:c>
      <x:c r="M927" s="37" t="n">
        <x:f>1+Assumptions!$B$13*Assumptions!$B$14*Assumptions!$B$15</x:f>
        <x:v>1.31875</x:v>
      </x:c>
      <x:c r="N927" s="37" t="n">
        <x:f>IF(B927="Pensioner",1,1/(1+Assumptions!$B$6)^G927)</x:f>
        <x:v>0.23494111264898151</x:v>
      </x:c>
      <x:c r="O927" s="50" t="n">
        <x:f>J927*K927*L927*M927*N927</x:f>
        <x:v>6455481.102481986</x:v>
      </x:c>
    </x:row>
    <x:row r="928">
      <x:c r="A928" s="42" t="str">
        <x:f>Members!A928</x:f>
        <x:v>A0162</x:v>
      </x:c>
      <x:c r="B928" s="42" t="str">
        <x:f>Members!B928</x:f>
        <x:v>Active</x:v>
      </x:c>
      <x:c r="C928" s="42" t="n">
        <x:f>Members!C928</x:f>
        <x:v>22</x:v>
      </x:c>
      <x:c r="D928" s="44" t="n">
        <x:f>Members!D928</x:f>
        <x:v>1</x:v>
      </x:c>
      <x:c r="E928" s="48" t="n">
        <x:f>Members!E928</x:f>
        <x:v>503000</x:v>
      </x:c>
      <x:c r="F928" s="48" t="n">
        <x:f>Members!F928</x:f>
        <x:v>0</x:v>
      </x:c>
      <x:c r="G928" s="46" t="n">
        <x:f>MAX(0,Assumptions!$B$10-C928)</x:f>
        <x:v>38</x:v>
      </x:c>
      <x:c r="H928" s="50" t="n">
        <x:f>IF(B928="Active",E928*(1+Assumptions!$B$7)^G928,E928)</x:f>
        <x:v>3847347.825349893</x:v>
      </x:c>
      <x:c r="I928" s="50" t="n">
        <x:f>IF(B928="Active",MIN(Assumptions!$B$12,D928+G928),IF(B928="Deferred",MIN(Assumptions!$B$12,D928),D928))</x:f>
        <x:v>39</x:v>
      </x:c>
      <x:c r="J928" s="50" t="n">
        <x:f>IF(B928="Active",H928*I928*Assumptions!$B$11,IF(B928="Deferred",E928*I928*Assumptions!$B$11*(1+Assumptions!$B$9)^G928,F928))</x:f>
        <x:v>2500776.0864774305</x:v>
      </x:c>
      <x:c r="K928" s="37" t="n">
        <x:f>IF(B928="Pensioner",1,VLOOKUP(Assumptions!$B$10,Mortality!$A$2:$F$104,6,FALSE)/VLOOKUP(C928,Mortality!$A$2:$F$104,6,FALSE))</x:f>
        <x:v>0.9682119922904866</x:v>
      </x:c>
      <x:c r="L928" s="37" t="n">
        <x:f>VLOOKUP(IF(B928="Pensioner",C928,Assumptions!$B$10),Mortality!$A$2:$E$104,5,FALSE)</x:f>
        <x:v>17.296790022132885</x:v>
      </x:c>
      <x:c r="M928" s="37" t="n">
        <x:f>1+Assumptions!$B$13*Assumptions!$B$14*Assumptions!$B$15</x:f>
        <x:v>1.31875</x:v>
      </x:c>
      <x:c r="N928" s="37" t="n">
        <x:f>IF(B928="Pensioner",1,1/(1+Assumptions!$B$6)^G928)</x:f>
        <x:v>0.09135133627989055</x:v>
      </x:c>
      <x:c r="O928" s="50" t="n">
        <x:f>J928*K928*L928*M928*N928</x:f>
        <x:v>5045313.484071542</x:v>
      </x:c>
    </x:row>
    <x:row r="929">
      <x:c r="A929" s="42" t="str">
        <x:f>Members!A929</x:f>
        <x:v>P0044</x:v>
      </x:c>
      <x:c r="B929" s="42" t="str">
        <x:f>Members!B929</x:f>
        <x:v>Pensioner</x:v>
      </x:c>
      <x:c r="C929" s="42" t="n">
        <x:f>Members!C929</x:f>
        <x:v>82</x:v>
      </x:c>
      <x:c r="D929" s="44" t="n">
        <x:f>Members!D929</x:f>
        <x:v>22.3</x:v>
      </x:c>
      <x:c r="E929" s="48" t="n">
        <x:f>Members!E929</x:f>
        <x:v>0</x:v>
      </x:c>
      <x:c r="F929" s="48" t="n">
        <x:f>Members!F929</x:f>
        <x:v>334000</x:v>
      </x:c>
      <x:c r="G929" s="46" t="n">
        <x:f>MAX(0,Assumptions!$B$10-C929)</x:f>
        <x:v>0</x:v>
      </x:c>
      <x:c r="H929" s="50" t="n">
        <x:f>IF(B929="Active",E929*(1+Assumptions!$B$7)^G929,E929)</x:f>
        <x:v>0</x:v>
      </x:c>
      <x:c r="I929" s="50" t="n">
        <x:f>IF(B929="Active",MIN(Assumptions!$B$12,D929+G929),IF(B929="Deferred",MIN(Assumptions!$B$12,D929),D929))</x:f>
        <x:v>22.3</x:v>
      </x:c>
      <x:c r="J929" s="50" t="n">
        <x:f>IF(B929="Active",H929*I929*Assumptions!$B$11,IF(B929="Deferred",E929*I929*Assumptions!$B$11*(1+Assumptions!$B$9)^G929,F929))</x:f>
        <x:v>334000</x:v>
      </x:c>
      <x:c r="K929" s="37" t="n">
        <x:f>IF(B929="Pensioner",1,VLOOKUP(Assumptions!$B$10,Mortality!$A$2:$F$104,6,FALSE)/VLOOKUP(C929,Mortality!$A$2:$F$104,6,FALSE))</x:f>
        <x:v>1</x:v>
      </x:c>
      <x:c r="L929" s="37" t="n">
        <x:f>VLOOKUP(IF(B929="Pensioner",C929,Assumptions!$B$10),Mortality!$A$2:$E$104,5,FALSE)</x:f>
        <x:v>7.498462430808598</x:v>
      </x:c>
      <x:c r="M929" s="37" t="n">
        <x:f>1+Assumptions!$B$13*Assumptions!$B$14*Assumptions!$B$15</x:f>
        <x:v>1.31875</x:v>
      </x:c>
      <x:c r="N929" s="37" t="n">
        <x:f>IF(B929="Pensioner",1,1/(1+Assumptions!$B$6)^G929)</x:f>
        <x:v>1</x:v>
      </x:c>
      <x:c r="O929" s="50" t="n">
        <x:f>J929*K929*L929*M929*N929</x:f>
        <x:v>3302791.508430032</x:v>
      </x:c>
    </x:row>
    <x:row r="930">
      <x:c r="A930" s="42" t="str">
        <x:f>Members!A930</x:f>
        <x:v>P0119</x:v>
      </x:c>
      <x:c r="B930" s="42" t="str">
        <x:f>Members!B930</x:f>
        <x:v>Pensioner</x:v>
      </x:c>
      <x:c r="C930" s="42" t="n">
        <x:f>Members!C930</x:f>
        <x:v>87</x:v>
      </x:c>
      <x:c r="D930" s="44" t="n">
        <x:f>Members!D930</x:f>
        <x:v>14.4</x:v>
      </x:c>
      <x:c r="E930" s="48" t="n">
        <x:f>Members!E930</x:f>
        <x:v>0</x:v>
      </x:c>
      <x:c r="F930" s="48" t="n">
        <x:f>Members!F930</x:f>
        <x:v>383000</x:v>
      </x:c>
      <x:c r="G930" s="46" t="n">
        <x:f>MAX(0,Assumptions!$B$10-C930)</x:f>
        <x:v>0</x:v>
      </x:c>
      <x:c r="H930" s="50" t="n">
        <x:f>IF(B930="Active",E930*(1+Assumptions!$B$7)^G930,E930)</x:f>
        <x:v>0</x:v>
      </x:c>
      <x:c r="I930" s="50" t="n">
        <x:f>IF(B930="Active",MIN(Assumptions!$B$12,D930+G930),IF(B930="Deferred",MIN(Assumptions!$B$12,D930),D930))</x:f>
        <x:v>14.4</x:v>
      </x:c>
      <x:c r="J930" s="50" t="n">
        <x:f>IF(B930="Active",H930*I930*Assumptions!$B$11,IF(B930="Deferred",E930*I930*Assumptions!$B$11*(1+Assumptions!$B$9)^G930,F930))</x:f>
        <x:v>383000</x:v>
      </x:c>
      <x:c r="K930" s="37" t="n">
        <x:f>IF(B930="Pensioner",1,VLOOKUP(Assumptions!$B$10,Mortality!$A$2:$F$104,6,FALSE)/VLOOKUP(C930,Mortality!$A$2:$F$104,6,FALSE))</x:f>
        <x:v>1</x:v>
      </x:c>
      <x:c r="L930" s="37" t="n">
        <x:f>VLOOKUP(IF(B930="Pensioner",C930,Assumptions!$B$10),Mortality!$A$2:$E$104,5,FALSE)</x:f>
        <x:v>5.427731360162463</x:v>
      </x:c>
      <x:c r="M930" s="37" t="n">
        <x:f>1+Assumptions!$B$13*Assumptions!$B$14*Assumptions!$B$15</x:f>
        <x:v>1.31875</x:v>
      </x:c>
      <x:c r="N930" s="37" t="n">
        <x:f>IF(B930="Pensioner",1,1/(1+Assumptions!$B$6)^G930)</x:f>
        <x:v>1</x:v>
      </x:c>
      <x:c r="O930" s="50" t="n">
        <x:f>J930*K930*L930*M930*N930</x:f>
        <x:v>2741445.3400550573</x:v>
      </x:c>
    </x:row>
    <x:row r="931">
      <x:c r="A931" s="42" t="str">
        <x:f>Members!A931</x:f>
        <x:v>A0536</x:v>
      </x:c>
      <x:c r="B931" s="42" t="str">
        <x:f>Members!B931</x:f>
        <x:v>Active</x:v>
      </x:c>
      <x:c r="C931" s="42" t="n">
        <x:f>Members!C931</x:f>
        <x:v>27</x:v>
      </x:c>
      <x:c r="D931" s="44" t="n">
        <x:f>Members!D931</x:f>
        <x:v>1.5</x:v>
      </x:c>
      <x:c r="E931" s="48" t="n">
        <x:f>Members!E931</x:f>
        <x:v>429000</x:v>
      </x:c>
      <x:c r="F931" s="48" t="n">
        <x:f>Members!F931</x:f>
        <x:v>0</x:v>
      </x:c>
      <x:c r="G931" s="46" t="n">
        <x:f>MAX(0,Assumptions!$B$10-C931)</x:f>
        <x:v>33</x:v>
      </x:c>
      <x:c r="H931" s="50" t="n">
        <x:f>IF(B931="Active",E931*(1+Assumptions!$B$7)^G931,E931)</x:f>
        <x:v>2510663.2181279375</x:v>
      </x:c>
      <x:c r="I931" s="50" t="n">
        <x:f>IF(B931="Active",MIN(Assumptions!$B$12,D931+G931),IF(B931="Deferred",MIN(Assumptions!$B$12,D931),D931))</x:f>
        <x:v>34.5</x:v>
      </x:c>
      <x:c r="J931" s="50" t="n">
        <x:f>IF(B931="Active",H931*I931*Assumptions!$B$11,IF(B931="Deferred",E931*I931*Assumptions!$B$11*(1+Assumptions!$B$9)^G931,F931))</x:f>
        <x:v>1443631.350423564</x:v>
      </x:c>
      <x:c r="K931" s="37" t="n">
        <x:f>IF(B931="Pensioner",1,VLOOKUP(Assumptions!$B$10,Mortality!$A$2:$F$104,6,FALSE)/VLOOKUP(C931,Mortality!$A$2:$F$104,6,FALSE))</x:f>
        <x:v>0.9694971330284515</x:v>
      </x:c>
      <x:c r="L931" s="37" t="n">
        <x:f>VLOOKUP(IF(B931="Pensioner",C931,Assumptions!$B$10),Mortality!$A$2:$E$104,5,FALSE)</x:f>
        <x:v>17.296790022132885</x:v>
      </x:c>
      <x:c r="M931" s="37" t="n">
        <x:f>1+Assumptions!$B$13*Assumptions!$B$14*Assumptions!$B$15</x:f>
        <x:v>1.31875</x:v>
      </x:c>
      <x:c r="N931" s="37" t="n">
        <x:f>IF(B931="Pensioner",1,1/(1+Assumptions!$B$6)^G931)</x:f>
        <x:v>0.12515924752227392</x:v>
      </x:c>
      <x:c r="O931" s="50" t="n">
        <x:f>J931*K931*L931*M931*N931</x:f>
        <x:v>3995708.1846990366</x:v>
      </x:c>
    </x:row>
    <x:row r="932">
      <x:c r="A932" s="42" t="str">
        <x:f>Members!A932</x:f>
        <x:v>P0080</x:v>
      </x:c>
      <x:c r="B932" s="42" t="str">
        <x:f>Members!B932</x:f>
        <x:v>Pensioner</x:v>
      </x:c>
      <x:c r="C932" s="42" t="n">
        <x:f>Members!C932</x:f>
        <x:v>61</x:v>
      </x:c>
      <x:c r="D932" s="44" t="n">
        <x:f>Members!D932</x:f>
        <x:v>14.2</x:v>
      </x:c>
      <x:c r="E932" s="48" t="n">
        <x:f>Members!E932</x:f>
        <x:v>0</x:v>
      </x:c>
      <x:c r="F932" s="48" t="n">
        <x:f>Members!F932</x:f>
        <x:v>257000</x:v>
      </x:c>
      <x:c r="G932" s="46" t="n">
        <x:f>MAX(0,Assumptions!$B$10-C932)</x:f>
        <x:v>0</x:v>
      </x:c>
      <x:c r="H932" s="50" t="n">
        <x:f>IF(B932="Active",E932*(1+Assumptions!$B$7)^G932,E932)</x:f>
        <x:v>0</x:v>
      </x:c>
      <x:c r="I932" s="50" t="n">
        <x:f>IF(B932="Active",MIN(Assumptions!$B$12,D932+G932),IF(B932="Deferred",MIN(Assumptions!$B$12,D932),D932))</x:f>
        <x:v>14.2</x:v>
      </x:c>
      <x:c r="J932" s="50" t="n">
        <x:f>IF(B932="Active",H932*I932*Assumptions!$B$11,IF(B932="Deferred",E932*I932*Assumptions!$B$11*(1+Assumptions!$B$9)^G932,F932))</x:f>
        <x:v>257000</x:v>
      </x:c>
      <x:c r="K932" s="37" t="n">
        <x:f>IF(B932="Pensioner",1,VLOOKUP(Assumptions!$B$10,Mortality!$A$2:$F$104,6,FALSE)/VLOOKUP(C932,Mortality!$A$2:$F$104,6,FALSE))</x:f>
        <x:v>1</x:v>
      </x:c>
      <x:c r="L932" s="37" t="n">
        <x:f>VLOOKUP(IF(B932="Pensioner",C932,Assumptions!$B$10),Mortality!$A$2:$E$104,5,FALSE)</x:f>
        <x:v>16.889485221588366</x:v>
      </x:c>
      <x:c r="M932" s="37" t="n">
        <x:f>1+Assumptions!$B$13*Assumptions!$B$14*Assumptions!$B$15</x:f>
        <x:v>1.31875</x:v>
      </x:c>
      <x:c r="N932" s="37" t="n">
        <x:f>IF(B932="Pensioner",1,1/(1+Assumptions!$B$6)^G932)</x:f>
        <x:v>1</x:v>
      </x:c>
      <x:c r="O932" s="50" t="n">
        <x:f>J932*K932*L932*M932*N932</x:f>
        <x:v>5724163.219444202</x:v>
      </x:c>
    </x:row>
    <x:row r="933">
      <x:c r="A933" s="42" t="str">
        <x:f>Members!A933</x:f>
        <x:v>D0053</x:v>
      </x:c>
      <x:c r="B933" s="42" t="str">
        <x:f>Members!B933</x:f>
        <x:v>Deferred</x:v>
      </x:c>
      <x:c r="C933" s="42" t="n">
        <x:f>Members!C933</x:f>
        <x:v>33</x:v>
      </x:c>
      <x:c r="D933" s="44" t="n">
        <x:f>Members!D933</x:f>
        <x:v>5.8</x:v>
      </x:c>
      <x:c r="E933" s="48" t="n">
        <x:f>Members!E933</x:f>
        <x:v>522000</x:v>
      </x:c>
      <x:c r="F933" s="48" t="n">
        <x:f>Members!F933</x:f>
        <x:v>0</x:v>
      </x:c>
      <x:c r="G933" s="46" t="n">
        <x:f>MAX(0,Assumptions!$B$10-C933)</x:f>
        <x:v>27</x:v>
      </x:c>
      <x:c r="H933" s="50" t="n">
        <x:f>IF(B933="Active",E933*(1+Assumptions!$B$7)^G933,E933)</x:f>
        <x:v>522000</x:v>
      </x:c>
      <x:c r="I933" s="50" t="n">
        <x:f>IF(B933="Active",MIN(Assumptions!$B$12,D933+G933),IF(B933="Deferred",MIN(Assumptions!$B$12,D933),D933))</x:f>
        <x:v>5.8</x:v>
      </x:c>
      <x:c r="J933" s="50" t="n">
        <x:f>IF(B933="Active",H933*I933*Assumptions!$B$11,IF(B933="Deferred",E933*I933*Assumptions!$B$11*(1+Assumptions!$B$9)^G933,F933))</x:f>
        <x:v>145494.77835186277</x:v>
      </x:c>
      <x:c r="K933" s="37" t="n">
        <x:f>IF(B933="Pensioner",1,VLOOKUP(Assumptions!$B$10,Mortality!$A$2:$F$104,6,FALSE)/VLOOKUP(C933,Mortality!$A$2:$F$104,6,FALSE))</x:f>
        <x:v>0.9712826176321353</x:v>
      </x:c>
      <x:c r="L933" s="37" t="n">
        <x:f>VLOOKUP(IF(B933="Pensioner",C933,Assumptions!$B$10),Mortality!$A$2:$E$104,5,FALSE)</x:f>
        <x:v>17.296790022132885</x:v>
      </x:c>
      <x:c r="M933" s="37" t="n">
        <x:f>1+Assumptions!$B$13*Assumptions!$B$14*Assumptions!$B$15</x:f>
        <x:v>1.31875</x:v>
      </x:c>
      <x:c r="N933" s="37" t="n">
        <x:f>IF(B933="Pensioner",1,1/(1+Assumptions!$B$6)^G933)</x:f>
        <x:v>0.1826251518625737</x:v>
      </x:c>
      <x:c r="O933" s="50" t="n">
        <x:f>J933*K933*L933*M933*N933</x:f>
        <x:v>588683.1427694679</x:v>
      </x:c>
    </x:row>
    <x:row r="934">
      <x:c r="A934" s="42" t="str">
        <x:f>Members!A934</x:f>
        <x:v>A0314</x:v>
      </x:c>
      <x:c r="B934" s="42" t="str">
        <x:f>Members!B934</x:f>
        <x:v>Active</x:v>
      </x:c>
      <x:c r="C934" s="42" t="n">
        <x:f>Members!C934</x:f>
        <x:v>31</x:v>
      </x:c>
      <x:c r="D934" s="44" t="n">
        <x:f>Members!D934</x:f>
        <x:v>10</x:v>
      </x:c>
      <x:c r="E934" s="48" t="n">
        <x:f>Members!E934</x:f>
        <x:v>553000</x:v>
      </x:c>
      <x:c r="F934" s="48" t="n">
        <x:f>Members!F934</x:f>
        <x:v>0</x:v>
      </x:c>
      <x:c r="G934" s="46" t="n">
        <x:f>MAX(0,Assumptions!$B$10-C934)</x:f>
        <x:v>29</x:v>
      </x:c>
      <x:c r="H934" s="50" t="n">
        <x:f>IF(B934="Active",E934*(1+Assumptions!$B$7)^G934,E934)</x:f>
        <x:v>2612440.817518927</x:v>
      </x:c>
      <x:c r="I934" s="50" t="n">
        <x:f>IF(B934="Active",MIN(Assumptions!$B$12,D934+G934),IF(B934="Deferred",MIN(Assumptions!$B$12,D934),D934))</x:f>
        <x:v>39</x:v>
      </x:c>
      <x:c r="J934" s="50" t="n">
        <x:f>IF(B934="Active",H934*I934*Assumptions!$B$11,IF(B934="Deferred",E934*I934*Assumptions!$B$11*(1+Assumptions!$B$9)^G934,F934))</x:f>
        <x:v>1698086.5313873028</x:v>
      </x:c>
      <x:c r="K934" s="37" t="n">
        <x:f>IF(B934="Pensioner",1,VLOOKUP(Assumptions!$B$10,Mortality!$A$2:$F$104,6,FALSE)/VLOOKUP(C934,Mortality!$A$2:$F$104,6,FALSE))</x:f>
        <x:v>0.9706466107295209</x:v>
      </x:c>
      <x:c r="L934" s="37" t="n">
        <x:f>VLOOKUP(IF(B934="Pensioner",C934,Assumptions!$B$10),Mortality!$A$2:$E$104,5,FALSE)</x:f>
        <x:v>17.296790022132885</x:v>
      </x:c>
      <x:c r="M934" s="37" t="n">
        <x:f>1+Assumptions!$B$13*Assumptions!$B$14*Assumptions!$B$15</x:f>
        <x:v>1.31875</x:v>
      </x:c>
      <x:c r="N934" s="37" t="n">
        <x:f>IF(B934="Pensioner",1,1/(1+Assumptions!$B$6)^G934)</x:f>
        <x:v>0.16101316040695074</x:v>
      </x:c>
      <x:c r="O934" s="50" t="n">
        <x:f>J934*K934*L934*M934*N934</x:f>
        <x:v>6053552.596793574</x:v>
      </x:c>
    </x:row>
    <x:row r="935">
      <x:c r="A935" s="42" t="str">
        <x:f>Members!A935</x:f>
        <x:v>A0306</x:v>
      </x:c>
      <x:c r="B935" s="42" t="str">
        <x:f>Members!B935</x:f>
        <x:v>Active</x:v>
      </x:c>
      <x:c r="C935" s="42" t="n">
        <x:f>Members!C935</x:f>
        <x:v>49</x:v>
      </x:c>
      <x:c r="D935" s="44" t="n">
        <x:f>Members!D935</x:f>
        <x:v>16.1</x:v>
      </x:c>
      <x:c r="E935" s="48" t="n">
        <x:f>Members!E935</x:f>
        <x:v>1587000</x:v>
      </x:c>
      <x:c r="F935" s="48" t="n">
        <x:f>Members!F935</x:f>
        <x:v>0</x:v>
      </x:c>
      <x:c r="G935" s="46" t="n">
        <x:f>MAX(0,Assumptions!$B$10-C935)</x:f>
        <x:v>11</x:v>
      </x:c>
      <x:c r="H935" s="50" t="n">
        <x:f>IF(B935="Active",E935*(1+Assumptions!$B$7)^G935,E935)</x:f>
        <x:v>2859920.644454545</x:v>
      </x:c>
      <x:c r="I935" s="50" t="n">
        <x:f>IF(B935="Active",MIN(Assumptions!$B$12,D935+G935),IF(B935="Deferred",MIN(Assumptions!$B$12,D935),D935))</x:f>
        <x:v>27.1</x:v>
      </x:c>
      <x:c r="J935" s="50" t="n">
        <x:f>IF(B935="Active",H935*I935*Assumptions!$B$11,IF(B935="Deferred",E935*I935*Assumptions!$B$11*(1+Assumptions!$B$9)^G935,F935))</x:f>
        <x:v>1291730.8244119694</x:v>
      </x:c>
      <x:c r="K935" s="37" t="n">
        <x:f>IF(B935="Pensioner",1,VLOOKUP(Assumptions!$B$10,Mortality!$A$2:$F$104,6,FALSE)/VLOOKUP(C935,Mortality!$A$2:$F$104,6,FALSE))</x:f>
        <x:v>0.9802429662359576</x:v>
      </x:c>
      <x:c r="L935" s="37" t="n">
        <x:f>VLOOKUP(IF(B935="Pensioner",C935,Assumptions!$B$10),Mortality!$A$2:$E$104,5,FALSE)</x:f>
        <x:v>17.296790022132885</x:v>
      </x:c>
      <x:c r="M935" s="37" t="n">
        <x:f>1+Assumptions!$B$13*Assumptions!$B$14*Assumptions!$B$15</x:f>
        <x:v>1.31875</x:v>
      </x:c>
      <x:c r="N935" s="37" t="n">
        <x:f>IF(B935="Pensioner",1,1/(1+Assumptions!$B$6)^G935)</x:f>
        <x:v>0.5002122399253793</x:v>
      </x:c>
      <x:c r="O935" s="50" t="n">
        <x:f>J935*K935*L935*M935*N935</x:f>
        <x:v>14447345.481810575</x:v>
      </x:c>
    </x:row>
    <x:row r="936">
      <x:c r="A936" s="42" t="str">
        <x:f>Members!A936</x:f>
        <x:v>A0597</x:v>
      </x:c>
      <x:c r="B936" s="42" t="str">
        <x:f>Members!B936</x:f>
        <x:v>Active</x:v>
      </x:c>
      <x:c r="C936" s="42" t="n">
        <x:f>Members!C936</x:f>
        <x:v>57</x:v>
      </x:c>
      <x:c r="D936" s="44" t="n">
        <x:f>Members!D936</x:f>
        <x:v>32.2</x:v>
      </x:c>
      <x:c r="E936" s="48" t="n">
        <x:f>Members!E936</x:f>
        <x:v>2332000</x:v>
      </x:c>
      <x:c r="F936" s="48" t="n">
        <x:f>Members!F936</x:f>
        <x:v>0</x:v>
      </x:c>
      <x:c r="G936" s="46" t="n">
        <x:f>MAX(0,Assumptions!$B$10-C936)</x:f>
        <x:v>3</x:v>
      </x:c>
      <x:c r="H936" s="50" t="n">
        <x:f>IF(B936="Active",E936*(1+Assumptions!$B$7)^G936,E936)</x:f>
        <x:v>2738330.8864999996</x:v>
      </x:c>
      <x:c r="I936" s="50" t="n">
        <x:f>IF(B936="Active",MIN(Assumptions!$B$12,D936+G936),IF(B936="Deferred",MIN(Assumptions!$B$12,D936),D936))</x:f>
        <x:v>35.2</x:v>
      </x:c>
      <x:c r="J936" s="50" t="n">
        <x:f>IF(B936="Active",H936*I936*Assumptions!$B$11,IF(B936="Deferred",E936*I936*Assumptions!$B$11*(1+Assumptions!$B$9)^G936,F936))</x:f>
        <x:v>1606487.4534133333</x:v>
      </x:c>
      <x:c r="K936" s="37" t="n">
        <x:f>IF(B936="Pensioner",1,VLOOKUP(Assumptions!$B$10,Mortality!$A$2:$F$104,6,FALSE)/VLOOKUP(C936,Mortality!$A$2:$F$104,6,FALSE))</x:f>
        <x:v>0.9922003892921417</x:v>
      </x:c>
      <x:c r="L936" s="37" t="n">
        <x:f>VLOOKUP(IF(B936="Pensioner",C936,Assumptions!$B$10),Mortality!$A$2:$E$104,5,FALSE)</x:f>
        <x:v>17.296790022132885</x:v>
      </x:c>
      <x:c r="M936" s="37" t="n">
        <x:f>1+Assumptions!$B$13*Assumptions!$B$14*Assumptions!$B$15</x:f>
        <x:v>1.31875</x:v>
      </x:c>
      <x:c r="N936" s="37" t="n">
        <x:f>IF(B936="Pensioner",1,1/(1+Assumptions!$B$6)^G936)</x:f>
        <x:v>0.8278490918029799</x:v>
      </x:c>
      <x:c r="O936" s="50" t="n">
        <x:f>J936*K936*L936*M936*N936</x:f>
        <x:v>30099265.21766454</x:v>
      </x:c>
    </x:row>
    <x:row r="937">
      <x:c r="A937" s="42" t="str">
        <x:f>Members!A937</x:f>
        <x:v>A0360</x:v>
      </x:c>
      <x:c r="B937" s="42" t="str">
        <x:f>Members!B937</x:f>
        <x:v>Active</x:v>
      </x:c>
      <x:c r="C937" s="42" t="n">
        <x:f>Members!C937</x:f>
        <x:v>51</x:v>
      </x:c>
      <x:c r="D937" s="44" t="n">
        <x:f>Members!D937</x:f>
        <x:v>23.2</x:v>
      </x:c>
      <x:c r="E937" s="48" t="n">
        <x:f>Members!E937</x:f>
        <x:v>1180000</x:v>
      </x:c>
      <x:c r="F937" s="48" t="n">
        <x:f>Members!F937</x:f>
        <x:v>0</x:v>
      </x:c>
      <x:c r="G937" s="46" t="n">
        <x:f>MAX(0,Assumptions!$B$10-C937)</x:f>
        <x:v>9</x:v>
      </x:c>
      <x:c r="H937" s="50" t="n">
        <x:f>IF(B937="Active",E937*(1+Assumptions!$B$7)^G937,E937)</x:f>
        <x:v>1910531.2425187107</x:v>
      </x:c>
      <x:c r="I937" s="50" t="n">
        <x:f>IF(B937="Active",MIN(Assumptions!$B$12,D937+G937),IF(B937="Deferred",MIN(Assumptions!$B$12,D937),D937))</x:f>
        <x:v>32.2</x:v>
      </x:c>
      <x:c r="J937" s="50" t="n">
        <x:f>IF(B937="Active",H937*I937*Assumptions!$B$11,IF(B937="Deferred",E937*I937*Assumptions!$B$11*(1+Assumptions!$B$9)^G937,F937))</x:f>
        <x:v>1025318.4334850414</x:v>
      </x:c>
      <x:c r="K937" s="37" t="n">
        <x:f>IF(B937="Pensioner",1,VLOOKUP(Assumptions!$B$10,Mortality!$A$2:$F$104,6,FALSE)/VLOOKUP(C937,Mortality!$A$2:$F$104,6,FALSE))</x:f>
        <x:v>0.9824052797506154</x:v>
      </x:c>
      <x:c r="L937" s="37" t="n">
        <x:f>VLOOKUP(IF(B937="Pensioner",C937,Assumptions!$B$10),Mortality!$A$2:$E$104,5,FALSE)</x:f>
        <x:v>17.296790022132885</x:v>
      </x:c>
      <x:c r="M937" s="37" t="n">
        <x:f>1+Assumptions!$B$13*Assumptions!$B$14*Assumptions!$B$15</x:f>
        <x:v>1.31875</x:v>
      </x:c>
      <x:c r="N937" s="37" t="n">
        <x:f>IF(B937="Pensioner",1,1/(1+Assumptions!$B$6)^G937)</x:f>
        <x:v>0.5673532278293633</x:v>
      </x:c>
      <x:c r="O937" s="50" t="n">
        <x:f>J937*K937*L937*M937*N937</x:f>
        <x:v>13035598.303697951</x:v>
      </x:c>
    </x:row>
    <x:row r="938">
      <x:c r="A938" s="42" t="str">
        <x:f>Members!A938</x:f>
        <x:v>A0418</x:v>
      </x:c>
      <x:c r="B938" s="42" t="str">
        <x:f>Members!B938</x:f>
        <x:v>Active</x:v>
      </x:c>
      <x:c r="C938" s="42" t="n">
        <x:f>Members!C938</x:f>
        <x:v>24</x:v>
      </x:c>
      <x:c r="D938" s="44" t="n">
        <x:f>Members!D938</x:f>
        <x:v>1.8</x:v>
      </x:c>
      <x:c r="E938" s="48" t="n">
        <x:f>Members!E938</x:f>
        <x:v>397000</x:v>
      </x:c>
      <x:c r="F938" s="48" t="n">
        <x:f>Members!F938</x:f>
        <x:v>0</x:v>
      </x:c>
      <x:c r="G938" s="46" t="n">
        <x:f>MAX(0,Assumptions!$B$10-C938)</x:f>
        <x:v>36</x:v>
      </x:c>
      <x:c r="H938" s="50" t="n">
        <x:f>IF(B938="Active",E938*(1+Assumptions!$B$7)^G938,E938)</x:f>
        <x:v>2728217.8971523084</x:v>
      </x:c>
      <x:c r="I938" s="50" t="n">
        <x:f>IF(B938="Active",MIN(Assumptions!$B$12,D938+G938),IF(B938="Deferred",MIN(Assumptions!$B$12,D938),D938))</x:f>
        <x:v>37.8</x:v>
      </x:c>
      <x:c r="J938" s="50" t="n">
        <x:f>IF(B938="Active",H938*I938*Assumptions!$B$11,IF(B938="Deferred",E938*I938*Assumptions!$B$11*(1+Assumptions!$B$9)^G938,F938))</x:f>
        <x:v>1718777.2752059542</x:v>
      </x:c>
      <x:c r="K938" s="37" t="n">
        <x:f>IF(B938="Pensioner",1,VLOOKUP(Assumptions!$B$10,Mortality!$A$2:$F$104,6,FALSE)/VLOOKUP(C938,Mortality!$A$2:$F$104,6,FALSE))</x:f>
        <x:v>0.9687108670060764</x:v>
      </x:c>
      <x:c r="L938" s="37" t="n">
        <x:f>VLOOKUP(IF(B938="Pensioner",C938,Assumptions!$B$10),Mortality!$A$2:$E$104,5,FALSE)</x:f>
        <x:v>17.296790022132885</x:v>
      </x:c>
      <x:c r="M938" s="37" t="n">
        <x:f>1+Assumptions!$B$13*Assumptions!$B$14*Assumptions!$B$15</x:f>
        <x:v>1.31875</x:v>
      </x:c>
      <x:c r="N938" s="37" t="n">
        <x:f>IF(B938="Pensioner",1,1/(1+Assumptions!$B$6)^G938)</x:f>
        <x:v>0.10361296939205883</x:v>
      </x:c>
      <x:c r="O938" s="50" t="n">
        <x:f>J938*K938*L938*M938*N938</x:f>
        <x:v>3935100.9735348206</x:v>
      </x:c>
    </x:row>
    <x:row r="939">
      <x:c r="A939" s="42" t="str">
        <x:f>Members!A939</x:f>
        <x:v>A0388</x:v>
      </x:c>
      <x:c r="B939" s="42" t="str">
        <x:f>Members!B939</x:f>
        <x:v>Active</x:v>
      </x:c>
      <x:c r="C939" s="42" t="n">
        <x:f>Members!C939</x:f>
        <x:v>52</x:v>
      </x:c>
      <x:c r="D939" s="44" t="n">
        <x:f>Members!D939</x:f>
        <x:v>30</x:v>
      </x:c>
      <x:c r="E939" s="48" t="n">
        <x:f>Members!E939</x:f>
        <x:v>1520000</x:v>
      </x:c>
      <x:c r="F939" s="48" t="n">
        <x:f>Members!F939</x:f>
        <x:v>0</x:v>
      </x:c>
      <x:c r="G939" s="46" t="n">
        <x:f>MAX(0,Assumptions!$B$10-C939)</x:f>
        <x:v>8</x:v>
      </x:c>
      <x:c r="H939" s="50" t="n">
        <x:f>IF(B939="Active",E939*(1+Assumptions!$B$7)^G939,E939)</x:f>
        <x:v>2332723.502794152</x:v>
      </x:c>
      <x:c r="I939" s="50" t="n">
        <x:f>IF(B939="Active",MIN(Assumptions!$B$12,D939+G939),IF(B939="Deferred",MIN(Assumptions!$B$12,D939),D939))</x:f>
        <x:v>38</x:v>
      </x:c>
      <x:c r="J939" s="50" t="n">
        <x:f>IF(B939="Active",H939*I939*Assumptions!$B$11,IF(B939="Deferred",E939*I939*Assumptions!$B$11*(1+Assumptions!$B$9)^G939,F939))</x:f>
        <x:v>1477391.5517696296</x:v>
      </x:c>
      <x:c r="K939" s="37" t="n">
        <x:f>IF(B939="Pensioner",1,VLOOKUP(Assumptions!$B$10,Mortality!$A$2:$F$104,6,FALSE)/VLOOKUP(C939,Mortality!$A$2:$F$104,6,FALSE))</x:f>
        <x:v>0.9836527516879843</x:v>
      </x:c>
      <x:c r="L939" s="37" t="n">
        <x:f>VLOOKUP(IF(B939="Pensioner",C939,Assumptions!$B$10),Mortality!$A$2:$E$104,5,FALSE)</x:f>
        <x:v>17.296790022132885</x:v>
      </x:c>
      <x:c r="M939" s="37" t="n">
        <x:f>1+Assumptions!$B$13*Assumptions!$B$14*Assumptions!$B$15</x:f>
        <x:v>1.31875</x:v>
      </x:c>
      <x:c r="N939" s="37" t="n">
        <x:f>IF(B939="Pensioner",1,1/(1+Assumptions!$B$6)^G939)</x:f>
        <x:v>0.6042311876382719</x:v>
      </x:c>
      <x:c r="O939" s="50" t="n">
        <x:f>J939*K939*L939*M939*N939</x:f>
        <x:v>20029427.96451314</x:v>
      </x:c>
    </x:row>
    <x:row r="940">
      <x:c r="A940" s="42" t="str">
        <x:f>Members!A940</x:f>
        <x:v>A0258</x:v>
      </x:c>
      <x:c r="B940" s="42" t="str">
        <x:f>Members!B940</x:f>
        <x:v>Active</x:v>
      </x:c>
      <x:c r="C940" s="42" t="n">
        <x:f>Members!C940</x:f>
        <x:v>44</x:v>
      </x:c>
      <x:c r="D940" s="44" t="n">
        <x:f>Members!D940</x:f>
        <x:v>17.7</x:v>
      </x:c>
      <x:c r="E940" s="48" t="n">
        <x:f>Members!E940</x:f>
        <x:v>1190000</x:v>
      </x:c>
      <x:c r="F940" s="48" t="n">
        <x:f>Members!F940</x:f>
        <x:v>0</x:v>
      </x:c>
      <x:c r="G940" s="46" t="n">
        <x:f>MAX(0,Assumptions!$B$10-C940)</x:f>
        <x:v>16</x:v>
      </x:c>
      <x:c r="H940" s="50" t="n">
        <x:f>IF(B940="Active",E940*(1+Assumptions!$B$7)^G940,E940)</x:f>
        <x:v>2802762.612180134</x:v>
      </x:c>
      <x:c r="I940" s="50" t="n">
        <x:f>IF(B940="Active",MIN(Assumptions!$B$12,D940+G940),IF(B940="Deferred",MIN(Assumptions!$B$12,D940),D940))</x:f>
        <x:v>33.7</x:v>
      </x:c>
      <x:c r="J940" s="50" t="n">
        <x:f>IF(B940="Active",H940*I940*Assumptions!$B$11,IF(B940="Deferred",E940*I940*Assumptions!$B$11*(1+Assumptions!$B$9)^G940,F940))</x:f>
        <x:v>1574218.3338411753</x:v>
      </x:c>
      <x:c r="K940" s="37" t="n">
        <x:f>IF(B940="Pensioner",1,VLOOKUP(Assumptions!$B$10,Mortality!$A$2:$F$104,6,FALSE)/VLOOKUP(C940,Mortality!$A$2:$F$104,6,FALSE))</x:f>
        <x:v>0.9762682212178733</x:v>
      </x:c>
      <x:c r="L940" s="37" t="n">
        <x:f>VLOOKUP(IF(B940="Pensioner",C940,Assumptions!$B$10),Mortality!$A$2:$E$104,5,FALSE)</x:f>
        <x:v>17.296790022132885</x:v>
      </x:c>
      <x:c r="M940" s="37" t="n">
        <x:f>1+Assumptions!$B$13*Assumptions!$B$14*Assumptions!$B$15</x:f>
        <x:v>1.31875</x:v>
      </x:c>
      <x:c r="N940" s="37" t="n">
        <x:f>IF(B940="Pensioner",1,1/(1+Assumptions!$B$6)^G940)</x:f>
        <x:v>0.3650953281147565</x:v>
      </x:c>
      <x:c r="O940" s="50" t="n">
        <x:f>J940*K940*L940*M940*N940</x:f>
        <x:v>12798774.28939606</x:v>
      </x:c>
    </x:row>
    <x:row r="941">
      <x:c r="A941" s="42" t="str">
        <x:f>Members!A941</x:f>
        <x:v>A0409</x:v>
      </x:c>
      <x:c r="B941" s="42" t="str">
        <x:f>Members!B941</x:f>
        <x:v>Active</x:v>
      </x:c>
      <x:c r="C941" s="42" t="n">
        <x:f>Members!C941</x:f>
        <x:v>55</x:v>
      </x:c>
      <x:c r="D941" s="44" t="n">
        <x:f>Members!D941</x:f>
        <x:v>24.9</x:v>
      </x:c>
      <x:c r="E941" s="48" t="n">
        <x:f>Members!E941</x:f>
        <x:v>2038000</x:v>
      </x:c>
      <x:c r="F941" s="48" t="n">
        <x:f>Members!F941</x:f>
        <x:v>0</x:v>
      </x:c>
      <x:c r="G941" s="46" t="n">
        <x:f>MAX(0,Assumptions!$B$10-C941)</x:f>
        <x:v>5</x:v>
      </x:c>
      <x:c r="H941" s="50" t="n">
        <x:f>IF(B941="Active",E941*(1+Assumptions!$B$7)^G941,E941)</x:f>
        <x:v>2663584.4930623057</x:v>
      </x:c>
      <x:c r="I941" s="50" t="n">
        <x:f>IF(B941="Active",MIN(Assumptions!$B$12,D941+G941),IF(B941="Deferred",MIN(Assumptions!$B$12,D941),D941))</x:f>
        <x:v>29.9</x:v>
      </x:c>
      <x:c r="J941" s="50" t="n">
        <x:f>IF(B941="Active",H941*I941*Assumptions!$B$11,IF(B941="Deferred",E941*I941*Assumptions!$B$11*(1+Assumptions!$B$9)^G941,F941))</x:f>
        <x:v>1327352.9390427158</x:v>
      </x:c>
      <x:c r="K941" s="37" t="n">
        <x:f>IF(B941="Pensioner",1,VLOOKUP(Assumptions!$B$10,Mortality!$A$2:$F$104,6,FALSE)/VLOOKUP(C941,Mortality!$A$2:$F$104,6,FALSE))</x:f>
        <x:v>0.9882419087499175</x:v>
      </x:c>
      <x:c r="L941" s="37" t="n">
        <x:f>VLOOKUP(IF(B941="Pensioner",C941,Assumptions!$B$10),Mortality!$A$2:$E$104,5,FALSE)</x:f>
        <x:v>17.296790022132885</x:v>
      </x:c>
      <x:c r="M941" s="37" t="n">
        <x:f>1+Assumptions!$B$13*Assumptions!$B$14*Assumptions!$B$15</x:f>
        <x:v>1.31875</x:v>
      </x:c>
      <x:c r="N941" s="37" t="n">
        <x:f>IF(B941="Pensioner",1,1/(1+Assumptions!$B$6)^G941)</x:f>
        <x:v>0.7298808365209549</x:v>
      </x:c>
      <x:c r="O941" s="50" t="n">
        <x:f>J941*K941*L941*M941*N941</x:f>
        <x:v>21838843.194585826</x:v>
      </x:c>
    </x:row>
    <x:row r="942">
      <x:c r="A942" s="42" t="str">
        <x:f>Members!A942</x:f>
        <x:v>P0083</x:v>
      </x:c>
      <x:c r="B942" s="42" t="str">
        <x:f>Members!B942</x:f>
        <x:v>Pensioner</x:v>
      </x:c>
      <x:c r="C942" s="42" t="n">
        <x:f>Members!C942</x:f>
        <x:v>68</x:v>
      </x:c>
      <x:c r="D942" s="44" t="n">
        <x:f>Members!D942</x:f>
        <x:v>25.1</x:v>
      </x:c>
      <x:c r="E942" s="48" t="n">
        <x:f>Members!E942</x:f>
        <x:v>0</x:v>
      </x:c>
      <x:c r="F942" s="48" t="n">
        <x:f>Members!F942</x:f>
        <x:v>321000</x:v>
      </x:c>
      <x:c r="G942" s="46" t="n">
        <x:f>MAX(0,Assumptions!$B$10-C942)</x:f>
        <x:v>0</x:v>
      </x:c>
      <x:c r="H942" s="50" t="n">
        <x:f>IF(B942="Active",E942*(1+Assumptions!$B$7)^G942,E942)</x:f>
        <x:v>0</x:v>
      </x:c>
      <x:c r="I942" s="50" t="n">
        <x:f>IF(B942="Active",MIN(Assumptions!$B$12,D942+G942),IF(B942="Deferred",MIN(Assumptions!$B$12,D942),D942))</x:f>
        <x:v>25.1</x:v>
      </x:c>
      <x:c r="J942" s="50" t="n">
        <x:f>IF(B942="Active",H942*I942*Assumptions!$B$11,IF(B942="Deferred",E942*I942*Assumptions!$B$11*(1+Assumptions!$B$9)^G942,F942))</x:f>
        <x:v>321000</x:v>
      </x:c>
      <x:c r="K942" s="37" t="n">
        <x:f>IF(B942="Pensioner",1,VLOOKUP(Assumptions!$B$10,Mortality!$A$2:$F$104,6,FALSE)/VLOOKUP(C942,Mortality!$A$2:$F$104,6,FALSE))</x:f>
        <x:v>1</x:v>
      </x:c>
      <x:c r="L942" s="37" t="n">
        <x:f>VLOOKUP(IF(B942="Pensioner",C942,Assumptions!$B$10),Mortality!$A$2:$E$104,5,FALSE)</x:f>
        <x:v>13.869459484105445</x:v>
      </x:c>
      <x:c r="M942" s="37" t="n">
        <x:f>1+Assumptions!$B$13*Assumptions!$B$14*Assumptions!$B$15</x:f>
        <x:v>1.31875</x:v>
      </x:c>
      <x:c r="N942" s="37" t="n">
        <x:f>IF(B942="Pensioner",1,1/(1+Assumptions!$B$6)^G942)</x:f>
        <x:v>1</x:v>
      </x:c>
      <x:c r="O942" s="50" t="n">
        <x:f>J942*K942*L942*M942*N942</x:f>
        <x:v>5871202.251987162</x:v>
      </x:c>
    </x:row>
    <x:row r="943">
      <x:c r="A943" s="42" t="str">
        <x:f>Members!A943</x:f>
        <x:v>P0110</x:v>
      </x:c>
      <x:c r="B943" s="42" t="str">
        <x:f>Members!B943</x:f>
        <x:v>Pensioner</x:v>
      </x:c>
      <x:c r="C943" s="42" t="n">
        <x:f>Members!C943</x:f>
        <x:v>88</x:v>
      </x:c>
      <x:c r="D943" s="44" t="n">
        <x:f>Members!D943</x:f>
        <x:v>39.2</x:v>
      </x:c>
      <x:c r="E943" s="48" t="n">
        <x:f>Members!E943</x:f>
        <x:v>0</x:v>
      </x:c>
      <x:c r="F943" s="48" t="n">
        <x:f>Members!F943</x:f>
        <x:v>590000</x:v>
      </x:c>
      <x:c r="G943" s="46" t="n">
        <x:f>MAX(0,Assumptions!$B$10-C943)</x:f>
        <x:v>0</x:v>
      </x:c>
      <x:c r="H943" s="50" t="n">
        <x:f>IF(B943="Active",E943*(1+Assumptions!$B$7)^G943,E943)</x:f>
        <x:v>0</x:v>
      </x:c>
      <x:c r="I943" s="50" t="n">
        <x:f>IF(B943="Active",MIN(Assumptions!$B$12,D943+G943),IF(B943="Deferred",MIN(Assumptions!$B$12,D943),D943))</x:f>
        <x:v>39.2</x:v>
      </x:c>
      <x:c r="J943" s="50" t="n">
        <x:f>IF(B943="Active",H943*I943*Assumptions!$B$11,IF(B943="Deferred",E943*I943*Assumptions!$B$11*(1+Assumptions!$B$9)^G943,F943))</x:f>
        <x:v>590000</x:v>
      </x:c>
      <x:c r="K943" s="37" t="n">
        <x:f>IF(B943="Pensioner",1,VLOOKUP(Assumptions!$B$10,Mortality!$A$2:$F$104,6,FALSE)/VLOOKUP(C943,Mortality!$A$2:$F$104,6,FALSE))</x:f>
        <x:v>1</x:v>
      </x:c>
      <x:c r="L943" s="37" t="n">
        <x:f>VLOOKUP(IF(B943="Pensioner",C943,Assumptions!$B$10),Mortality!$A$2:$E$104,5,FALSE)</x:f>
        <x:v>5.043742896221734</x:v>
      </x:c>
      <x:c r="M943" s="37" t="n">
        <x:f>1+Assumptions!$B$13*Assumptions!$B$14*Assumptions!$B$15</x:f>
        <x:v>1.31875</x:v>
      </x:c>
      <x:c r="N943" s="37" t="n">
        <x:f>IF(B943="Pensioner",1,1/(1+Assumptions!$B$6)^G943)</x:f>
        <x:v>1</x:v>
      </x:c>
      <x:c r="O943" s="50" t="n">
        <x:f>J943*K943*L943*M943*N943</x:f>
        <x:v>3924347.2071915236</x:v>
      </x:c>
    </x:row>
    <x:row r="944">
      <x:c r="A944" s="42" t="str">
        <x:f>Members!A944</x:f>
        <x:v>A0114</x:v>
      </x:c>
      <x:c r="B944" s="42" t="str">
        <x:f>Members!B944</x:f>
        <x:v>Active</x:v>
      </x:c>
      <x:c r="C944" s="42" t="n">
        <x:f>Members!C944</x:f>
        <x:v>43</x:v>
      </x:c>
      <x:c r="D944" s="44" t="n">
        <x:f>Members!D944</x:f>
        <x:v>16.1</x:v>
      </x:c>
      <x:c r="E944" s="48" t="n">
        <x:f>Members!E944</x:f>
        <x:v>834000</x:v>
      </x:c>
      <x:c r="F944" s="48" t="n">
        <x:f>Members!F944</x:f>
        <x:v>0</x:v>
      </x:c>
      <x:c r="G944" s="46" t="n">
        <x:f>MAX(0,Assumptions!$B$10-C944)</x:f>
        <x:v>17</x:v>
      </x:c>
      <x:c r="H944" s="50" t="n">
        <x:f>IF(B944="Active",E944*(1+Assumptions!$B$7)^G944,E944)</x:f>
        <x:v>2072324.9912428018</x:v>
      </x:c>
      <x:c r="I944" s="50" t="n">
        <x:f>IF(B944="Active",MIN(Assumptions!$B$12,D944+G944),IF(B944="Deferred",MIN(Assumptions!$B$12,D944),D944))</x:f>
        <x:v>33.1</x:v>
      </x:c>
      <x:c r="J944" s="50" t="n">
        <x:f>IF(B944="Active",H944*I944*Assumptions!$B$11,IF(B944="Deferred",E944*I944*Assumptions!$B$11*(1+Assumptions!$B$9)^G944,F944))</x:f>
        <x:v>1143232.6201689458</x:v>
      </x:c>
      <x:c r="K944" s="37" t="n">
        <x:f>IF(B944="Pensioner",1,VLOOKUP(Assumptions!$B$10,Mortality!$A$2:$F$104,6,FALSE)/VLOOKUP(C944,Mortality!$A$2:$F$104,6,FALSE))</x:f>
        <x:v>0.975651758424938</x:v>
      </x:c>
      <x:c r="L944" s="37" t="n">
        <x:f>VLOOKUP(IF(B944="Pensioner",C944,Assumptions!$B$10),Mortality!$A$2:$E$104,5,FALSE)</x:f>
        <x:v>17.296790022132885</x:v>
      </x:c>
      <x:c r="M944" s="37" t="n">
        <x:f>1+Assumptions!$B$13*Assumptions!$B$14*Assumptions!$B$15</x:f>
        <x:v>1.31875</x:v>
      </x:c>
      <x:c r="N944" s="37" t="n">
        <x:f>IF(B944="Pensioner",1,1/(1+Assumptions!$B$6)^G944)</x:f>
        <x:v>0.34281251466174323</x:v>
      </x:c>
      <x:c r="O944" s="50" t="n">
        <x:f>J944*K944*L944*M944*N944</x:f>
        <x:v>8721960.050667515</x:v>
      </x:c>
    </x:row>
    <x:row r="945">
      <x:c r="A945" s="42" t="str">
        <x:f>Members!A945</x:f>
        <x:v>A0506</x:v>
      </x:c>
      <x:c r="B945" s="42" t="str">
        <x:f>Members!B945</x:f>
        <x:v>Active</x:v>
      </x:c>
      <x:c r="C945" s="42" t="n">
        <x:f>Members!C945</x:f>
        <x:v>35</x:v>
      </x:c>
      <x:c r="D945" s="44" t="n">
        <x:f>Members!D945</x:f>
        <x:v>8.8</x:v>
      </x:c>
      <x:c r="E945" s="48" t="n">
        <x:f>Members!E945</x:f>
        <x:v>810000</x:v>
      </x:c>
      <x:c r="F945" s="48" t="n">
        <x:f>Members!F945</x:f>
        <x:v>0</x:v>
      </x:c>
      <x:c r="G945" s="46" t="n">
        <x:f>MAX(0,Assumptions!$B$10-C945)</x:f>
        <x:v>25</x:v>
      </x:c>
      <x:c r="H945" s="50" t="n">
        <x:f>IF(B945="Active",E945*(1+Assumptions!$B$7)^G945,E945)</x:f>
        <x:v>3088847.8023829465</x:v>
      </x:c>
      <x:c r="I945" s="50" t="n">
        <x:f>IF(B945="Active",MIN(Assumptions!$B$12,D945+G945),IF(B945="Deferred",MIN(Assumptions!$B$12,D945),D945))</x:f>
        <x:v>33.8</x:v>
      </x:c>
      <x:c r="J945" s="50" t="n">
        <x:f>IF(B945="Active",H945*I945*Assumptions!$B$11,IF(B945="Deferred",E945*I945*Assumptions!$B$11*(1+Assumptions!$B$9)^G945,F945))</x:f>
        <x:v>1740050.9286757263</x:v>
      </x:c>
      <x:c r="K945" s="37" t="n">
        <x:f>IF(B945="Pensioner",1,VLOOKUP(Assumptions!$B$10,Mortality!$A$2:$F$104,6,FALSE)/VLOOKUP(C945,Mortality!$A$2:$F$104,6,FALSE))</x:f>
        <x:v>0.9719740765386753</x:v>
      </x:c>
      <x:c r="L945" s="37" t="n">
        <x:f>VLOOKUP(IF(B945="Pensioner",C945,Assumptions!$B$10),Mortality!$A$2:$E$104,5,FALSE)</x:f>
        <x:v>17.296790022132885</x:v>
      </x:c>
      <x:c r="M945" s="37" t="n">
        <x:f>1+Assumptions!$B$13*Assumptions!$B$14*Assumptions!$B$15</x:f>
        <x:v>1.31875</x:v>
      </x:c>
      <x:c r="N945" s="37" t="n">
        <x:f>IF(B945="Pensioner",1,1/(1+Assumptions!$B$6)^G945)</x:f>
        <x:v>0.20713801287132758</x:v>
      </x:c>
      <x:c r="O945" s="50" t="n">
        <x:f>J945*K945*L945*M945*N945</x:f>
        <x:v>7991060.76616137</x:v>
      </x:c>
    </x:row>
    <x:row r="946">
      <x:c r="A946" s="42" t="str">
        <x:f>Members!A946</x:f>
        <x:v>D0102</x:v>
      </x:c>
      <x:c r="B946" s="42" t="str">
        <x:f>Members!B946</x:f>
        <x:v>Deferred</x:v>
      </x:c>
      <x:c r="C946" s="42" t="n">
        <x:f>Members!C946</x:f>
        <x:v>36</x:v>
      </x:c>
      <x:c r="D946" s="44" t="n">
        <x:f>Members!D946</x:f>
        <x:v>3.5</x:v>
      </x:c>
      <x:c r="E946" s="48" t="n">
        <x:f>Members!E946</x:f>
        <x:v>598000</x:v>
      </x:c>
      <x:c r="F946" s="48" t="n">
        <x:f>Members!F946</x:f>
        <x:v>0</x:v>
      </x:c>
      <x:c r="G946" s="46" t="n">
        <x:f>MAX(0,Assumptions!$B$10-C946)</x:f>
        <x:v>24</x:v>
      </x:c>
      <x:c r="H946" s="50" t="n">
        <x:f>IF(B946="Active",E946*(1+Assumptions!$B$7)^G946,E946)</x:f>
        <x:v>598000</x:v>
      </x:c>
      <x:c r="I946" s="50" t="n">
        <x:f>IF(B946="Active",MIN(Assumptions!$B$12,D946+G946),IF(B946="Deferred",MIN(Assumptions!$B$12,D946),D946))</x:f>
        <x:v>3.5</x:v>
      </x:c>
      <x:c r="J946" s="50" t="n">
        <x:f>IF(B946="Active",H946*I946*Assumptions!$B$11,IF(B946="Deferred",E946*I946*Assumptions!$B$11*(1+Assumptions!$B$9)^G946,F946))</x:f>
        <x:v>89416.59361864065</x:v>
      </x:c>
      <x:c r="K946" s="37" t="n">
        <x:f>IF(B946="Pensioner",1,VLOOKUP(Assumptions!$B$10,Mortality!$A$2:$F$104,6,FALSE)/VLOOKUP(C946,Mortality!$A$2:$F$104,6,FALSE))</x:f>
        <x:v>0.9723450305541352</x:v>
      </x:c>
      <x:c r="L946" s="37" t="n">
        <x:f>VLOOKUP(IF(B946="Pensioner",C946,Assumptions!$B$10),Mortality!$A$2:$E$104,5,FALSE)</x:f>
        <x:v>17.296790022132885</x:v>
      </x:c>
      <x:c r="M946" s="37" t="n">
        <x:f>1+Assumptions!$B$13*Assumptions!$B$14*Assumptions!$B$15</x:f>
        <x:v>1.31875</x:v>
      </x:c>
      <x:c r="N946" s="37" t="n">
        <x:f>IF(B946="Pensioner",1,1/(1+Assumptions!$B$6)^G946)</x:f>
        <x:v>0.22060198370796386</x:v>
      </x:c>
      <x:c r="O946" s="50" t="n">
        <x:f>J946*K946*L946*M946*N946</x:f>
        <x:v>437497.84623885836</x:v>
      </x:c>
    </x:row>
    <x:row r="947">
      <x:c r="A947" s="42" t="str">
        <x:f>Members!A947</x:f>
        <x:v>D0073</x:v>
      </x:c>
      <x:c r="B947" s="42" t="str">
        <x:f>Members!B947</x:f>
        <x:v>Deferred</x:v>
      </x:c>
      <x:c r="C947" s="42" t="n">
        <x:f>Members!C947</x:f>
        <x:v>55</x:v>
      </x:c>
      <x:c r="D947" s="44" t="n">
        <x:f>Members!D947</x:f>
        <x:v>3.6</x:v>
      </x:c>
      <x:c r="E947" s="48" t="n">
        <x:f>Members!E947</x:f>
        <x:v>1176000</x:v>
      </x:c>
      <x:c r="F947" s="48" t="n">
        <x:f>Members!F947</x:f>
        <x:v>0</x:v>
      </x:c>
      <x:c r="G947" s="46" t="n">
        <x:f>MAX(0,Assumptions!$B$10-C947)</x:f>
        <x:v>5</x:v>
      </x:c>
      <x:c r="H947" s="50" t="n">
        <x:f>IF(B947="Active",E947*(1+Assumptions!$B$7)^G947,E947)</x:f>
        <x:v>1176000</x:v>
      </x:c>
      <x:c r="I947" s="50" t="n">
        <x:f>IF(B947="Active",MIN(Assumptions!$B$12,D947+G947),IF(B947="Deferred",MIN(Assumptions!$B$12,D947),D947))</x:f>
        <x:v>3.6</x:v>
      </x:c>
      <x:c r="J947" s="50" t="n">
        <x:f>IF(B947="Active",H947*I947*Assumptions!$B$11,IF(B947="Deferred",E947*I947*Assumptions!$B$11*(1+Assumptions!$B$9)^G947,F947))</x:f>
        <x:v>85847.02879334403</x:v>
      </x:c>
      <x:c r="K947" s="37" t="n">
        <x:f>IF(B947="Pensioner",1,VLOOKUP(Assumptions!$B$10,Mortality!$A$2:$F$104,6,FALSE)/VLOOKUP(C947,Mortality!$A$2:$F$104,6,FALSE))</x:f>
        <x:v>0.9882419087499175</x:v>
      </x:c>
      <x:c r="L947" s="37" t="n">
        <x:f>VLOOKUP(IF(B947="Pensioner",C947,Assumptions!$B$10),Mortality!$A$2:$E$104,5,FALSE)</x:f>
        <x:v>17.296790022132885</x:v>
      </x:c>
      <x:c r="M947" s="37" t="n">
        <x:f>1+Assumptions!$B$13*Assumptions!$B$14*Assumptions!$B$15</x:f>
        <x:v>1.31875</x:v>
      </x:c>
      <x:c r="N947" s="37" t="n">
        <x:f>IF(B947="Pensioner",1,1/(1+Assumptions!$B$6)^G947)</x:f>
        <x:v>0.7298808365209549</x:v>
      </x:c>
      <x:c r="O947" s="50" t="n">
        <x:f>J947*K947*L947*M947*N947</x:f>
        <x:v>1412435.0392375945</x:v>
      </x:c>
    </x:row>
    <x:row r="948">
      <x:c r="A948" s="42" t="str">
        <x:f>Members!A948</x:f>
        <x:v>A0231</x:v>
      </x:c>
      <x:c r="B948" s="42" t="str">
        <x:f>Members!B948</x:f>
        <x:v>Active</x:v>
      </x:c>
      <x:c r="C948" s="42" t="n">
        <x:f>Members!C948</x:f>
        <x:v>41</x:v>
      </x:c>
      <x:c r="D948" s="44" t="n">
        <x:f>Members!D948</x:f>
        <x:v>4.6</x:v>
      </x:c>
      <x:c r="E948" s="48" t="n">
        <x:f>Members!E948</x:f>
        <x:v>824000</x:v>
      </x:c>
      <x:c r="F948" s="48" t="n">
        <x:f>Members!F948</x:f>
        <x:v>0</x:v>
      </x:c>
      <x:c r="G948" s="46" t="n">
        <x:f>MAX(0,Assumptions!$B$10-C948)</x:f>
        <x:v>19</x:v>
      </x:c>
      <x:c r="H948" s="50" t="n">
        <x:f>IF(B948="Active",E948*(1+Assumptions!$B$7)^G948,E948)</x:f>
        <x:v>2278893.054272767</x:v>
      </x:c>
      <x:c r="I948" s="50" t="n">
        <x:f>IF(B948="Active",MIN(Assumptions!$B$12,D948+G948),IF(B948="Deferred",MIN(Assumptions!$B$12,D948),D948))</x:f>
        <x:v>23.6</x:v>
      </x:c>
      <x:c r="J948" s="50" t="n">
        <x:f>IF(B948="Active",H948*I948*Assumptions!$B$11,IF(B948="Deferred",E948*I948*Assumptions!$B$11*(1+Assumptions!$B$9)^G948,F948))</x:f>
        <x:v>896364.6013472885</x:v>
      </x:c>
      <x:c r="K948" s="37" t="n">
        <x:f>IF(B948="Pensioner",1,VLOOKUP(Assumptions!$B$10,Mortality!$A$2:$F$104,6,FALSE)/VLOOKUP(C948,Mortality!$A$2:$F$104,6,FALSE))</x:f>
        <x:v>0.9745478954079534</x:v>
      </x:c>
      <x:c r="L948" s="37" t="n">
        <x:f>VLOOKUP(IF(B948="Pensioner",C948,Assumptions!$B$10),Mortality!$A$2:$E$104,5,FALSE)</x:f>
        <x:v>17.296790022132885</x:v>
      </x:c>
      <x:c r="M948" s="37" t="n">
        <x:f>1+Assumptions!$B$13*Assumptions!$B$14*Assumptions!$B$15</x:f>
        <x:v>1.31875</x:v>
      </x:c>
      <x:c r="N948" s="37" t="n">
        <x:f>IF(B948="Pensioner",1,1/(1+Assumptions!$B$6)^G948)</x:f>
        <x:v>0.30224383580131214</x:v>
      </x:c>
      <x:c r="O948" s="50" t="n">
        <x:f>J948*K948*L948*M948*N948</x:f>
        <x:v>6022451.66920904</x:v>
      </x:c>
    </x:row>
    <x:row r="949">
      <x:c r="A949" s="42" t="str">
        <x:f>Members!A949</x:f>
        <x:v>A0610</x:v>
      </x:c>
      <x:c r="B949" s="42" t="str">
        <x:f>Members!B949</x:f>
        <x:v>Active</x:v>
      </x:c>
      <x:c r="C949" s="42" t="n">
        <x:f>Members!C949</x:f>
        <x:v>47</x:v>
      </x:c>
      <x:c r="D949" s="44" t="n">
        <x:f>Members!D949</x:f>
        <x:v>24.9</x:v>
      </x:c>
      <x:c r="E949" s="48" t="n">
        <x:f>Members!E949</x:f>
        <x:v>1324000</x:v>
      </x:c>
      <x:c r="F949" s="48" t="n">
        <x:f>Members!F949</x:f>
        <x:v>0</x:v>
      </x:c>
      <x:c r="G949" s="46" t="n">
        <x:f>MAX(0,Assumptions!$B$10-C949)</x:f>
        <x:v>13</x:v>
      </x:c>
      <x:c r="H949" s="50" t="n">
        <x:f>IF(B949="Active",E949*(1+Assumptions!$B$7)^G949,E949)</x:f>
        <x:v>2655644.640257897</x:v>
      </x:c>
      <x:c r="I949" s="50" t="n">
        <x:f>IF(B949="Active",MIN(Assumptions!$B$12,D949+G949),IF(B949="Deferred",MIN(Assumptions!$B$12,D949),D949))</x:f>
        <x:v>37.9</x:v>
      </x:c>
      <x:c r="J949" s="50" t="n">
        <x:f>IF(B949="Active",H949*I949*Assumptions!$B$11,IF(B949="Deferred",E949*I949*Assumptions!$B$11*(1+Assumptions!$B$9)^G949,F949))</x:f>
        <x:v>1677482.1977629047</x:v>
      </x:c>
      <x:c r="K949" s="37" t="n">
        <x:f>IF(B949="Pensioner",1,VLOOKUP(Assumptions!$B$10,Mortality!$A$2:$F$104,6,FALSE)/VLOOKUP(C949,Mortality!$A$2:$F$104,6,FALSE))</x:f>
        <x:v>0.9784451675747989</x:v>
      </x:c>
      <x:c r="L949" s="37" t="n">
        <x:f>VLOOKUP(IF(B949="Pensioner",C949,Assumptions!$B$10),Mortality!$A$2:$E$104,5,FALSE)</x:f>
        <x:v>17.296790022132885</x:v>
      </x:c>
      <x:c r="M949" s="37" t="n">
        <x:f>1+Assumptions!$B$13*Assumptions!$B$14*Assumptions!$B$15</x:f>
        <x:v>1.31875</x:v>
      </x:c>
      <x:c r="N949" s="37" t="n">
        <x:f>IF(B949="Pensioner",1,1/(1+Assumptions!$B$6)^G949)</x:f>
        <x:v>0.4410167646854719</x:v>
      </x:c>
      <x:c r="O949" s="50" t="n">
        <x:f>J949*K949*L949*M949*N949</x:f>
        <x:v>16511156.634528687</x:v>
      </x:c>
    </x:row>
    <x:row r="950">
      <x:c r="A950" s="42" t="str">
        <x:f>Members!A950</x:f>
        <x:v>A0172</x:v>
      </x:c>
      <x:c r="B950" s="42" t="str">
        <x:f>Members!B950</x:f>
        <x:v>Active</x:v>
      </x:c>
      <x:c r="C950" s="42" t="n">
        <x:f>Members!C950</x:f>
        <x:v>30</x:v>
      </x:c>
      <x:c r="D950" s="44" t="n">
        <x:f>Members!D950</x:f>
        <x:v>3</x:v>
      </x:c>
      <x:c r="E950" s="48" t="n">
        <x:f>Members!E950</x:f>
        <x:v>657000</x:v>
      </x:c>
      <x:c r="F950" s="48" t="n">
        <x:f>Members!F950</x:f>
        <x:v>0</x:v>
      </x:c>
      <x:c r="G950" s="46" t="n">
        <x:f>MAX(0,Assumptions!$B$10-C950)</x:f>
        <x:v>30</x:v>
      </x:c>
      <x:c r="H950" s="50" t="n">
        <x:f>IF(B950="Active",E950*(1+Assumptions!$B$7)^G950,E950)</x:f>
        <x:v>3274455.9964755545</x:v>
      </x:c>
      <x:c r="I950" s="50" t="n">
        <x:f>IF(B950="Active",MIN(Assumptions!$B$12,D950+G950),IF(B950="Deferred",MIN(Assumptions!$B$12,D950),D950))</x:f>
        <x:v>33</x:v>
      </x:c>
      <x:c r="J950" s="50" t="n">
        <x:f>IF(B950="Active",H950*I950*Assumptions!$B$11,IF(B950="Deferred",E950*I950*Assumptions!$B$11*(1+Assumptions!$B$9)^G950,F950))</x:f>
        <x:v>1800950.7980615548</x:v>
      </x:c>
      <x:c r="K950" s="37" t="n">
        <x:f>IF(B950="Pensioner",1,VLOOKUP(Assumptions!$B$10,Mortality!$A$2:$F$104,6,FALSE)/VLOOKUP(C950,Mortality!$A$2:$F$104,6,FALSE))</x:f>
        <x:v>0.9703456880318753</x:v>
      </x:c>
      <x:c r="L950" s="37" t="n">
        <x:f>VLOOKUP(IF(B950="Pensioner",C950,Assumptions!$B$10),Mortality!$A$2:$E$104,5,FALSE)</x:f>
        <x:v>17.296790022132885</x:v>
      </x:c>
      <x:c r="M950" s="37" t="n">
        <x:f>1+Assumptions!$B$13*Assumptions!$B$14*Assumptions!$B$15</x:f>
        <x:v>1.31875</x:v>
      </x:c>
      <x:c r="N950" s="37" t="n">
        <x:f>IF(B950="Pensioner",1,1/(1+Assumptions!$B$6)^G950)</x:f>
        <x:v>0.1511860661098129</x:v>
      </x:c>
      <x:c r="O950" s="50" t="n">
        <x:f>J950*K950*L950*M950*N950</x:f>
        <x:v>6026540.521223115</x:v>
      </x:c>
    </x:row>
    <x:row r="951">
      <x:c r="A951" s="42" t="str">
        <x:f>Members!A951</x:f>
        <x:v>P0227</x:v>
      </x:c>
      <x:c r="B951" s="42" t="str">
        <x:f>Members!B951</x:f>
        <x:v>Pensioner</x:v>
      </x:c>
      <x:c r="C951" s="42" t="n">
        <x:f>Members!C951</x:f>
        <x:v>84</x:v>
      </x:c>
      <x:c r="D951" s="44" t="n">
        <x:f>Members!D951</x:f>
        <x:v>21.9</x:v>
      </x:c>
      <x:c r="E951" s="48" t="n">
        <x:f>Members!E951</x:f>
        <x:v>0</x:v>
      </x:c>
      <x:c r="F951" s="48" t="n">
        <x:f>Members!F951</x:f>
        <x:v>564000</x:v>
      </x:c>
      <x:c r="G951" s="46" t="n">
        <x:f>MAX(0,Assumptions!$B$10-C951)</x:f>
        <x:v>0</x:v>
      </x:c>
      <x:c r="H951" s="50" t="n">
        <x:f>IF(B951="Active",E951*(1+Assumptions!$B$7)^G951,E951)</x:f>
        <x:v>0</x:v>
      </x:c>
      <x:c r="I951" s="50" t="n">
        <x:f>IF(B951="Active",MIN(Assumptions!$B$12,D951+G951),IF(B951="Deferred",MIN(Assumptions!$B$12,D951),D951))</x:f>
        <x:v>21.9</x:v>
      </x:c>
      <x:c r="J951" s="50" t="n">
        <x:f>IF(B951="Active",H951*I951*Assumptions!$B$11,IF(B951="Deferred",E951*I951*Assumptions!$B$11*(1+Assumptions!$B$9)^G951,F951))</x:f>
        <x:v>564000</x:v>
      </x:c>
      <x:c r="K951" s="37" t="n">
        <x:f>IF(B951="Pensioner",1,VLOOKUP(Assumptions!$B$10,Mortality!$A$2:$F$104,6,FALSE)/VLOOKUP(C951,Mortality!$A$2:$F$104,6,FALSE))</x:f>
        <x:v>1</x:v>
      </x:c>
      <x:c r="L951" s="37" t="n">
        <x:f>VLOOKUP(IF(B951="Pensioner",C951,Assumptions!$B$10),Mortality!$A$2:$E$104,5,FALSE)</x:f>
        <x:v>6.643272096517531</x:v>
      </x:c>
      <x:c r="M951" s="37" t="n">
        <x:f>1+Assumptions!$B$13*Assumptions!$B$14*Assumptions!$B$15</x:f>
        <x:v>1.31875</x:v>
      </x:c>
      <x:c r="N951" s="37" t="n">
        <x:f>IF(B951="Pensioner",1,1/(1+Assumptions!$B$6)^G951)</x:f>
        <x:v>1</x:v>
      </x:c>
      <x:c r="O951" s="50" t="n">
        <x:f>J951*K951*L951*M951*N951</x:f>
        <x:v>4941099.703587327</x:v>
      </x:c>
    </x:row>
    <x:row r="952">
      <x:c r="A952" s="42" t="str">
        <x:f>Members!A952</x:f>
        <x:v>A0364</x:v>
      </x:c>
      <x:c r="B952" s="42" t="str">
        <x:f>Members!B952</x:f>
        <x:v>Active</x:v>
      </x:c>
      <x:c r="C952" s="42" t="n">
        <x:f>Members!C952</x:f>
        <x:v>31</x:v>
      </x:c>
      <x:c r="D952" s="44" t="n">
        <x:f>Members!D952</x:f>
        <x:v>4.3</x:v>
      </x:c>
      <x:c r="E952" s="48" t="n">
        <x:f>Members!E952</x:f>
        <x:v>484000</x:v>
      </x:c>
      <x:c r="F952" s="48" t="n">
        <x:f>Members!F952</x:f>
        <x:v>0</x:v>
      </x:c>
      <x:c r="G952" s="46" t="n">
        <x:f>MAX(0,Assumptions!$B$10-C952)</x:f>
        <x:v>29</x:v>
      </x:c>
      <x:c r="H952" s="50" t="n">
        <x:f>IF(B952="Active",E952*(1+Assumptions!$B$7)^G952,E952)</x:f>
        <x:v>2286476.2308845585</x:v>
      </x:c>
      <x:c r="I952" s="50" t="n">
        <x:f>IF(B952="Active",MIN(Assumptions!$B$12,D952+G952),IF(B952="Deferred",MIN(Assumptions!$B$12,D952),D952))</x:f>
        <x:v>33.3</x:v>
      </x:c>
      <x:c r="J952" s="50" t="n">
        <x:f>IF(B952="Active",H952*I952*Assumptions!$B$11,IF(B952="Deferred",E952*I952*Assumptions!$B$11*(1+Assumptions!$B$9)^G952,F952))</x:f>
        <x:v>1268994.3081409298</x:v>
      </x:c>
      <x:c r="K952" s="37" t="n">
        <x:f>IF(B952="Pensioner",1,VLOOKUP(Assumptions!$B$10,Mortality!$A$2:$F$104,6,FALSE)/VLOOKUP(C952,Mortality!$A$2:$F$104,6,FALSE))</x:f>
        <x:v>0.9706466107295209</x:v>
      </x:c>
      <x:c r="L952" s="37" t="n">
        <x:f>VLOOKUP(IF(B952="Pensioner",C952,Assumptions!$B$10),Mortality!$A$2:$E$104,5,FALSE)</x:f>
        <x:v>17.296790022132885</x:v>
      </x:c>
      <x:c r="M952" s="37" t="n">
        <x:f>1+Assumptions!$B$13*Assumptions!$B$14*Assumptions!$B$15</x:f>
        <x:v>1.31875</x:v>
      </x:c>
      <x:c r="N952" s="37" t="n">
        <x:f>IF(B952="Pensioner",1,1/(1+Assumptions!$B$6)^G952)</x:f>
        <x:v>0.16101316040695074</x:v>
      </x:c>
      <x:c r="O952" s="50" t="n">
        <x:f>J952*K952*L952*M952*N952</x:f>
        <x:v>4523870.631661398</x:v>
      </x:c>
    </x:row>
    <x:row r="953">
      <x:c r="A953" s="42" t="str">
        <x:f>Members!A953</x:f>
        <x:v>P0026</x:v>
      </x:c>
      <x:c r="B953" s="42" t="str">
        <x:f>Members!B953</x:f>
        <x:v>Pensioner</x:v>
      </x:c>
      <x:c r="C953" s="42" t="n">
        <x:f>Members!C953</x:f>
        <x:v>79</x:v>
      </x:c>
      <x:c r="D953" s="44" t="n">
        <x:f>Members!D953</x:f>
        <x:v>12.5</x:v>
      </x:c>
      <x:c r="E953" s="48" t="n">
        <x:f>Members!E953</x:f>
        <x:v>0</x:v>
      </x:c>
      <x:c r="F953" s="48" t="n">
        <x:f>Members!F953</x:f>
        <x:v>552000</x:v>
      </x:c>
      <x:c r="G953" s="46" t="n">
        <x:f>MAX(0,Assumptions!$B$10-C953)</x:f>
        <x:v>0</x:v>
      </x:c>
      <x:c r="H953" s="50" t="n">
        <x:f>IF(B953="Active",E953*(1+Assumptions!$B$7)^G953,E953)</x:f>
        <x:v>0</x:v>
      </x:c>
      <x:c r="I953" s="50" t="n">
        <x:f>IF(B953="Active",MIN(Assumptions!$B$12,D953+G953),IF(B953="Deferred",MIN(Assumptions!$B$12,D953),D953))</x:f>
        <x:v>12.5</x:v>
      </x:c>
      <x:c r="J953" s="50" t="n">
        <x:f>IF(B953="Active",H953*I953*Assumptions!$B$11,IF(B953="Deferred",E953*I953*Assumptions!$B$11*(1+Assumptions!$B$9)^G953,F953))</x:f>
        <x:v>552000</x:v>
      </x:c>
      <x:c r="K953" s="37" t="n">
        <x:f>IF(B953="Pensioner",1,VLOOKUP(Assumptions!$B$10,Mortality!$A$2:$F$104,6,FALSE)/VLOOKUP(C953,Mortality!$A$2:$F$104,6,FALSE))</x:f>
        <x:v>1</x:v>
      </x:c>
      <x:c r="L953" s="37" t="n">
        <x:f>VLOOKUP(IF(B953="Pensioner",C953,Assumptions!$B$10),Mortality!$A$2:$E$104,5,FALSE)</x:f>
        <x:v>8.83093256291476</x:v>
      </x:c>
      <x:c r="M953" s="37" t="n">
        <x:f>1+Assumptions!$B$13*Assumptions!$B$14*Assumptions!$B$15</x:f>
        <x:v>1.31875</x:v>
      </x:c>
      <x:c r="N953" s="37" t="n">
        <x:f>IF(B953="Pensioner",1,1/(1+Assumptions!$B$6)^G953)</x:f>
        <x:v>1</x:v>
      </x:c>
      <x:c r="O953" s="50" t="n">
        <x:f>J953*K953*L953*M953*N953</x:f>
        <x:v>6428477.359173801</x:v>
      </x:c>
    </x:row>
    <x:row r="954">
      <x:c r="A954" s="42" t="str">
        <x:f>Members!A954</x:f>
        <x:v>P0055</x:v>
      </x:c>
      <x:c r="B954" s="42" t="str">
        <x:f>Members!B954</x:f>
        <x:v>Pensioner</x:v>
      </x:c>
      <x:c r="C954" s="42" t="n">
        <x:f>Members!C954</x:f>
        <x:v>71</x:v>
      </x:c>
      <x:c r="D954" s="44" t="n">
        <x:f>Members!D954</x:f>
        <x:v>37.3</x:v>
      </x:c>
      <x:c r="E954" s="48" t="n">
        <x:f>Members!E954</x:f>
        <x:v>0</x:v>
      </x:c>
      <x:c r="F954" s="48" t="n">
        <x:f>Members!F954</x:f>
        <x:v>374000</x:v>
      </x:c>
      <x:c r="G954" s="46" t="n">
        <x:f>MAX(0,Assumptions!$B$10-C954)</x:f>
        <x:v>0</x:v>
      </x:c>
      <x:c r="H954" s="50" t="n">
        <x:f>IF(B954="Active",E954*(1+Assumptions!$B$7)^G954,E954)</x:f>
        <x:v>0</x:v>
      </x:c>
      <x:c r="I954" s="50" t="n">
        <x:f>IF(B954="Active",MIN(Assumptions!$B$12,D954+G954),IF(B954="Deferred",MIN(Assumptions!$B$12,D954),D954))</x:f>
        <x:v>37.3</x:v>
      </x:c>
      <x:c r="J954" s="50" t="n">
        <x:f>IF(B954="Active",H954*I954*Assumptions!$B$11,IF(B954="Deferred",E954*I954*Assumptions!$B$11*(1+Assumptions!$B$9)^G954,F954))</x:f>
        <x:v>374000</x:v>
      </x:c>
      <x:c r="K954" s="37" t="n">
        <x:f>IF(B954="Pensioner",1,VLOOKUP(Assumptions!$B$10,Mortality!$A$2:$F$104,6,FALSE)/VLOOKUP(C954,Mortality!$A$2:$F$104,6,FALSE))</x:f>
        <x:v>1</x:v>
      </x:c>
      <x:c r="L954" s="37" t="n">
        <x:f>VLOOKUP(IF(B954="Pensioner",C954,Assumptions!$B$10),Mortality!$A$2:$E$104,5,FALSE)</x:f>
        <x:v>12.506703342154774</x:v>
      </x:c>
      <x:c r="M954" s="37" t="n">
        <x:f>1+Assumptions!$B$13*Assumptions!$B$14*Assumptions!$B$15</x:f>
        <x:v>1.31875</x:v>
      </x:c>
      <x:c r="N954" s="37" t="n">
        <x:f>IF(B954="Pensioner",1,1/(1+Assumptions!$B$6)^G954)</x:f>
        <x:v>1</x:v>
      </x:c>
      <x:c r="O954" s="50" t="n">
        <x:f>J954*K954*L954*M954*N954</x:f>
        <x:v>6168462.422142512</x:v>
      </x:c>
    </x:row>
    <x:row r="955">
      <x:c r="A955" s="42" t="str">
        <x:f>Members!A955</x:f>
        <x:v>A0045</x:v>
      </x:c>
      <x:c r="B955" s="42" t="str">
        <x:f>Members!B955</x:f>
        <x:v>Active</x:v>
      </x:c>
      <x:c r="C955" s="42" t="n">
        <x:f>Members!C955</x:f>
        <x:v>42</x:v>
      </x:c>
      <x:c r="D955" s="44" t="n">
        <x:f>Members!D955</x:f>
        <x:v>5.9</x:v>
      </x:c>
      <x:c r="E955" s="48" t="n">
        <x:f>Members!E955</x:f>
        <x:v>847000</x:v>
      </x:c>
      <x:c r="F955" s="48" t="n">
        <x:f>Members!F955</x:f>
        <x:v>0</x:v>
      </x:c>
      <x:c r="G955" s="46" t="n">
        <x:f>MAX(0,Assumptions!$B$10-C955)</x:f>
        <x:v>18</x:v>
      </x:c>
      <x:c r="H955" s="50" t="n">
        <x:f>IF(B955="Active",E955*(1+Assumptions!$B$7)^G955,E955)</x:f>
        <x:v>2220381.927217865</x:v>
      </x:c>
      <x:c r="I955" s="50" t="n">
        <x:f>IF(B955="Active",MIN(Assumptions!$B$12,D955+G955),IF(B955="Deferred",MIN(Assumptions!$B$12,D955),D955))</x:f>
        <x:v>23.9</x:v>
      </x:c>
      <x:c r="J955" s="50" t="n">
        <x:f>IF(B955="Active",H955*I955*Assumptions!$B$11,IF(B955="Deferred",E955*I955*Assumptions!$B$11*(1+Assumptions!$B$9)^G955,F955))</x:f>
        <x:v>884452.1343417828</x:v>
      </x:c>
      <x:c r="K955" s="37" t="n">
        <x:f>IF(B955="Pensioner",1,VLOOKUP(Assumptions!$B$10,Mortality!$A$2:$F$104,6,FALSE)/VLOOKUP(C955,Mortality!$A$2:$F$104,6,FALSE))</x:f>
        <x:v>0.9750799707838386</x:v>
      </x:c>
      <x:c r="L955" s="37" t="n">
        <x:f>VLOOKUP(IF(B955="Pensioner",C955,Assumptions!$B$10),Mortality!$A$2:$E$104,5,FALSE)</x:f>
        <x:v>17.296790022132885</x:v>
      </x:c>
      <x:c r="M955" s="37" t="n">
        <x:f>1+Assumptions!$B$13*Assumptions!$B$14*Assumptions!$B$15</x:f>
        <x:v>1.31875</x:v>
      </x:c>
      <x:c r="N955" s="37" t="n">
        <x:f>IF(B955="Pensioner",1,1/(1+Assumptions!$B$6)^G955)</x:f>
        <x:v>0.3218896851283974</x:v>
      </x:c>
      <x:c r="O955" s="50" t="n">
        <x:f>J955*K955*L955*M955*N955</x:f>
        <x:v>6332126.988337972</x:v>
      </x:c>
    </x:row>
    <x:row r="956">
      <x:c r="A956" s="42" t="str">
        <x:f>Members!A956</x:f>
        <x:v>P0189</x:v>
      </x:c>
      <x:c r="B956" s="42" t="str">
        <x:f>Members!B956</x:f>
        <x:v>Pensioner</x:v>
      </x:c>
      <x:c r="C956" s="42" t="n">
        <x:f>Members!C956</x:f>
        <x:v>78</x:v>
      </x:c>
      <x:c r="D956" s="44" t="n">
        <x:f>Members!D956</x:f>
        <x:v>30.4</x:v>
      </x:c>
      <x:c r="E956" s="48" t="n">
        <x:f>Members!E956</x:f>
        <x:v>0</x:v>
      </x:c>
      <x:c r="F956" s="48" t="n">
        <x:f>Members!F956</x:f>
        <x:v>579000</x:v>
      </x:c>
      <x:c r="G956" s="46" t="n">
        <x:f>MAX(0,Assumptions!$B$10-C956)</x:f>
        <x:v>0</x:v>
      </x:c>
      <x:c r="H956" s="50" t="n">
        <x:f>IF(B956="Active",E956*(1+Assumptions!$B$7)^G956,E956)</x:f>
        <x:v>0</x:v>
      </x:c>
      <x:c r="I956" s="50" t="n">
        <x:f>IF(B956="Active",MIN(Assumptions!$B$12,D956+G956),IF(B956="Deferred",MIN(Assumptions!$B$12,D956),D956))</x:f>
        <x:v>30.4</x:v>
      </x:c>
      <x:c r="J956" s="50" t="n">
        <x:f>IF(B956="Active",H956*I956*Assumptions!$B$11,IF(B956="Deferred",E956*I956*Assumptions!$B$11*(1+Assumptions!$B$9)^G956,F956))</x:f>
        <x:v>579000</x:v>
      </x:c>
      <x:c r="K956" s="37" t="n">
        <x:f>IF(B956="Pensioner",1,VLOOKUP(Assumptions!$B$10,Mortality!$A$2:$F$104,6,FALSE)/VLOOKUP(C956,Mortality!$A$2:$F$104,6,FALSE))</x:f>
        <x:v>1</x:v>
      </x:c>
      <x:c r="L956" s="37" t="n">
        <x:f>VLOOKUP(IF(B956="Pensioner",C956,Assumptions!$B$10),Mortality!$A$2:$E$104,5,FALSE)</x:f>
        <x:v>9.284717924120388</x:v>
      </x:c>
      <x:c r="M956" s="37" t="n">
        <x:f>1+Assumptions!$B$13*Assumptions!$B$14*Assumptions!$B$15</x:f>
        <x:v>1.31875</x:v>
      </x:c>
      <x:c r="N956" s="37" t="n">
        <x:f>IF(B956="Pensioner",1,1/(1+Assumptions!$B$6)^G956)</x:f>
        <x:v>1</x:v>
      </x:c>
      <x:c r="O956" s="50" t="n">
        <x:f>J956*K956*L956*M956*N956</x:f>
        <x:v>7089404.400449147</x:v>
      </x:c>
    </x:row>
    <x:row r="957">
      <x:c r="A957" s="42" t="str">
        <x:f>Members!A957</x:f>
        <x:v>D0086</x:v>
      </x:c>
      <x:c r="B957" s="42" t="str">
        <x:f>Members!B957</x:f>
        <x:v>Deferred</x:v>
      </x:c>
      <x:c r="C957" s="42" t="n">
        <x:f>Members!C957</x:f>
        <x:v>42</x:v>
      </x:c>
      <x:c r="D957" s="44" t="n">
        <x:f>Members!D957</x:f>
        <x:v>12.9</x:v>
      </x:c>
      <x:c r="E957" s="48" t="n">
        <x:f>Members!E957</x:f>
        <x:v>731000</x:v>
      </x:c>
      <x:c r="F957" s="48" t="n">
        <x:f>Members!F957</x:f>
        <x:v>0</x:v>
      </x:c>
      <x:c r="G957" s="46" t="n">
        <x:f>MAX(0,Assumptions!$B$10-C957)</x:f>
        <x:v>18</x:v>
      </x:c>
      <x:c r="H957" s="50" t="n">
        <x:f>IF(B957="Active",E957*(1+Assumptions!$B$7)^G957,E957)</x:f>
        <x:v>731000</x:v>
      </x:c>
      <x:c r="I957" s="50" t="n">
        <x:f>IF(B957="Active",MIN(Assumptions!$B$12,D957+G957),IF(B957="Deferred",MIN(Assumptions!$B$12,D957),D957))</x:f>
        <x:v>12.9</x:v>
      </x:c>
      <x:c r="J957" s="50" t="n">
        <x:f>IF(B957="Active",H957*I957*Assumptions!$B$11,IF(B957="Deferred",E957*I957*Assumptions!$B$11*(1+Assumptions!$B$9)^G957,F957))</x:f>
        <x:v>318387.45263946714</x:v>
      </x:c>
      <x:c r="K957" s="37" t="n">
        <x:f>IF(B957="Pensioner",1,VLOOKUP(Assumptions!$B$10,Mortality!$A$2:$F$104,6,FALSE)/VLOOKUP(C957,Mortality!$A$2:$F$104,6,FALSE))</x:f>
        <x:v>0.9750799707838386</x:v>
      </x:c>
      <x:c r="L957" s="37" t="n">
        <x:f>VLOOKUP(IF(B957="Pensioner",C957,Assumptions!$B$10),Mortality!$A$2:$E$104,5,FALSE)</x:f>
        <x:v>17.296790022132885</x:v>
      </x:c>
      <x:c r="M957" s="37" t="n">
        <x:f>1+Assumptions!$B$13*Assumptions!$B$14*Assumptions!$B$15</x:f>
        <x:v>1.31875</x:v>
      </x:c>
      <x:c r="N957" s="37" t="n">
        <x:f>IF(B957="Pensioner",1,1/(1+Assumptions!$B$6)^G957)</x:f>
        <x:v>0.3218896851283974</x:v>
      </x:c>
      <x:c r="O957" s="50" t="n">
        <x:f>J957*K957*L957*M957*N957</x:f>
        <x:v>2279456.0647501005</x:v>
      </x:c>
    </x:row>
    <x:row r="958">
      <x:c r="A958" s="42" t="str">
        <x:f>Members!A958</x:f>
        <x:v>A0077</x:v>
      </x:c>
      <x:c r="B958" s="42" t="str">
        <x:f>Members!B958</x:f>
        <x:v>Active</x:v>
      </x:c>
      <x:c r="C958" s="42" t="n">
        <x:f>Members!C958</x:f>
        <x:v>35</x:v>
      </x:c>
      <x:c r="D958" s="44" t="n">
        <x:f>Members!D958</x:f>
        <x:v>7.6</x:v>
      </x:c>
      <x:c r="E958" s="48" t="n">
        <x:f>Members!E958</x:f>
        <x:v>917000</x:v>
      </x:c>
      <x:c r="F958" s="48" t="n">
        <x:f>Members!F958</x:f>
        <x:v>0</x:v>
      </x:c>
      <x:c r="G958" s="46" t="n">
        <x:f>MAX(0,Assumptions!$B$10-C958)</x:f>
        <x:v>25</x:v>
      </x:c>
      <x:c r="H958" s="50" t="n">
        <x:f>IF(B958="Active",E958*(1+Assumptions!$B$7)^G958,E958)</x:f>
        <x:v>3496880.7836853852</x:v>
      </x:c>
      <x:c r="I958" s="50" t="n">
        <x:f>IF(B958="Active",MIN(Assumptions!$B$12,D958+G958),IF(B958="Deferred",MIN(Assumptions!$B$12,D958),D958))</x:f>
        <x:v>32.6</x:v>
      </x:c>
      <x:c r="J958" s="50" t="n">
        <x:f>IF(B958="Active",H958*I958*Assumptions!$B$11,IF(B958="Deferred",E958*I958*Assumptions!$B$11*(1+Assumptions!$B$9)^G958,F958))</x:f>
        <x:v>1899971.8924690594</x:v>
      </x:c>
      <x:c r="K958" s="37" t="n">
        <x:f>IF(B958="Pensioner",1,VLOOKUP(Assumptions!$B$10,Mortality!$A$2:$F$104,6,FALSE)/VLOOKUP(C958,Mortality!$A$2:$F$104,6,FALSE))</x:f>
        <x:v>0.9719740765386753</x:v>
      </x:c>
      <x:c r="L958" s="37" t="n">
        <x:f>VLOOKUP(IF(B958="Pensioner",C958,Assumptions!$B$10),Mortality!$A$2:$E$104,5,FALSE)</x:f>
        <x:v>17.296790022132885</x:v>
      </x:c>
      <x:c r="M958" s="37" t="n">
        <x:f>1+Assumptions!$B$13*Assumptions!$B$14*Assumptions!$B$15</x:f>
        <x:v>1.31875</x:v>
      </x:c>
      <x:c r="N958" s="37" t="n">
        <x:f>IF(B958="Pensioner",1,1/(1+Assumptions!$B$6)^G958)</x:f>
        <x:v>0.20713801287132758</x:v>
      </x:c>
      <x:c r="O958" s="50" t="n">
        <x:f>J958*K958*L958*M958*N958</x:f>
        <x:v>8725486.476579053</x:v>
      </x:c>
    </x:row>
    <x:row r="959">
      <x:c r="A959" s="42" t="str">
        <x:f>Members!A959</x:f>
        <x:v>A0171</x:v>
      </x:c>
      <x:c r="B959" s="42" t="str">
        <x:f>Members!B959</x:f>
        <x:v>Active</x:v>
      </x:c>
      <x:c r="C959" s="42" t="n">
        <x:f>Members!C959</x:f>
        <x:v>50</x:v>
      </x:c>
      <x:c r="D959" s="44" t="n">
        <x:f>Members!D959</x:f>
        <x:v>21</x:v>
      </x:c>
      <x:c r="E959" s="48" t="n">
        <x:f>Members!E959</x:f>
        <x:v>1271000</x:v>
      </x:c>
      <x:c r="F959" s="48" t="n">
        <x:f>Members!F959</x:f>
        <x:v>0</x:v>
      </x:c>
      <x:c r="G959" s="46" t="n">
        <x:f>MAX(0,Assumptions!$B$10-C959)</x:f>
        <x:v>10</x:v>
      </x:c>
      <x:c r="H959" s="50" t="n">
        <x:f>IF(B959="Active",E959*(1+Assumptions!$B$7)^G959,E959)</x:f>
        <x:v>2171051.606567417</x:v>
      </x:c>
      <x:c r="I959" s="50" t="n">
        <x:f>IF(B959="Active",MIN(Assumptions!$B$12,D959+G959),IF(B959="Deferred",MIN(Assumptions!$B$12,D959),D959))</x:f>
        <x:v>31</x:v>
      </x:c>
      <x:c r="J959" s="50" t="n">
        <x:f>IF(B959="Active",H959*I959*Assumptions!$B$11,IF(B959="Deferred",E959*I959*Assumptions!$B$11*(1+Assumptions!$B$9)^G959,F959))</x:f>
        <x:v>1121709.9967264987</x:v>
      </x:c>
      <x:c r="K959" s="37" t="n">
        <x:f>IF(B959="Pensioner",1,VLOOKUP(Assumptions!$B$10,Mortality!$A$2:$F$104,6,FALSE)/VLOOKUP(C959,Mortality!$A$2:$F$104,6,FALSE))</x:f>
        <x:v>0.9812729933582415</x:v>
      </x:c>
      <x:c r="L959" s="37" t="n">
        <x:f>VLOOKUP(IF(B959="Pensioner",C959,Assumptions!$B$10),Mortality!$A$2:$E$104,5,FALSE)</x:f>
        <x:v>17.296790022132885</x:v>
      </x:c>
      <x:c r="M959" s="37" t="n">
        <x:f>1+Assumptions!$B$13*Assumptions!$B$14*Assumptions!$B$15</x:f>
        <x:v>1.31875</x:v>
      </x:c>
      <x:c r="N959" s="37" t="n">
        <x:f>IF(B959="Pensioner",1,1/(1+Assumptions!$B$6)^G959)</x:f>
        <x:v>0.5327260355205289</x:v>
      </x:c>
      <x:c r="O959" s="50" t="n">
        <x:f>J959*K959*L959*M959*N959</x:f>
        <x:v>13375263.444521436</x:v>
      </x:c>
    </x:row>
    <x:row r="960">
      <x:c r="A960" s="42" t="str">
        <x:f>Members!A960</x:f>
        <x:v>A0047</x:v>
      </x:c>
      <x:c r="B960" s="42" t="str">
        <x:f>Members!B960</x:f>
        <x:v>Active</x:v>
      </x:c>
      <x:c r="C960" s="42" t="n">
        <x:f>Members!C960</x:f>
        <x:v>52</x:v>
      </x:c>
      <x:c r="D960" s="44" t="n">
        <x:f>Members!D960</x:f>
        <x:v>16.5</x:v>
      </x:c>
      <x:c r="E960" s="48" t="n">
        <x:f>Members!E960</x:f>
        <x:v>1756000</x:v>
      </x:c>
      <x:c r="F960" s="48" t="n">
        <x:f>Members!F960</x:f>
        <x:v>0</x:v>
      </x:c>
      <x:c r="G960" s="46" t="n">
        <x:f>MAX(0,Assumptions!$B$10-C960)</x:f>
        <x:v>8</x:v>
      </x:c>
      <x:c r="H960" s="50" t="n">
        <x:f>IF(B960="Active",E960*(1+Assumptions!$B$7)^G960,E960)</x:f>
        <x:v>2694909.5203332445</x:v>
      </x:c>
      <x:c r="I960" s="50" t="n">
        <x:f>IF(B960="Active",MIN(Assumptions!$B$12,D960+G960),IF(B960="Deferred",MIN(Assumptions!$B$12,D960),D960))</x:f>
        <x:v>24.5</x:v>
      </x:c>
      <x:c r="J960" s="50" t="n">
        <x:f>IF(B960="Active",H960*I960*Assumptions!$B$11,IF(B960="Deferred",E960*I960*Assumptions!$B$11*(1+Assumptions!$B$9)^G960,F960))</x:f>
        <x:v>1100421.387469408</x:v>
      </x:c>
      <x:c r="K960" s="37" t="n">
        <x:f>IF(B960="Pensioner",1,VLOOKUP(Assumptions!$B$10,Mortality!$A$2:$F$104,6,FALSE)/VLOOKUP(C960,Mortality!$A$2:$F$104,6,FALSE))</x:f>
        <x:v>0.9836527516879843</x:v>
      </x:c>
      <x:c r="L960" s="37" t="n">
        <x:f>VLOOKUP(IF(B960="Pensioner",C960,Assumptions!$B$10),Mortality!$A$2:$E$104,5,FALSE)</x:f>
        <x:v>17.296790022132885</x:v>
      </x:c>
      <x:c r="M960" s="37" t="n">
        <x:f>1+Assumptions!$B$13*Assumptions!$B$14*Assumptions!$B$15</x:f>
        <x:v>1.31875</x:v>
      </x:c>
      <x:c r="N960" s="37" t="n">
        <x:f>IF(B960="Pensioner",1,1/(1+Assumptions!$B$6)^G960)</x:f>
        <x:v>0.6042311876382719</x:v>
      </x:c>
      <x:c r="O960" s="50" t="n">
        <x:f>J960*K960*L960*M960*N960</x:f>
        <x:v>14918733.55071476</x:v>
      </x:c>
    </x:row>
    <x:row r="961">
      <x:c r="A961" s="42" t="str">
        <x:f>Members!A961</x:f>
        <x:v>P0082</x:v>
      </x:c>
      <x:c r="B961" s="42" t="str">
        <x:f>Members!B961</x:f>
        <x:v>Pensioner</x:v>
      </x:c>
      <x:c r="C961" s="42" t="n">
        <x:f>Members!C961</x:f>
        <x:v>65</x:v>
      </x:c>
      <x:c r="D961" s="44" t="n">
        <x:f>Members!D961</x:f>
        <x:v>15.9</x:v>
      </x:c>
      <x:c r="E961" s="48" t="n">
        <x:f>Members!E961</x:f>
        <x:v>0</x:v>
      </x:c>
      <x:c r="F961" s="48" t="n">
        <x:f>Members!F961</x:f>
        <x:v>323000</x:v>
      </x:c>
      <x:c r="G961" s="46" t="n">
        <x:f>MAX(0,Assumptions!$B$10-C961)</x:f>
        <x:v>0</x:v>
      </x:c>
      <x:c r="H961" s="50" t="n">
        <x:f>IF(B961="Active",E961*(1+Assumptions!$B$7)^G961,E961)</x:f>
        <x:v>0</x:v>
      </x:c>
      <x:c r="I961" s="50" t="n">
        <x:f>IF(B961="Active",MIN(Assumptions!$B$12,D961+G961),IF(B961="Deferred",MIN(Assumptions!$B$12,D961),D961))</x:f>
        <x:v>15.9</x:v>
      </x:c>
      <x:c r="J961" s="50" t="n">
        <x:f>IF(B961="Active",H961*I961*Assumptions!$B$11,IF(B961="Deferred",E961*I961*Assumptions!$B$11*(1+Assumptions!$B$9)^G961,F961))</x:f>
        <x:v>323000</x:v>
      </x:c>
      <x:c r="K961" s="37" t="n">
        <x:f>IF(B961="Pensioner",1,VLOOKUP(Assumptions!$B$10,Mortality!$A$2:$F$104,6,FALSE)/VLOOKUP(C961,Mortality!$A$2:$F$104,6,FALSE))</x:f>
        <x:v>1</x:v>
      </x:c>
      <x:c r="L961" s="37" t="n">
        <x:f>VLOOKUP(IF(B961="Pensioner",C961,Assumptions!$B$10),Mortality!$A$2:$E$104,5,FALSE)</x:f>
        <x:v>15.196570962158528</x:v>
      </x:c>
      <x:c r="M961" s="37" t="n">
        <x:f>1+Assumptions!$B$13*Assumptions!$B$14*Assumptions!$B$15</x:f>
        <x:v>1.31875</x:v>
      </x:c>
      <x:c r="N961" s="37" t="n">
        <x:f>IF(B961="Pensioner",1,1/(1+Assumptions!$B$6)^G961)</x:f>
        <x:v>1</x:v>
      </x:c>
      <x:c r="O961" s="50" t="n">
        <x:f>J961*K961*L961*M961*N961</x:f>
        <x:v>6473074.379899939</x:v>
      </x:c>
    </x:row>
    <x:row r="962">
      <x:c r="A962" s="42" t="str">
        <x:f>Members!A962</x:f>
        <x:v>P0149</x:v>
      </x:c>
      <x:c r="B962" s="42" t="str">
        <x:f>Members!B962</x:f>
        <x:v>Pensioner</x:v>
      </x:c>
      <x:c r="C962" s="42" t="n">
        <x:f>Members!C962</x:f>
        <x:v>74</x:v>
      </x:c>
      <x:c r="D962" s="44" t="n">
        <x:f>Members!D962</x:f>
        <x:v>28.6</x:v>
      </x:c>
      <x:c r="E962" s="48" t="n">
        <x:f>Members!E962</x:f>
        <x:v>0</x:v>
      </x:c>
      <x:c r="F962" s="48" t="n">
        <x:f>Members!F962</x:f>
        <x:v>238000</x:v>
      </x:c>
      <x:c r="G962" s="46" t="n">
        <x:f>MAX(0,Assumptions!$B$10-C962)</x:f>
        <x:v>0</x:v>
      </x:c>
      <x:c r="H962" s="50" t="n">
        <x:f>IF(B962="Active",E962*(1+Assumptions!$B$7)^G962,E962)</x:f>
        <x:v>0</x:v>
      </x:c>
      <x:c r="I962" s="50" t="n">
        <x:f>IF(B962="Active",MIN(Assumptions!$B$12,D962+G962),IF(B962="Deferred",MIN(Assumptions!$B$12,D962),D962))</x:f>
        <x:v>28.6</x:v>
      </x:c>
      <x:c r="J962" s="50" t="n">
        <x:f>IF(B962="Active",H962*I962*Assumptions!$B$11,IF(B962="Deferred",E962*I962*Assumptions!$B$11*(1+Assumptions!$B$9)^G962,F962))</x:f>
        <x:v>238000</x:v>
      </x:c>
      <x:c r="K962" s="37" t="n">
        <x:f>IF(B962="Pensioner",1,VLOOKUP(Assumptions!$B$10,Mortality!$A$2:$F$104,6,FALSE)/VLOOKUP(C962,Mortality!$A$2:$F$104,6,FALSE))</x:f>
        <x:v>1</x:v>
      </x:c>
      <x:c r="L962" s="37" t="n">
        <x:f>VLOOKUP(IF(B962="Pensioner",C962,Assumptions!$B$10),Mortality!$A$2:$E$104,5,FALSE)</x:f>
        <x:v>11.124346929912107</x:v>
      </x:c>
      <x:c r="M962" s="37" t="n">
        <x:f>1+Assumptions!$B$13*Assumptions!$B$14*Assumptions!$B$15</x:f>
        <x:v>1.31875</x:v>
      </x:c>
      <x:c r="N962" s="37" t="n">
        <x:f>IF(B962="Pensioner",1,1/(1+Assumptions!$B$6)^G962)</x:f>
        <x:v>1</x:v>
      </x:c>
      <x:c r="O962" s="50" t="n">
        <x:f>J962*K962*L962*M962*N962</x:f>
        <x:v>3491515.338289539</x:v>
      </x:c>
    </x:row>
    <x:row r="963">
      <x:c r="A963" s="42" t="str">
        <x:f>Members!A963</x:f>
        <x:v>A0328</x:v>
      </x:c>
      <x:c r="B963" s="42" t="str">
        <x:f>Members!B963</x:f>
        <x:v>Active</x:v>
      </x:c>
      <x:c r="C963" s="42" t="n">
        <x:f>Members!C963</x:f>
        <x:v>34</x:v>
      </x:c>
      <x:c r="D963" s="44" t="n">
        <x:f>Members!D963</x:f>
        <x:v>3.9</x:v>
      </x:c>
      <x:c r="E963" s="48" t="n">
        <x:f>Members!E963</x:f>
        <x:v>513000</x:v>
      </x:c>
      <x:c r="F963" s="48" t="n">
        <x:f>Members!F963</x:f>
        <x:v>0</x:v>
      </x:c>
      <x:c r="G963" s="46" t="n">
        <x:f>MAX(0,Assumptions!$B$10-C963)</x:f>
        <x:v>26</x:v>
      </x:c>
      <x:c r="H963" s="50" t="n">
        <x:f>IF(B963="Active",E963*(1+Assumptions!$B$7)^G963,E963)</x:f>
        <x:v>2063865.1399588722</x:v>
      </x:c>
      <x:c r="I963" s="50" t="n">
        <x:f>IF(B963="Active",MIN(Assumptions!$B$12,D963+G963),IF(B963="Deferred",MIN(Assumptions!$B$12,D963),D963))</x:f>
        <x:v>29.9</x:v>
      </x:c>
      <x:c r="J963" s="50" t="n">
        <x:f>IF(B963="Active",H963*I963*Assumptions!$B$11,IF(B963="Deferred",E963*I963*Assumptions!$B$11*(1+Assumptions!$B$9)^G963,F963))</x:f>
        <x:v>1028492.7947461713</x:v>
      </x:c>
      <x:c r="K963" s="37" t="n">
        <x:f>IF(B963="Pensioner",1,VLOOKUP(Assumptions!$B$10,Mortality!$A$2:$F$104,6,FALSE)/VLOOKUP(C963,Mortality!$A$2:$F$104,6,FALSE))</x:f>
        <x:v>0.9716205819233391</x:v>
      </x:c>
      <x:c r="L963" s="37" t="n">
        <x:f>VLOOKUP(IF(B963="Pensioner",C963,Assumptions!$B$10),Mortality!$A$2:$E$104,5,FALSE)</x:f>
        <x:v>17.296790022132885</x:v>
      </x:c>
      <x:c r="M963" s="37" t="n">
        <x:f>1+Assumptions!$B$13*Assumptions!$B$14*Assumptions!$B$15</x:f>
        <x:v>1.31875</x:v>
      </x:c>
      <x:c r="N963" s="37" t="n">
        <x:f>IF(B963="Pensioner",1,1/(1+Assumptions!$B$6)^G963)</x:f>
        <x:v>0.19449578673364096</x:v>
      </x:c>
      <x:c r="O963" s="50" t="n">
        <x:f>J963*K963*L963*M963*N963</x:f>
        <x:v>4433392.10141215</x:v>
      </x:c>
    </x:row>
    <x:row r="964">
      <x:c r="A964" s="42" t="str">
        <x:f>Members!A964</x:f>
        <x:v>P0177</x:v>
      </x:c>
      <x:c r="B964" s="42" t="str">
        <x:f>Members!B964</x:f>
        <x:v>Pensioner</x:v>
      </x:c>
      <x:c r="C964" s="42" t="n">
        <x:f>Members!C964</x:f>
        <x:v>85</x:v>
      </x:c>
      <x:c r="D964" s="44" t="n">
        <x:f>Members!D964</x:f>
        <x:v>19.6</x:v>
      </x:c>
      <x:c r="E964" s="48" t="n">
        <x:f>Members!E964</x:f>
        <x:v>0</x:v>
      </x:c>
      <x:c r="F964" s="48" t="n">
        <x:f>Members!F964</x:f>
        <x:v>645000</x:v>
      </x:c>
      <x:c r="G964" s="46" t="n">
        <x:f>MAX(0,Assumptions!$B$10-C964)</x:f>
        <x:v>0</x:v>
      </x:c>
      <x:c r="H964" s="50" t="n">
        <x:f>IF(B964="Active",E964*(1+Assumptions!$B$7)^G964,E964)</x:f>
        <x:v>0</x:v>
      </x:c>
      <x:c r="I964" s="50" t="n">
        <x:f>IF(B964="Active",MIN(Assumptions!$B$12,D964+G964),IF(B964="Deferred",MIN(Assumptions!$B$12,D964),D964))</x:f>
        <x:v>19.6</x:v>
      </x:c>
      <x:c r="J964" s="50" t="n">
        <x:f>IF(B964="Active",H964*I964*Assumptions!$B$11,IF(B964="Deferred",E964*I964*Assumptions!$B$11*(1+Assumptions!$B$9)^G964,F964))</x:f>
        <x:v>645000</x:v>
      </x:c>
      <x:c r="K964" s="37" t="n">
        <x:f>IF(B964="Pensioner",1,VLOOKUP(Assumptions!$B$10,Mortality!$A$2:$F$104,6,FALSE)/VLOOKUP(C964,Mortality!$A$2:$F$104,6,FALSE))</x:f>
        <x:v>1</x:v>
      </x:c>
      <x:c r="L964" s="37" t="n">
        <x:f>VLOOKUP(IF(B964="Pensioner",C964,Assumptions!$B$10),Mortality!$A$2:$E$104,5,FALSE)</x:f>
        <x:v>6.2282827560748935</x:v>
      </x:c>
      <x:c r="M964" s="37" t="n">
        <x:f>1+Assumptions!$B$13*Assumptions!$B$14*Assumptions!$B$15</x:f>
        <x:v>1.31875</x:v>
      </x:c>
      <x:c r="N964" s="37" t="n">
        <x:f>IF(B964="Pensioner",1,1/(1+Assumptions!$B$6)^G964)</x:f>
        <x:v>1</x:v>
      </x:c>
      <x:c r="O964" s="50" t="n">
        <x:f>J964*K964*L964*M964*N964</x:f>
        <x:v>5297738.385550079</x:v>
      </x:c>
    </x:row>
    <x:row r="965">
      <x:c r="A965" s="42" t="str">
        <x:f>Members!A965</x:f>
        <x:v>A0588</x:v>
      </x:c>
      <x:c r="B965" s="42" t="str">
        <x:f>Members!B965</x:f>
        <x:v>Active</x:v>
      </x:c>
      <x:c r="C965" s="42" t="n">
        <x:f>Members!C965</x:f>
        <x:v>51</x:v>
      </x:c>
      <x:c r="D965" s="44" t="n">
        <x:f>Members!D965</x:f>
        <x:v>11.3</x:v>
      </x:c>
      <x:c r="E965" s="48" t="n">
        <x:f>Members!E965</x:f>
        <x:v>1788000</x:v>
      </x:c>
      <x:c r="F965" s="48" t="n">
        <x:f>Members!F965</x:f>
        <x:v>0</x:v>
      </x:c>
      <x:c r="G965" s="46" t="n">
        <x:f>MAX(0,Assumptions!$B$10-C965)</x:f>
        <x:v>9</x:v>
      </x:c>
      <x:c r="H965" s="50" t="n">
        <x:f>IF(B965="Active",E965*(1+Assumptions!$B$7)^G965,E965)</x:f>
        <x:v>2894940.560697843</x:v>
      </x:c>
      <x:c r="I965" s="50" t="n">
        <x:f>IF(B965="Active",MIN(Assumptions!$B$12,D965+G965),IF(B965="Deferred",MIN(Assumptions!$B$12,D965),D965))</x:f>
        <x:v>20.3</x:v>
      </x:c>
      <x:c r="J965" s="50" t="n">
        <x:f>IF(B965="Active",H965*I965*Assumptions!$B$11,IF(B965="Deferred",E965*I965*Assumptions!$B$11*(1+Assumptions!$B$9)^G965,F965))</x:f>
        <x:v>979454.8897027703</x:v>
      </x:c>
      <x:c r="K965" s="37" t="n">
        <x:f>IF(B965="Pensioner",1,VLOOKUP(Assumptions!$B$10,Mortality!$A$2:$F$104,6,FALSE)/VLOOKUP(C965,Mortality!$A$2:$F$104,6,FALSE))</x:f>
        <x:v>0.9824052797506154</x:v>
      </x:c>
      <x:c r="L965" s="37" t="n">
        <x:f>VLOOKUP(IF(B965="Pensioner",C965,Assumptions!$B$10),Mortality!$A$2:$E$104,5,FALSE)</x:f>
        <x:v>17.296790022132885</x:v>
      </x:c>
      <x:c r="M965" s="37" t="n">
        <x:f>1+Assumptions!$B$13*Assumptions!$B$14*Assumptions!$B$15</x:f>
        <x:v>1.31875</x:v>
      </x:c>
      <x:c r="N965" s="37" t="n">
        <x:f>IF(B965="Pensioner",1,1/(1+Assumptions!$B$6)^G965)</x:f>
        <x:v>0.5673532278293633</x:v>
      </x:c>
      <x:c r="O965" s="50" t="n">
        <x:f>J965*K965*L965*M965*N965</x:f>
        <x:v>12452502.638971008</x:v>
      </x:c>
    </x:row>
    <x:row r="966">
      <x:c r="A966" s="42" t="str">
        <x:f>Members!A966</x:f>
        <x:v>A0510</x:v>
      </x:c>
      <x:c r="B966" s="42" t="str">
        <x:f>Members!B966</x:f>
        <x:v>Active</x:v>
      </x:c>
      <x:c r="C966" s="42" t="n">
        <x:f>Members!C966</x:f>
        <x:v>30</x:v>
      </x:c>
      <x:c r="D966" s="44" t="n">
        <x:f>Members!D966</x:f>
        <x:v>6.3</x:v>
      </x:c>
      <x:c r="E966" s="48" t="n">
        <x:f>Members!E966</x:f>
        <x:v>680000</x:v>
      </x:c>
      <x:c r="F966" s="48" t="n">
        <x:f>Members!F966</x:f>
        <x:v>0</x:v>
      </x:c>
      <x:c r="G966" s="46" t="n">
        <x:f>MAX(0,Assumptions!$B$10-C966)</x:f>
        <x:v>30</x:v>
      </x:c>
      <x:c r="H966" s="50" t="n">
        <x:f>IF(B966="Active",E966*(1+Assumptions!$B$7)^G966,E966)</x:f>
        <x:v>3389086.876108641</x:v>
      </x:c>
      <x:c r="I966" s="50" t="n">
        <x:f>IF(B966="Active",MIN(Assumptions!$B$12,D966+G966),IF(B966="Deferred",MIN(Assumptions!$B$12,D966),D966))</x:f>
        <x:v>36.3</x:v>
      </x:c>
      <x:c r="J966" s="50" t="n">
        <x:f>IF(B966="Active",H966*I966*Assumptions!$B$11,IF(B966="Deferred",E966*I966*Assumptions!$B$11*(1+Assumptions!$B$9)^G966,F966))</x:f>
        <x:v>2050397.5600457275</x:v>
      </x:c>
      <x:c r="K966" s="37" t="n">
        <x:f>IF(B966="Pensioner",1,VLOOKUP(Assumptions!$B$10,Mortality!$A$2:$F$104,6,FALSE)/VLOOKUP(C966,Mortality!$A$2:$F$104,6,FALSE))</x:f>
        <x:v>0.9703456880318753</x:v>
      </x:c>
      <x:c r="L966" s="37" t="n">
        <x:f>VLOOKUP(IF(B966="Pensioner",C966,Assumptions!$B$10),Mortality!$A$2:$E$104,5,FALSE)</x:f>
        <x:v>17.296790022132885</x:v>
      </x:c>
      <x:c r="M966" s="37" t="n">
        <x:f>1+Assumptions!$B$13*Assumptions!$B$14*Assumptions!$B$15</x:f>
        <x:v>1.31875</x:v>
      </x:c>
      <x:c r="N966" s="37" t="n">
        <x:f>IF(B966="Pensioner",1,1/(1+Assumptions!$B$6)^G966)</x:f>
        <x:v>0.1511860661098129</x:v>
      </x:c>
      <x:c r="O966" s="50" t="n">
        <x:f>J966*K966*L966*M966*N966</x:f>
        <x:v>6861266.833903942</x:v>
      </x:c>
    </x:row>
    <x:row r="967">
      <x:c r="A967" s="42" t="str">
        <x:f>Members!A967</x:f>
        <x:v>P0036</x:v>
      </x:c>
      <x:c r="B967" s="42" t="str">
        <x:f>Members!B967</x:f>
        <x:v>Pensioner</x:v>
      </x:c>
      <x:c r="C967" s="42" t="n">
        <x:f>Members!C967</x:f>
        <x:v>66</x:v>
      </x:c>
      <x:c r="D967" s="44" t="n">
        <x:f>Members!D967</x:f>
        <x:v>33.2</x:v>
      </x:c>
      <x:c r="E967" s="48" t="n">
        <x:f>Members!E967</x:f>
        <x:v>0</x:v>
      </x:c>
      <x:c r="F967" s="48" t="n">
        <x:f>Members!F967</x:f>
        <x:v>437000</x:v>
      </x:c>
      <x:c r="G967" s="46" t="n">
        <x:f>MAX(0,Assumptions!$B$10-C967)</x:f>
        <x:v>0</x:v>
      </x:c>
      <x:c r="H967" s="50" t="n">
        <x:f>IF(B967="Active",E967*(1+Assumptions!$B$7)^G967,E967)</x:f>
        <x:v>0</x:v>
      </x:c>
      <x:c r="I967" s="50" t="n">
        <x:f>IF(B967="Active",MIN(Assumptions!$B$12,D967+G967),IF(B967="Deferred",MIN(Assumptions!$B$12,D967),D967))</x:f>
        <x:v>33.2</x:v>
      </x:c>
      <x:c r="J967" s="50" t="n">
        <x:f>IF(B967="Active",H967*I967*Assumptions!$B$11,IF(B967="Deferred",E967*I967*Assumptions!$B$11*(1+Assumptions!$B$9)^G967,F967))</x:f>
        <x:v>437000</x:v>
      </x:c>
      <x:c r="K967" s="37" t="n">
        <x:f>IF(B967="Pensioner",1,VLOOKUP(Assumptions!$B$10,Mortality!$A$2:$F$104,6,FALSE)/VLOOKUP(C967,Mortality!$A$2:$F$104,6,FALSE))</x:f>
        <x:v>1</x:v>
      </x:c>
      <x:c r="L967" s="37" t="n">
        <x:f>VLOOKUP(IF(B967="Pensioner",C967,Assumptions!$B$10),Mortality!$A$2:$E$104,5,FALSE)</x:f>
        <x:v>14.759005103694845</x:v>
      </x:c>
      <x:c r="M967" s="37" t="n">
        <x:f>1+Assumptions!$B$13*Assumptions!$B$14*Assumptions!$B$15</x:f>
        <x:v>1.31875</x:v>
      </x:c>
      <x:c r="N967" s="37" t="n">
        <x:f>IF(B967="Pensioner",1,1/(1+Assumptions!$B$6)^G967)</x:f>
        <x:v>1</x:v>
      </x:c>
      <x:c r="O967" s="50" t="n">
        <x:f>J967*K967*L967*M967*N967</x:f>
        <x:v>8505522.39747744</x:v>
      </x:c>
    </x:row>
    <x:row r="968">
      <x:c r="A968" s="42" t="str">
        <x:f>Members!A968</x:f>
        <x:v>D0020</x:v>
      </x:c>
      <x:c r="B968" s="42" t="str">
        <x:f>Members!B968</x:f>
        <x:v>Deferred</x:v>
      </x:c>
      <x:c r="C968" s="42" t="n">
        <x:f>Members!C968</x:f>
        <x:v>45</x:v>
      </x:c>
      <x:c r="D968" s="44" t="n">
        <x:f>Members!D968</x:f>
        <x:v>6.7</x:v>
      </x:c>
      <x:c r="E968" s="48" t="n">
        <x:f>Members!E968</x:f>
        <x:v>926000</x:v>
      </x:c>
      <x:c r="F968" s="48" t="n">
        <x:f>Members!F968</x:f>
        <x:v>0</x:v>
      </x:c>
      <x:c r="G968" s="46" t="n">
        <x:f>MAX(0,Assumptions!$B$10-C968)</x:f>
        <x:v>15</x:v>
      </x:c>
      <x:c r="H968" s="50" t="n">
        <x:f>IF(B968="Active",E968*(1+Assumptions!$B$7)^G968,E968)</x:f>
        <x:v>926000</x:v>
      </x:c>
      <x:c r="I968" s="50" t="n">
        <x:f>IF(B968="Active",MIN(Assumptions!$B$12,D968+G968),IF(B968="Deferred",MIN(Assumptions!$B$12,D968),D968))</x:f>
        <x:v>6.7</x:v>
      </x:c>
      <x:c r="J968" s="50" t="n">
        <x:f>IF(B968="Active",H968*I968*Assumptions!$B$11,IF(B968="Deferred",E968*I968*Assumptions!$B$11*(1+Assumptions!$B$9)^G968,F968))</x:f>
        <x:v>186223.56161443354</x:v>
      </x:c>
      <x:c r="K968" s="37" t="n">
        <x:f>IF(B968="Pensioner",1,VLOOKUP(Assumptions!$B$10,Mortality!$A$2:$F$104,6,FALSE)/VLOOKUP(C968,Mortality!$A$2:$F$104,6,FALSE))</x:f>
        <x:v>0.9769349478194655</x:v>
      </x:c>
      <x:c r="L968" s="37" t="n">
        <x:f>VLOOKUP(IF(B968="Pensioner",C968,Assumptions!$B$10),Mortality!$A$2:$E$104,5,FALSE)</x:f>
        <x:v>17.296790022132885</x:v>
      </x:c>
      <x:c r="M968" s="37" t="n">
        <x:f>1+Assumptions!$B$13*Assumptions!$B$14*Assumptions!$B$15</x:f>
        <x:v>1.31875</x:v>
      </x:c>
      <x:c r="N968" s="37" t="n">
        <x:f>IF(B968="Pensioner",1,1/(1+Assumptions!$B$6)^G968)</x:f>
        <x:v>0.38882652444221566</x:v>
      </x:c>
      <x:c r="O968" s="50" t="n">
        <x:f>J968*K968*L968*M968*N968</x:f>
        <x:v>1613556.375261538</x:v>
      </x:c>
    </x:row>
    <x:row r="969">
      <x:c r="A969" s="42" t="str">
        <x:f>Members!A969</x:f>
        <x:v>P0196</x:v>
      </x:c>
      <x:c r="B969" s="42" t="str">
        <x:f>Members!B969</x:f>
        <x:v>Pensioner</x:v>
      </x:c>
      <x:c r="C969" s="42" t="n">
        <x:f>Members!C969</x:f>
        <x:v>85</x:v>
      </x:c>
      <x:c r="D969" s="44" t="n">
        <x:f>Members!D969</x:f>
        <x:v>33.7</x:v>
      </x:c>
      <x:c r="E969" s="48" t="n">
        <x:f>Members!E969</x:f>
        <x:v>0</x:v>
      </x:c>
      <x:c r="F969" s="48" t="n">
        <x:f>Members!F969</x:f>
        <x:v>386000</x:v>
      </x:c>
      <x:c r="G969" s="46" t="n">
        <x:f>MAX(0,Assumptions!$B$10-C969)</x:f>
        <x:v>0</x:v>
      </x:c>
      <x:c r="H969" s="50" t="n">
        <x:f>IF(B969="Active",E969*(1+Assumptions!$B$7)^G969,E969)</x:f>
        <x:v>0</x:v>
      </x:c>
      <x:c r="I969" s="50" t="n">
        <x:f>IF(B969="Active",MIN(Assumptions!$B$12,D969+G969),IF(B969="Deferred",MIN(Assumptions!$B$12,D969),D969))</x:f>
        <x:v>33.7</x:v>
      </x:c>
      <x:c r="J969" s="50" t="n">
        <x:f>IF(B969="Active",H969*I969*Assumptions!$B$11,IF(B969="Deferred",E969*I969*Assumptions!$B$11*(1+Assumptions!$B$9)^G969,F969))</x:f>
        <x:v>386000</x:v>
      </x:c>
      <x:c r="K969" s="37" t="n">
        <x:f>IF(B969="Pensioner",1,VLOOKUP(Assumptions!$B$10,Mortality!$A$2:$F$104,6,FALSE)/VLOOKUP(C969,Mortality!$A$2:$F$104,6,FALSE))</x:f>
        <x:v>1</x:v>
      </x:c>
      <x:c r="L969" s="37" t="n">
        <x:f>VLOOKUP(IF(B969="Pensioner",C969,Assumptions!$B$10),Mortality!$A$2:$E$104,5,FALSE)</x:f>
        <x:v>6.2282827560748935</x:v>
      </x:c>
      <x:c r="M969" s="37" t="n">
        <x:f>1+Assumptions!$B$13*Assumptions!$B$14*Assumptions!$B$15</x:f>
        <x:v>1.31875</x:v>
      </x:c>
      <x:c r="N969" s="37" t="n">
        <x:f>IF(B969="Pensioner",1,1/(1+Assumptions!$B$6)^G969)</x:f>
        <x:v>1</x:v>
      </x:c>
      <x:c r="O969" s="50" t="n">
        <x:f>J969*K969*L969*M969*N969</x:f>
        <x:v>3170429.483445474</x:v>
      </x:c>
    </x:row>
    <x:row r="970">
      <x:c r="A970" s="42" t="str">
        <x:f>Members!A970</x:f>
        <x:v>P0139</x:v>
      </x:c>
      <x:c r="B970" s="42" t="str">
        <x:f>Members!B970</x:f>
        <x:v>Pensioner</x:v>
      </x:c>
      <x:c r="C970" s="42" t="n">
        <x:f>Members!C970</x:f>
        <x:v>77</x:v>
      </x:c>
      <x:c r="D970" s="44" t="n">
        <x:f>Members!D970</x:f>
        <x:v>24.9</x:v>
      </x:c>
      <x:c r="E970" s="48" t="n">
        <x:f>Members!E970</x:f>
        <x:v>0</x:v>
      </x:c>
      <x:c r="F970" s="48" t="n">
        <x:f>Members!F970</x:f>
        <x:v>345000</x:v>
      </x:c>
      <x:c r="G970" s="46" t="n">
        <x:f>MAX(0,Assumptions!$B$10-C970)</x:f>
        <x:v>0</x:v>
      </x:c>
      <x:c r="H970" s="50" t="n">
        <x:f>IF(B970="Active",E970*(1+Assumptions!$B$7)^G970,E970)</x:f>
        <x:v>0</x:v>
      </x:c>
      <x:c r="I970" s="50" t="n">
        <x:f>IF(B970="Active",MIN(Assumptions!$B$12,D970+G970),IF(B970="Deferred",MIN(Assumptions!$B$12,D970),D970))</x:f>
        <x:v>24.9</x:v>
      </x:c>
      <x:c r="J970" s="50" t="n">
        <x:f>IF(B970="Active",H970*I970*Assumptions!$B$11,IF(B970="Deferred",E970*I970*Assumptions!$B$11*(1+Assumptions!$B$9)^G970,F970))</x:f>
        <x:v>345000</x:v>
      </x:c>
      <x:c r="K970" s="37" t="n">
        <x:f>IF(B970="Pensioner",1,VLOOKUP(Assumptions!$B$10,Mortality!$A$2:$F$104,6,FALSE)/VLOOKUP(C970,Mortality!$A$2:$F$104,6,FALSE))</x:f>
        <x:v>1</x:v>
      </x:c>
      <x:c r="L970" s="37" t="n">
        <x:f>VLOOKUP(IF(B970="Pensioner",C970,Assumptions!$B$10),Mortality!$A$2:$E$104,5,FALSE)</x:f>
        <x:v>9.741818456431972</x:v>
      </x:c>
      <x:c r="M970" s="37" t="n">
        <x:f>1+Assumptions!$B$13*Assumptions!$B$14*Assumptions!$B$15</x:f>
        <x:v>1.31875</x:v>
      </x:c>
      <x:c r="N970" s="37" t="n">
        <x:f>IF(B970="Pensioner",1,1/(1+Assumptions!$B$6)^G970)</x:f>
        <x:v>1</x:v>
      </x:c>
      <x:c r="O970" s="50" t="n">
        <x:f>J970*K970*L970*M970*N970</x:f>
        <x:v>4432222.965849784</x:v>
      </x:c>
    </x:row>
    <x:row r="971">
      <x:c r="A971" s="42" t="str">
        <x:f>Members!A971</x:f>
        <x:v>D0085</x:v>
      </x:c>
      <x:c r="B971" s="42" t="str">
        <x:f>Members!B971</x:f>
        <x:v>Deferred</x:v>
      </x:c>
      <x:c r="C971" s="42" t="n">
        <x:f>Members!C971</x:f>
        <x:v>41</x:v>
      </x:c>
      <x:c r="D971" s="44" t="n">
        <x:f>Members!D971</x:f>
        <x:v>2.9</x:v>
      </x:c>
      <x:c r="E971" s="48" t="n">
        <x:f>Members!E971</x:f>
        <x:v>574000</x:v>
      </x:c>
      <x:c r="F971" s="48" t="n">
        <x:f>Members!F971</x:f>
        <x:v>0</x:v>
      </x:c>
      <x:c r="G971" s="46" t="n">
        <x:f>MAX(0,Assumptions!$B$10-C971)</x:f>
        <x:v>19</x:v>
      </x:c>
      <x:c r="H971" s="50" t="n">
        <x:f>IF(B971="Active",E971*(1+Assumptions!$B$7)^G971,E971)</x:f>
        <x:v>574000</x:v>
      </x:c>
      <x:c r="I971" s="50" t="n">
        <x:f>IF(B971="Active",MIN(Assumptions!$B$12,D971+G971),IF(B971="Deferred",MIN(Assumptions!$B$12,D971),D971))</x:f>
        <x:v>2.9</x:v>
      </x:c>
      <x:c r="J971" s="50" t="n">
        <x:f>IF(B971="Active",H971*I971*Assumptions!$B$11,IF(B971="Deferred",E971*I971*Assumptions!$B$11*(1+Assumptions!$B$9)^G971,F971))</x:f>
        <x:v>58451.01897265117</x:v>
      </x:c>
      <x:c r="K971" s="37" t="n">
        <x:f>IF(B971="Pensioner",1,VLOOKUP(Assumptions!$B$10,Mortality!$A$2:$F$104,6,FALSE)/VLOOKUP(C971,Mortality!$A$2:$F$104,6,FALSE))</x:f>
        <x:v>0.9745478954079534</x:v>
      </x:c>
      <x:c r="L971" s="37" t="n">
        <x:f>VLOOKUP(IF(B971="Pensioner",C971,Assumptions!$B$10),Mortality!$A$2:$E$104,5,FALSE)</x:f>
        <x:v>17.296790022132885</x:v>
      </x:c>
      <x:c r="M971" s="37" t="n">
        <x:f>1+Assumptions!$B$13*Assumptions!$B$14*Assumptions!$B$15</x:f>
        <x:v>1.31875</x:v>
      </x:c>
      <x:c r="N971" s="37" t="n">
        <x:f>IF(B971="Pensioner",1,1/(1+Assumptions!$B$6)^G971)</x:f>
        <x:v>0.30224383580131214</x:v>
      </x:c>
      <x:c r="O971" s="50" t="n">
        <x:f>J971*K971*L971*M971*N971</x:f>
        <x:v>392717.9143952226</x:v>
      </x:c>
    </x:row>
    <x:row r="972">
      <x:c r="A972" s="42" t="str">
        <x:f>Members!A972</x:f>
        <x:v>A0279</x:v>
      </x:c>
      <x:c r="B972" s="42" t="str">
        <x:f>Members!B972</x:f>
        <x:v>Active</x:v>
      </x:c>
      <x:c r="C972" s="42" t="n">
        <x:f>Members!C972</x:f>
        <x:v>56</x:v>
      </x:c>
      <x:c r="D972" s="44" t="n">
        <x:f>Members!D972</x:f>
        <x:v>9.6</x:v>
      </x:c>
      <x:c r="E972" s="48" t="n">
        <x:f>Members!E972</x:f>
        <x:v>1742000</x:v>
      </x:c>
      <x:c r="F972" s="48" t="n">
        <x:f>Members!F972</x:f>
        <x:v>0</x:v>
      </x:c>
      <x:c r="G972" s="46" t="n">
        <x:f>MAX(0,Assumptions!$B$10-C972)</x:f>
        <x:v>4</x:v>
      </x:c>
      <x:c r="H972" s="50" t="n">
        <x:f>IF(B972="Active",E972*(1+Assumptions!$B$7)^G972,E972)</x:f>
        <x:v>2158032.5413887496</x:v>
      </x:c>
      <x:c r="I972" s="50" t="n">
        <x:f>IF(B972="Active",MIN(Assumptions!$B$12,D972+G972),IF(B972="Deferred",MIN(Assumptions!$B$12,D972),D972))</x:f>
        <x:v>13.6</x:v>
      </x:c>
      <x:c r="J972" s="50" t="n">
        <x:f>IF(B972="Active",H972*I972*Assumptions!$B$11,IF(B972="Deferred",E972*I972*Assumptions!$B$11*(1+Assumptions!$B$9)^G972,F972))</x:f>
        <x:v>489154.0427147832</x:v>
      </x:c>
      <x:c r="K972" s="37" t="n">
        <x:f>IF(B972="Pensioner",1,VLOOKUP(Assumptions!$B$10,Mortality!$A$2:$F$104,6,FALSE)/VLOOKUP(C972,Mortality!$A$2:$F$104,6,FALSE))</x:f>
        <x:v>0.990116255810422</x:v>
      </x:c>
      <x:c r="L972" s="37" t="n">
        <x:f>VLOOKUP(IF(B972="Pensioner",C972,Assumptions!$B$10),Mortality!$A$2:$E$104,5,FALSE)</x:f>
        <x:v>17.296790022132885</x:v>
      </x:c>
      <x:c r="M972" s="37" t="n">
        <x:f>1+Assumptions!$B$13*Assumptions!$B$14*Assumptions!$B$15</x:f>
        <x:v>1.31875</x:v>
      </x:c>
      <x:c r="N972" s="37" t="n">
        <x:f>IF(B972="Pensioner",1,1/(1+Assumptions!$B$6)^G972)</x:f>
        <x:v>0.777323090894817</x:v>
      </x:c>
      <x:c r="O972" s="50" t="n">
        <x:f>J972*K972*L972*M972*N972</x:f>
        <x:v>8587394.069617731</x:v>
      </x:c>
    </x:row>
    <x:row r="973">
      <x:c r="A973" s="42" t="str">
        <x:f>Members!A973</x:f>
        <x:v>A0532</x:v>
      </x:c>
      <x:c r="B973" s="42" t="str">
        <x:f>Members!B973</x:f>
        <x:v>Active</x:v>
      </x:c>
      <x:c r="C973" s="42" t="n">
        <x:f>Members!C973</x:f>
        <x:v>26</x:v>
      </x:c>
      <x:c r="D973" s="44" t="n">
        <x:f>Members!D973</x:f>
        <x:v>3</x:v>
      </x:c>
      <x:c r="E973" s="48" t="n">
        <x:f>Members!E973</x:f>
        <x:v>353000</x:v>
      </x:c>
      <x:c r="F973" s="48" t="n">
        <x:f>Members!F973</x:f>
        <x:v>0</x:v>
      </x:c>
      <x:c r="G973" s="46" t="n">
        <x:f>MAX(0,Assumptions!$B$10-C973)</x:f>
        <x:v>34</x:v>
      </x:c>
      <x:c r="H973" s="50" t="n">
        <x:f>IF(B973="Active",E973*(1+Assumptions!$B$7)^G973,E973)</x:f>
        <x:v>2179507.324893044</x:v>
      </x:c>
      <x:c r="I973" s="50" t="n">
        <x:f>IF(B973="Active",MIN(Assumptions!$B$12,D973+G973),IF(B973="Deferred",MIN(Assumptions!$B$12,D973),D973))</x:f>
        <x:v>37</x:v>
      </x:c>
      <x:c r="J973" s="50" t="n">
        <x:f>IF(B973="Active",H973*I973*Assumptions!$B$11,IF(B973="Deferred",E973*I973*Assumptions!$B$11*(1+Assumptions!$B$9)^G973,F973))</x:f>
        <x:v>1344029.5170173768</x:v>
      </x:c>
      <x:c r="K973" s="37" t="n">
        <x:f>IF(B973="Pensioner",1,VLOOKUP(Assumptions!$B$10,Mortality!$A$2:$F$104,6,FALSE)/VLOOKUP(C973,Mortality!$A$2:$F$104,6,FALSE))</x:f>
        <x:v>0.9692291629189255</x:v>
      </x:c>
      <x:c r="L973" s="37" t="n">
        <x:f>VLOOKUP(IF(B973="Pensioner",C973,Assumptions!$B$10),Mortality!$A$2:$E$104,5,FALSE)</x:f>
        <x:v>17.296790022132885</x:v>
      </x:c>
      <x:c r="M973" s="37" t="n">
        <x:f>1+Assumptions!$B$13*Assumptions!$B$14*Assumptions!$B$15</x:f>
        <x:v>1.31875</x:v>
      </x:c>
      <x:c r="N973" s="37" t="n">
        <x:f>IF(B973="Pensioner",1,1/(1+Assumptions!$B$6)^G973)</x:f>
        <x:v>0.11752042020870793</x:v>
      </x:c>
      <x:c r="O973" s="50" t="n">
        <x:f>J973*K973*L973*M973*N973</x:f>
        <x:v>3492019.0256084474</x:v>
      </x:c>
    </x:row>
    <x:row r="974">
      <x:c r="A974" s="42" t="str">
        <x:f>Members!A974</x:f>
        <x:v>P0143</x:v>
      </x:c>
      <x:c r="B974" s="42" t="str">
        <x:f>Members!B974</x:f>
        <x:v>Pensioner</x:v>
      </x:c>
      <x:c r="C974" s="42" t="n">
        <x:f>Members!C974</x:f>
        <x:v>78</x:v>
      </x:c>
      <x:c r="D974" s="44" t="n">
        <x:f>Members!D974</x:f>
        <x:v>33.4</x:v>
      </x:c>
      <x:c r="E974" s="48" t="n">
        <x:f>Members!E974</x:f>
        <x:v>0</x:v>
      </x:c>
      <x:c r="F974" s="48" t="n">
        <x:f>Members!F974</x:f>
        <x:v>644000</x:v>
      </x:c>
      <x:c r="G974" s="46" t="n">
        <x:f>MAX(0,Assumptions!$B$10-C974)</x:f>
        <x:v>0</x:v>
      </x:c>
      <x:c r="H974" s="50" t="n">
        <x:f>IF(B974="Active",E974*(1+Assumptions!$B$7)^G974,E974)</x:f>
        <x:v>0</x:v>
      </x:c>
      <x:c r="I974" s="50" t="n">
        <x:f>IF(B974="Active",MIN(Assumptions!$B$12,D974+G974),IF(B974="Deferred",MIN(Assumptions!$B$12,D974),D974))</x:f>
        <x:v>33.4</x:v>
      </x:c>
      <x:c r="J974" s="50" t="n">
        <x:f>IF(B974="Active",H974*I974*Assumptions!$B$11,IF(B974="Deferred",E974*I974*Assumptions!$B$11*(1+Assumptions!$B$9)^G974,F974))</x:f>
        <x:v>644000</x:v>
      </x:c>
      <x:c r="K974" s="37" t="n">
        <x:f>IF(B974="Pensioner",1,VLOOKUP(Assumptions!$B$10,Mortality!$A$2:$F$104,6,FALSE)/VLOOKUP(C974,Mortality!$A$2:$F$104,6,FALSE))</x:f>
        <x:v>1</x:v>
      </x:c>
      <x:c r="L974" s="37" t="n">
        <x:f>VLOOKUP(IF(B974="Pensioner",C974,Assumptions!$B$10),Mortality!$A$2:$E$104,5,FALSE)</x:f>
        <x:v>9.284717924120388</x:v>
      </x:c>
      <x:c r="M974" s="37" t="n">
        <x:f>1+Assumptions!$B$13*Assumptions!$B$14*Assumptions!$B$15</x:f>
        <x:v>1.31875</x:v>
      </x:c>
      <x:c r="N974" s="37" t="n">
        <x:f>IF(B974="Pensioner",1,1/(1+Assumptions!$B$6)^G974)</x:f>
        <x:v>1</x:v>
      </x:c>
      <x:c r="O974" s="50" t="n">
        <x:f>J974*K974*L974*M974*N974</x:f>
        <x:v>7885278.815007343</x:v>
      </x:c>
    </x:row>
    <x:row r="975">
      <x:c r="A975" s="42" t="str">
        <x:f>Members!A975</x:f>
        <x:v>P0126</x:v>
      </x:c>
      <x:c r="B975" s="42" t="str">
        <x:f>Members!B975</x:f>
        <x:v>Pensioner</x:v>
      </x:c>
      <x:c r="C975" s="42" t="n">
        <x:f>Members!C975</x:f>
        <x:v>79</x:v>
      </x:c>
      <x:c r="D975" s="44" t="n">
        <x:f>Members!D975</x:f>
        <x:v>23.6</x:v>
      </x:c>
      <x:c r="E975" s="48" t="n">
        <x:f>Members!E975</x:f>
        <x:v>0</x:v>
      </x:c>
      <x:c r="F975" s="48" t="n">
        <x:f>Members!F975</x:f>
        <x:v>322000</x:v>
      </x:c>
      <x:c r="G975" s="46" t="n">
        <x:f>MAX(0,Assumptions!$B$10-C975)</x:f>
        <x:v>0</x:v>
      </x:c>
      <x:c r="H975" s="50" t="n">
        <x:f>IF(B975="Active",E975*(1+Assumptions!$B$7)^G975,E975)</x:f>
        <x:v>0</x:v>
      </x:c>
      <x:c r="I975" s="50" t="n">
        <x:f>IF(B975="Active",MIN(Assumptions!$B$12,D975+G975),IF(B975="Deferred",MIN(Assumptions!$B$12,D975),D975))</x:f>
        <x:v>23.6</x:v>
      </x:c>
      <x:c r="J975" s="50" t="n">
        <x:f>IF(B975="Active",H975*I975*Assumptions!$B$11,IF(B975="Deferred",E975*I975*Assumptions!$B$11*(1+Assumptions!$B$9)^G975,F975))</x:f>
        <x:v>322000</x:v>
      </x:c>
      <x:c r="K975" s="37" t="n">
        <x:f>IF(B975="Pensioner",1,VLOOKUP(Assumptions!$B$10,Mortality!$A$2:$F$104,6,FALSE)/VLOOKUP(C975,Mortality!$A$2:$F$104,6,FALSE))</x:f>
        <x:v>1</x:v>
      </x:c>
      <x:c r="L975" s="37" t="n">
        <x:f>VLOOKUP(IF(B975="Pensioner",C975,Assumptions!$B$10),Mortality!$A$2:$E$104,5,FALSE)</x:f>
        <x:v>8.83093256291476</x:v>
      </x:c>
      <x:c r="M975" s="37" t="n">
        <x:f>1+Assumptions!$B$13*Assumptions!$B$14*Assumptions!$B$15</x:f>
        <x:v>1.31875</x:v>
      </x:c>
      <x:c r="N975" s="37" t="n">
        <x:f>IF(B975="Pensioner",1,1/(1+Assumptions!$B$6)^G975)</x:f>
        <x:v>1</x:v>
      </x:c>
      <x:c r="O975" s="50" t="n">
        <x:f>J975*K975*L975*M975*N975</x:f>
        <x:v>3749945.126184717</x:v>
      </x:c>
    </x:row>
    <x:row r="976">
      <x:c r="A976" s="42" t="str">
        <x:f>Members!A976</x:f>
        <x:v>P0197</x:v>
      </x:c>
      <x:c r="B976" s="42" t="str">
        <x:f>Members!B976</x:f>
        <x:v>Pensioner</x:v>
      </x:c>
      <x:c r="C976" s="42" t="n">
        <x:f>Members!C976</x:f>
        <x:v>80</x:v>
      </x:c>
      <x:c r="D976" s="44" t="n">
        <x:f>Members!D976</x:f>
        <x:v>30.1</x:v>
      </x:c>
      <x:c r="E976" s="48" t="n">
        <x:f>Members!E976</x:f>
        <x:v>0</x:v>
      </x:c>
      <x:c r="F976" s="48" t="n">
        <x:f>Members!F976</x:f>
        <x:v>650000</x:v>
      </x:c>
      <x:c r="G976" s="46" t="n">
        <x:f>MAX(0,Assumptions!$B$10-C976)</x:f>
        <x:v>0</x:v>
      </x:c>
      <x:c r="H976" s="50" t="n">
        <x:f>IF(B976="Active",E976*(1+Assumptions!$B$7)^G976,E976)</x:f>
        <x:v>0</x:v>
      </x:c>
      <x:c r="I976" s="50" t="n">
        <x:f>IF(B976="Active",MIN(Assumptions!$B$12,D976+G976),IF(B976="Deferred",MIN(Assumptions!$B$12,D976),D976))</x:f>
        <x:v>30.1</x:v>
      </x:c>
      <x:c r="J976" s="50" t="n">
        <x:f>IF(B976="Active",H976*I976*Assumptions!$B$11,IF(B976="Deferred",E976*I976*Assumptions!$B$11*(1+Assumptions!$B$9)^G976,F976))</x:f>
        <x:v>650000</x:v>
      </x:c>
      <x:c r="K976" s="37" t="n">
        <x:f>IF(B976="Pensioner",1,VLOOKUP(Assumptions!$B$10,Mortality!$A$2:$F$104,6,FALSE)/VLOOKUP(C976,Mortality!$A$2:$F$104,6,FALSE))</x:f>
        <x:v>1</x:v>
      </x:c>
      <x:c r="L976" s="37" t="n">
        <x:f>VLOOKUP(IF(B976="Pensioner",C976,Assumptions!$B$10),Mortality!$A$2:$E$104,5,FALSE)</x:f>
        <x:v>8.381357362562298</x:v>
      </x:c>
      <x:c r="M976" s="37" t="n">
        <x:f>1+Assumptions!$B$13*Assumptions!$B$14*Assumptions!$B$15</x:f>
        <x:v>1.31875</x:v>
      </x:c>
      <x:c r="N976" s="37" t="n">
        <x:f>IF(B976="Pensioner",1,1/(1+Assumptions!$B$6)^G976)</x:f>
        <x:v>1</x:v>
      </x:c>
      <x:c r="O976" s="50" t="n">
        <x:f>J976*K976*L976*M976*N976</x:f>
        <x:v>7184394.76422137</x:v>
      </x:c>
    </x:row>
    <x:row r="977">
      <x:c r="A977" s="42" t="str">
        <x:f>Members!A977</x:f>
        <x:v>D0037</x:v>
      </x:c>
      <x:c r="B977" s="42" t="str">
        <x:f>Members!B977</x:f>
        <x:v>Deferred</x:v>
      </x:c>
      <x:c r="C977" s="42" t="n">
        <x:f>Members!C977</x:f>
        <x:v>51</x:v>
      </x:c>
      <x:c r="D977" s="44" t="n">
        <x:f>Members!D977</x:f>
        <x:v>13.4</x:v>
      </x:c>
      <x:c r="E977" s="48" t="n">
        <x:f>Members!E977</x:f>
        <x:v>1115000</x:v>
      </x:c>
      <x:c r="F977" s="48" t="n">
        <x:f>Members!F977</x:f>
        <x:v>0</x:v>
      </x:c>
      <x:c r="G977" s="46" t="n">
        <x:f>MAX(0,Assumptions!$B$10-C977)</x:f>
        <x:v>9</x:v>
      </x:c>
      <x:c r="H977" s="50" t="n">
        <x:f>IF(B977="Active",E977*(1+Assumptions!$B$7)^G977,E977)</x:f>
        <x:v>1115000</x:v>
      </x:c>
      <x:c r="I977" s="50" t="n">
        <x:f>IF(B977="Active",MIN(Assumptions!$B$12,D977+G977),IF(B977="Deferred",MIN(Assumptions!$B$12,D977),D977))</x:f>
        <x:v>13.4</x:v>
      </x:c>
      <x:c r="J977" s="50" t="n">
        <x:f>IF(B977="Active",H977*I977*Assumptions!$B$11,IF(B977="Deferred",E977*I977*Assumptions!$B$11*(1+Assumptions!$B$9)^G977,F977))</x:f>
        <x:v>354428.36315649014</x:v>
      </x:c>
      <x:c r="K977" s="37" t="n">
        <x:f>IF(B977="Pensioner",1,VLOOKUP(Assumptions!$B$10,Mortality!$A$2:$F$104,6,FALSE)/VLOOKUP(C977,Mortality!$A$2:$F$104,6,FALSE))</x:f>
        <x:v>0.9824052797506154</x:v>
      </x:c>
      <x:c r="L977" s="37" t="n">
        <x:f>VLOOKUP(IF(B977="Pensioner",C977,Assumptions!$B$10),Mortality!$A$2:$E$104,5,FALSE)</x:f>
        <x:v>17.296790022132885</x:v>
      </x:c>
      <x:c r="M977" s="37" t="n">
        <x:f>1+Assumptions!$B$13*Assumptions!$B$14*Assumptions!$B$15</x:f>
        <x:v>1.31875</x:v>
      </x:c>
      <x:c r="N977" s="37" t="n">
        <x:f>IF(B977="Pensioner",1,1/(1+Assumptions!$B$6)^G977)</x:f>
        <x:v>0.5673532278293633</x:v>
      </x:c>
      <x:c r="O977" s="50" t="n">
        <x:f>J977*K977*L977*M977*N977</x:f>
        <x:v>4506098.416509732</x:v>
      </x:c>
    </x:row>
    <x:row r="978">
      <x:c r="A978" s="42" t="str">
        <x:f>Members!A978</x:f>
        <x:v>P0112</x:v>
      </x:c>
      <x:c r="B978" s="42" t="str">
        <x:f>Members!B978</x:f>
        <x:v>Pensioner</x:v>
      </x:c>
      <x:c r="C978" s="42" t="n">
        <x:f>Members!C978</x:f>
        <x:v>81</x:v>
      </x:c>
      <x:c r="D978" s="44" t="n">
        <x:f>Members!D978</x:f>
        <x:v>36.9</x:v>
      </x:c>
      <x:c r="E978" s="48" t="n">
        <x:f>Members!E978</x:f>
        <x:v>0</x:v>
      </x:c>
      <x:c r="F978" s="48" t="n">
        <x:f>Members!F978</x:f>
        <x:v>263000</x:v>
      </x:c>
      <x:c r="G978" s="46" t="n">
        <x:f>MAX(0,Assumptions!$B$10-C978)</x:f>
        <x:v>0</x:v>
      </x:c>
      <x:c r="H978" s="50" t="n">
        <x:f>IF(B978="Active",E978*(1+Assumptions!$B$7)^G978,E978)</x:f>
        <x:v>0</x:v>
      </x:c>
      <x:c r="I978" s="50" t="n">
        <x:f>IF(B978="Active",MIN(Assumptions!$B$12,D978+G978),IF(B978="Deferred",MIN(Assumptions!$B$12,D978),D978))</x:f>
        <x:v>36.9</x:v>
      </x:c>
      <x:c r="J978" s="50" t="n">
        <x:f>IF(B978="Active",H978*I978*Assumptions!$B$11,IF(B978="Deferred",E978*I978*Assumptions!$B$11*(1+Assumptions!$B$9)^G978,F978))</x:f>
        <x:v>263000</x:v>
      </x:c>
      <x:c r="K978" s="37" t="n">
        <x:f>IF(B978="Pensioner",1,VLOOKUP(Assumptions!$B$10,Mortality!$A$2:$F$104,6,FALSE)/VLOOKUP(C978,Mortality!$A$2:$F$104,6,FALSE))</x:f>
        <x:v>1</x:v>
      </x:c>
      <x:c r="L978" s="37" t="n">
        <x:f>VLOOKUP(IF(B978="Pensioner",C978,Assumptions!$B$10),Mortality!$A$2:$E$104,5,FALSE)</x:f>
        <x:v>7.936897714048503</x:v>
      </x:c>
      <x:c r="M978" s="37" t="n">
        <x:f>1+Assumptions!$B$13*Assumptions!$B$14*Assumptions!$B$15</x:f>
        <x:v>1.31875</x:v>
      </x:c>
      <x:c r="N978" s="37" t="n">
        <x:f>IF(B978="Pensioner",1,1/(1+Assumptions!$B$6)^G978)</x:f>
        <x:v>1</x:v>
      </x:c>
      <x:c r="O978" s="50" t="n">
        <x:f>J978*K978*L978*M978*N978</x:f>
        <x:v>2752764.1552855847</x:v>
      </x:c>
    </x:row>
    <x:row r="979">
      <x:c r="A979" s="42" t="str">
        <x:f>Members!A979</x:f>
        <x:v>P0020</x:v>
      </x:c>
      <x:c r="B979" s="42" t="str">
        <x:f>Members!B979</x:f>
        <x:v>Pensioner</x:v>
      </x:c>
      <x:c r="C979" s="42" t="n">
        <x:f>Members!C979</x:f>
        <x:v>75</x:v>
      </x:c>
      <x:c r="D979" s="44" t="n">
        <x:f>Members!D979</x:f>
        <x:v>38</x:v>
      </x:c>
      <x:c r="E979" s="48" t="n">
        <x:f>Members!E979</x:f>
        <x:v>0</x:v>
      </x:c>
      <x:c r="F979" s="48" t="n">
        <x:f>Members!F979</x:f>
        <x:v>308000</x:v>
      </x:c>
      <x:c r="G979" s="46" t="n">
        <x:f>MAX(0,Assumptions!$B$10-C979)</x:f>
        <x:v>0</x:v>
      </x:c>
      <x:c r="H979" s="50" t="n">
        <x:f>IF(B979="Active",E979*(1+Assumptions!$B$7)^G979,E979)</x:f>
        <x:v>0</x:v>
      </x:c>
      <x:c r="I979" s="50" t="n">
        <x:f>IF(B979="Active",MIN(Assumptions!$B$12,D979+G979),IF(B979="Deferred",MIN(Assumptions!$B$12,D979),D979))</x:f>
        <x:v>38</x:v>
      </x:c>
      <x:c r="J979" s="50" t="n">
        <x:f>IF(B979="Active",H979*I979*Assumptions!$B$11,IF(B979="Deferred",E979*I979*Assumptions!$B$11*(1+Assumptions!$B$9)^G979,F979))</x:f>
        <x:v>308000</x:v>
      </x:c>
      <x:c r="K979" s="37" t="n">
        <x:f>IF(B979="Pensioner",1,VLOOKUP(Assumptions!$B$10,Mortality!$A$2:$F$104,6,FALSE)/VLOOKUP(C979,Mortality!$A$2:$F$104,6,FALSE))</x:f>
        <x:v>1</x:v>
      </x:c>
      <x:c r="L979" s="37" t="n">
        <x:f>VLOOKUP(IF(B979="Pensioner",C979,Assumptions!$B$10),Mortality!$A$2:$E$104,5,FALSE)</x:f>
        <x:v>10.662474804432929</x:v>
      </x:c>
      <x:c r="M979" s="37" t="n">
        <x:f>1+Assumptions!$B$13*Assumptions!$B$14*Assumptions!$B$15</x:f>
        <x:v>1.31875</x:v>
      </x:c>
      <x:c r="N979" s="37" t="n">
        <x:f>IF(B979="Pensioner",1,1/(1+Assumptions!$B$6)^G979)</x:f>
        <x:v>1</x:v>
      </x:c>
      <x:c r="O979" s="50" t="n">
        <x:f>J979*K979*L979*M979*N979</x:f>
        <x:v>4330830.703690545</x:v>
      </x:c>
    </x:row>
    <x:row r="980">
      <x:c r="A980" s="42" t="str">
        <x:f>Members!A980</x:f>
        <x:v>D0026</x:v>
      </x:c>
      <x:c r="B980" s="42" t="str">
        <x:f>Members!B980</x:f>
        <x:v>Deferred</x:v>
      </x:c>
      <x:c r="C980" s="42" t="n">
        <x:f>Members!C980</x:f>
        <x:v>39</x:v>
      </x:c>
      <x:c r="D980" s="44" t="n">
        <x:f>Members!D980</x:f>
        <x:v>13.6</x:v>
      </x:c>
      <x:c r="E980" s="48" t="n">
        <x:f>Members!E980</x:f>
        <x:v>675000</x:v>
      </x:c>
      <x:c r="F980" s="48" t="n">
        <x:f>Members!F980</x:f>
        <x:v>0</x:v>
      </x:c>
      <x:c r="G980" s="46" t="n">
        <x:f>MAX(0,Assumptions!$B$10-C980)</x:f>
        <x:v>21</x:v>
      </x:c>
      <x:c r="H980" s="50" t="n">
        <x:f>IF(B980="Active",E980*(1+Assumptions!$B$7)^G980,E980)</x:f>
        <x:v>675000</x:v>
      </x:c>
      <x:c r="I980" s="50" t="n">
        <x:f>IF(B980="Active",MIN(Assumptions!$B$12,D980+G980),IF(B980="Deferred",MIN(Assumptions!$B$12,D980),D980))</x:f>
        <x:v>13.6</x:v>
      </x:c>
      <x:c r="J980" s="50" t="n">
        <x:f>IF(B980="Active",H980*I980*Assumptions!$B$11,IF(B980="Deferred",E980*I980*Assumptions!$B$11*(1+Assumptions!$B$9)^G980,F980))</x:f>
        <x:v>348651.5145194781</x:v>
      </x:c>
      <x:c r="K980" s="37" t="n">
        <x:f>IF(B980="Pensioner",1,VLOOKUP(Assumptions!$B$10,Mortality!$A$2:$F$104,6,FALSE)/VLOOKUP(C980,Mortality!$A$2:$F$104,6,FALSE))</x:f>
        <x:v>0.973585741778878</x:v>
      </x:c>
      <x:c r="L980" s="37" t="n">
        <x:f>VLOOKUP(IF(B980="Pensioner",C980,Assumptions!$B$10),Mortality!$A$2:$E$104,5,FALSE)</x:f>
        <x:v>17.296790022132885</x:v>
      </x:c>
      <x:c r="M980" s="37" t="n">
        <x:f>1+Assumptions!$B$13*Assumptions!$B$14*Assumptions!$B$15</x:f>
        <x:v>1.31875</x:v>
      </x:c>
      <x:c r="N980" s="37" t="n">
        <x:f>IF(B980="Pensioner",1,1/(1+Assumptions!$B$6)^G980)</x:f>
        <x:v>0.26647608349429097</x:v>
      </x:c>
      <x:c r="O980" s="50" t="n">
        <x:f>J980*K980*L980*M980*N980</x:f>
        <x:v>2063250.6172513652</x:v>
      </x:c>
    </x:row>
    <x:row r="981">
      <x:c r="A981" s="42" t="str">
        <x:f>Members!A981</x:f>
        <x:v>A0299</x:v>
      </x:c>
      <x:c r="B981" s="42" t="str">
        <x:f>Members!B981</x:f>
        <x:v>Active</x:v>
      </x:c>
      <x:c r="C981" s="42" t="n">
        <x:f>Members!C981</x:f>
        <x:v>52</x:v>
      </x:c>
      <x:c r="D981" s="44" t="n">
        <x:f>Members!D981</x:f>
        <x:v>13</x:v>
      </x:c>
      <x:c r="E981" s="48" t="n">
        <x:f>Members!E981</x:f>
        <x:v>1442000</x:v>
      </x:c>
      <x:c r="F981" s="48" t="n">
        <x:f>Members!F981</x:f>
        <x:v>0</x:v>
      </x:c>
      <x:c r="G981" s="46" t="n">
        <x:f>MAX(0,Assumptions!$B$10-C981)</x:f>
        <x:v>8</x:v>
      </x:c>
      <x:c r="H981" s="50" t="n">
        <x:f>IF(B981="Active",E981*(1+Assumptions!$B$7)^G981,E981)</x:f>
        <x:v>2213017.954624452</x:v>
      </x:c>
      <x:c r="I981" s="50" t="n">
        <x:f>IF(B981="Active",MIN(Assumptions!$B$12,D981+G981),IF(B981="Deferred",MIN(Assumptions!$B$12,D981),D981))</x:f>
        <x:v>21</x:v>
      </x:c>
      <x:c r="J981" s="50" t="n">
        <x:f>IF(B981="Active",H981*I981*Assumptions!$B$11,IF(B981="Deferred",E981*I981*Assumptions!$B$11*(1+Assumptions!$B$9)^G981,F981))</x:f>
        <x:v>774556.2841185582</x:v>
      </x:c>
      <x:c r="K981" s="37" t="n">
        <x:f>IF(B981="Pensioner",1,VLOOKUP(Assumptions!$B$10,Mortality!$A$2:$F$104,6,FALSE)/VLOOKUP(C981,Mortality!$A$2:$F$104,6,FALSE))</x:f>
        <x:v>0.9836527516879843</x:v>
      </x:c>
      <x:c r="L981" s="37" t="n">
        <x:f>VLOOKUP(IF(B981="Pensioner",C981,Assumptions!$B$10),Mortality!$A$2:$E$104,5,FALSE)</x:f>
        <x:v>17.296790022132885</x:v>
      </x:c>
      <x:c r="M981" s="37" t="n">
        <x:f>1+Assumptions!$B$13*Assumptions!$B$14*Assumptions!$B$15</x:f>
        <x:v>1.31875</x:v>
      </x:c>
      <x:c r="N981" s="37" t="n">
        <x:f>IF(B981="Pensioner",1,1/(1+Assumptions!$B$6)^G981)</x:f>
        <x:v>0.6042311876382719</x:v>
      </x:c>
      <x:c r="O981" s="50" t="n">
        <x:f>J981*K981*L981*M981*N981</x:f>
        <x:v>10500885.346630663</x:v>
      </x:c>
    </x:row>
    <x:row r="982">
      <x:c r="A982" s="42" t="str">
        <x:f>Members!A982</x:f>
        <x:v>P0161</x:v>
      </x:c>
      <x:c r="B982" s="42" t="str">
        <x:f>Members!B982</x:f>
        <x:v>Pensioner</x:v>
      </x:c>
      <x:c r="C982" s="42" t="n">
        <x:f>Members!C982</x:f>
        <x:v>77</x:v>
      </x:c>
      <x:c r="D982" s="44" t="n">
        <x:f>Members!D982</x:f>
        <x:v>15.8</x:v>
      </x:c>
      <x:c r="E982" s="48" t="n">
        <x:f>Members!E982</x:f>
        <x:v>0</x:v>
      </x:c>
      <x:c r="F982" s="48" t="n">
        <x:f>Members!F982</x:f>
        <x:v>455000</x:v>
      </x:c>
      <x:c r="G982" s="46" t="n">
        <x:f>MAX(0,Assumptions!$B$10-C982)</x:f>
        <x:v>0</x:v>
      </x:c>
      <x:c r="H982" s="50" t="n">
        <x:f>IF(B982="Active",E982*(1+Assumptions!$B$7)^G982,E982)</x:f>
        <x:v>0</x:v>
      </x:c>
      <x:c r="I982" s="50" t="n">
        <x:f>IF(B982="Active",MIN(Assumptions!$B$12,D982+G982),IF(B982="Deferred",MIN(Assumptions!$B$12,D982),D982))</x:f>
        <x:v>15.8</x:v>
      </x:c>
      <x:c r="J982" s="50" t="n">
        <x:f>IF(B982="Active",H982*I982*Assumptions!$B$11,IF(B982="Deferred",E982*I982*Assumptions!$B$11*(1+Assumptions!$B$9)^G982,F982))</x:f>
        <x:v>455000</x:v>
      </x:c>
      <x:c r="K982" s="37" t="n">
        <x:f>IF(B982="Pensioner",1,VLOOKUP(Assumptions!$B$10,Mortality!$A$2:$F$104,6,FALSE)/VLOOKUP(C982,Mortality!$A$2:$F$104,6,FALSE))</x:f>
        <x:v>1</x:v>
      </x:c>
      <x:c r="L982" s="37" t="n">
        <x:f>VLOOKUP(IF(B982="Pensioner",C982,Assumptions!$B$10),Mortality!$A$2:$E$104,5,FALSE)</x:f>
        <x:v>9.741818456431972</x:v>
      </x:c>
      <x:c r="M982" s="37" t="n">
        <x:f>1+Assumptions!$B$13*Assumptions!$B$14*Assumptions!$B$15</x:f>
        <x:v>1.31875</x:v>
      </x:c>
      <x:c r="N982" s="37" t="n">
        <x:f>IF(B982="Pensioner",1,1/(1+Assumptions!$B$6)^G982)</x:f>
        <x:v>1</x:v>
      </x:c>
      <x:c r="O982" s="50" t="n">
        <x:f>J982*K982*L982*M982*N982</x:f>
        <x:v>5845395.505685947</x:v>
      </x:c>
    </x:row>
    <x:row r="983">
      <x:c r="A983" s="42" t="str">
        <x:f>Members!A983</x:f>
        <x:v>D0082</x:v>
      </x:c>
      <x:c r="B983" s="42" t="str">
        <x:f>Members!B983</x:f>
        <x:v>Deferred</x:v>
      </x:c>
      <x:c r="C983" s="42" t="n">
        <x:f>Members!C983</x:f>
        <x:v>35</x:v>
      </x:c>
      <x:c r="D983" s="44" t="n">
        <x:f>Members!D983</x:f>
        <x:v>12</x:v>
      </x:c>
      <x:c r="E983" s="48" t="n">
        <x:f>Members!E983</x:f>
        <x:v>367000</x:v>
      </x:c>
      <x:c r="F983" s="48" t="n">
        <x:f>Members!F983</x:f>
        <x:v>0</x:v>
      </x:c>
      <x:c r="G983" s="46" t="n">
        <x:f>MAX(0,Assumptions!$B$10-C983)</x:f>
        <x:v>25</x:v>
      </x:c>
      <x:c r="H983" s="50" t="n">
        <x:f>IF(B983="Active",E983*(1+Assumptions!$B$7)^G983,E983)</x:f>
        <x:v>367000</x:v>
      </x:c>
      <x:c r="I983" s="50" t="n">
        <x:f>IF(B983="Active",MIN(Assumptions!$B$12,D983+G983),IF(B983="Deferred",MIN(Assumptions!$B$12,D983),D983))</x:f>
        <x:v>12</x:v>
      </x:c>
      <x:c r="J983" s="50" t="n">
        <x:f>IF(B983="Active",H983*I983*Assumptions!$B$11,IF(B983="Deferred",E983*I983*Assumptions!$B$11*(1+Assumptions!$B$9)^G983,F983))</x:f>
        <x:v>195672.38673117687</x:v>
      </x:c>
      <x:c r="K983" s="37" t="n">
        <x:f>IF(B983="Pensioner",1,VLOOKUP(Assumptions!$B$10,Mortality!$A$2:$F$104,6,FALSE)/VLOOKUP(C983,Mortality!$A$2:$F$104,6,FALSE))</x:f>
        <x:v>0.9719740765386753</x:v>
      </x:c>
      <x:c r="L983" s="37" t="n">
        <x:f>VLOOKUP(IF(B983="Pensioner",C983,Assumptions!$B$10),Mortality!$A$2:$E$104,5,FALSE)</x:f>
        <x:v>17.296790022132885</x:v>
      </x:c>
      <x:c r="M983" s="37" t="n">
        <x:f>1+Assumptions!$B$13*Assumptions!$B$14*Assumptions!$B$15</x:f>
        <x:v>1.31875</x:v>
      </x:c>
      <x:c r="N983" s="37" t="n">
        <x:f>IF(B983="Pensioner",1,1/(1+Assumptions!$B$6)^G983)</x:f>
        <x:v>0.20713801287132758</x:v>
      </x:c>
      <x:c r="O983" s="50" t="n">
        <x:f>J983*K983*L983*M983*N983</x:f>
        <x:v>898611.5905346918</x:v>
      </x:c>
    </x:row>
    <x:row r="984">
      <x:c r="A984" s="42" t="str">
        <x:f>Members!A984</x:f>
        <x:v>D0069</x:v>
      </x:c>
      <x:c r="B984" s="42" t="str">
        <x:f>Members!B984</x:f>
        <x:v>Deferred</x:v>
      </x:c>
      <x:c r="C984" s="42" t="n">
        <x:f>Members!C984</x:f>
        <x:v>32</x:v>
      </x:c>
      <x:c r="D984" s="44" t="n">
        <x:f>Members!D984</x:f>
        <x:v>5.9</x:v>
      </x:c>
      <x:c r="E984" s="48" t="n">
        <x:f>Members!E984</x:f>
        <x:v>384000</x:v>
      </x:c>
      <x:c r="F984" s="48" t="n">
        <x:f>Members!F984</x:f>
        <x:v>0</x:v>
      </x:c>
      <x:c r="G984" s="46" t="n">
        <x:f>MAX(0,Assumptions!$B$10-C984)</x:f>
        <x:v>28</x:v>
      </x:c>
      <x:c r="H984" s="50" t="n">
        <x:f>IF(B984="Active",E984*(1+Assumptions!$B$7)^G984,E984)</x:f>
        <x:v>384000</x:v>
      </x:c>
      <x:c r="I984" s="50" t="n">
        <x:f>IF(B984="Active",MIN(Assumptions!$B$12,D984+G984),IF(B984="Deferred",MIN(Assumptions!$B$12,D984),D984))</x:f>
        <x:v>5.9</x:v>
      </x:c>
      <x:c r="J984" s="50" t="n">
        <x:f>IF(B984="Active",H984*I984*Assumptions!$B$11,IF(B984="Deferred",E984*I984*Assumptions!$B$11*(1+Assumptions!$B$9)^G984,F984))</x:f>
        <x:v>113231.03733232249</x:v>
      </x:c>
      <x:c r="K984" s="37" t="n">
        <x:f>IF(B984="Pensioner",1,VLOOKUP(Assumptions!$B$10,Mortality!$A$2:$F$104,6,FALSE)/VLOOKUP(C984,Mortality!$A$2:$F$104,6,FALSE))</x:f>
        <x:v>0.9709584687664957</x:v>
      </x:c>
      <x:c r="L984" s="37" t="n">
        <x:f>VLOOKUP(IF(B984="Pensioner",C984,Assumptions!$B$10),Mortality!$A$2:$E$104,5,FALSE)</x:f>
        <x:v>17.296790022132885</x:v>
      </x:c>
      <x:c r="M984" s="37" t="n">
        <x:f>1+Assumptions!$B$13*Assumptions!$B$14*Assumptions!$B$15</x:f>
        <x:v>1.31875</x:v>
      </x:c>
      <x:c r="N984" s="37" t="n">
        <x:f>IF(B984="Pensioner",1,1/(1+Assumptions!$B$6)^G984)</x:f>
        <x:v>0.17147901583340255</x:v>
      </x:c>
      <x:c r="O984" s="50" t="n">
        <x:f>J984*K984*L984*M984*N984</x:f>
        <x:v>430036.2917353908</x:v>
      </x:c>
    </x:row>
    <x:row r="985">
      <x:c r="A985" s="42" t="str">
        <x:f>Members!A985</x:f>
        <x:v>P0213</x:v>
      </x:c>
      <x:c r="B985" s="42" t="str">
        <x:f>Members!B985</x:f>
        <x:v>Pensioner</x:v>
      </x:c>
      <x:c r="C985" s="42" t="n">
        <x:f>Members!C985</x:f>
        <x:v>67</x:v>
      </x:c>
      <x:c r="D985" s="44" t="n">
        <x:f>Members!D985</x:f>
        <x:v>22.7</x:v>
      </x:c>
      <x:c r="E985" s="48" t="n">
        <x:f>Members!E985</x:f>
        <x:v>0</x:v>
      </x:c>
      <x:c r="F985" s="48" t="n">
        <x:f>Members!F985</x:f>
        <x:v>224000</x:v>
      </x:c>
      <x:c r="G985" s="46" t="n">
        <x:f>MAX(0,Assumptions!$B$10-C985)</x:f>
        <x:v>0</x:v>
      </x:c>
      <x:c r="H985" s="50" t="n">
        <x:f>IF(B985="Active",E985*(1+Assumptions!$B$7)^G985,E985)</x:f>
        <x:v>0</x:v>
      </x:c>
      <x:c r="I985" s="50" t="n">
        <x:f>IF(B985="Active",MIN(Assumptions!$B$12,D985+G985),IF(B985="Deferred",MIN(Assumptions!$B$12,D985),D985))</x:f>
        <x:v>22.7</x:v>
      </x:c>
      <x:c r="J985" s="50" t="n">
        <x:f>IF(B985="Active",H985*I985*Assumptions!$B$11,IF(B985="Deferred",E985*I985*Assumptions!$B$11*(1+Assumptions!$B$9)^G985,F985))</x:f>
        <x:v>224000</x:v>
      </x:c>
      <x:c r="K985" s="37" t="n">
        <x:f>IF(B985="Pensioner",1,VLOOKUP(Assumptions!$B$10,Mortality!$A$2:$F$104,6,FALSE)/VLOOKUP(C985,Mortality!$A$2:$F$104,6,FALSE))</x:f>
        <x:v>1</x:v>
      </x:c>
      <x:c r="L985" s="37" t="n">
        <x:f>VLOOKUP(IF(B985="Pensioner",C985,Assumptions!$B$10),Mortality!$A$2:$E$104,5,FALSE)</x:f>
        <x:v>14.316480461373482</x:v>
      </x:c>
      <x:c r="M985" s="37" t="n">
        <x:f>1+Assumptions!$B$13*Assumptions!$B$14*Assumptions!$B$15</x:f>
        <x:v>1.31875</x:v>
      </x:c>
      <x:c r="N985" s="37" t="n">
        <x:f>IF(B985="Pensioner",1,1/(1+Assumptions!$B$6)^G985)</x:f>
        <x:v>1</x:v>
      </x:c>
      <x:c r="O985" s="50" t="n">
        <x:f>J985*K985*L985*M985*N985</x:f>
        <x:v>4229088.328289727</x:v>
      </x:c>
    </x:row>
    <x:row r="986">
      <x:c r="A986" s="42" t="str">
        <x:f>Members!A986</x:f>
        <x:v>A0073</x:v>
      </x:c>
      <x:c r="B986" s="42" t="str">
        <x:f>Members!B986</x:f>
        <x:v>Active</x:v>
      </x:c>
      <x:c r="C986" s="42" t="n">
        <x:f>Members!C986</x:f>
        <x:v>24</x:v>
      </x:c>
      <x:c r="D986" s="44" t="n">
        <x:f>Members!D986</x:f>
        <x:v>1</x:v>
      </x:c>
      <x:c r="E986" s="48" t="n">
        <x:f>Members!E986</x:f>
        <x:v>508000</x:v>
      </x:c>
      <x:c r="F986" s="48" t="n">
        <x:f>Members!F986</x:f>
        <x:v>0</x:v>
      </x:c>
      <x:c r="G986" s="46" t="n">
        <x:f>MAX(0,Assumptions!$B$10-C986)</x:f>
        <x:v>36</x:v>
      </x:c>
      <x:c r="H986" s="50" t="n">
        <x:f>IF(B986="Active",E986*(1+Assumptions!$B$7)^G986,E986)</x:f>
        <x:v>3491019.3746936335</x:v>
      </x:c>
      <x:c r="I986" s="50" t="n">
        <x:f>IF(B986="Active",MIN(Assumptions!$B$12,D986+G986),IF(B986="Deferred",MIN(Assumptions!$B$12,D986),D986))</x:f>
        <x:v>37</x:v>
      </x:c>
      <x:c r="J986" s="50" t="n">
        <x:f>IF(B986="Active",H986*I986*Assumptions!$B$11,IF(B986="Deferred",E986*I986*Assumptions!$B$11*(1+Assumptions!$B$9)^G986,F986))</x:f>
        <x:v>2152795.2810610738</x:v>
      </x:c>
      <x:c r="K986" s="37" t="n">
        <x:f>IF(B986="Pensioner",1,VLOOKUP(Assumptions!$B$10,Mortality!$A$2:$F$104,6,FALSE)/VLOOKUP(C986,Mortality!$A$2:$F$104,6,FALSE))</x:f>
        <x:v>0.9687108670060764</x:v>
      </x:c>
      <x:c r="L986" s="37" t="n">
        <x:f>VLOOKUP(IF(B986="Pensioner",C986,Assumptions!$B$10),Mortality!$A$2:$E$104,5,FALSE)</x:f>
        <x:v>17.296790022132885</x:v>
      </x:c>
      <x:c r="M986" s="37" t="n">
        <x:f>1+Assumptions!$B$13*Assumptions!$B$14*Assumptions!$B$15</x:f>
        <x:v>1.31875</x:v>
      </x:c>
      <x:c r="N986" s="37" t="n">
        <x:f>IF(B986="Pensioner",1,1/(1+Assumptions!$B$6)^G986)</x:f>
        <x:v>0.10361296939205883</x:v>
      </x:c>
      <x:c r="O986" s="50" t="n">
        <x:f>J986*K986*L986*M986*N986</x:f>
        <x:v>4928775.198816552</x:v>
      </x:c>
    </x:row>
    <x:row r="987">
      <x:c r="A987" s="42" t="str">
        <x:f>Members!A987</x:f>
        <x:v>A0339</x:v>
      </x:c>
      <x:c r="B987" s="42" t="str">
        <x:f>Members!B987</x:f>
        <x:v>Active</x:v>
      </x:c>
      <x:c r="C987" s="42" t="n">
        <x:f>Members!C987</x:f>
        <x:v>33</x:v>
      </x:c>
      <x:c r="D987" s="44" t="n">
        <x:f>Members!D987</x:f>
        <x:v>9.5</x:v>
      </x:c>
      <x:c r="E987" s="48" t="n">
        <x:f>Members!E987</x:f>
        <x:v>732000</x:v>
      </x:c>
      <x:c r="F987" s="48" t="n">
        <x:f>Members!F987</x:f>
        <x:v>0</x:v>
      </x:c>
      <x:c r="G987" s="46" t="n">
        <x:f>MAX(0,Assumptions!$B$10-C987)</x:f>
        <x:v>27</x:v>
      </x:c>
      <x:c r="H987" s="50" t="n">
        <x:f>IF(B987="Active",E987*(1+Assumptions!$B$7)^G987,E987)</x:f>
        <x:v>3106901.5457790224</x:v>
      </x:c>
      <x:c r="I987" s="50" t="n">
        <x:f>IF(B987="Active",MIN(Assumptions!$B$12,D987+G987),IF(B987="Deferred",MIN(Assumptions!$B$12,D987),D987))</x:f>
        <x:v>36.5</x:v>
      </x:c>
      <x:c r="J987" s="50" t="n">
        <x:f>IF(B987="Active",H987*I987*Assumptions!$B$11,IF(B987="Deferred",E987*I987*Assumptions!$B$11*(1+Assumptions!$B$9)^G987,F987))</x:f>
        <x:v>1890031.7736822385</x:v>
      </x:c>
      <x:c r="K987" s="37" t="n">
        <x:f>IF(B987="Pensioner",1,VLOOKUP(Assumptions!$B$10,Mortality!$A$2:$F$104,6,FALSE)/VLOOKUP(C987,Mortality!$A$2:$F$104,6,FALSE))</x:f>
        <x:v>0.9712826176321353</x:v>
      </x:c>
      <x:c r="L987" s="37" t="n">
        <x:f>VLOOKUP(IF(B987="Pensioner",C987,Assumptions!$B$10),Mortality!$A$2:$E$104,5,FALSE)</x:f>
        <x:v>17.296790022132885</x:v>
      </x:c>
      <x:c r="M987" s="37" t="n">
        <x:f>1+Assumptions!$B$13*Assumptions!$B$14*Assumptions!$B$15</x:f>
        <x:v>1.31875</x:v>
      </x:c>
      <x:c r="N987" s="37" t="n">
        <x:f>IF(B987="Pensioner",1,1/(1+Assumptions!$B$6)^G987)</x:f>
        <x:v>0.1826251518625737</x:v>
      </x:c>
      <x:c r="O987" s="50" t="n">
        <x:f>J987*K987*L987*M987*N987</x:f>
        <x:v>7647214.952103929</x:v>
      </x:c>
    </x:row>
    <x:row r="988">
      <x:c r="A988" s="42" t="str">
        <x:f>Members!A988</x:f>
        <x:v>A0391</x:v>
      </x:c>
      <x:c r="B988" s="42" t="str">
        <x:f>Members!B988</x:f>
        <x:v>Active</x:v>
      </x:c>
      <x:c r="C988" s="42" t="n">
        <x:f>Members!C988</x:f>
        <x:v>31</x:v>
      </x:c>
      <x:c r="D988" s="44" t="n">
        <x:f>Members!D988</x:f>
        <x:v>6.7</x:v>
      </x:c>
      <x:c r="E988" s="48" t="n">
        <x:f>Members!E988</x:f>
        <x:v>731000</x:v>
      </x:c>
      <x:c r="F988" s="48" t="n">
        <x:f>Members!F988</x:f>
        <x:v>0</x:v>
      </x:c>
      <x:c r="G988" s="46" t="n">
        <x:f>MAX(0,Assumptions!$B$10-C988)</x:f>
        <x:v>29</x:v>
      </x:c>
      <x:c r="H988" s="50" t="n">
        <x:f>IF(B988="Active",E988*(1+Assumptions!$B$7)^G988,E988)</x:f>
        <x:v>3453334.9685467193</x:v>
      </x:c>
      <x:c r="I988" s="50" t="n">
        <x:f>IF(B988="Active",MIN(Assumptions!$B$12,D988+G988),IF(B988="Deferred",MIN(Assumptions!$B$12,D988),D988))</x:f>
        <x:v>35.7</x:v>
      </x:c>
      <x:c r="J988" s="50" t="n">
        <x:f>IF(B988="Active",H988*I988*Assumptions!$B$11,IF(B988="Deferred",E988*I988*Assumptions!$B$11*(1+Assumptions!$B$9)^G988,F988))</x:f>
        <x:v>2054734.3062852982</x:v>
      </x:c>
      <x:c r="K988" s="37" t="n">
        <x:f>IF(B988="Pensioner",1,VLOOKUP(Assumptions!$B$10,Mortality!$A$2:$F$104,6,FALSE)/VLOOKUP(C988,Mortality!$A$2:$F$104,6,FALSE))</x:f>
        <x:v>0.9706466107295209</x:v>
      </x:c>
      <x:c r="L988" s="37" t="n">
        <x:f>VLOOKUP(IF(B988="Pensioner",C988,Assumptions!$B$10),Mortality!$A$2:$E$104,5,FALSE)</x:f>
        <x:v>17.296790022132885</x:v>
      </x:c>
      <x:c r="M988" s="37" t="n">
        <x:f>1+Assumptions!$B$13*Assumptions!$B$14*Assumptions!$B$15</x:f>
        <x:v>1.31875</x:v>
      </x:c>
      <x:c r="N988" s="37" t="n">
        <x:f>IF(B988="Pensioner",1,1/(1+Assumptions!$B$6)^G988)</x:f>
        <x:v>0.16101316040695074</x:v>
      </x:c>
      <x:c r="O988" s="50" t="n">
        <x:f>J988*K988*L988*M988*N988</x:f>
        <x:v>7324975.474231134</x:v>
      </x:c>
    </x:row>
    <x:row r="989">
      <x:c r="A989" s="42" t="str">
        <x:f>Members!A989</x:f>
        <x:v>A0334</x:v>
      </x:c>
      <x:c r="B989" s="42" t="str">
        <x:f>Members!B989</x:f>
        <x:v>Active</x:v>
      </x:c>
      <x:c r="C989" s="42" t="n">
        <x:f>Members!C989</x:f>
        <x:v>51</x:v>
      </x:c>
      <x:c r="D989" s="44" t="n">
        <x:f>Members!D989</x:f>
        <x:v>19.5</x:v>
      </x:c>
      <x:c r="E989" s="48" t="n">
        <x:f>Members!E989</x:f>
        <x:v>1390000</x:v>
      </x:c>
      <x:c r="F989" s="48" t="n">
        <x:f>Members!F989</x:f>
        <x:v>0</x:v>
      </x:c>
      <x:c r="G989" s="46" t="n">
        <x:f>MAX(0,Assumptions!$B$10-C989)</x:f>
        <x:v>9</x:v>
      </x:c>
      <x:c r="H989" s="50" t="n">
        <x:f>IF(B989="Active",E989*(1+Assumptions!$B$7)^G989,E989)</x:f>
        <x:v>2250541.0399161084</x:v>
      </x:c>
      <x:c r="I989" s="50" t="n">
        <x:f>IF(B989="Active",MIN(Assumptions!$B$12,D989+G989),IF(B989="Deferred",MIN(Assumptions!$B$12,D989),D989))</x:f>
        <x:v>28.5</x:v>
      </x:c>
      <x:c r="J989" s="50" t="n">
        <x:f>IF(B989="Active",H989*I989*Assumptions!$B$11,IF(B989="Deferred",E989*I989*Assumptions!$B$11*(1+Assumptions!$B$9)^G989,F989))</x:f>
        <x:v>1069006.9939601514</x:v>
      </x:c>
      <x:c r="K989" s="37" t="n">
        <x:f>IF(B989="Pensioner",1,VLOOKUP(Assumptions!$B$10,Mortality!$A$2:$F$104,6,FALSE)/VLOOKUP(C989,Mortality!$A$2:$F$104,6,FALSE))</x:f>
        <x:v>0.9824052797506154</x:v>
      </x:c>
      <x:c r="L989" s="37" t="n">
        <x:f>VLOOKUP(IF(B989="Pensioner",C989,Assumptions!$B$10),Mortality!$A$2:$E$104,5,FALSE)</x:f>
        <x:v>17.296790022132885</x:v>
      </x:c>
      <x:c r="M989" s="37" t="n">
        <x:f>1+Assumptions!$B$13*Assumptions!$B$14*Assumptions!$B$15</x:f>
        <x:v>1.31875</x:v>
      </x:c>
      <x:c r="N989" s="37" t="n">
        <x:f>IF(B989="Pensioner",1,1/(1+Assumptions!$B$6)^G989)</x:f>
        <x:v>0.5673532278293633</x:v>
      </x:c>
      <x:c r="O989" s="50" t="n">
        <x:f>J989*K989*L989*M989*N989</x:f>
        <x:v>13591041.867591176</x:v>
      </x:c>
    </x:row>
    <x:row r="990">
      <x:c r="A990" s="42" t="str">
        <x:f>Members!A990</x:f>
        <x:v>A0464</x:v>
      </x:c>
      <x:c r="B990" s="42" t="str">
        <x:f>Members!B990</x:f>
        <x:v>Active</x:v>
      </x:c>
      <x:c r="C990" s="42" t="n">
        <x:f>Members!C990</x:f>
        <x:v>56</x:v>
      </x:c>
      <x:c r="D990" s="44" t="n">
        <x:f>Members!D990</x:f>
        <x:v>12.4</x:v>
      </x:c>
      <x:c r="E990" s="48" t="n">
        <x:f>Members!E990</x:f>
        <x:v>1292000</x:v>
      </x:c>
      <x:c r="F990" s="48" t="n">
        <x:f>Members!F990</x:f>
        <x:v>0</x:v>
      </x:c>
      <x:c r="G990" s="46" t="n">
        <x:f>MAX(0,Assumptions!$B$10-C990)</x:f>
        <x:v>4</x:v>
      </x:c>
      <x:c r="H990" s="50" t="n">
        <x:f>IF(B990="Active",E990*(1+Assumptions!$B$7)^G990,E990)</x:f>
        <x:v>1600561.4486074997</x:v>
      </x:c>
      <x:c r="I990" s="50" t="n">
        <x:f>IF(B990="Active",MIN(Assumptions!$B$12,D990+G990),IF(B990="Deferred",MIN(Assumptions!$B$12,D990),D990))</x:f>
        <x:v>16.4</x:v>
      </x:c>
      <x:c r="J990" s="50" t="n">
        <x:f>IF(B990="Active",H990*I990*Assumptions!$B$11,IF(B990="Deferred",E990*I990*Assumptions!$B$11*(1+Assumptions!$B$9)^G990,F990))</x:f>
        <x:v>437486.79595271655</x:v>
      </x:c>
      <x:c r="K990" s="37" t="n">
        <x:f>IF(B990="Pensioner",1,VLOOKUP(Assumptions!$B$10,Mortality!$A$2:$F$104,6,FALSE)/VLOOKUP(C990,Mortality!$A$2:$F$104,6,FALSE))</x:f>
        <x:v>0.990116255810422</x:v>
      </x:c>
      <x:c r="L990" s="37" t="n">
        <x:f>VLOOKUP(IF(B990="Pensioner",C990,Assumptions!$B$10),Mortality!$A$2:$E$104,5,FALSE)</x:f>
        <x:v>17.296790022132885</x:v>
      </x:c>
      <x:c r="M990" s="37" t="n">
        <x:f>1+Assumptions!$B$13*Assumptions!$B$14*Assumptions!$B$15</x:f>
        <x:v>1.31875</x:v>
      </x:c>
      <x:c r="N990" s="37" t="n">
        <x:f>IF(B990="Pensioner",1,1/(1+Assumptions!$B$6)^G990)</x:f>
        <x:v>0.777323090894817</x:v>
      </x:c>
      <x:c r="O990" s="50" t="n">
        <x:f>J990*K990*L990*M990*N990</x:f>
        <x:v>7680344.408992207</x:v>
      </x:c>
    </x:row>
    <x:row r="991">
      <x:c r="A991" s="42" t="str">
        <x:f>Members!A991</x:f>
        <x:v>A0181</x:v>
      </x:c>
      <x:c r="B991" s="42" t="str">
        <x:f>Members!B991</x:f>
        <x:v>Active</x:v>
      </x:c>
      <x:c r="C991" s="42" t="n">
        <x:f>Members!C991</x:f>
        <x:v>27</x:v>
      </x:c>
      <x:c r="D991" s="44" t="n">
        <x:f>Members!D991</x:f>
        <x:v>1.5</x:v>
      </x:c>
      <x:c r="E991" s="48" t="n">
        <x:f>Members!E991</x:f>
        <x:v>384000</x:v>
      </x:c>
      <x:c r="F991" s="48" t="n">
        <x:f>Members!F991</x:f>
        <x:v>0</x:v>
      </x:c>
      <x:c r="G991" s="46" t="n">
        <x:f>MAX(0,Assumptions!$B$10-C991)</x:f>
        <x:v>33</x:v>
      </x:c>
      <x:c r="H991" s="50" t="n">
        <x:f>IF(B991="Active",E991*(1+Assumptions!$B$7)^G991,E991)</x:f>
        <x:v>2247306.936506126</x:v>
      </x:c>
      <x:c r="I991" s="50" t="n">
        <x:f>IF(B991="Active",MIN(Assumptions!$B$12,D991+G991),IF(B991="Deferred",MIN(Assumptions!$B$12,D991),D991))</x:f>
        <x:v>34.5</x:v>
      </x:c>
      <x:c r="J991" s="50" t="n">
        <x:f>IF(B991="Active",H991*I991*Assumptions!$B$11,IF(B991="Deferred",E991*I991*Assumptions!$B$11*(1+Assumptions!$B$9)^G991,F991))</x:f>
        <x:v>1292201.4884910225</x:v>
      </x:c>
      <x:c r="K991" s="37" t="n">
        <x:f>IF(B991="Pensioner",1,VLOOKUP(Assumptions!$B$10,Mortality!$A$2:$F$104,6,FALSE)/VLOOKUP(C991,Mortality!$A$2:$F$104,6,FALSE))</x:f>
        <x:v>0.9694971330284515</x:v>
      </x:c>
      <x:c r="L991" s="37" t="n">
        <x:f>VLOOKUP(IF(B991="Pensioner",C991,Assumptions!$B$10),Mortality!$A$2:$E$104,5,FALSE)</x:f>
        <x:v>17.296790022132885</x:v>
      </x:c>
      <x:c r="M991" s="37" t="n">
        <x:f>1+Assumptions!$B$13*Assumptions!$B$14*Assumptions!$B$15</x:f>
        <x:v>1.31875</x:v>
      </x:c>
      <x:c r="N991" s="37" t="n">
        <x:f>IF(B991="Pensioner",1,1/(1+Assumptions!$B$6)^G991)</x:f>
        <x:v>0.12515924752227392</x:v>
      </x:c>
      <x:c r="O991" s="50" t="n">
        <x:f>J991*K991*L991*M991*N991</x:f>
        <x:v>3576577.9555348023</x:v>
      </x:c>
    </x:row>
    <x:row r="992">
      <x:c r="A992" s="42" t="str">
        <x:f>Members!A992</x:f>
        <x:v>P0065</x:v>
      </x:c>
      <x:c r="B992" s="42" t="str">
        <x:f>Members!B992</x:f>
        <x:v>Pensioner</x:v>
      </x:c>
      <x:c r="C992" s="42" t="n">
        <x:f>Members!C992</x:f>
        <x:v>81</x:v>
      </x:c>
      <x:c r="D992" s="44" t="n">
        <x:f>Members!D992</x:f>
        <x:v>20.8</x:v>
      </x:c>
      <x:c r="E992" s="48" t="n">
        <x:f>Members!E992</x:f>
        <x:v>0</x:v>
      </x:c>
      <x:c r="F992" s="48" t="n">
        <x:f>Members!F992</x:f>
        <x:v>314000</x:v>
      </x:c>
      <x:c r="G992" s="46" t="n">
        <x:f>MAX(0,Assumptions!$B$10-C992)</x:f>
        <x:v>0</x:v>
      </x:c>
      <x:c r="H992" s="50" t="n">
        <x:f>IF(B992="Active",E992*(1+Assumptions!$B$7)^G992,E992)</x:f>
        <x:v>0</x:v>
      </x:c>
      <x:c r="I992" s="50" t="n">
        <x:f>IF(B992="Active",MIN(Assumptions!$B$12,D992+G992),IF(B992="Deferred",MIN(Assumptions!$B$12,D992),D992))</x:f>
        <x:v>20.8</x:v>
      </x:c>
      <x:c r="J992" s="50" t="n">
        <x:f>IF(B992="Active",H992*I992*Assumptions!$B$11,IF(B992="Deferred",E992*I992*Assumptions!$B$11*(1+Assumptions!$B$9)^G992,F992))</x:f>
        <x:v>314000</x:v>
      </x:c>
      <x:c r="K992" s="37" t="n">
        <x:f>IF(B992="Pensioner",1,VLOOKUP(Assumptions!$B$10,Mortality!$A$2:$F$104,6,FALSE)/VLOOKUP(C992,Mortality!$A$2:$F$104,6,FALSE))</x:f>
        <x:v>1</x:v>
      </x:c>
      <x:c r="L992" s="37" t="n">
        <x:f>VLOOKUP(IF(B992="Pensioner",C992,Assumptions!$B$10),Mortality!$A$2:$E$104,5,FALSE)</x:f>
        <x:v>7.936897714048503</x:v>
      </x:c>
      <x:c r="M992" s="37" t="n">
        <x:f>1+Assumptions!$B$13*Assumptions!$B$14*Assumptions!$B$15</x:f>
        <x:v>1.31875</x:v>
      </x:c>
      <x:c r="N992" s="37" t="n">
        <x:f>IF(B992="Pensioner",1,1/(1+Assumptions!$B$6)^G992)</x:f>
        <x:v>1</x:v>
      </x:c>
      <x:c r="O992" s="50" t="n">
        <x:f>J992*K992*L992*M992*N992</x:f>
        <x:v>3286570.1321660597</x:v>
      </x:c>
    </x:row>
    <x:row r="993">
      <x:c r="A993" s="42" t="str">
        <x:f>Members!A993</x:f>
        <x:v>A0257</x:v>
      </x:c>
      <x:c r="B993" s="42" t="str">
        <x:f>Members!B993</x:f>
        <x:v>Active</x:v>
      </x:c>
      <x:c r="C993" s="42" t="n">
        <x:f>Members!C993</x:f>
        <x:v>46</x:v>
      </x:c>
      <x:c r="D993" s="44" t="n">
        <x:f>Members!D993</x:f>
        <x:v>10.8</x:v>
      </x:c>
      <x:c r="E993" s="48" t="n">
        <x:f>Members!E993</x:f>
        <x:v>1290000</x:v>
      </x:c>
      <x:c r="F993" s="48" t="n">
        <x:f>Members!F993</x:f>
        <x:v>0</x:v>
      </x:c>
      <x:c r="G993" s="46" t="n">
        <x:f>MAX(0,Assumptions!$B$10-C993)</x:f>
        <x:v>14</x:v>
      </x:c>
      <x:c r="H993" s="50" t="n">
        <x:f>IF(B993="Active",E993*(1+Assumptions!$B$7)^G993,E993)</x:f>
        <x:v>2729757.9857696258</x:v>
      </x:c>
      <x:c r="I993" s="50" t="n">
        <x:f>IF(B993="Active",MIN(Assumptions!$B$12,D993+G993),IF(B993="Deferred",MIN(Assumptions!$B$12,D993),D993))</x:f>
        <x:v>24.8</x:v>
      </x:c>
      <x:c r="J993" s="50" t="n">
        <x:f>IF(B993="Active",H993*I993*Assumptions!$B$11,IF(B993="Deferred",E993*I993*Assumptions!$B$11*(1+Assumptions!$B$9)^G993,F993))</x:f>
        <x:v>1128299.9674514453</x:v>
      </x:c>
      <x:c r="K993" s="37" t="n">
        <x:f>IF(B993="Pensioner",1,VLOOKUP(Assumptions!$B$10,Mortality!$A$2:$F$104,6,FALSE)/VLOOKUP(C993,Mortality!$A$2:$F$104,6,FALSE))</x:f>
        <x:v>0.9776582328304806</x:v>
      </x:c>
      <x:c r="L993" s="37" t="n">
        <x:f>VLOOKUP(IF(B993="Pensioner",C993,Assumptions!$B$10),Mortality!$A$2:$E$104,5,FALSE)</x:f>
        <x:v>17.296790022132885</x:v>
      </x:c>
      <x:c r="M993" s="37" t="n">
        <x:f>1+Assumptions!$B$13*Assumptions!$B$14*Assumptions!$B$15</x:f>
        <x:v>1.31875</x:v>
      </x:c>
      <x:c r="N993" s="37" t="n">
        <x:f>IF(B993="Pensioner",1,1/(1+Assumptions!$B$6)^G993)</x:f>
        <x:v>0.41410024853095956</x:v>
      </x:c>
      <x:c r="O993" s="50" t="n">
        <x:f>J993*K993*L993*M993*N993</x:f>
        <x:v>10419457.665637394</x:v>
      </x:c>
    </x:row>
    <x:row r="994">
      <x:c r="A994" s="42" t="str">
        <x:f>Members!A994</x:f>
        <x:v>P0022</x:v>
      </x:c>
      <x:c r="B994" s="42" t="str">
        <x:f>Members!B994</x:f>
        <x:v>Pensioner</x:v>
      </x:c>
      <x:c r="C994" s="42" t="n">
        <x:f>Members!C994</x:f>
        <x:v>84</x:v>
      </x:c>
      <x:c r="D994" s="44" t="n">
        <x:f>Members!D994</x:f>
        <x:v>13.3</x:v>
      </x:c>
      <x:c r="E994" s="48" t="n">
        <x:f>Members!E994</x:f>
        <x:v>0</x:v>
      </x:c>
      <x:c r="F994" s="48" t="n">
        <x:f>Members!F994</x:f>
        <x:v>690000</x:v>
      </x:c>
      <x:c r="G994" s="46" t="n">
        <x:f>MAX(0,Assumptions!$B$10-C994)</x:f>
        <x:v>0</x:v>
      </x:c>
      <x:c r="H994" s="50" t="n">
        <x:f>IF(B994="Active",E994*(1+Assumptions!$B$7)^G994,E994)</x:f>
        <x:v>0</x:v>
      </x:c>
      <x:c r="I994" s="50" t="n">
        <x:f>IF(B994="Active",MIN(Assumptions!$B$12,D994+G994),IF(B994="Deferred",MIN(Assumptions!$B$12,D994),D994))</x:f>
        <x:v>13.3</x:v>
      </x:c>
      <x:c r="J994" s="50" t="n">
        <x:f>IF(B994="Active",H994*I994*Assumptions!$B$11,IF(B994="Deferred",E994*I994*Assumptions!$B$11*(1+Assumptions!$B$9)^G994,F994))</x:f>
        <x:v>690000</x:v>
      </x:c>
      <x:c r="K994" s="37" t="n">
        <x:f>IF(B994="Pensioner",1,VLOOKUP(Assumptions!$B$10,Mortality!$A$2:$F$104,6,FALSE)/VLOOKUP(C994,Mortality!$A$2:$F$104,6,FALSE))</x:f>
        <x:v>1</x:v>
      </x:c>
      <x:c r="L994" s="37" t="n">
        <x:f>VLOOKUP(IF(B994="Pensioner",C994,Assumptions!$B$10),Mortality!$A$2:$E$104,5,FALSE)</x:f>
        <x:v>6.643272096517531</x:v>
      </x:c>
      <x:c r="M994" s="37" t="n">
        <x:f>1+Assumptions!$B$13*Assumptions!$B$14*Assumptions!$B$15</x:f>
        <x:v>1.31875</x:v>
      </x:c>
      <x:c r="N994" s="37" t="n">
        <x:f>IF(B994="Pensioner",1,1/(1+Assumptions!$B$6)^G994)</x:f>
        <x:v>1</x:v>
      </x:c>
      <x:c r="O994" s="50" t="n">
        <x:f>J994*K994*L994*M994*N994</x:f>
        <x:v>6044962.403324922</x:v>
      </x:c>
    </x:row>
    <x:row r="995">
      <x:c r="A995" s="42" t="str">
        <x:f>Members!A995</x:f>
        <x:v>A0016</x:v>
      </x:c>
      <x:c r="B995" s="42" t="str">
        <x:f>Members!B995</x:f>
        <x:v>Active</x:v>
      </x:c>
      <x:c r="C995" s="42" t="n">
        <x:f>Members!C995</x:f>
        <x:v>48</x:v>
      </x:c>
      <x:c r="D995" s="44" t="n">
        <x:f>Members!D995</x:f>
        <x:v>20.9</x:v>
      </x:c>
      <x:c r="E995" s="48" t="n">
        <x:f>Members!E995</x:f>
        <x:v>1040000</x:v>
      </x:c>
      <x:c r="F995" s="48" t="n">
        <x:f>Members!F995</x:f>
        <x:v>0</x:v>
      </x:c>
      <x:c r="G995" s="46" t="n">
        <x:f>MAX(0,Assumptions!$B$10-C995)</x:f>
        <x:v>12</x:v>
      </x:c>
      <x:c r="H995" s="50" t="n">
        <x:f>IF(B995="Active",E995*(1+Assumptions!$B$7)^G995,E995)</x:f>
        <x:v>1977255.7851893678</x:v>
      </x:c>
      <x:c r="I995" s="50" t="n">
        <x:f>IF(B995="Active",MIN(Assumptions!$B$12,D995+G995),IF(B995="Deferred",MIN(Assumptions!$B$12,D995),D995))</x:f>
        <x:v>32.9</x:v>
      </x:c>
      <x:c r="J995" s="50" t="n">
        <x:f>IF(B995="Active",H995*I995*Assumptions!$B$11,IF(B995="Deferred",E995*I995*Assumptions!$B$11*(1+Assumptions!$B$9)^G995,F995))</x:f>
        <x:v>1084195.2555455032</x:v>
      </x:c>
      <x:c r="K995" s="37" t="n">
        <x:f>IF(B995="Pensioner",1,VLOOKUP(Assumptions!$B$10,Mortality!$A$2:$F$104,6,FALSE)/VLOOKUP(C995,Mortality!$A$2:$F$104,6,FALSE))</x:f>
        <x:v>0.9793037429736591</x:v>
      </x:c>
      <x:c r="L995" s="37" t="n">
        <x:f>VLOOKUP(IF(B995="Pensioner",C995,Assumptions!$B$10),Mortality!$A$2:$E$104,5,FALSE)</x:f>
        <x:v>17.296790022132885</x:v>
      </x:c>
      <x:c r="M995" s="37" t="n">
        <x:f>1+Assumptions!$B$13*Assumptions!$B$14*Assumptions!$B$15</x:f>
        <x:v>1.31875</x:v>
      </x:c>
      <x:c r="N995" s="37" t="n">
        <x:f>IF(B995="Pensioner",1,1/(1+Assumptions!$B$6)^G995)</x:f>
        <x:v>0.4696828543900276</x:v>
      </x:c>
      <x:c r="O995" s="50" t="n">
        <x:f>J995*K995*L995*M995*N995</x:f>
        <x:v>11375162.499515906</x:v>
      </x:c>
    </x:row>
    <x:row r="996">
      <x:c r="A996" s="42" t="str">
        <x:f>Members!A996</x:f>
        <x:v>A0190</x:v>
      </x:c>
      <x:c r="B996" s="42" t="str">
        <x:f>Members!B996</x:f>
        <x:v>Active</x:v>
      </x:c>
      <x:c r="C996" s="42" t="n">
        <x:f>Members!C996</x:f>
        <x:v>36</x:v>
      </x:c>
      <x:c r="D996" s="44" t="n">
        <x:f>Members!D996</x:f>
        <x:v>14.9</x:v>
      </x:c>
      <x:c r="E996" s="48" t="n">
        <x:f>Members!E996</x:f>
        <x:v>569000</x:v>
      </x:c>
      <x:c r="F996" s="48" t="n">
        <x:f>Members!F996</x:f>
        <x:v>0</x:v>
      </x:c>
      <x:c r="G996" s="46" t="n">
        <x:f>MAX(0,Assumptions!$B$10-C996)</x:f>
        <x:v>24</x:v>
      </x:c>
      <x:c r="H996" s="50" t="n">
        <x:f>IF(B996="Active",E996*(1+Assumptions!$B$7)^G996,E996)</x:f>
        <x:v>2056701.6553225634</x:v>
      </x:c>
      <x:c r="I996" s="50" t="n">
        <x:f>IF(B996="Active",MIN(Assumptions!$B$12,D996+G996),IF(B996="Deferred",MIN(Assumptions!$B$12,D996),D996))</x:f>
        <x:v>38.9</x:v>
      </x:c>
      <x:c r="J996" s="50" t="n">
        <x:f>IF(B996="Active",H996*I996*Assumptions!$B$11,IF(B996="Deferred",E996*I996*Assumptions!$B$11*(1+Assumptions!$B$9)^G996,F996))</x:f>
        <x:v>1333428.2398674618</x:v>
      </x:c>
      <x:c r="K996" s="37" t="n">
        <x:f>IF(B996="Pensioner",1,VLOOKUP(Assumptions!$B$10,Mortality!$A$2:$F$104,6,FALSE)/VLOOKUP(C996,Mortality!$A$2:$F$104,6,FALSE))</x:f>
        <x:v>0.9723450305541352</x:v>
      </x:c>
      <x:c r="L996" s="37" t="n">
        <x:f>VLOOKUP(IF(B996="Pensioner",C996,Assumptions!$B$10),Mortality!$A$2:$E$104,5,FALSE)</x:f>
        <x:v>17.296790022132885</x:v>
      </x:c>
      <x:c r="M996" s="37" t="n">
        <x:f>1+Assumptions!$B$13*Assumptions!$B$14*Assumptions!$B$15</x:f>
        <x:v>1.31875</x:v>
      </x:c>
      <x:c r="N996" s="37" t="n">
        <x:f>IF(B996="Pensioner",1,1/(1+Assumptions!$B$6)^G996)</x:f>
        <x:v>0.22060198370796386</x:v>
      </x:c>
      <x:c r="O996" s="50" t="n">
        <x:f>J996*K996*L996*M996*N996</x:f>
        <x:v>6524202.71727362</x:v>
      </x:c>
    </x:row>
    <x:row r="997">
      <x:c r="A997" s="42" t="str">
        <x:f>Members!A997</x:f>
        <x:v>A0097</x:v>
      </x:c>
      <x:c r="B997" s="42" t="str">
        <x:f>Members!B997</x:f>
        <x:v>Active</x:v>
      </x:c>
      <x:c r="C997" s="42" t="n">
        <x:f>Members!C997</x:f>
        <x:v>42</x:v>
      </x:c>
      <x:c r="D997" s="44" t="n">
        <x:f>Members!D997</x:f>
        <x:v>3.6</x:v>
      </x:c>
      <x:c r="E997" s="48" t="n">
        <x:f>Members!E997</x:f>
        <x:v>1053000</x:v>
      </x:c>
      <x:c r="F997" s="48" t="n">
        <x:f>Members!F997</x:f>
        <x:v>0</x:v>
      </x:c>
      <x:c r="G997" s="46" t="n">
        <x:f>MAX(0,Assumptions!$B$10-C997)</x:f>
        <x:v>18</x:v>
      </x:c>
      <x:c r="H997" s="50" t="n">
        <x:f>IF(B997="Active",E997*(1+Assumptions!$B$7)^G997,E997)</x:f>
        <x:v>2760403.977993402</x:v>
      </x:c>
      <x:c r="I997" s="50" t="n">
        <x:f>IF(B997="Active",MIN(Assumptions!$B$12,D997+G997),IF(B997="Deferred",MIN(Assumptions!$B$12,D997),D997))</x:f>
        <x:v>21.6</x:v>
      </x:c>
      <x:c r="J997" s="50" t="n">
        <x:f>IF(B997="Active",H997*I997*Assumptions!$B$11,IF(B997="Deferred",E997*I997*Assumptions!$B$11*(1+Assumptions!$B$9)^G997,F997))</x:f>
        <x:v>993745.4320776248</x:v>
      </x:c>
      <x:c r="K997" s="37" t="n">
        <x:f>IF(B997="Pensioner",1,VLOOKUP(Assumptions!$B$10,Mortality!$A$2:$F$104,6,FALSE)/VLOOKUP(C997,Mortality!$A$2:$F$104,6,FALSE))</x:f>
        <x:v>0.9750799707838386</x:v>
      </x:c>
      <x:c r="L997" s="37" t="n">
        <x:f>VLOOKUP(IF(B997="Pensioner",C997,Assumptions!$B$10),Mortality!$A$2:$E$104,5,FALSE)</x:f>
        <x:v>17.296790022132885</x:v>
      </x:c>
      <x:c r="M997" s="37" t="n">
        <x:f>1+Assumptions!$B$13*Assumptions!$B$14*Assumptions!$B$15</x:f>
        <x:v>1.31875</x:v>
      </x:c>
      <x:c r="N997" s="37" t="n">
        <x:f>IF(B997="Pensioner",1,1/(1+Assumptions!$B$6)^G997)</x:f>
        <x:v>0.3218896851283974</x:v>
      </x:c>
      <x:c r="O997" s="50" t="n">
        <x:f>J997*K997*L997*M997*N997</x:f>
        <x:v>7114598.999389897</x:v>
      </x:c>
    </x:row>
    <x:row r="998">
      <x:c r="A998" s="42" t="str">
        <x:f>Members!A998</x:f>
        <x:v>A0619</x:v>
      </x:c>
      <x:c r="B998" s="42" t="str">
        <x:f>Members!B998</x:f>
        <x:v>Active</x:v>
      </x:c>
      <x:c r="C998" s="42" t="n">
        <x:f>Members!C998</x:f>
        <x:v>28</x:v>
      </x:c>
      <x:c r="D998" s="44" t="n">
        <x:f>Members!D998</x:f>
        <x:v>1.1</x:v>
      </x:c>
      <x:c r="E998" s="48" t="n">
        <x:f>Members!E998</x:f>
        <x:v>621000</x:v>
      </x:c>
      <x:c r="F998" s="48" t="n">
        <x:f>Members!F998</x:f>
        <x:v>0</x:v>
      </x:c>
      <x:c r="G998" s="46" t="n">
        <x:f>MAX(0,Assumptions!$B$10-C998)</x:f>
        <x:v>32</x:v>
      </x:c>
      <x:c r="H998" s="50" t="n">
        <x:f>IF(B998="Active",E998*(1+Assumptions!$B$7)^G998,E998)</x:f>
        <x:v>3444849.9396976307</x:v>
      </x:c>
      <x:c r="I998" s="50" t="n">
        <x:f>IF(B998="Active",MIN(Assumptions!$B$12,D998+G998),IF(B998="Deferred",MIN(Assumptions!$B$12,D998),D998))</x:f>
        <x:v>33.1</x:v>
      </x:c>
      <x:c r="J998" s="50" t="n">
        <x:f>IF(B998="Active",H998*I998*Assumptions!$B$11,IF(B998="Deferred",E998*I998*Assumptions!$B$11*(1+Assumptions!$B$9)^G998,F998))</x:f>
        <x:v>1900408.8833998595</x:v>
      </x:c>
      <x:c r="K998" s="37" t="n">
        <x:f>IF(B998="Pensioner",1,VLOOKUP(Assumptions!$B$10,Mortality!$A$2:$F$104,6,FALSE)/VLOOKUP(C998,Mortality!$A$2:$F$104,6,FALSE))</x:f>
        <x:v>0.9697719614347323</x:v>
      </x:c>
      <x:c r="L998" s="37" t="n">
        <x:f>VLOOKUP(IF(B998="Pensioner",C998,Assumptions!$B$10),Mortality!$A$2:$E$104,5,FALSE)</x:f>
        <x:v>17.296790022132885</x:v>
      </x:c>
      <x:c r="M998" s="37" t="n">
        <x:f>1+Assumptions!$B$13*Assumptions!$B$14*Assumptions!$B$15</x:f>
        <x:v>1.31875</x:v>
      </x:c>
      <x:c r="N998" s="37" t="n">
        <x:f>IF(B998="Pensioner",1,1/(1+Assumptions!$B$6)^G998)</x:f>
        <x:v>0.13329459861122173</x:v>
      </x:c>
      <x:c r="O998" s="50" t="n">
        <x:f>J998*K998*L998*M998*N998</x:f>
        <x:v>5603472.079979051</x:v>
      </x:c>
    </x:row>
    <x:row r="999">
      <x:c r="A999" s="42" t="str">
        <x:f>Members!A999</x:f>
        <x:v>A0382</x:v>
      </x:c>
      <x:c r="B999" s="42" t="str">
        <x:f>Members!B999</x:f>
        <x:v>Active</x:v>
      </x:c>
      <x:c r="C999" s="42" t="n">
        <x:f>Members!C999</x:f>
        <x:v>43</x:v>
      </x:c>
      <x:c r="D999" s="44" t="n">
        <x:f>Members!D999</x:f>
        <x:v>12.3</x:v>
      </x:c>
      <x:c r="E999" s="48" t="n">
        <x:f>Members!E999</x:f>
        <x:v>1007000</x:v>
      </x:c>
      <x:c r="F999" s="48" t="n">
        <x:f>Members!F999</x:f>
        <x:v>0</x:v>
      </x:c>
      <x:c r="G999" s="46" t="n">
        <x:f>MAX(0,Assumptions!$B$10-C999)</x:f>
        <x:v>17</x:v>
      </x:c>
      <x:c r="H999" s="50" t="n">
        <x:f>IF(B999="Active",E999*(1+Assumptions!$B$7)^G999,E999)</x:f>
        <x:v>2502195.7628075555</x:v>
      </x:c>
      <x:c r="I999" s="50" t="n">
        <x:f>IF(B999="Active",MIN(Assumptions!$B$12,D999+G999),IF(B999="Deferred",MIN(Assumptions!$B$12,D999),D999))</x:f>
        <x:v>29.3</x:v>
      </x:c>
      <x:c r="J999" s="50" t="n">
        <x:f>IF(B999="Active",H999*I999*Assumptions!$B$11,IF(B999="Deferred",E999*I999*Assumptions!$B$11*(1+Assumptions!$B$9)^G999,F999))</x:f>
        <x:v>1221905.5975043562</x:v>
      </x:c>
      <x:c r="K999" s="37" t="n">
        <x:f>IF(B999="Pensioner",1,VLOOKUP(Assumptions!$B$10,Mortality!$A$2:$F$104,6,FALSE)/VLOOKUP(C999,Mortality!$A$2:$F$104,6,FALSE))</x:f>
        <x:v>0.975651758424938</x:v>
      </x:c>
      <x:c r="L999" s="37" t="n">
        <x:f>VLOOKUP(IF(B999="Pensioner",C999,Assumptions!$B$10),Mortality!$A$2:$E$104,5,FALSE)</x:f>
        <x:v>17.296790022132885</x:v>
      </x:c>
      <x:c r="M999" s="37" t="n">
        <x:f>1+Assumptions!$B$13*Assumptions!$B$14*Assumptions!$B$15</x:f>
        <x:v>1.31875</x:v>
      </x:c>
      <x:c r="N999" s="37" t="n">
        <x:f>IF(B999="Pensioner",1,1/(1+Assumptions!$B$6)^G999)</x:f>
        <x:v>0.34281251466174323</x:v>
      </x:c>
      <x:c r="O999" s="50" t="n">
        <x:f>J999*K999*L999*M999*N999</x:f>
        <x:v>9322172.599960515</x:v>
      </x:c>
    </x:row>
    <x:row r="1000">
      <x:c r="A1000" s="42" t="str">
        <x:f>Members!A1000</x:f>
        <x:v>A0529</x:v>
      </x:c>
      <x:c r="B1000" s="42" t="str">
        <x:f>Members!B1000</x:f>
        <x:v>Active</x:v>
      </x:c>
      <x:c r="C1000" s="42" t="n">
        <x:f>Members!C1000</x:f>
        <x:v>52</x:v>
      </x:c>
      <x:c r="D1000" s="44" t="n">
        <x:f>Members!D1000</x:f>
        <x:v>16.8</x:v>
      </x:c>
      <x:c r="E1000" s="48" t="n">
        <x:f>Members!E1000</x:f>
        <x:v>1926000</x:v>
      </x:c>
      <x:c r="F1000" s="48" t="n">
        <x:f>Members!F1000</x:f>
        <x:v>0</x:v>
      </x:c>
      <x:c r="G1000" s="46" t="n">
        <x:f>MAX(0,Assumptions!$B$10-C1000)</x:f>
        <x:v>8</x:v>
      </x:c>
      <x:c r="H1000" s="50" t="n">
        <x:f>IF(B1000="Active",E1000*(1+Assumptions!$B$7)^G1000,E1000)</x:f>
        <x:v>2955806.22788259</x:v>
      </x:c>
      <x:c r="I1000" s="50" t="n">
        <x:f>IF(B1000="Active",MIN(Assumptions!$B$12,D1000+G1000),IF(B1000="Deferred",MIN(Assumptions!$B$12,D1000),D1000))</x:f>
        <x:v>24.8</x:v>
      </x:c>
      <x:c r="J1000" s="50" t="n">
        <x:f>IF(B1000="Active",H1000*I1000*Assumptions!$B$11,IF(B1000="Deferred",E1000*I1000*Assumptions!$B$11*(1+Assumptions!$B$9)^G1000,F1000))</x:f>
        <x:v>1221733.2408581374</x:v>
      </x:c>
      <x:c r="K1000" s="37" t="n">
        <x:f>IF(B1000="Pensioner",1,VLOOKUP(Assumptions!$B$10,Mortality!$A$2:$F$104,6,FALSE)/VLOOKUP(C1000,Mortality!$A$2:$F$104,6,FALSE))</x:f>
        <x:v>0.9836527516879843</x:v>
      </x:c>
      <x:c r="L1000" s="37" t="n">
        <x:f>VLOOKUP(IF(B1000="Pensioner",C1000,Assumptions!$B$10),Mortality!$A$2:$E$104,5,FALSE)</x:f>
        <x:v>17.296790022132885</x:v>
      </x:c>
      <x:c r="M1000" s="37" t="n">
        <x:f>1+Assumptions!$B$13*Assumptions!$B$14*Assumptions!$B$15</x:f>
        <x:v>1.31875</x:v>
      </x:c>
      <x:c r="N1000" s="37" t="n">
        <x:f>IF(B1000="Pensioner",1,1/(1+Assumptions!$B$6)^G1000)</x:f>
        <x:v>0.6042311876382719</x:v>
      </x:c>
      <x:c r="O1000" s="50" t="n">
        <x:f>J1000*K1000*L1000*M1000*N1000</x:f>
        <x:v>16563393.712593101</x:v>
      </x:c>
    </x:row>
    <x:row r="1001">
      <x:c r="A1001" s="42" t="str">
        <x:f>Members!A1001</x:f>
        <x:v>D0036</x:v>
      </x:c>
      <x:c r="B1001" s="42" t="str">
        <x:f>Members!B1001</x:f>
        <x:v>Deferred</x:v>
      </x:c>
      <x:c r="C1001" s="42" t="n">
        <x:f>Members!C1001</x:f>
        <x:v>57</x:v>
      </x:c>
      <x:c r="D1001" s="44" t="n">
        <x:f>Members!D1001</x:f>
        <x:v>20.3</x:v>
      </x:c>
      <x:c r="E1001" s="48" t="n">
        <x:f>Members!E1001</x:f>
        <x:v>1492000</x:v>
      </x:c>
      <x:c r="F1001" s="48" t="n">
        <x:f>Members!F1001</x:f>
        <x:v>0</x:v>
      </x:c>
      <x:c r="G1001" s="46" t="n">
        <x:f>MAX(0,Assumptions!$B$10-C1001)</x:f>
        <x:v>3</x:v>
      </x:c>
      <x:c r="H1001" s="50" t="n">
        <x:f>IF(B1001="Active",E1001*(1+Assumptions!$B$7)^G1001,E1001)</x:f>
        <x:v>1492000</x:v>
      </x:c>
      <x:c r="I1001" s="50" t="n">
        <x:f>IF(B1001="Active",MIN(Assumptions!$B$12,D1001+G1001),IF(B1001="Deferred",MIN(Assumptions!$B$12,D1001),D1001))</x:f>
        <x:v>20.3</x:v>
      </x:c>
      <x:c r="J1001" s="50" t="n">
        <x:f>IF(B1001="Active",H1001*I1001*Assumptions!$B$11,IF(B1001="Deferred",E1001*I1001*Assumptions!$B$11*(1+Assumptions!$B$9)^G1001,F1001))</x:f>
        <x:v>567823.8481066667</x:v>
      </x:c>
      <x:c r="K1001" s="37" t="n">
        <x:f>IF(B1001="Pensioner",1,VLOOKUP(Assumptions!$B$10,Mortality!$A$2:$F$104,6,FALSE)/VLOOKUP(C1001,Mortality!$A$2:$F$104,6,FALSE))</x:f>
        <x:v>0.9922003892921417</x:v>
      </x:c>
      <x:c r="L1001" s="37" t="n">
        <x:f>VLOOKUP(IF(B1001="Pensioner",C1001,Assumptions!$B$10),Mortality!$A$2:$E$104,5,FALSE)</x:f>
        <x:v>17.296790022132885</x:v>
      </x:c>
      <x:c r="M1001" s="37" t="n">
        <x:f>1+Assumptions!$B$13*Assumptions!$B$14*Assumptions!$B$15</x:f>
        <x:v>1.31875</x:v>
      </x:c>
      <x:c r="N1001" s="37" t="n">
        <x:f>IF(B1001="Pensioner",1,1/(1+Assumptions!$B$6)^G1001)</x:f>
        <x:v>0.8278490918029799</x:v>
      </x:c>
      <x:c r="O1001" s="50" t="n">
        <x:f>J1001*K1001*L1001*M1001*N1001</x:f>
        <x:v>10638788.721794056</x:v>
      </x:c>
    </x:row>
  </x:sheetData>
  <x:pageMargins left="0.7" right="0.7" top="0.75" bottom="0.75" header="0.3" footer="0.3"/>
  <x:tableParts count="1">
    <x:tablePart xmlns:r="http://schemas.openxmlformats.org/officeDocument/2006/relationships" r:id="Rfe41473194ea4b3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</x:cols>
  <x:sheetData>
    <x:row r="1" ht="30" customHeight="1">
      <x:c r="A1" s="3" t="str">
        <x:v>PensionVal — Scheme Summary</x:v>
      </x:c>
      <x:c r="B1" s="3"/>
      <x:c r="C1" s="3"/>
      <x:c r="D1" s="3"/>
      <x:c r="E1" s="3"/>
      <x:c r="F1" s="3"/>
    </x:row>
    <x:row r="3">
      <x:c r="A3" s="11" t="str">
        <x:v>Metric</x:v>
      </x:c>
      <x:c r="B3" s="11" t="str">
        <x:v>Value</x:v>
      </x:c>
    </x:row>
    <x:row r="4">
      <x:c r="A4" t="str">
        <x:v>Total members</x:v>
      </x:c>
      <x:c r="B4" t="n">
        <x:f>COUNTA(Members!A2:A1001)</x:f>
        <x:v>1000</x:v>
      </x:c>
    </x:row>
    <x:row r="5">
      <x:c r="A5" t="str">
        <x:v>DB liability</x:v>
      </x:c>
      <x:c r="B5" s="50" t="n">
        <x:f>SUM(Valuation!O2:O1001)</x:f>
        <x:v>6948299215.042322</x:v>
      </x:c>
    </x:row>
    <x:row r="6">
      <x:c r="A6" t="str">
        <x:v>Scheme assets</x:v>
      </x:c>
      <x:c r="B6" s="50" t="n">
        <x:f>Assumptions!B17</x:f>
        <x:v>6392400000</x:v>
      </x:c>
    </x:row>
    <x:row r="7">
      <x:c r="A7" t="str">
        <x:v>Funding ratio</x:v>
      </x:c>
      <x:c r="B7" s="52" t="n">
        <x:f>B6/B5</x:f>
        <x:v>0.9199949228094755</x:v>
      </x:c>
    </x:row>
    <x:row r="8">
      <x:c r="A8" t="str">
        <x:v>Surplus / (deficit)</x:v>
      </x:c>
      <x:c r="B8" s="50" t="n">
        <x:f>B6-B5</x:f>
        <x:v>-555899215.0423222</x:v>
      </x:c>
    </x:row>
    <x:row r="9">
      <x:c r="A9" t="str">
        <x:v>Data basis</x:v>
      </x:c>
      <x:c r="B9" t="str">
        <x:v>Synthetic demo census</x:v>
      </x:c>
    </x:row>
    <x:row r="11">
      <x:c r="A11" s="11" t="str">
        <x:v>Status</x:v>
      </x:c>
      <x:c r="B11" s="11" t="str">
        <x:v>PV liability</x:v>
      </x:c>
    </x:row>
    <x:row r="12">
      <x:c r="A12" t="str">
        <x:v>Active</x:v>
      </x:c>
      <x:c r="B12" s="50" t="n">
        <x:f>SUMIF(Valuation!B2:B1001,"Active",Valuation!O2:O1001)</x:f>
        <x:v>5262471068.329051</x:v>
      </x:c>
    </x:row>
    <x:row r="13">
      <x:c r="A13" t="str">
        <x:v>Deferred</x:v>
      </x:c>
      <x:c r="B13" s="50" t="n">
        <x:f>SUMIF(Valuation!B2:B1001,"Deferred",Valuation!O2:O1001)</x:f>
        <x:v>372952334.2263281</x:v>
      </x:c>
    </x:row>
    <x:row r="14">
      <x:c r="A14" t="str">
        <x:v>Pensioner</x:v>
      </x:c>
      <x:c r="B14" s="50" t="n">
        <x:f>SUMIF(Valuation!B2:B1001,"Pensioner",Valuation!O2:O1001)</x:f>
        <x:v>1312875812.486935</x:v>
      </x:c>
    </x:row>
    <x:row r="15">
      <x:c r="A15" s="54" t="str">
        <x:v>Total</x:v>
      </x:c>
      <x:c r="B15" s="55" t="n">
        <x:f>SUM(B12:B14)</x:f>
        <x:v>6948299215.042314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3e7dad48109e49ad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</x:cols>
  <x:sheetData>
    <x:row r="1" ht="28" customHeight="1">
      <x:c r="A1" s="58" t="str">
        <x:v>Excel ↔ JavaScript Frozen Benchmark</x:v>
      </x:c>
      <x:c r="B1" s="58"/>
      <x:c r="C1" s="58"/>
      <x:c r="D1" s="58"/>
      <x:c r="E1" s="58"/>
      <x:c r="F1" s="58"/>
    </x:row>
    <x:row r="2">
      <x:c r="G2" s="66" t="str">
        <x:v>Validation principle: freeze a base assumption set, independently calculate benchmark liabilities in Excel, then reconcile the reusable JavaScript engine at both aggregate and member level. Changing assumptions should trigger a new benchmark, not an artificial 'failure'.</x:v>
      </x:c>
      <x:c r="H2" s="66"/>
      <x:c r="I2" s="66"/>
      <x:c r="J2" s="66"/>
    </x:row>
    <x:row r="3">
      <x:c r="A3" s="11" t="str">
        <x:v>Check</x:v>
      </x:c>
      <x:c r="B3" s="11" t="str">
        <x:v>Value</x:v>
      </x:c>
      <x:c r="G3" s="66"/>
      <x:c r="H3" s="66"/>
      <x:c r="I3" s="66"/>
      <x:c r="J3" s="66"/>
    </x:row>
    <x:row r="4">
      <x:c r="A4" t="str">
        <x:v>Reference total liability</x:v>
      </x:c>
      <x:c r="B4" s="60" t="n">
        <x:v>6948299215.042313</x:v>
      </x:c>
      <x:c r="G4" s="66"/>
      <x:c r="H4" s="66"/>
      <x:c r="I4" s="66"/>
      <x:c r="J4" s="66"/>
    </x:row>
    <x:row r="5">
      <x:c r="A5" t="str">
        <x:v>Excel calculated total</x:v>
      </x:c>
      <x:c r="B5" s="61" t="n">
        <x:f>SUM(Valuation!O2:O1001)</x:f>
        <x:v>6948299215.042322</x:v>
      </x:c>
      <x:c r="G5" s="66"/>
      <x:c r="H5" s="66"/>
      <x:c r="I5" s="66"/>
      <x:c r="J5" s="66"/>
    </x:row>
    <x:row r="6">
      <x:c r="A6" t="str">
        <x:v>Difference</x:v>
      </x:c>
      <x:c r="B6" s="61" t="n">
        <x:f>B5-B4</x:f>
        <x:v>0.0000095367431640625</x:v>
      </x:c>
      <x:c r="G6" s="66"/>
      <x:c r="H6" s="66"/>
      <x:c r="I6" s="66"/>
      <x:c r="J6" s="66"/>
    </x:row>
    <x:row r="7">
      <x:c r="A7" t="str">
        <x:v>Tolerance</x:v>
      </x:c>
      <x:c r="B7" t="n">
        <x:v>0.01</x:v>
      </x:c>
      <x:c r="G7" s="66"/>
      <x:c r="H7" s="66"/>
      <x:c r="I7" s="66"/>
      <x:c r="J7" s="66"/>
    </x:row>
    <x:row r="10">
      <x:c r="A10" s="11" t="str">
        <x:v>Member ID</x:v>
      </x:c>
      <x:c r="B10" s="11" t="str">
        <x:v>Reference liability</x:v>
      </x:c>
      <x:c r="C10" s="11" t="str">
        <x:v>Excel liability</x:v>
      </x:c>
      <x:c r="D10" s="11" t="str">
        <x:v>Difference</x:v>
      </x:c>
      <x:c r="E10" s="11" t="str">
        <x:v>Status</x:v>
      </x:c>
    </x:row>
    <x:row r="11">
      <x:c r="A11" t="str">
        <x:v>A0001</x:v>
      </x:c>
      <x:c r="B11" s="61" t="n">
        <x:v>6554434.486534</x:v>
      </x:c>
      <x:c r="C11" s="61" t="n">
        <x:f>VLOOKUP(A11,Valuation!$A$2:$O$1001,15,FALSE)</x:f>
        <x:v>6554434.486533906</x:v>
      </x:c>
      <x:c r="D11" s="61" t="n">
        <x:f>C11-B11</x:f>
        <x:v>-9.406358003616333e-8</x:v>
      </x:c>
      <x:c r="E11" t="str">
        <x:f>IF(ABS(D11)&lt;=$B$7,"Matched","Review")</x:f>
        <x:v>Matched</x:v>
      </x:c>
    </x:row>
    <x:row r="12">
      <x:c r="A12" t="str">
        <x:v>A0002</x:v>
      </x:c>
      <x:c r="B12" s="61" t="n">
        <x:v>13579308.224724</x:v>
      </x:c>
      <x:c r="C12" s="61" t="n">
        <x:f>VLOOKUP(A12,Valuation!$A$2:$O$1001,15,FALSE)</x:f>
        <x:v>13579308.22472412</x:v>
      </x:c>
      <x:c r="D12" s="61" t="n">
        <x:f>C12-B12</x:f>
        <x:v>1.1920928955078125e-7</x:v>
      </x:c>
      <x:c r="E12" t="str">
        <x:f>IF(ABS(D12)&lt;=$B$7,"Matched","Review")</x:f>
        <x:v>Matched</x:v>
      </x:c>
    </x:row>
    <x:row r="13">
      <x:c r="A13" t="str">
        <x:v>A0003</x:v>
      </x:c>
      <x:c r="B13" s="61" t="n">
        <x:v>9534806.140647</x:v>
      </x:c>
      <x:c r="C13" s="61" t="n">
        <x:f>VLOOKUP(A13,Valuation!$A$2:$O$1001,15,FALSE)</x:f>
        <x:v>9534806.140646871</x:v>
      </x:c>
      <x:c r="D13" s="61" t="n">
        <x:f>C13-B13</x:f>
        <x:v>-1.2852251529693604e-7</x:v>
      </x:c>
      <x:c r="E13" t="str">
        <x:f>IF(ABS(D13)&lt;=$B$7,"Matched","Review")</x:f>
        <x:v>Matched</x:v>
      </x:c>
    </x:row>
    <x:row r="14">
      <x:c r="A14" t="str">
        <x:v>A0004</x:v>
      </x:c>
      <x:c r="B14" s="61" t="n">
        <x:v>10810692.941708</x:v>
      </x:c>
      <x:c r="C14" s="61" t="n">
        <x:f>VLOOKUP(A14,Valuation!$A$2:$O$1001,15,FALSE)</x:f>
        <x:v>10810692.941707883</x:v>
      </x:c>
      <x:c r="D14" s="61" t="n">
        <x:f>C14-B14</x:f>
        <x:v>-1.1734664440155029e-7</x:v>
      </x:c>
      <x:c r="E14" t="str">
        <x:f>IF(ABS(D14)&lt;=$B$7,"Matched","Review")</x:f>
        <x:v>Matched</x:v>
      </x:c>
    </x:row>
    <x:row r="15">
      <x:c r="A15" t="str">
        <x:v>D0001</x:v>
      </x:c>
      <x:c r="B15" s="61" t="n">
        <x:v>2534793.503731</x:v>
      </x:c>
      <x:c r="C15" s="61" t="n">
        <x:f>VLOOKUP(A15,Valuation!$A$2:$O$1001,15,FALSE)</x:f>
        <x:v>2534793.5037311898</x:v>
      </x:c>
      <x:c r="D15" s="61" t="n">
        <x:f>C15-B15</x:f>
        <x:v>1.8998980522155762e-7</x:v>
      </x:c>
      <x:c r="E15" t="str">
        <x:f>IF(ABS(D15)&lt;=$B$7,"Matched","Review")</x:f>
        <x:v>Matched</x:v>
      </x:c>
    </x:row>
    <x:row r="16">
      <x:c r="A16" t="str">
        <x:v>D0002</x:v>
      </x:c>
      <x:c r="B16" s="61" t="n">
        <x:v>668259.374925</x:v>
      </x:c>
      <x:c r="C16" s="61" t="n">
        <x:f>VLOOKUP(A16,Valuation!$A$2:$O$1001,15,FALSE)</x:f>
        <x:v>668259.3749249129</x:v>
      </x:c>
      <x:c r="D16" s="61" t="n">
        <x:f>C16-B16</x:f>
        <x:v>-8.707866072654724e-8</x:v>
      </x:c>
      <x:c r="E16" t="str">
        <x:f>IF(ABS(D16)&lt;=$B$7,"Matched","Review")</x:f>
        <x:v>Matched</x:v>
      </x:c>
    </x:row>
    <x:row r="17">
      <x:c r="A17" t="str">
        <x:v>D0003</x:v>
      </x:c>
      <x:c r="B17" s="61" t="n">
        <x:v>13580123.729594</x:v>
      </x:c>
      <x:c r="C17" s="61" t="n">
        <x:f>VLOOKUP(A17,Valuation!$A$2:$O$1001,15,FALSE)</x:f>
        <x:v>13580123.72959378</x:v>
      </x:c>
      <x:c r="D17" s="61" t="n">
        <x:f>C17-B17</x:f>
        <x:v>-2.1979212760925293e-7</x:v>
      </x:c>
      <x:c r="E17" t="str">
        <x:f>IF(ABS(D17)&lt;=$B$7,"Matched","Review")</x:f>
        <x:v>Matched</x:v>
      </x:c>
    </x:row>
    <x:row r="18">
      <x:c r="A18" t="str">
        <x:v>D0004</x:v>
      </x:c>
      <x:c r="B18" s="61" t="n">
        <x:v>1992513.767762</x:v>
      </x:c>
      <x:c r="C18" s="61" t="n">
        <x:f>VLOOKUP(A18,Valuation!$A$2:$O$1001,15,FALSE)</x:f>
        <x:v>1992513.7677617997</x:v>
      </x:c>
      <x:c r="D18" s="61" t="n">
        <x:f>C18-B18</x:f>
        <x:v>-2.0023435354232788e-7</x:v>
      </x:c>
      <x:c r="E18" t="str">
        <x:f>IF(ABS(D18)&lt;=$B$7,"Matched","Review")</x:f>
        <x:v>Matched</x:v>
      </x:c>
    </x:row>
    <x:row r="19">
      <x:c r="A19" t="str">
        <x:v>P0001</x:v>
      </x:c>
      <x:c r="B19" s="61" t="n">
        <x:v>5475386.53943</x:v>
      </x:c>
      <x:c r="C19" s="61" t="n">
        <x:f>VLOOKUP(A19,Valuation!$A$2:$O$1001,15,FALSE)</x:f>
        <x:v>5475386.539429655</x:v>
      </x:c>
      <x:c r="D19" s="61" t="n">
        <x:f>C19-B19</x:f>
        <x:v>-3.4458935260772705e-7</x:v>
      </x:c>
      <x:c r="E19" t="str">
        <x:f>IF(ABS(D19)&lt;=$B$7,"Matched","Review")</x:f>
        <x:v>Matched</x:v>
      </x:c>
    </x:row>
    <x:row r="20">
      <x:c r="A20" t="str">
        <x:v>P0002</x:v>
      </x:c>
      <x:c r="B20" s="61" t="n">
        <x:v>5983150.192285</x:v>
      </x:c>
      <x:c r="C20" s="61" t="n">
        <x:f>VLOOKUP(A20,Valuation!$A$2:$O$1001,15,FALSE)</x:f>
        <x:v>5983150.192285414</x:v>
      </x:c>
      <x:c r="D20" s="61" t="n">
        <x:f>C20-B20</x:f>
        <x:v>4.1350722312927246e-7</x:v>
      </x:c>
      <x:c r="E20" t="str">
        <x:f>IF(ABS(D20)&lt;=$B$7,"Matched","Review")</x:f>
        <x:v>Matched</x:v>
      </x:c>
    </x:row>
    <x:row r="21">
      <x:c r="A21" t="str">
        <x:v>P0003</x:v>
      </x:c>
      <x:c r="B21" s="61" t="n">
        <x:v>7029364.173981</x:v>
      </x:c>
      <x:c r="C21" s="61" t="n">
        <x:f>VLOOKUP(A21,Valuation!$A$2:$O$1001,15,FALSE)</x:f>
        <x:v>7029364.173980924</x:v>
      </x:c>
      <x:c r="D21" s="61" t="n">
        <x:f>C21-B21</x:f>
        <x:v>-7.543712854385376e-8</x:v>
      </x:c>
      <x:c r="E21" t="str">
        <x:f>IF(ABS(D21)&lt;=$B$7,"Matched","Review")</x:f>
        <x:v>Matched</x:v>
      </x:c>
    </x:row>
    <x:row r="22">
      <x:c r="A22" t="str">
        <x:v>P0004</x:v>
      </x:c>
      <x:c r="B22" s="61" t="n">
        <x:v>3149813.06141</x:v>
      </x:c>
      <x:c r="C22" s="61" t="n">
        <x:f>VLOOKUP(A22,Valuation!$A$2:$O$1001,15,FALSE)</x:f>
        <x:v>3149813.061409717</x:v>
      </x:c>
      <x:c r="D22" s="61" t="n">
        <x:f>C22-B22</x:f>
        <x:v>-2.8312206268310547e-7</x:v>
      </x:c>
      <x:c r="E22" t="str">
        <x:f>IF(ABS(D22)&lt;=$B$7,"Matched","Review")</x:f>
        <x:v>Matched</x:v>
      </x:c>
    </x:row>
  </x:sheetData>
  <x:mergeCells>
    <x:mergeCell ref="A1:F1"/>
    <x:mergeCell ref="G2:J7"/>
  </x:mergeCells>
  <x:pageMargins left="0.7" right="0.7" top="0.75" bottom="0.75" header="0.3" footer="0.3"/>
</x:worksheet>
</file>